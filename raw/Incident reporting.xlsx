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ml.chartshapes+xml"/>
  <Override PartName="/xl/charts/chart19.xml" ContentType="application/vnd.openxmlformats-officedocument.drawingml.chart+xml"/>
  <Override PartName="/xl/drawings/drawing5.xml" ContentType="application/vnd.openxmlformats-officedocument.drawingml.chartshapes+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6.xml" ContentType="application/vnd.openxmlformats-officedocument.drawingml.chartshapes+xml"/>
  <Override PartName="/xl/charts/chart23.xml" ContentType="application/vnd.openxmlformats-officedocument.drawingml.chart+xml"/>
  <Override PartName="/xl/charts/chart24.xml" ContentType="application/vnd.openxmlformats-officedocument.drawingml.chart+xml"/>
  <Override PartName="/xl/charts/style2.xml" ContentType="application/vnd.ms-office.chartstyle+xml"/>
  <Override PartName="/xl/charts/colors2.xml" ContentType="application/vnd.ms-office.chartcolorstyle+xml"/>
  <Override PartName="/xl/charts/chart2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defaultThemeVersion="124226"/>
  <mc:AlternateContent xmlns:mc="http://schemas.openxmlformats.org/markup-compatibility/2006">
    <mc:Choice Requires="x15">
      <x15ac:absPath xmlns:x15ac="http://schemas.microsoft.com/office/spreadsheetml/2010/11/ac" url="\\clalit.org.il\pt$\BLHome\Radiation\מערכת למידה אנונימי\"/>
    </mc:Choice>
  </mc:AlternateContent>
  <xr:revisionPtr revIDLastSave="0" documentId="13_ncr:1_{D6876F26-48CF-4E31-B095-5B243A9FE3F1}" xr6:coauthVersionLast="47" xr6:coauthVersionMax="47" xr10:uidLastSave="{00000000-0000-0000-0000-000000000000}"/>
  <bookViews>
    <workbookView xWindow="-120" yWindow="-120" windowWidth="29040" windowHeight="15720" activeTab="1" xr2:uid="{00000000-000D-0000-FFFF-FFFF00000000}"/>
  </bookViews>
  <sheets>
    <sheet name="Incident Reporting" sheetId="1" r:id="rId1"/>
    <sheet name="Event summary" sheetId="18" r:id="rId2"/>
    <sheet name="Taxonomy" sheetId="24" r:id="rId3"/>
    <sheet name="טבלת פרמטרים" sheetId="2" r:id="rId4"/>
    <sheet name="Results" sheetId="3" r:id="rId5"/>
    <sheet name="results new" sheetId="5" r:id="rId6"/>
    <sheet name="calc sheet" sheetId="19" r:id="rId7"/>
    <sheet name="Taxonomy New" sheetId="26" r:id="rId8"/>
    <sheet name="Task management" sheetId="27" r:id="rId9"/>
  </sheets>
  <definedNames>
    <definedName name="_xlnm._FilterDatabase" localSheetId="6" hidden="1">'calc sheet'!$G$1:$J$1312</definedName>
    <definedName name="_xlnm._FilterDatabase" localSheetId="1" hidden="1">'Event summary'!$A$1:$I$1187</definedName>
    <definedName name="_xlnm._FilterDatabase" localSheetId="0" hidden="1">'Incident Reporting'!$A$1:$U$1016</definedName>
    <definedName name="_xlnm._FilterDatabase" localSheetId="8" hidden="1">'Task management'!$A$1:$J$1183</definedName>
    <definedName name="_xlnm._FilterDatabase" localSheetId="2" hidden="1">Taxonomy!$A$1:$G$1</definedName>
    <definedName name="_xlnm._FilterDatabase" localSheetId="7" hidden="1">'Taxonomy New'!$A$1:$A$53</definedName>
    <definedName name="_xlnm.Print_Area" localSheetId="4">Results!$B$18:$P$140</definedName>
    <definedName name="_xlnm.Print_Area" localSheetId="8">'Task management'!$A$465:$J$574</definedName>
    <definedName name="_xlnm.Print_Titles" localSheetId="1">'Event summary'!$1:$1</definedName>
    <definedName name="_xlnm.Print_Titles" localSheetId="8">'Task management'!$1:$1</definedName>
    <definedName name="_xlnm.Print_Titles" localSheetId="2">Taxonomy!$1:$1</definedName>
    <definedName name="_xlnm.Print_Titles" localSheetId="7">'Taxonomy New'!$1:$1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4" l="1"/>
  <c r="K12" i="5" l="1"/>
  <c r="J4" i="5"/>
  <c r="J3" i="5"/>
  <c r="E3" i="5"/>
  <c r="E15" i="5"/>
  <c r="J13" i="5"/>
  <c r="J12" i="5"/>
  <c r="J11" i="5"/>
  <c r="J10" i="5"/>
  <c r="J9" i="5"/>
  <c r="J8" i="5"/>
  <c r="J7" i="5"/>
  <c r="J6" i="5"/>
  <c r="J5" i="5"/>
  <c r="G619" i="19"/>
  <c r="H619" i="19"/>
  <c r="G620" i="19"/>
  <c r="H620" i="19"/>
  <c r="G621" i="19"/>
  <c r="H621" i="19"/>
  <c r="G622" i="19"/>
  <c r="H622" i="19"/>
  <c r="G623" i="19"/>
  <c r="H623" i="19"/>
  <c r="G624" i="19"/>
  <c r="H624" i="19"/>
  <c r="G625" i="19"/>
  <c r="H625" i="19"/>
  <c r="G626" i="19"/>
  <c r="H626" i="19"/>
  <c r="G627" i="19"/>
  <c r="H627" i="19"/>
  <c r="G628" i="19"/>
  <c r="H628" i="19"/>
  <c r="G629" i="19"/>
  <c r="H629" i="19"/>
  <c r="G630" i="19"/>
  <c r="H630" i="19"/>
  <c r="G631" i="19"/>
  <c r="H631" i="19"/>
  <c r="G632" i="19"/>
  <c r="H632" i="19"/>
  <c r="G633" i="19"/>
  <c r="H633" i="19"/>
  <c r="G634" i="19"/>
  <c r="H634" i="19"/>
  <c r="G635" i="19"/>
  <c r="H635" i="19"/>
  <c r="G636" i="19"/>
  <c r="H636" i="19"/>
  <c r="G637" i="19"/>
  <c r="H637" i="19"/>
  <c r="G638" i="19"/>
  <c r="H638" i="19"/>
  <c r="G639" i="19"/>
  <c r="H639" i="19"/>
  <c r="G640" i="19"/>
  <c r="H640" i="19"/>
  <c r="G641" i="19"/>
  <c r="H641" i="19"/>
  <c r="G642" i="19"/>
  <c r="H642" i="19"/>
  <c r="G643" i="19"/>
  <c r="H643" i="19"/>
  <c r="G644" i="19"/>
  <c r="H644" i="19"/>
  <c r="G645" i="19"/>
  <c r="H645" i="19"/>
  <c r="G646" i="19"/>
  <c r="H646" i="19"/>
  <c r="K646" i="19" s="1"/>
  <c r="G647" i="19"/>
  <c r="H647" i="19"/>
  <c r="G648" i="19"/>
  <c r="H648" i="19"/>
  <c r="G649" i="19"/>
  <c r="H649" i="19"/>
  <c r="G650" i="19"/>
  <c r="H650" i="19"/>
  <c r="G651" i="19"/>
  <c r="H651" i="19"/>
  <c r="G652" i="19"/>
  <c r="H652" i="19"/>
  <c r="G653" i="19"/>
  <c r="H653" i="19"/>
  <c r="G654" i="19"/>
  <c r="H654" i="19"/>
  <c r="G655" i="19"/>
  <c r="H655" i="19"/>
  <c r="G656" i="19"/>
  <c r="H656" i="19"/>
  <c r="G657" i="19"/>
  <c r="H657" i="19"/>
  <c r="G658" i="19"/>
  <c r="H658" i="19"/>
  <c r="G659" i="19"/>
  <c r="H659" i="19"/>
  <c r="G660" i="19"/>
  <c r="H660" i="19"/>
  <c r="G661" i="19"/>
  <c r="H661" i="19"/>
  <c r="G662" i="19"/>
  <c r="H662" i="19"/>
  <c r="G663" i="19"/>
  <c r="H663" i="19"/>
  <c r="G664" i="19"/>
  <c r="H664" i="19"/>
  <c r="K664" i="19" s="1"/>
  <c r="G665" i="19"/>
  <c r="H665" i="19"/>
  <c r="G666" i="19"/>
  <c r="H666" i="19"/>
  <c r="G667" i="19"/>
  <c r="H667" i="19"/>
  <c r="G668" i="19"/>
  <c r="H668" i="19"/>
  <c r="G669" i="19"/>
  <c r="H669" i="19"/>
  <c r="G670" i="19"/>
  <c r="H670" i="19"/>
  <c r="G671" i="19"/>
  <c r="H671" i="19"/>
  <c r="G672" i="19"/>
  <c r="H672" i="19"/>
  <c r="G673" i="19"/>
  <c r="H673" i="19"/>
  <c r="G674" i="19"/>
  <c r="H674" i="19"/>
  <c r="G675" i="19"/>
  <c r="H675" i="19"/>
  <c r="G676" i="19"/>
  <c r="H676" i="19"/>
  <c r="G677" i="19"/>
  <c r="H677" i="19"/>
  <c r="G678" i="19"/>
  <c r="H678" i="19"/>
  <c r="G679" i="19"/>
  <c r="H679" i="19"/>
  <c r="G680" i="19"/>
  <c r="H680" i="19"/>
  <c r="G681" i="19"/>
  <c r="H681" i="19"/>
  <c r="G682" i="19"/>
  <c r="H682" i="19"/>
  <c r="K682" i="19" s="1"/>
  <c r="G683" i="19"/>
  <c r="H683" i="19"/>
  <c r="G684" i="19"/>
  <c r="H684" i="19"/>
  <c r="G685" i="19"/>
  <c r="H685" i="19"/>
  <c r="G686" i="19"/>
  <c r="H686" i="19"/>
  <c r="G687" i="19"/>
  <c r="H687" i="19"/>
  <c r="G688" i="19"/>
  <c r="H688" i="19"/>
  <c r="G689" i="19"/>
  <c r="H689" i="19"/>
  <c r="G690" i="19"/>
  <c r="H690" i="19"/>
  <c r="G691" i="19"/>
  <c r="H691" i="19"/>
  <c r="G692" i="19"/>
  <c r="H692" i="19"/>
  <c r="G693" i="19"/>
  <c r="H693" i="19"/>
  <c r="G694" i="19"/>
  <c r="H694" i="19"/>
  <c r="G695" i="19"/>
  <c r="H695" i="19"/>
  <c r="G696" i="19"/>
  <c r="H696" i="19"/>
  <c r="G697" i="19"/>
  <c r="H697" i="19"/>
  <c r="G698" i="19"/>
  <c r="H698" i="19"/>
  <c r="G699" i="19"/>
  <c r="H699" i="19"/>
  <c r="G700" i="19"/>
  <c r="H700" i="19"/>
  <c r="K700" i="19" s="1"/>
  <c r="G701" i="19"/>
  <c r="H701" i="19"/>
  <c r="G702" i="19"/>
  <c r="H702" i="19"/>
  <c r="G703" i="19"/>
  <c r="H703" i="19"/>
  <c r="G704" i="19"/>
  <c r="H704" i="19"/>
  <c r="G705" i="19"/>
  <c r="H705" i="19"/>
  <c r="G706" i="19"/>
  <c r="H706" i="19"/>
  <c r="G707" i="19"/>
  <c r="H707" i="19"/>
  <c r="G708" i="19"/>
  <c r="H708" i="19"/>
  <c r="G709" i="19"/>
  <c r="H709" i="19"/>
  <c r="G710" i="19"/>
  <c r="H710" i="19"/>
  <c r="G711" i="19"/>
  <c r="H711" i="19"/>
  <c r="G712" i="19"/>
  <c r="H712" i="19"/>
  <c r="G713" i="19"/>
  <c r="H713" i="19"/>
  <c r="G714" i="19"/>
  <c r="H714" i="19"/>
  <c r="G715" i="19"/>
  <c r="H715" i="19"/>
  <c r="G716" i="19"/>
  <c r="H716" i="19"/>
  <c r="G717" i="19"/>
  <c r="H717" i="19"/>
  <c r="G718" i="19"/>
  <c r="H718" i="19"/>
  <c r="G719" i="19"/>
  <c r="H719" i="19"/>
  <c r="G720" i="19"/>
  <c r="H720" i="19"/>
  <c r="G721" i="19"/>
  <c r="H721" i="19"/>
  <c r="G722" i="19"/>
  <c r="H722" i="19"/>
  <c r="G723" i="19"/>
  <c r="H723" i="19"/>
  <c r="G724" i="19"/>
  <c r="H724" i="19"/>
  <c r="G725" i="19"/>
  <c r="H725" i="19"/>
  <c r="G726" i="19"/>
  <c r="H726" i="19"/>
  <c r="G727" i="19"/>
  <c r="H727" i="19"/>
  <c r="G728" i="19"/>
  <c r="H728" i="19"/>
  <c r="G729" i="19"/>
  <c r="H729" i="19"/>
  <c r="G730" i="19"/>
  <c r="H730" i="19"/>
  <c r="G731" i="19"/>
  <c r="H731" i="19"/>
  <c r="G732" i="19"/>
  <c r="H732" i="19"/>
  <c r="G733" i="19"/>
  <c r="H733" i="19"/>
  <c r="G734" i="19"/>
  <c r="H734" i="19"/>
  <c r="G735" i="19"/>
  <c r="H735" i="19"/>
  <c r="G736" i="19"/>
  <c r="H736" i="19"/>
  <c r="K736" i="19" s="1"/>
  <c r="G737" i="19"/>
  <c r="H737" i="19"/>
  <c r="G738" i="19"/>
  <c r="H738" i="19"/>
  <c r="G739" i="19"/>
  <c r="H739" i="19"/>
  <c r="G740" i="19"/>
  <c r="H740" i="19"/>
  <c r="G741" i="19"/>
  <c r="H741" i="19"/>
  <c r="G742" i="19"/>
  <c r="H742" i="19"/>
  <c r="G743" i="19"/>
  <c r="H743" i="19"/>
  <c r="G744" i="19"/>
  <c r="H744" i="19"/>
  <c r="G745" i="19"/>
  <c r="H745" i="19"/>
  <c r="G746" i="19"/>
  <c r="H746" i="19"/>
  <c r="G747" i="19"/>
  <c r="H747" i="19"/>
  <c r="G748" i="19"/>
  <c r="H748" i="19"/>
  <c r="K748" i="19" s="1"/>
  <c r="G749" i="19"/>
  <c r="H749" i="19"/>
  <c r="G750" i="19"/>
  <c r="H750" i="19"/>
  <c r="G751" i="19"/>
  <c r="H751" i="19"/>
  <c r="G752" i="19"/>
  <c r="H752" i="19"/>
  <c r="G753" i="19"/>
  <c r="H753" i="19"/>
  <c r="G754" i="19"/>
  <c r="H754" i="19"/>
  <c r="G755" i="19"/>
  <c r="H755" i="19"/>
  <c r="G756" i="19"/>
  <c r="H756" i="19"/>
  <c r="G757" i="19"/>
  <c r="H757" i="19"/>
  <c r="K757" i="19" s="1"/>
  <c r="G758" i="19"/>
  <c r="H758" i="19"/>
  <c r="G759" i="19"/>
  <c r="H759" i="19"/>
  <c r="G760" i="19"/>
  <c r="H760" i="19"/>
  <c r="G761" i="19"/>
  <c r="H761" i="19"/>
  <c r="G762" i="19"/>
  <c r="H762" i="19"/>
  <c r="G763" i="19"/>
  <c r="H763" i="19"/>
  <c r="G764" i="19"/>
  <c r="H764" i="19"/>
  <c r="G765" i="19"/>
  <c r="H765" i="19"/>
  <c r="G766" i="19"/>
  <c r="H766" i="19"/>
  <c r="K766" i="19" s="1"/>
  <c r="G767" i="19"/>
  <c r="H767" i="19"/>
  <c r="G768" i="19"/>
  <c r="H768" i="19"/>
  <c r="G769" i="19"/>
  <c r="H769" i="19"/>
  <c r="G770" i="19"/>
  <c r="H770" i="19"/>
  <c r="G771" i="19"/>
  <c r="H771" i="19"/>
  <c r="G772" i="19"/>
  <c r="H772" i="19"/>
  <c r="G773" i="19"/>
  <c r="H773" i="19"/>
  <c r="G774" i="19"/>
  <c r="H774" i="19"/>
  <c r="G775" i="19"/>
  <c r="H775" i="19"/>
  <c r="G776" i="19"/>
  <c r="H776" i="19"/>
  <c r="I776" i="19" s="1"/>
  <c r="G777" i="19"/>
  <c r="H777" i="19"/>
  <c r="G778" i="19"/>
  <c r="H778" i="19"/>
  <c r="G779" i="19"/>
  <c r="H779" i="19"/>
  <c r="G780" i="19"/>
  <c r="H780" i="19"/>
  <c r="G781" i="19"/>
  <c r="H781" i="19"/>
  <c r="G782" i="19"/>
  <c r="H782" i="19"/>
  <c r="G783" i="19"/>
  <c r="H783" i="19"/>
  <c r="G784" i="19"/>
  <c r="H784" i="19"/>
  <c r="G785" i="19"/>
  <c r="H785" i="19"/>
  <c r="G786" i="19"/>
  <c r="H786" i="19"/>
  <c r="G787" i="19"/>
  <c r="H787" i="19"/>
  <c r="G788" i="19"/>
  <c r="H788" i="19"/>
  <c r="G789" i="19"/>
  <c r="H789" i="19"/>
  <c r="G790" i="19"/>
  <c r="H790" i="19"/>
  <c r="G791" i="19"/>
  <c r="H791" i="19"/>
  <c r="G792" i="19"/>
  <c r="H792" i="19"/>
  <c r="G793" i="19"/>
  <c r="H793" i="19"/>
  <c r="G794" i="19"/>
  <c r="H794" i="19"/>
  <c r="G795" i="19"/>
  <c r="H795" i="19"/>
  <c r="G796" i="19"/>
  <c r="H796" i="19"/>
  <c r="G797" i="19"/>
  <c r="H797" i="19"/>
  <c r="G798" i="19"/>
  <c r="H798" i="19"/>
  <c r="G799" i="19"/>
  <c r="H799" i="19"/>
  <c r="G800" i="19"/>
  <c r="H800" i="19"/>
  <c r="G801" i="19"/>
  <c r="H801" i="19"/>
  <c r="G802" i="19"/>
  <c r="H802" i="19"/>
  <c r="G803" i="19"/>
  <c r="H803" i="19"/>
  <c r="G804" i="19"/>
  <c r="H804" i="19"/>
  <c r="G805" i="19"/>
  <c r="H805" i="19"/>
  <c r="G806" i="19"/>
  <c r="H806" i="19"/>
  <c r="G807" i="19"/>
  <c r="H807" i="19"/>
  <c r="G808" i="19"/>
  <c r="H808" i="19"/>
  <c r="G809" i="19"/>
  <c r="H809" i="19"/>
  <c r="G810" i="19"/>
  <c r="H810" i="19"/>
  <c r="G811" i="19"/>
  <c r="H811" i="19"/>
  <c r="G812" i="19"/>
  <c r="H812" i="19"/>
  <c r="G813" i="19"/>
  <c r="H813" i="19"/>
  <c r="G814" i="19"/>
  <c r="H814" i="19"/>
  <c r="G815" i="19"/>
  <c r="H815" i="19"/>
  <c r="G816" i="19"/>
  <c r="H816" i="19"/>
  <c r="I816" i="19" s="1"/>
  <c r="G817" i="19"/>
  <c r="H817" i="19"/>
  <c r="I817" i="19" s="1"/>
  <c r="G818" i="19"/>
  <c r="H818" i="19"/>
  <c r="I818" i="19" s="1"/>
  <c r="G819" i="19"/>
  <c r="H819" i="19"/>
  <c r="I819" i="19" s="1"/>
  <c r="G820" i="19"/>
  <c r="H820" i="19"/>
  <c r="I820" i="19" s="1"/>
  <c r="G821" i="19"/>
  <c r="H821" i="19"/>
  <c r="I821" i="19" s="1"/>
  <c r="G822" i="19"/>
  <c r="H822" i="19"/>
  <c r="I822" i="19" s="1"/>
  <c r="G823" i="19"/>
  <c r="H823" i="19"/>
  <c r="I823" i="19" s="1"/>
  <c r="G824" i="19"/>
  <c r="H824" i="19"/>
  <c r="G825" i="19"/>
  <c r="H825" i="19"/>
  <c r="G826" i="19"/>
  <c r="H826" i="19"/>
  <c r="G827" i="19"/>
  <c r="H827" i="19"/>
  <c r="G828" i="19"/>
  <c r="H828" i="19"/>
  <c r="K828" i="19" s="1"/>
  <c r="G829" i="19"/>
  <c r="H829" i="19"/>
  <c r="G830" i="19"/>
  <c r="H830" i="19"/>
  <c r="G831" i="19"/>
  <c r="H831" i="19"/>
  <c r="G832" i="19"/>
  <c r="H832" i="19"/>
  <c r="G833" i="19"/>
  <c r="H833" i="19"/>
  <c r="G834" i="19"/>
  <c r="H834" i="19"/>
  <c r="G835" i="19"/>
  <c r="H835" i="19"/>
  <c r="G836" i="19"/>
  <c r="H836" i="19"/>
  <c r="G837" i="19"/>
  <c r="H837" i="19"/>
  <c r="K837" i="19" s="1"/>
  <c r="G838" i="19"/>
  <c r="H838" i="19"/>
  <c r="G839" i="19"/>
  <c r="H839" i="19"/>
  <c r="G840" i="19"/>
  <c r="H840" i="19"/>
  <c r="G841" i="19"/>
  <c r="H841" i="19"/>
  <c r="G842" i="19"/>
  <c r="H842" i="19"/>
  <c r="G843" i="19"/>
  <c r="H843" i="19"/>
  <c r="G844" i="19"/>
  <c r="H844" i="19"/>
  <c r="G845" i="19"/>
  <c r="H845" i="19"/>
  <c r="G846" i="19"/>
  <c r="H846" i="19"/>
  <c r="G847" i="19"/>
  <c r="H847" i="19"/>
  <c r="G848" i="19"/>
  <c r="H848" i="19"/>
  <c r="G849" i="19"/>
  <c r="H849" i="19"/>
  <c r="G850" i="19"/>
  <c r="H850" i="19"/>
  <c r="G851" i="19"/>
  <c r="H851" i="19"/>
  <c r="G852" i="19"/>
  <c r="H852" i="19"/>
  <c r="G853" i="19"/>
  <c r="H853" i="19"/>
  <c r="G854" i="19"/>
  <c r="H854" i="19"/>
  <c r="G855" i="19"/>
  <c r="H855" i="19"/>
  <c r="G856" i="19"/>
  <c r="H856" i="19"/>
  <c r="G857" i="19"/>
  <c r="H857" i="19"/>
  <c r="G858" i="19"/>
  <c r="H858" i="19"/>
  <c r="G859" i="19"/>
  <c r="H859" i="19"/>
  <c r="G860" i="19"/>
  <c r="H860" i="19"/>
  <c r="G861" i="19"/>
  <c r="H861" i="19"/>
  <c r="G862" i="19"/>
  <c r="H862" i="19"/>
  <c r="G863" i="19"/>
  <c r="H863" i="19"/>
  <c r="G864" i="19"/>
  <c r="H864" i="19"/>
  <c r="G865" i="19"/>
  <c r="H865" i="19"/>
  <c r="G866" i="19"/>
  <c r="H866" i="19"/>
  <c r="G867" i="19"/>
  <c r="H867" i="19"/>
  <c r="G868" i="19"/>
  <c r="H868" i="19"/>
  <c r="G869" i="19"/>
  <c r="H869" i="19"/>
  <c r="G870" i="19"/>
  <c r="H870" i="19"/>
  <c r="G871" i="19"/>
  <c r="H871" i="19"/>
  <c r="G872" i="19"/>
  <c r="H872" i="19"/>
  <c r="I872" i="19" s="1"/>
  <c r="G873" i="19"/>
  <c r="H873" i="19"/>
  <c r="G874" i="19"/>
  <c r="H874" i="19"/>
  <c r="G875" i="19"/>
  <c r="H875" i="19"/>
  <c r="G876" i="19"/>
  <c r="H876" i="19"/>
  <c r="G877" i="19"/>
  <c r="H877" i="19"/>
  <c r="G878" i="19"/>
  <c r="H878" i="19"/>
  <c r="G879" i="19"/>
  <c r="H879" i="19"/>
  <c r="G880" i="19"/>
  <c r="H880" i="19"/>
  <c r="G881" i="19"/>
  <c r="H881" i="19"/>
  <c r="G882" i="19"/>
  <c r="H882" i="19"/>
  <c r="G883" i="19"/>
  <c r="H883" i="19"/>
  <c r="G884" i="19"/>
  <c r="H884" i="19"/>
  <c r="G885" i="19"/>
  <c r="H885" i="19"/>
  <c r="G886" i="19"/>
  <c r="H886" i="19"/>
  <c r="G887" i="19"/>
  <c r="H887" i="19"/>
  <c r="G888" i="19"/>
  <c r="H888" i="19"/>
  <c r="G889" i="19"/>
  <c r="H889" i="19"/>
  <c r="G890" i="19"/>
  <c r="H890" i="19"/>
  <c r="G891" i="19"/>
  <c r="H891" i="19"/>
  <c r="G892" i="19"/>
  <c r="H892" i="19"/>
  <c r="G893" i="19"/>
  <c r="H893" i="19"/>
  <c r="G894" i="19"/>
  <c r="H894" i="19"/>
  <c r="G895" i="19"/>
  <c r="H895" i="19"/>
  <c r="G896" i="19"/>
  <c r="H896" i="19"/>
  <c r="I896" i="19" s="1"/>
  <c r="G897" i="19"/>
  <c r="H897" i="19"/>
  <c r="G898" i="19"/>
  <c r="H898" i="19"/>
  <c r="G899" i="19"/>
  <c r="H899" i="19"/>
  <c r="G900" i="19"/>
  <c r="H900" i="19"/>
  <c r="K900" i="19" s="1"/>
  <c r="G901" i="19"/>
  <c r="H901" i="19"/>
  <c r="G902" i="19"/>
  <c r="H902" i="19"/>
  <c r="G903" i="19"/>
  <c r="H903" i="19"/>
  <c r="G904" i="19"/>
  <c r="H904" i="19"/>
  <c r="G905" i="19"/>
  <c r="H905" i="19"/>
  <c r="G906" i="19"/>
  <c r="H906" i="19"/>
  <c r="G907" i="19"/>
  <c r="H907" i="19"/>
  <c r="G908" i="19"/>
  <c r="H908" i="19"/>
  <c r="G909" i="19"/>
  <c r="H909" i="19"/>
  <c r="G910" i="19"/>
  <c r="H910" i="19"/>
  <c r="G911" i="19"/>
  <c r="H911" i="19"/>
  <c r="G912" i="19"/>
  <c r="H912" i="19"/>
  <c r="G913" i="19"/>
  <c r="H913" i="19"/>
  <c r="G914" i="19"/>
  <c r="H914" i="19"/>
  <c r="G915" i="19"/>
  <c r="H915" i="19"/>
  <c r="G916" i="19"/>
  <c r="H916" i="19"/>
  <c r="G917" i="19"/>
  <c r="H917" i="19"/>
  <c r="G918" i="19"/>
  <c r="H918" i="19"/>
  <c r="K918" i="19" s="1"/>
  <c r="G919" i="19"/>
  <c r="H919" i="19"/>
  <c r="G920" i="19"/>
  <c r="H920" i="19"/>
  <c r="I920" i="19" s="1"/>
  <c r="G921" i="19"/>
  <c r="H921" i="19"/>
  <c r="G922" i="19"/>
  <c r="H922" i="19"/>
  <c r="G923" i="19"/>
  <c r="H923" i="19"/>
  <c r="G924" i="19"/>
  <c r="H924" i="19"/>
  <c r="G925" i="19"/>
  <c r="H925" i="19"/>
  <c r="G926" i="19"/>
  <c r="H926" i="19"/>
  <c r="G927" i="19"/>
  <c r="H927" i="19"/>
  <c r="G928" i="19"/>
  <c r="H928" i="19"/>
  <c r="G929" i="19"/>
  <c r="H929" i="19"/>
  <c r="G930" i="19"/>
  <c r="H930" i="19"/>
  <c r="G931" i="19"/>
  <c r="H931" i="19"/>
  <c r="G932" i="19"/>
  <c r="H932" i="19"/>
  <c r="G933" i="19"/>
  <c r="H933" i="19"/>
  <c r="G934" i="19"/>
  <c r="H934" i="19"/>
  <c r="G935" i="19"/>
  <c r="H935" i="19"/>
  <c r="G936" i="19"/>
  <c r="H936" i="19"/>
  <c r="G937" i="19"/>
  <c r="H937" i="19"/>
  <c r="G938" i="19"/>
  <c r="H938" i="19"/>
  <c r="G939" i="19"/>
  <c r="H939" i="19"/>
  <c r="G940" i="19"/>
  <c r="H940" i="19"/>
  <c r="G941" i="19"/>
  <c r="H941" i="19"/>
  <c r="G942" i="19"/>
  <c r="H942" i="19"/>
  <c r="G943" i="19"/>
  <c r="H943" i="19"/>
  <c r="G944" i="19"/>
  <c r="H944" i="19"/>
  <c r="G945" i="19"/>
  <c r="H945" i="19"/>
  <c r="G946" i="19"/>
  <c r="H946" i="19"/>
  <c r="G947" i="19"/>
  <c r="H947" i="19"/>
  <c r="G948" i="19"/>
  <c r="H948" i="19"/>
  <c r="G949" i="19"/>
  <c r="H949" i="19"/>
  <c r="G950" i="19"/>
  <c r="H950" i="19"/>
  <c r="G951" i="19"/>
  <c r="H951" i="19"/>
  <c r="G952" i="19"/>
  <c r="H952" i="19"/>
  <c r="G953" i="19"/>
  <c r="H953" i="19"/>
  <c r="G954" i="19"/>
  <c r="H954" i="19"/>
  <c r="G955" i="19"/>
  <c r="H955" i="19"/>
  <c r="G956" i="19"/>
  <c r="H956" i="19"/>
  <c r="G957" i="19"/>
  <c r="H957" i="19"/>
  <c r="G958" i="19"/>
  <c r="H958" i="19"/>
  <c r="G959" i="19"/>
  <c r="H959" i="19"/>
  <c r="G960" i="19"/>
  <c r="H960" i="19"/>
  <c r="G961" i="19"/>
  <c r="H961" i="19"/>
  <c r="G962" i="19"/>
  <c r="H962" i="19"/>
  <c r="G963" i="19"/>
  <c r="H963" i="19"/>
  <c r="G964" i="19"/>
  <c r="H964" i="19"/>
  <c r="G965" i="19"/>
  <c r="H965" i="19"/>
  <c r="G966" i="19"/>
  <c r="H966" i="19"/>
  <c r="G967" i="19"/>
  <c r="H967" i="19"/>
  <c r="G968" i="19"/>
  <c r="H968" i="19"/>
  <c r="G969" i="19"/>
  <c r="H969" i="19"/>
  <c r="G970" i="19"/>
  <c r="H970" i="19"/>
  <c r="G971" i="19"/>
  <c r="H971" i="19"/>
  <c r="G972" i="19"/>
  <c r="H972" i="19"/>
  <c r="G973" i="19"/>
  <c r="H973" i="19"/>
  <c r="G974" i="19"/>
  <c r="H974" i="19"/>
  <c r="G975" i="19"/>
  <c r="H975" i="19"/>
  <c r="G976" i="19"/>
  <c r="H976" i="19"/>
  <c r="G977" i="19"/>
  <c r="H977" i="19"/>
  <c r="G978" i="19"/>
  <c r="H978" i="19"/>
  <c r="G979" i="19"/>
  <c r="H979" i="19"/>
  <c r="G980" i="19"/>
  <c r="H980" i="19"/>
  <c r="G981" i="19"/>
  <c r="H981" i="19"/>
  <c r="G982" i="19"/>
  <c r="H982" i="19"/>
  <c r="G983" i="19"/>
  <c r="H983" i="19"/>
  <c r="G984" i="19"/>
  <c r="H984" i="19"/>
  <c r="G985" i="19"/>
  <c r="H985" i="19"/>
  <c r="G986" i="19"/>
  <c r="H986" i="19"/>
  <c r="G987" i="19"/>
  <c r="H987" i="19"/>
  <c r="G988" i="19"/>
  <c r="H988" i="19"/>
  <c r="G989" i="19"/>
  <c r="H989" i="19"/>
  <c r="G990" i="19"/>
  <c r="H990" i="19"/>
  <c r="G991" i="19"/>
  <c r="H991" i="19"/>
  <c r="G992" i="19"/>
  <c r="H992" i="19"/>
  <c r="G993" i="19"/>
  <c r="H993" i="19"/>
  <c r="G994" i="19"/>
  <c r="H994" i="19"/>
  <c r="G995" i="19"/>
  <c r="H995" i="19"/>
  <c r="G996" i="19"/>
  <c r="H996" i="19"/>
  <c r="G997" i="19"/>
  <c r="H997" i="19"/>
  <c r="G998" i="19"/>
  <c r="H998" i="19"/>
  <c r="G999" i="19"/>
  <c r="H999" i="19"/>
  <c r="G1000" i="19"/>
  <c r="H1000" i="19"/>
  <c r="I1000" i="19" s="1"/>
  <c r="G1001" i="19"/>
  <c r="H1001" i="19"/>
  <c r="G1002" i="19"/>
  <c r="H1002" i="19"/>
  <c r="K1002" i="19" s="1"/>
  <c r="G1003" i="19"/>
  <c r="H1003" i="19"/>
  <c r="G1004" i="19"/>
  <c r="H1004" i="19"/>
  <c r="K1004" i="19" s="1"/>
  <c r="G1005" i="19"/>
  <c r="H1005" i="19"/>
  <c r="G1006" i="19"/>
  <c r="H1006" i="19"/>
  <c r="G1007" i="19"/>
  <c r="H1007" i="19"/>
  <c r="G1008" i="19"/>
  <c r="H1008" i="19"/>
  <c r="K1008" i="19" s="1"/>
  <c r="G1009" i="19"/>
  <c r="H1009" i="19"/>
  <c r="G1010" i="19"/>
  <c r="H1010" i="19"/>
  <c r="G1011" i="19"/>
  <c r="H1011" i="19"/>
  <c r="K1011" i="19" s="1"/>
  <c r="G1012" i="19"/>
  <c r="H1012" i="19"/>
  <c r="G1013" i="19"/>
  <c r="H1013" i="19"/>
  <c r="K1013" i="19" s="1"/>
  <c r="G1014" i="19"/>
  <c r="H1014" i="19"/>
  <c r="G1015" i="19"/>
  <c r="H1015" i="19"/>
  <c r="G1016" i="19"/>
  <c r="H1016" i="19"/>
  <c r="G1017" i="19"/>
  <c r="H1017" i="19"/>
  <c r="K1017" i="19" s="1"/>
  <c r="G1018" i="19"/>
  <c r="H1018" i="19"/>
  <c r="G1019" i="19"/>
  <c r="H1019" i="19"/>
  <c r="G1020" i="19"/>
  <c r="H1020" i="19"/>
  <c r="K1020" i="19" s="1"/>
  <c r="G1021" i="19"/>
  <c r="H1021" i="19"/>
  <c r="G1022" i="19"/>
  <c r="H1022" i="19"/>
  <c r="K1022" i="19" s="1"/>
  <c r="G1023" i="19"/>
  <c r="H1023" i="19"/>
  <c r="G1024" i="19"/>
  <c r="H1024" i="19"/>
  <c r="G1025" i="19"/>
  <c r="H1025" i="19"/>
  <c r="G1026" i="19"/>
  <c r="H1026" i="19"/>
  <c r="J1026" i="19" s="1"/>
  <c r="G1027" i="19"/>
  <c r="H1027" i="19"/>
  <c r="G1028" i="19"/>
  <c r="H1028" i="19"/>
  <c r="G1029" i="19"/>
  <c r="H1029" i="19"/>
  <c r="K1029" i="19" s="1"/>
  <c r="G1030" i="19"/>
  <c r="H1030" i="19"/>
  <c r="G1031" i="19"/>
  <c r="H1031" i="19"/>
  <c r="G1032" i="19"/>
  <c r="H1032" i="19"/>
  <c r="G1033" i="19"/>
  <c r="H1033" i="19"/>
  <c r="G1034" i="19"/>
  <c r="H1034" i="19"/>
  <c r="G1035" i="19"/>
  <c r="H1035" i="19"/>
  <c r="K1035" i="19" s="1"/>
  <c r="G1036" i="19"/>
  <c r="H1036" i="19"/>
  <c r="G1037" i="19"/>
  <c r="H1037" i="19"/>
  <c r="G1038" i="19"/>
  <c r="H1038" i="19"/>
  <c r="K1038" i="19" s="1"/>
  <c r="G1039" i="19"/>
  <c r="H1039" i="19"/>
  <c r="G1040" i="19"/>
  <c r="H1040" i="19"/>
  <c r="G1041" i="19"/>
  <c r="H1041" i="19"/>
  <c r="G1042" i="19"/>
  <c r="H1042" i="19"/>
  <c r="G1043" i="19"/>
  <c r="H1043" i="19"/>
  <c r="K1043" i="19" s="1"/>
  <c r="G1044" i="19"/>
  <c r="H1044" i="19"/>
  <c r="G1045" i="19"/>
  <c r="H1045" i="19"/>
  <c r="G1046" i="19"/>
  <c r="H1046" i="19"/>
  <c r="K1046" i="19" s="1"/>
  <c r="G1047" i="19"/>
  <c r="H1047" i="19"/>
  <c r="G1048" i="19"/>
  <c r="H1048" i="19"/>
  <c r="G1049" i="19"/>
  <c r="H1049" i="19"/>
  <c r="K1049" i="19" s="1"/>
  <c r="G1050" i="19"/>
  <c r="H1050" i="19"/>
  <c r="G1051" i="19"/>
  <c r="H1051" i="19"/>
  <c r="G1052" i="19"/>
  <c r="H1052" i="19"/>
  <c r="K1052" i="19" s="1"/>
  <c r="G1053" i="19"/>
  <c r="H1053" i="19"/>
  <c r="G1054" i="19"/>
  <c r="H1054" i="19"/>
  <c r="G1055" i="19"/>
  <c r="H1055" i="19"/>
  <c r="K1055" i="19" s="1"/>
  <c r="G1056" i="19"/>
  <c r="H1056" i="19"/>
  <c r="I1056" i="19" s="1"/>
  <c r="G1057" i="19"/>
  <c r="H1057" i="19"/>
  <c r="G1058" i="19"/>
  <c r="H1058" i="19"/>
  <c r="G1059" i="19"/>
  <c r="H1059" i="19"/>
  <c r="G1060" i="19"/>
  <c r="H1060" i="19"/>
  <c r="G1061" i="19"/>
  <c r="H1061" i="19"/>
  <c r="G1062" i="19"/>
  <c r="H1062" i="19"/>
  <c r="G1063" i="19"/>
  <c r="H1063" i="19"/>
  <c r="G1064" i="19"/>
  <c r="H1064" i="19"/>
  <c r="G1065" i="19"/>
  <c r="H1065" i="19"/>
  <c r="G1066" i="19"/>
  <c r="H1066" i="19"/>
  <c r="G1067" i="19"/>
  <c r="H1067" i="19"/>
  <c r="G1068" i="19"/>
  <c r="H1068" i="19"/>
  <c r="G1069" i="19"/>
  <c r="H1069" i="19"/>
  <c r="G1070" i="19"/>
  <c r="H1070" i="19"/>
  <c r="G1071" i="19"/>
  <c r="H1071" i="19"/>
  <c r="G1072" i="19"/>
  <c r="H1072" i="19"/>
  <c r="G1073" i="19"/>
  <c r="H1073" i="19"/>
  <c r="G1074" i="19"/>
  <c r="H1074" i="19"/>
  <c r="G1075" i="19"/>
  <c r="H1075" i="19"/>
  <c r="G1076" i="19"/>
  <c r="H1076" i="19"/>
  <c r="G1077" i="19"/>
  <c r="H1077" i="19"/>
  <c r="G1078" i="19"/>
  <c r="H1078" i="19"/>
  <c r="G1079" i="19"/>
  <c r="H1079" i="19"/>
  <c r="G1080" i="19"/>
  <c r="H1080" i="19"/>
  <c r="G1081" i="19"/>
  <c r="H1081" i="19"/>
  <c r="G1082" i="19"/>
  <c r="H1082" i="19"/>
  <c r="G1083" i="19"/>
  <c r="H1083" i="19"/>
  <c r="G1084" i="19"/>
  <c r="H1084" i="19"/>
  <c r="G1085" i="19"/>
  <c r="H1085" i="19"/>
  <c r="G1086" i="19"/>
  <c r="H1086" i="19"/>
  <c r="G1087" i="19"/>
  <c r="H1087" i="19"/>
  <c r="G1088" i="19"/>
  <c r="H1088" i="19"/>
  <c r="G1089" i="19"/>
  <c r="H1089" i="19"/>
  <c r="G1090" i="19"/>
  <c r="H1090" i="19"/>
  <c r="G1091" i="19"/>
  <c r="H1091" i="19"/>
  <c r="G1092" i="19"/>
  <c r="H1092" i="19"/>
  <c r="G1093" i="19"/>
  <c r="H1093" i="19"/>
  <c r="G1094" i="19"/>
  <c r="H1094" i="19"/>
  <c r="G1095" i="19"/>
  <c r="H1095" i="19"/>
  <c r="G1096" i="19"/>
  <c r="H1096" i="19"/>
  <c r="G1097" i="19"/>
  <c r="H1097" i="19"/>
  <c r="G1098" i="19"/>
  <c r="H1098" i="19"/>
  <c r="G1099" i="19"/>
  <c r="H1099" i="19"/>
  <c r="G1100" i="19"/>
  <c r="H1100" i="19"/>
  <c r="G1101" i="19"/>
  <c r="H1101" i="19"/>
  <c r="G1102" i="19"/>
  <c r="H1102" i="19"/>
  <c r="G1103" i="19"/>
  <c r="H1103" i="19"/>
  <c r="G1104" i="19"/>
  <c r="H1104" i="19"/>
  <c r="G1105" i="19"/>
  <c r="H1105" i="19"/>
  <c r="G1106" i="19"/>
  <c r="H1106" i="19"/>
  <c r="G1107" i="19"/>
  <c r="H1107" i="19"/>
  <c r="G1108" i="19"/>
  <c r="H1108" i="19"/>
  <c r="G1109" i="19"/>
  <c r="H1109" i="19"/>
  <c r="G1110" i="19"/>
  <c r="H1110" i="19"/>
  <c r="G1111" i="19"/>
  <c r="H1111" i="19"/>
  <c r="G1112" i="19"/>
  <c r="H1112" i="19"/>
  <c r="G1113" i="19"/>
  <c r="H1113" i="19"/>
  <c r="G1114" i="19"/>
  <c r="H1114" i="19"/>
  <c r="G1115" i="19"/>
  <c r="H1115" i="19"/>
  <c r="G1116" i="19"/>
  <c r="H1116" i="19"/>
  <c r="G1117" i="19"/>
  <c r="H1117" i="19"/>
  <c r="G1118" i="19"/>
  <c r="H1118" i="19"/>
  <c r="G1119" i="19"/>
  <c r="H1119" i="19"/>
  <c r="G1120" i="19"/>
  <c r="H1120" i="19"/>
  <c r="G1121" i="19"/>
  <c r="H1121" i="19"/>
  <c r="G1122" i="19"/>
  <c r="H1122" i="19"/>
  <c r="G1123" i="19"/>
  <c r="H1123" i="19"/>
  <c r="G1124" i="19"/>
  <c r="H1124" i="19"/>
  <c r="G1125" i="19"/>
  <c r="H1125" i="19"/>
  <c r="G1126" i="19"/>
  <c r="H1126" i="19"/>
  <c r="G1127" i="19"/>
  <c r="H1127" i="19"/>
  <c r="G1128" i="19"/>
  <c r="H1128" i="19"/>
  <c r="G1129" i="19"/>
  <c r="H1129" i="19"/>
  <c r="G1130" i="19"/>
  <c r="H1130" i="19"/>
  <c r="G1131" i="19"/>
  <c r="H1131" i="19"/>
  <c r="G1132" i="19"/>
  <c r="H1132" i="19"/>
  <c r="G1133" i="19"/>
  <c r="H1133" i="19"/>
  <c r="G1134" i="19"/>
  <c r="H1134" i="19"/>
  <c r="G1135" i="19"/>
  <c r="H1135" i="19"/>
  <c r="G1136" i="19"/>
  <c r="H1136" i="19"/>
  <c r="G1137" i="19"/>
  <c r="H1137" i="19"/>
  <c r="G1138" i="19"/>
  <c r="H1138" i="19"/>
  <c r="G1139" i="19"/>
  <c r="H1139" i="19"/>
  <c r="G1140" i="19"/>
  <c r="H1140" i="19"/>
  <c r="G1141" i="19"/>
  <c r="H1141" i="19"/>
  <c r="G1142" i="19"/>
  <c r="H1142" i="19"/>
  <c r="G1143" i="19"/>
  <c r="H1143" i="19"/>
  <c r="G1144" i="19"/>
  <c r="H1144" i="19"/>
  <c r="G1145" i="19"/>
  <c r="H1145" i="19"/>
  <c r="G1146" i="19"/>
  <c r="H1146" i="19"/>
  <c r="G1147" i="19"/>
  <c r="H1147" i="19"/>
  <c r="G1148" i="19"/>
  <c r="H1148" i="19"/>
  <c r="G1149" i="19"/>
  <c r="H1149" i="19"/>
  <c r="G1150" i="19"/>
  <c r="H1150" i="19"/>
  <c r="G1151" i="19"/>
  <c r="H1151" i="19"/>
  <c r="G1152" i="19"/>
  <c r="H1152" i="19"/>
  <c r="G1153" i="19"/>
  <c r="H1153" i="19"/>
  <c r="G1154" i="19"/>
  <c r="H1154" i="19"/>
  <c r="G1155" i="19"/>
  <c r="H1155" i="19"/>
  <c r="G1156" i="19"/>
  <c r="H1156" i="19"/>
  <c r="G1157" i="19"/>
  <c r="H1157" i="19"/>
  <c r="G1158" i="19"/>
  <c r="H1158" i="19"/>
  <c r="G1159" i="19"/>
  <c r="H1159" i="19"/>
  <c r="G1160" i="19"/>
  <c r="H1160" i="19"/>
  <c r="G1161" i="19"/>
  <c r="H1161" i="19"/>
  <c r="G1162" i="19"/>
  <c r="H1162" i="19"/>
  <c r="G1163" i="19"/>
  <c r="H1163" i="19"/>
  <c r="G1164" i="19"/>
  <c r="H1164" i="19"/>
  <c r="G1165" i="19"/>
  <c r="H1165" i="19"/>
  <c r="G1166" i="19"/>
  <c r="H1166" i="19"/>
  <c r="G1167" i="19"/>
  <c r="H1167" i="19"/>
  <c r="G1168" i="19"/>
  <c r="H1168" i="19"/>
  <c r="G1169" i="19"/>
  <c r="H1169" i="19"/>
  <c r="G1170" i="19"/>
  <c r="H1170" i="19"/>
  <c r="G1171" i="19"/>
  <c r="H1171" i="19"/>
  <c r="G1172" i="19"/>
  <c r="H1172" i="19"/>
  <c r="G1173" i="19"/>
  <c r="H1173" i="19"/>
  <c r="G1174" i="19"/>
  <c r="H1174" i="19"/>
  <c r="G1175" i="19"/>
  <c r="H1175" i="19"/>
  <c r="G1176" i="19"/>
  <c r="H1176" i="19"/>
  <c r="G1177" i="19"/>
  <c r="H1177" i="19"/>
  <c r="G1178" i="19"/>
  <c r="H1178" i="19"/>
  <c r="G1179" i="19"/>
  <c r="H1179" i="19"/>
  <c r="G1180" i="19"/>
  <c r="H1180" i="19"/>
  <c r="G1181" i="19"/>
  <c r="H1181" i="19"/>
  <c r="G1182" i="19"/>
  <c r="H1182" i="19"/>
  <c r="G1183" i="19"/>
  <c r="H1183" i="19"/>
  <c r="G1184" i="19"/>
  <c r="H1184" i="19"/>
  <c r="G1185" i="19"/>
  <c r="H1185" i="19"/>
  <c r="G1186" i="19"/>
  <c r="H1186" i="19"/>
  <c r="G1187" i="19"/>
  <c r="H1187" i="19"/>
  <c r="G1188" i="19"/>
  <c r="H1188" i="19"/>
  <c r="I1188" i="19" s="1"/>
  <c r="G1189" i="19"/>
  <c r="H1189" i="19"/>
  <c r="I1189" i="19" s="1"/>
  <c r="G1190" i="19"/>
  <c r="H1190" i="19"/>
  <c r="I1190" i="19" s="1"/>
  <c r="G1191" i="19"/>
  <c r="H1191" i="19"/>
  <c r="I1191" i="19" s="1"/>
  <c r="G1192" i="19"/>
  <c r="H1192" i="19"/>
  <c r="I1192" i="19" s="1"/>
  <c r="G1193" i="19"/>
  <c r="H1193" i="19"/>
  <c r="I1193" i="19" s="1"/>
  <c r="G1194" i="19"/>
  <c r="H1194" i="19"/>
  <c r="I1194" i="19" s="1"/>
  <c r="G1195" i="19"/>
  <c r="H1195" i="19"/>
  <c r="I1195" i="19" s="1"/>
  <c r="G1196" i="19"/>
  <c r="H1196" i="19"/>
  <c r="I1196" i="19" s="1"/>
  <c r="G1197" i="19"/>
  <c r="H1197" i="19"/>
  <c r="I1197" i="19" s="1"/>
  <c r="G1198" i="19"/>
  <c r="H1198" i="19"/>
  <c r="I1198" i="19" s="1"/>
  <c r="G1199" i="19"/>
  <c r="H1199" i="19"/>
  <c r="I1199" i="19" s="1"/>
  <c r="G1200" i="19"/>
  <c r="H1200" i="19"/>
  <c r="I1200" i="19" s="1"/>
  <c r="G1201" i="19"/>
  <c r="H1201" i="19"/>
  <c r="I1201" i="19" s="1"/>
  <c r="G1202" i="19"/>
  <c r="H1202" i="19"/>
  <c r="I1202" i="19" s="1"/>
  <c r="G1203" i="19"/>
  <c r="H1203" i="19"/>
  <c r="I1203" i="19" s="1"/>
  <c r="G1204" i="19"/>
  <c r="H1204" i="19"/>
  <c r="I1204" i="19" s="1"/>
  <c r="G1205" i="19"/>
  <c r="H1205" i="19"/>
  <c r="I1205" i="19" s="1"/>
  <c r="G1206" i="19"/>
  <c r="H1206" i="19"/>
  <c r="I1206" i="19" s="1"/>
  <c r="G1207" i="19"/>
  <c r="H1207" i="19"/>
  <c r="I1207" i="19" s="1"/>
  <c r="G1208" i="19"/>
  <c r="H1208" i="19"/>
  <c r="I1208" i="19" s="1"/>
  <c r="G1209" i="19"/>
  <c r="H1209" i="19"/>
  <c r="I1209" i="19" s="1"/>
  <c r="G1210" i="19"/>
  <c r="H1210" i="19"/>
  <c r="I1210" i="19" s="1"/>
  <c r="G1211" i="19"/>
  <c r="H1211" i="19"/>
  <c r="I1211" i="19" s="1"/>
  <c r="G1212" i="19"/>
  <c r="H1212" i="19"/>
  <c r="I1212" i="19" s="1"/>
  <c r="G1213" i="19"/>
  <c r="H1213" i="19"/>
  <c r="I1213" i="19" s="1"/>
  <c r="G1214" i="19"/>
  <c r="H1214" i="19"/>
  <c r="I1214" i="19" s="1"/>
  <c r="G1215" i="19"/>
  <c r="H1215" i="19"/>
  <c r="I1215" i="19" s="1"/>
  <c r="G1216" i="19"/>
  <c r="H1216" i="19"/>
  <c r="I1216" i="19" s="1"/>
  <c r="G1217" i="19"/>
  <c r="H1217" i="19"/>
  <c r="I1217" i="19" s="1"/>
  <c r="G1218" i="19"/>
  <c r="H1218" i="19"/>
  <c r="I1218" i="19" s="1"/>
  <c r="G1219" i="19"/>
  <c r="H1219" i="19"/>
  <c r="I1219" i="19" s="1"/>
  <c r="G1220" i="19"/>
  <c r="H1220" i="19"/>
  <c r="I1220" i="19" s="1"/>
  <c r="G1221" i="19"/>
  <c r="H1221" i="19"/>
  <c r="I1221" i="19" s="1"/>
  <c r="G1222" i="19"/>
  <c r="H1222" i="19"/>
  <c r="I1222" i="19" s="1"/>
  <c r="G1223" i="19"/>
  <c r="H1223" i="19"/>
  <c r="I1223" i="19" s="1"/>
  <c r="G1224" i="19"/>
  <c r="H1224" i="19"/>
  <c r="I1224" i="19" s="1"/>
  <c r="G1225" i="19"/>
  <c r="H1225" i="19"/>
  <c r="I1225" i="19" s="1"/>
  <c r="G1226" i="19"/>
  <c r="H1226" i="19"/>
  <c r="I1226" i="19" s="1"/>
  <c r="G1227" i="19"/>
  <c r="H1227" i="19"/>
  <c r="I1227" i="19" s="1"/>
  <c r="G1228" i="19"/>
  <c r="H1228" i="19"/>
  <c r="I1228" i="19" s="1"/>
  <c r="G1229" i="19"/>
  <c r="H1229" i="19"/>
  <c r="I1229" i="19" s="1"/>
  <c r="G1230" i="19"/>
  <c r="H1230" i="19"/>
  <c r="I1230" i="19" s="1"/>
  <c r="G1231" i="19"/>
  <c r="H1231" i="19"/>
  <c r="I1231" i="19" s="1"/>
  <c r="G1232" i="19"/>
  <c r="H1232" i="19"/>
  <c r="I1232" i="19" s="1"/>
  <c r="G1233" i="19"/>
  <c r="H1233" i="19"/>
  <c r="I1233" i="19" s="1"/>
  <c r="G1234" i="19"/>
  <c r="H1234" i="19"/>
  <c r="I1234" i="19" s="1"/>
  <c r="G1235" i="19"/>
  <c r="H1235" i="19"/>
  <c r="I1235" i="19" s="1"/>
  <c r="G1236" i="19"/>
  <c r="H1236" i="19"/>
  <c r="I1236" i="19" s="1"/>
  <c r="G1237" i="19"/>
  <c r="H1237" i="19"/>
  <c r="I1237" i="19" s="1"/>
  <c r="G1238" i="19"/>
  <c r="H1238" i="19"/>
  <c r="I1238" i="19" s="1"/>
  <c r="G1239" i="19"/>
  <c r="H1239" i="19"/>
  <c r="I1239" i="19" s="1"/>
  <c r="G1240" i="19"/>
  <c r="H1240" i="19"/>
  <c r="I1240" i="19" s="1"/>
  <c r="G1241" i="19"/>
  <c r="H1241" i="19"/>
  <c r="I1241" i="19" s="1"/>
  <c r="G1242" i="19"/>
  <c r="H1242" i="19"/>
  <c r="I1242" i="19" s="1"/>
  <c r="G1243" i="19"/>
  <c r="H1243" i="19"/>
  <c r="I1243" i="19" s="1"/>
  <c r="G1244" i="19"/>
  <c r="H1244" i="19"/>
  <c r="I1244" i="19" s="1"/>
  <c r="G1245" i="19"/>
  <c r="H1245" i="19"/>
  <c r="I1245" i="19" s="1"/>
  <c r="G1246" i="19"/>
  <c r="H1246" i="19"/>
  <c r="I1246" i="19" s="1"/>
  <c r="G1247" i="19"/>
  <c r="H1247" i="19"/>
  <c r="I1247" i="19" s="1"/>
  <c r="G1248" i="19"/>
  <c r="H1248" i="19"/>
  <c r="I1248" i="19" s="1"/>
  <c r="G1249" i="19"/>
  <c r="H1249" i="19"/>
  <c r="I1249" i="19" s="1"/>
  <c r="G1250" i="19"/>
  <c r="H1250" i="19"/>
  <c r="I1250" i="19" s="1"/>
  <c r="G1251" i="19"/>
  <c r="H1251" i="19"/>
  <c r="I1251" i="19" s="1"/>
  <c r="G1252" i="19"/>
  <c r="H1252" i="19"/>
  <c r="I1252" i="19" s="1"/>
  <c r="G1253" i="19"/>
  <c r="H1253" i="19"/>
  <c r="I1253" i="19" s="1"/>
  <c r="G1254" i="19"/>
  <c r="H1254" i="19"/>
  <c r="I1254" i="19" s="1"/>
  <c r="G1255" i="19"/>
  <c r="H1255" i="19"/>
  <c r="I1255" i="19" s="1"/>
  <c r="G1256" i="19"/>
  <c r="H1256" i="19"/>
  <c r="I1256" i="19" s="1"/>
  <c r="G1257" i="19"/>
  <c r="H1257" i="19"/>
  <c r="I1257" i="19" s="1"/>
  <c r="G1258" i="19"/>
  <c r="H1258" i="19"/>
  <c r="I1258" i="19" s="1"/>
  <c r="G1259" i="19"/>
  <c r="H1259" i="19"/>
  <c r="I1259" i="19" s="1"/>
  <c r="G1260" i="19"/>
  <c r="H1260" i="19"/>
  <c r="I1260" i="19" s="1"/>
  <c r="G1261" i="19"/>
  <c r="H1261" i="19"/>
  <c r="I1261" i="19" s="1"/>
  <c r="G1262" i="19"/>
  <c r="H1262" i="19"/>
  <c r="I1262" i="19" s="1"/>
  <c r="G1263" i="19"/>
  <c r="H1263" i="19"/>
  <c r="I1263" i="19" s="1"/>
  <c r="G1264" i="19"/>
  <c r="H1264" i="19"/>
  <c r="I1264" i="19" s="1"/>
  <c r="G1265" i="19"/>
  <c r="H1265" i="19"/>
  <c r="I1265" i="19" s="1"/>
  <c r="G1266" i="19"/>
  <c r="H1266" i="19"/>
  <c r="I1266" i="19" s="1"/>
  <c r="G1267" i="19"/>
  <c r="H1267" i="19"/>
  <c r="I1267" i="19" s="1"/>
  <c r="G1268" i="19"/>
  <c r="H1268" i="19"/>
  <c r="I1268" i="19" s="1"/>
  <c r="G1269" i="19"/>
  <c r="H1269" i="19"/>
  <c r="I1269" i="19" s="1"/>
  <c r="G1270" i="19"/>
  <c r="H1270" i="19"/>
  <c r="I1270" i="19" s="1"/>
  <c r="G1271" i="19"/>
  <c r="H1271" i="19"/>
  <c r="I1271" i="19" s="1"/>
  <c r="G1272" i="19"/>
  <c r="H1272" i="19"/>
  <c r="I1272" i="19" s="1"/>
  <c r="G1273" i="19"/>
  <c r="H1273" i="19"/>
  <c r="I1273" i="19" s="1"/>
  <c r="G1274" i="19"/>
  <c r="H1274" i="19"/>
  <c r="I1274" i="19" s="1"/>
  <c r="G1275" i="19"/>
  <c r="H1275" i="19"/>
  <c r="I1275" i="19" s="1"/>
  <c r="G1276" i="19"/>
  <c r="H1276" i="19"/>
  <c r="I1276" i="19" s="1"/>
  <c r="G1277" i="19"/>
  <c r="H1277" i="19"/>
  <c r="I1277" i="19" s="1"/>
  <c r="G1278" i="19"/>
  <c r="H1278" i="19"/>
  <c r="I1278" i="19" s="1"/>
  <c r="G1279" i="19"/>
  <c r="H1279" i="19"/>
  <c r="I1279" i="19" s="1"/>
  <c r="G1280" i="19"/>
  <c r="H1280" i="19"/>
  <c r="I1280" i="19" s="1"/>
  <c r="G1281" i="19"/>
  <c r="H1281" i="19"/>
  <c r="I1281" i="19" s="1"/>
  <c r="G1282" i="19"/>
  <c r="H1282" i="19"/>
  <c r="I1282" i="19" s="1"/>
  <c r="G1283" i="19"/>
  <c r="H1283" i="19"/>
  <c r="I1283" i="19" s="1"/>
  <c r="G1284" i="19"/>
  <c r="H1284" i="19"/>
  <c r="I1284" i="19" s="1"/>
  <c r="G1285" i="19"/>
  <c r="H1285" i="19"/>
  <c r="I1285" i="19" s="1"/>
  <c r="G1286" i="19"/>
  <c r="H1286" i="19"/>
  <c r="I1286" i="19" s="1"/>
  <c r="G1287" i="19"/>
  <c r="H1287" i="19"/>
  <c r="I1287" i="19" s="1"/>
  <c r="G1288" i="19"/>
  <c r="H1288" i="19"/>
  <c r="I1288" i="19" s="1"/>
  <c r="G1289" i="19"/>
  <c r="H1289" i="19"/>
  <c r="I1289" i="19" s="1"/>
  <c r="G1290" i="19"/>
  <c r="H1290" i="19"/>
  <c r="J1290" i="19" s="1"/>
  <c r="G1291" i="19"/>
  <c r="H1291" i="19"/>
  <c r="I1291" i="19" s="1"/>
  <c r="G1292" i="19"/>
  <c r="H1292" i="19"/>
  <c r="I1292" i="19" s="1"/>
  <c r="G1293" i="19"/>
  <c r="H1293" i="19"/>
  <c r="I1293" i="19" s="1"/>
  <c r="G1294" i="19"/>
  <c r="H1294" i="19"/>
  <c r="I1294" i="19" s="1"/>
  <c r="G1295" i="19"/>
  <c r="H1295" i="19"/>
  <c r="I1295" i="19" s="1"/>
  <c r="G1296" i="19"/>
  <c r="H1296" i="19"/>
  <c r="I1296" i="19" s="1"/>
  <c r="G1297" i="19"/>
  <c r="H1297" i="19"/>
  <c r="I1297" i="19" s="1"/>
  <c r="G1298" i="19"/>
  <c r="H1298" i="19"/>
  <c r="I1298" i="19" s="1"/>
  <c r="G1299" i="19"/>
  <c r="H1299" i="19"/>
  <c r="I1299" i="19" s="1"/>
  <c r="G1300" i="19"/>
  <c r="H1300" i="19"/>
  <c r="I1300" i="19" s="1"/>
  <c r="G1301" i="19"/>
  <c r="H1301" i="19"/>
  <c r="I1301" i="19" s="1"/>
  <c r="G1302" i="19"/>
  <c r="H1302" i="19"/>
  <c r="I1302" i="19" s="1"/>
  <c r="G1303" i="19"/>
  <c r="H1303" i="19"/>
  <c r="I1303" i="19" s="1"/>
  <c r="G1304" i="19"/>
  <c r="H1304" i="19"/>
  <c r="I1304" i="19" s="1"/>
  <c r="G1305" i="19"/>
  <c r="H1305" i="19"/>
  <c r="I1305" i="19" s="1"/>
  <c r="G1306" i="19"/>
  <c r="H1306" i="19"/>
  <c r="J1306" i="19" s="1"/>
  <c r="G1307" i="19"/>
  <c r="H1307" i="19"/>
  <c r="I1307" i="19" s="1"/>
  <c r="G1308" i="19"/>
  <c r="H1308" i="19"/>
  <c r="I1308" i="19" s="1"/>
  <c r="G1309" i="19"/>
  <c r="H1309" i="19"/>
  <c r="I1309" i="19" s="1"/>
  <c r="G1310" i="19"/>
  <c r="H1310" i="19"/>
  <c r="I1310" i="19" s="1"/>
  <c r="G1311" i="19"/>
  <c r="H1311" i="19"/>
  <c r="I1311" i="19" s="1"/>
  <c r="G1312" i="19"/>
  <c r="H1312" i="19"/>
  <c r="I1312" i="19" s="1"/>
  <c r="B41" i="24"/>
  <c r="C41" i="24"/>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B38" i="24"/>
  <c r="C38" i="24"/>
  <c r="C40" i="24"/>
  <c r="I1306" i="19" l="1"/>
  <c r="I1290" i="19"/>
  <c r="J1307" i="19"/>
  <c r="J1301" i="19"/>
  <c r="J1295" i="19"/>
  <c r="J1289" i="19"/>
  <c r="J1283" i="19"/>
  <c r="J1277" i="19"/>
  <c r="J1271" i="19"/>
  <c r="J1265" i="19"/>
  <c r="J1259" i="19"/>
  <c r="J1253" i="19"/>
  <c r="J1247" i="19"/>
  <c r="J1241" i="19"/>
  <c r="J1235" i="19"/>
  <c r="J1229" i="19"/>
  <c r="J1223" i="19"/>
  <c r="J1217" i="19"/>
  <c r="J1211" i="19"/>
  <c r="J1205" i="19"/>
  <c r="J1199" i="19"/>
  <c r="J1193" i="19"/>
  <c r="K1306" i="19"/>
  <c r="K1300" i="19"/>
  <c r="K1294" i="19"/>
  <c r="K1288" i="19"/>
  <c r="K1282" i="19"/>
  <c r="K1276" i="19"/>
  <c r="K1270" i="19"/>
  <c r="K1264" i="19"/>
  <c r="K1258" i="19"/>
  <c r="K1252" i="19"/>
  <c r="K1246" i="19"/>
  <c r="K1240" i="19"/>
  <c r="K1234" i="19"/>
  <c r="K1228" i="19"/>
  <c r="K1222" i="19"/>
  <c r="K1216" i="19"/>
  <c r="K1210" i="19"/>
  <c r="K1204" i="19"/>
  <c r="K1198" i="19"/>
  <c r="K1192" i="19"/>
  <c r="K1312" i="19"/>
  <c r="J1300" i="19"/>
  <c r="J1294" i="19"/>
  <c r="J1288" i="19"/>
  <c r="J1282" i="19"/>
  <c r="J1276" i="19"/>
  <c r="J1270" i="19"/>
  <c r="J1264" i="19"/>
  <c r="J1258" i="19"/>
  <c r="J1252" i="19"/>
  <c r="J1246" i="19"/>
  <c r="J1240" i="19"/>
  <c r="J1234" i="19"/>
  <c r="J1228" i="19"/>
  <c r="J1222" i="19"/>
  <c r="J1216" i="19"/>
  <c r="J1210" i="19"/>
  <c r="J1204" i="19"/>
  <c r="J1198" i="19"/>
  <c r="J1192" i="19"/>
  <c r="J1312" i="19"/>
  <c r="K1305" i="19"/>
  <c r="K1299" i="19"/>
  <c r="K1293" i="19"/>
  <c r="K1287" i="19"/>
  <c r="K1281" i="19"/>
  <c r="K1275" i="19"/>
  <c r="K1269" i="19"/>
  <c r="K1263" i="19"/>
  <c r="K1257" i="19"/>
  <c r="K1251" i="19"/>
  <c r="K1245" i="19"/>
  <c r="K1239" i="19"/>
  <c r="K1233" i="19"/>
  <c r="K1227" i="19"/>
  <c r="K1221" i="19"/>
  <c r="K1215" i="19"/>
  <c r="K1209" i="19"/>
  <c r="K1203" i="19"/>
  <c r="K1197" i="19"/>
  <c r="K1191" i="19"/>
  <c r="J1311" i="19"/>
  <c r="J1305" i="19"/>
  <c r="J1299" i="19"/>
  <c r="J1293" i="19"/>
  <c r="J1287" i="19"/>
  <c r="J1281" i="19"/>
  <c r="J1275" i="19"/>
  <c r="J1269" i="19"/>
  <c r="J1263" i="19"/>
  <c r="J1257" i="19"/>
  <c r="J1251" i="19"/>
  <c r="J1245" i="19"/>
  <c r="J1239" i="19"/>
  <c r="J1233" i="19"/>
  <c r="J1227" i="19"/>
  <c r="J1221" i="19"/>
  <c r="J1215" i="19"/>
  <c r="J1209" i="19"/>
  <c r="J1203" i="19"/>
  <c r="J1197" i="19"/>
  <c r="J1191" i="19"/>
  <c r="K1310" i="19"/>
  <c r="K1304" i="19"/>
  <c r="K1298" i="19"/>
  <c r="K1292" i="19"/>
  <c r="K1286" i="19"/>
  <c r="K1280" i="19"/>
  <c r="K1274" i="19"/>
  <c r="K1268" i="19"/>
  <c r="K1262" i="19"/>
  <c r="K1256" i="19"/>
  <c r="K1250" i="19"/>
  <c r="K1244" i="19"/>
  <c r="K1238" i="19"/>
  <c r="K1232" i="19"/>
  <c r="K1226" i="19"/>
  <c r="K1220" i="19"/>
  <c r="K1214" i="19"/>
  <c r="K1208" i="19"/>
  <c r="K1202" i="19"/>
  <c r="K1196" i="19"/>
  <c r="K1190" i="19"/>
  <c r="J1310" i="19"/>
  <c r="J1304" i="19"/>
  <c r="J1298" i="19"/>
  <c r="J1292" i="19"/>
  <c r="J1286" i="19"/>
  <c r="J1280" i="19"/>
  <c r="J1274" i="19"/>
  <c r="J1268" i="19"/>
  <c r="J1262" i="19"/>
  <c r="J1256" i="19"/>
  <c r="J1250" i="19"/>
  <c r="J1244" i="19"/>
  <c r="J1238" i="19"/>
  <c r="J1232" i="19"/>
  <c r="J1226" i="19"/>
  <c r="J1220" i="19"/>
  <c r="J1214" i="19"/>
  <c r="J1208" i="19"/>
  <c r="J1202" i="19"/>
  <c r="J1196" i="19"/>
  <c r="J1190" i="19"/>
  <c r="K1309" i="19"/>
  <c r="K1303" i="19"/>
  <c r="K1297" i="19"/>
  <c r="K1291" i="19"/>
  <c r="K1285" i="19"/>
  <c r="K1279" i="19"/>
  <c r="K1273" i="19"/>
  <c r="K1267" i="19"/>
  <c r="K1261" i="19"/>
  <c r="K1255" i="19"/>
  <c r="K1249" i="19"/>
  <c r="K1243" i="19"/>
  <c r="K1237" i="19"/>
  <c r="K1231" i="19"/>
  <c r="K1225" i="19"/>
  <c r="K1219" i="19"/>
  <c r="K1213" i="19"/>
  <c r="K1207" i="19"/>
  <c r="K1201" i="19"/>
  <c r="K1195" i="19"/>
  <c r="K1189" i="19"/>
  <c r="J1309" i="19"/>
  <c r="J1303" i="19"/>
  <c r="J1297" i="19"/>
  <c r="J1291" i="19"/>
  <c r="J1285" i="19"/>
  <c r="J1279" i="19"/>
  <c r="J1273" i="19"/>
  <c r="J1267" i="19"/>
  <c r="J1261" i="19"/>
  <c r="J1255" i="19"/>
  <c r="J1249" i="19"/>
  <c r="J1243" i="19"/>
  <c r="J1237" i="19"/>
  <c r="J1231" i="19"/>
  <c r="J1225" i="19"/>
  <c r="J1219" i="19"/>
  <c r="J1213" i="19"/>
  <c r="J1207" i="19"/>
  <c r="J1201" i="19"/>
  <c r="J1195" i="19"/>
  <c r="J1189" i="19"/>
  <c r="K1308" i="19"/>
  <c r="K1302" i="19"/>
  <c r="K1296" i="19"/>
  <c r="K1290" i="19"/>
  <c r="K1284" i="19"/>
  <c r="K1278" i="19"/>
  <c r="K1272" i="19"/>
  <c r="K1266" i="19"/>
  <c r="K1260" i="19"/>
  <c r="K1254" i="19"/>
  <c r="K1248" i="19"/>
  <c r="K1242" i="19"/>
  <c r="K1236" i="19"/>
  <c r="K1230" i="19"/>
  <c r="K1224" i="19"/>
  <c r="K1218" i="19"/>
  <c r="K1212" i="19"/>
  <c r="K1206" i="19"/>
  <c r="K1200" i="19"/>
  <c r="K1194" i="19"/>
  <c r="K1188" i="19"/>
  <c r="J1308" i="19"/>
  <c r="J1302" i="19"/>
  <c r="J1296" i="19"/>
  <c r="J1284" i="19"/>
  <c r="J1278" i="19"/>
  <c r="J1272" i="19"/>
  <c r="J1266" i="19"/>
  <c r="J1260" i="19"/>
  <c r="J1254" i="19"/>
  <c r="J1248" i="19"/>
  <c r="J1242" i="19"/>
  <c r="J1236" i="19"/>
  <c r="J1230" i="19"/>
  <c r="J1224" i="19"/>
  <c r="J1218" i="19"/>
  <c r="J1212" i="19"/>
  <c r="J1206" i="19"/>
  <c r="J1200" i="19"/>
  <c r="J1194" i="19"/>
  <c r="J1188" i="19"/>
  <c r="K1307" i="19"/>
  <c r="K1301" i="19"/>
  <c r="K1295" i="19"/>
  <c r="K1289" i="19"/>
  <c r="K1283" i="19"/>
  <c r="K1277" i="19"/>
  <c r="K1271" i="19"/>
  <c r="K1265" i="19"/>
  <c r="K1259" i="19"/>
  <c r="K1253" i="19"/>
  <c r="K1247" i="19"/>
  <c r="K1241" i="19"/>
  <c r="K1235" i="19"/>
  <c r="K1229" i="19"/>
  <c r="K1223" i="19"/>
  <c r="K1217" i="19"/>
  <c r="K1211" i="19"/>
  <c r="K1205" i="19"/>
  <c r="K1199" i="19"/>
  <c r="K1193" i="19"/>
  <c r="K1311" i="19"/>
  <c r="I1026" i="19"/>
  <c r="I1040" i="19"/>
  <c r="J1040" i="19"/>
  <c r="K1040" i="19"/>
  <c r="I1037" i="19"/>
  <c r="J1037" i="19"/>
  <c r="K1037" i="19"/>
  <c r="I1034" i="19"/>
  <c r="J1034" i="19"/>
  <c r="K1034" i="19"/>
  <c r="I1031" i="19"/>
  <c r="J1031" i="19"/>
  <c r="K1031" i="19"/>
  <c r="I1028" i="19"/>
  <c r="J1028" i="19"/>
  <c r="K1028" i="19"/>
  <c r="I999" i="19"/>
  <c r="J999" i="19"/>
  <c r="K999" i="19"/>
  <c r="I996" i="19"/>
  <c r="J996" i="19"/>
  <c r="K996" i="19"/>
  <c r="I993" i="19"/>
  <c r="J993" i="19"/>
  <c r="K993" i="19"/>
  <c r="I990" i="19"/>
  <c r="J990" i="19"/>
  <c r="K990" i="19"/>
  <c r="I987" i="19"/>
  <c r="J987" i="19"/>
  <c r="K987" i="19"/>
  <c r="I984" i="19"/>
  <c r="J984" i="19"/>
  <c r="K984" i="19"/>
  <c r="I981" i="19"/>
  <c r="J981" i="19"/>
  <c r="K981" i="19"/>
  <c r="I978" i="19"/>
  <c r="J978" i="19"/>
  <c r="K978" i="19"/>
  <c r="I975" i="19"/>
  <c r="J975" i="19"/>
  <c r="K975" i="19"/>
  <c r="I972" i="19"/>
  <c r="J972" i="19"/>
  <c r="K972" i="19"/>
  <c r="I969" i="19"/>
  <c r="J969" i="19"/>
  <c r="K969" i="19"/>
  <c r="I966" i="19"/>
  <c r="J966" i="19"/>
  <c r="K966" i="19"/>
  <c r="I963" i="19"/>
  <c r="J963" i="19"/>
  <c r="K963" i="19"/>
  <c r="I960" i="19"/>
  <c r="J960" i="19"/>
  <c r="K960" i="19"/>
  <c r="I957" i="19"/>
  <c r="J957" i="19"/>
  <c r="K957" i="19"/>
  <c r="I954" i="19"/>
  <c r="J954" i="19"/>
  <c r="K954" i="19"/>
  <c r="I951" i="19"/>
  <c r="J951" i="19"/>
  <c r="K951" i="19"/>
  <c r="I948" i="19"/>
  <c r="J948" i="19"/>
  <c r="K948" i="19"/>
  <c r="I945" i="19"/>
  <c r="J945" i="19"/>
  <c r="K945" i="19"/>
  <c r="I942" i="19"/>
  <c r="J942" i="19"/>
  <c r="K942" i="19"/>
  <c r="I939" i="19"/>
  <c r="J939" i="19"/>
  <c r="K939" i="19"/>
  <c r="I936" i="19"/>
  <c r="J936" i="19"/>
  <c r="K936" i="19"/>
  <c r="I933" i="19"/>
  <c r="J933" i="19"/>
  <c r="K933" i="19"/>
  <c r="I930" i="19"/>
  <c r="J930" i="19"/>
  <c r="K930" i="19"/>
  <c r="I927" i="19"/>
  <c r="J927" i="19"/>
  <c r="K927" i="19"/>
  <c r="I924" i="19"/>
  <c r="J924" i="19"/>
  <c r="K924" i="19"/>
  <c r="I921" i="19"/>
  <c r="J921" i="19"/>
  <c r="K921" i="19"/>
  <c r="I895" i="19"/>
  <c r="K895" i="19"/>
  <c r="J895" i="19"/>
  <c r="I892" i="19"/>
  <c r="K892" i="19"/>
  <c r="J892" i="19"/>
  <c r="I889" i="19"/>
  <c r="K889" i="19"/>
  <c r="J889" i="19"/>
  <c r="I886" i="19"/>
  <c r="K886" i="19"/>
  <c r="J886" i="19"/>
  <c r="I883" i="19"/>
  <c r="K883" i="19"/>
  <c r="J883" i="19"/>
  <c r="I880" i="19"/>
  <c r="K880" i="19"/>
  <c r="J880" i="19"/>
  <c r="I877" i="19"/>
  <c r="J877" i="19"/>
  <c r="K877" i="19"/>
  <c r="I874" i="19"/>
  <c r="K874" i="19"/>
  <c r="J874" i="19"/>
  <c r="I749" i="19"/>
  <c r="J749" i="19"/>
  <c r="K749" i="19"/>
  <c r="I737" i="19"/>
  <c r="J737" i="19"/>
  <c r="K737" i="19"/>
  <c r="I1186" i="19"/>
  <c r="K1186" i="19"/>
  <c r="J1186" i="19"/>
  <c r="I1183" i="19"/>
  <c r="K1183" i="19"/>
  <c r="J1183" i="19"/>
  <c r="I1180" i="19"/>
  <c r="K1180" i="19"/>
  <c r="J1180" i="19"/>
  <c r="I1177" i="19"/>
  <c r="K1177" i="19"/>
  <c r="J1177" i="19"/>
  <c r="I1174" i="19"/>
  <c r="K1174" i="19"/>
  <c r="J1174" i="19"/>
  <c r="I1171" i="19"/>
  <c r="K1171" i="19"/>
  <c r="J1171" i="19"/>
  <c r="I1168" i="19"/>
  <c r="K1168" i="19"/>
  <c r="J1168" i="19"/>
  <c r="I1165" i="19"/>
  <c r="K1165" i="19"/>
  <c r="J1165" i="19"/>
  <c r="I1162" i="19"/>
  <c r="K1162" i="19"/>
  <c r="J1162" i="19"/>
  <c r="I1159" i="19"/>
  <c r="K1159" i="19"/>
  <c r="J1159" i="19"/>
  <c r="I1156" i="19"/>
  <c r="K1156" i="19"/>
  <c r="J1156" i="19"/>
  <c r="I1153" i="19"/>
  <c r="K1153" i="19"/>
  <c r="J1153" i="19"/>
  <c r="I1150" i="19"/>
  <c r="K1150" i="19"/>
  <c r="J1150" i="19"/>
  <c r="I1147" i="19"/>
  <c r="K1147" i="19"/>
  <c r="J1147" i="19"/>
  <c r="I1144" i="19"/>
  <c r="K1144" i="19"/>
  <c r="J1144" i="19"/>
  <c r="I1141" i="19"/>
  <c r="K1141" i="19"/>
  <c r="J1141" i="19"/>
  <c r="I1138" i="19"/>
  <c r="K1138" i="19"/>
  <c r="J1138" i="19"/>
  <c r="I1135" i="19"/>
  <c r="K1135" i="19"/>
  <c r="J1135" i="19"/>
  <c r="I1132" i="19"/>
  <c r="K1132" i="19"/>
  <c r="J1132" i="19"/>
  <c r="I1129" i="19"/>
  <c r="K1129" i="19"/>
  <c r="J1129" i="19"/>
  <c r="I1126" i="19"/>
  <c r="K1126" i="19"/>
  <c r="J1126" i="19"/>
  <c r="I1123" i="19"/>
  <c r="K1123" i="19"/>
  <c r="J1123" i="19"/>
  <c r="I1120" i="19"/>
  <c r="K1120" i="19"/>
  <c r="J1120" i="19"/>
  <c r="I1117" i="19"/>
  <c r="K1117" i="19"/>
  <c r="J1117" i="19"/>
  <c r="I1114" i="19"/>
  <c r="K1114" i="19"/>
  <c r="J1114" i="19"/>
  <c r="I1111" i="19"/>
  <c r="K1111" i="19"/>
  <c r="J1111" i="19"/>
  <c r="I1108" i="19"/>
  <c r="K1108" i="19"/>
  <c r="J1108" i="19"/>
  <c r="I1105" i="19"/>
  <c r="K1105" i="19"/>
  <c r="J1105" i="19"/>
  <c r="I1102" i="19"/>
  <c r="K1102" i="19"/>
  <c r="J1102" i="19"/>
  <c r="I1099" i="19"/>
  <c r="K1099" i="19"/>
  <c r="J1099" i="19"/>
  <c r="I1096" i="19"/>
  <c r="K1096" i="19"/>
  <c r="J1096" i="19"/>
  <c r="I1093" i="19"/>
  <c r="K1093" i="19"/>
  <c r="J1093" i="19"/>
  <c r="I1090" i="19"/>
  <c r="K1090" i="19"/>
  <c r="J1090" i="19"/>
  <c r="I1087" i="19"/>
  <c r="K1087" i="19"/>
  <c r="J1087" i="19"/>
  <c r="I1084" i="19"/>
  <c r="K1084" i="19"/>
  <c r="J1084" i="19"/>
  <c r="I1081" i="19"/>
  <c r="K1081" i="19"/>
  <c r="J1081" i="19"/>
  <c r="I1078" i="19"/>
  <c r="K1078" i="19"/>
  <c r="J1078" i="19"/>
  <c r="I1075" i="19"/>
  <c r="K1075" i="19"/>
  <c r="J1075" i="19"/>
  <c r="I1072" i="19"/>
  <c r="K1072" i="19"/>
  <c r="J1072" i="19"/>
  <c r="I1069" i="19"/>
  <c r="K1069" i="19"/>
  <c r="J1069" i="19"/>
  <c r="I1066" i="19"/>
  <c r="K1066" i="19"/>
  <c r="J1066" i="19"/>
  <c r="I1063" i="19"/>
  <c r="K1063" i="19"/>
  <c r="J1063" i="19"/>
  <c r="I1060" i="19"/>
  <c r="K1060" i="19"/>
  <c r="J1060" i="19"/>
  <c r="I1057" i="19"/>
  <c r="K1057" i="19"/>
  <c r="J1057" i="19"/>
  <c r="I847" i="19"/>
  <c r="J847" i="19"/>
  <c r="K847" i="19"/>
  <c r="I844" i="19"/>
  <c r="J844" i="19"/>
  <c r="K844" i="19"/>
  <c r="I841" i="19"/>
  <c r="J841" i="19"/>
  <c r="K841" i="19"/>
  <c r="I838" i="19"/>
  <c r="J838" i="19"/>
  <c r="K838" i="19"/>
  <c r="I835" i="19"/>
  <c r="J835" i="19"/>
  <c r="K835" i="19"/>
  <c r="I832" i="19"/>
  <c r="J832" i="19"/>
  <c r="K832" i="19"/>
  <c r="I829" i="19"/>
  <c r="J829" i="19"/>
  <c r="K829" i="19"/>
  <c r="I826" i="19"/>
  <c r="J826" i="19"/>
  <c r="K826" i="19"/>
  <c r="I808" i="19"/>
  <c r="J808" i="19"/>
  <c r="K808" i="19"/>
  <c r="I802" i="19"/>
  <c r="J802" i="19"/>
  <c r="K802" i="19"/>
  <c r="I787" i="19"/>
  <c r="J787" i="19"/>
  <c r="K787" i="19"/>
  <c r="I775" i="19"/>
  <c r="J775" i="19"/>
  <c r="K775" i="19"/>
  <c r="I769" i="19"/>
  <c r="J769" i="19"/>
  <c r="K769" i="19"/>
  <c r="I761" i="19"/>
  <c r="J761" i="19"/>
  <c r="K761" i="19"/>
  <c r="I740" i="19"/>
  <c r="J740" i="19"/>
  <c r="K740" i="19"/>
  <c r="I728" i="19"/>
  <c r="J728" i="19"/>
  <c r="K728" i="19"/>
  <c r="I799" i="19"/>
  <c r="J799" i="19"/>
  <c r="K799" i="19"/>
  <c r="I790" i="19"/>
  <c r="J790" i="19"/>
  <c r="K790" i="19"/>
  <c r="I784" i="19"/>
  <c r="J784" i="19"/>
  <c r="K784" i="19"/>
  <c r="K1042" i="19"/>
  <c r="J1042" i="19"/>
  <c r="I1042" i="19"/>
  <c r="I1039" i="19"/>
  <c r="K1039" i="19"/>
  <c r="J1039" i="19"/>
  <c r="I1036" i="19"/>
  <c r="K1036" i="19"/>
  <c r="J1036" i="19"/>
  <c r="I1033" i="19"/>
  <c r="K1033" i="19"/>
  <c r="J1033" i="19"/>
  <c r="I1030" i="19"/>
  <c r="K1030" i="19"/>
  <c r="J1030" i="19"/>
  <c r="I1027" i="19"/>
  <c r="K1027" i="19"/>
  <c r="J1027" i="19"/>
  <c r="I998" i="19"/>
  <c r="J998" i="19"/>
  <c r="K998" i="19"/>
  <c r="I995" i="19"/>
  <c r="J995" i="19"/>
  <c r="K995" i="19"/>
  <c r="I992" i="19"/>
  <c r="J992" i="19"/>
  <c r="K992" i="19"/>
  <c r="I989" i="19"/>
  <c r="J989" i="19"/>
  <c r="K989" i="19"/>
  <c r="I986" i="19"/>
  <c r="J986" i="19"/>
  <c r="K986" i="19"/>
  <c r="I983" i="19"/>
  <c r="J983" i="19"/>
  <c r="K983" i="19"/>
  <c r="I980" i="19"/>
  <c r="J980" i="19"/>
  <c r="K980" i="19"/>
  <c r="I977" i="19"/>
  <c r="J977" i="19"/>
  <c r="K977" i="19"/>
  <c r="I974" i="19"/>
  <c r="J974" i="19"/>
  <c r="K974" i="19"/>
  <c r="I971" i="19"/>
  <c r="J971" i="19"/>
  <c r="K971" i="19"/>
  <c r="I968" i="19"/>
  <c r="J968" i="19"/>
  <c r="K968" i="19"/>
  <c r="I965" i="19"/>
  <c r="J965" i="19"/>
  <c r="K965" i="19"/>
  <c r="I962" i="19"/>
  <c r="J962" i="19"/>
  <c r="K962" i="19"/>
  <c r="I959" i="19"/>
  <c r="J959" i="19"/>
  <c r="K959" i="19"/>
  <c r="I956" i="19"/>
  <c r="J956" i="19"/>
  <c r="K956" i="19"/>
  <c r="I953" i="19"/>
  <c r="J953" i="19"/>
  <c r="K953" i="19"/>
  <c r="I950" i="19"/>
  <c r="J950" i="19"/>
  <c r="K950" i="19"/>
  <c r="I947" i="19"/>
  <c r="J947" i="19"/>
  <c r="K947" i="19"/>
  <c r="I944" i="19"/>
  <c r="J944" i="19"/>
  <c r="K944" i="19"/>
  <c r="I941" i="19"/>
  <c r="J941" i="19"/>
  <c r="K941" i="19"/>
  <c r="I938" i="19"/>
  <c r="J938" i="19"/>
  <c r="K938" i="19"/>
  <c r="I935" i="19"/>
  <c r="J935" i="19"/>
  <c r="K935" i="19"/>
  <c r="I932" i="19"/>
  <c r="J932" i="19"/>
  <c r="K932" i="19"/>
  <c r="I929" i="19"/>
  <c r="J929" i="19"/>
  <c r="K929" i="19"/>
  <c r="I926" i="19"/>
  <c r="J926" i="19"/>
  <c r="K926" i="19"/>
  <c r="I923" i="19"/>
  <c r="J923" i="19"/>
  <c r="K923" i="19"/>
  <c r="I894" i="19"/>
  <c r="J894" i="19"/>
  <c r="K894" i="19"/>
  <c r="I891" i="19"/>
  <c r="J891" i="19"/>
  <c r="K891" i="19"/>
  <c r="I888" i="19"/>
  <c r="J888" i="19"/>
  <c r="K888" i="19"/>
  <c r="I885" i="19"/>
  <c r="J885" i="19"/>
  <c r="K885" i="19"/>
  <c r="I882" i="19"/>
  <c r="J882" i="19"/>
  <c r="K882" i="19"/>
  <c r="I879" i="19"/>
  <c r="J879" i="19"/>
  <c r="K879" i="19"/>
  <c r="I876" i="19"/>
  <c r="J876" i="19"/>
  <c r="K876" i="19"/>
  <c r="I873" i="19"/>
  <c r="J873" i="19"/>
  <c r="K873" i="19"/>
  <c r="I772" i="19"/>
  <c r="J772" i="19"/>
  <c r="K772" i="19"/>
  <c r="I1185" i="19"/>
  <c r="J1185" i="19"/>
  <c r="K1185" i="19"/>
  <c r="I1182" i="19"/>
  <c r="J1182" i="19"/>
  <c r="K1182" i="19"/>
  <c r="I1179" i="19"/>
  <c r="J1179" i="19"/>
  <c r="K1179" i="19"/>
  <c r="I1176" i="19"/>
  <c r="J1176" i="19"/>
  <c r="K1176" i="19"/>
  <c r="I1173" i="19"/>
  <c r="J1173" i="19"/>
  <c r="K1173" i="19"/>
  <c r="I1170" i="19"/>
  <c r="J1170" i="19"/>
  <c r="K1170" i="19"/>
  <c r="I1167" i="19"/>
  <c r="J1167" i="19"/>
  <c r="K1167" i="19"/>
  <c r="I1164" i="19"/>
  <c r="J1164" i="19"/>
  <c r="K1164" i="19"/>
  <c r="I1161" i="19"/>
  <c r="J1161" i="19"/>
  <c r="K1161" i="19"/>
  <c r="I1158" i="19"/>
  <c r="J1158" i="19"/>
  <c r="K1158" i="19"/>
  <c r="I1155" i="19"/>
  <c r="J1155" i="19"/>
  <c r="K1155" i="19"/>
  <c r="I1152" i="19"/>
  <c r="J1152" i="19"/>
  <c r="K1152" i="19"/>
  <c r="I1149" i="19"/>
  <c r="J1149" i="19"/>
  <c r="K1149" i="19"/>
  <c r="I1146" i="19"/>
  <c r="J1146" i="19"/>
  <c r="K1146" i="19"/>
  <c r="I1143" i="19"/>
  <c r="J1143" i="19"/>
  <c r="K1143" i="19"/>
  <c r="I1140" i="19"/>
  <c r="J1140" i="19"/>
  <c r="K1140" i="19"/>
  <c r="I1137" i="19"/>
  <c r="J1137" i="19"/>
  <c r="K1137" i="19"/>
  <c r="I1134" i="19"/>
  <c r="J1134" i="19"/>
  <c r="K1134" i="19"/>
  <c r="I1131" i="19"/>
  <c r="J1131" i="19"/>
  <c r="K1131" i="19"/>
  <c r="I1128" i="19"/>
  <c r="J1128" i="19"/>
  <c r="K1128" i="19"/>
  <c r="I1125" i="19"/>
  <c r="J1125" i="19"/>
  <c r="K1125" i="19"/>
  <c r="I1122" i="19"/>
  <c r="J1122" i="19"/>
  <c r="K1122" i="19"/>
  <c r="I1119" i="19"/>
  <c r="J1119" i="19"/>
  <c r="K1119" i="19"/>
  <c r="I1116" i="19"/>
  <c r="J1116" i="19"/>
  <c r="K1116" i="19"/>
  <c r="I1113" i="19"/>
  <c r="J1113" i="19"/>
  <c r="K1113" i="19"/>
  <c r="I1110" i="19"/>
  <c r="J1110" i="19"/>
  <c r="K1110" i="19"/>
  <c r="I1107" i="19"/>
  <c r="J1107" i="19"/>
  <c r="K1107" i="19"/>
  <c r="I1104" i="19"/>
  <c r="J1104" i="19"/>
  <c r="K1104" i="19"/>
  <c r="I1101" i="19"/>
  <c r="J1101" i="19"/>
  <c r="K1101" i="19"/>
  <c r="I1098" i="19"/>
  <c r="J1098" i="19"/>
  <c r="K1098" i="19"/>
  <c r="I1095" i="19"/>
  <c r="J1095" i="19"/>
  <c r="K1095" i="19"/>
  <c r="I1092" i="19"/>
  <c r="J1092" i="19"/>
  <c r="K1092" i="19"/>
  <c r="I1089" i="19"/>
  <c r="J1089" i="19"/>
  <c r="K1089" i="19"/>
  <c r="I1086" i="19"/>
  <c r="J1086" i="19"/>
  <c r="K1086" i="19"/>
  <c r="I1083" i="19"/>
  <c r="J1083" i="19"/>
  <c r="K1083" i="19"/>
  <c r="I1080" i="19"/>
  <c r="J1080" i="19"/>
  <c r="K1080" i="19"/>
  <c r="I1077" i="19"/>
  <c r="J1077" i="19"/>
  <c r="K1077" i="19"/>
  <c r="I1074" i="19"/>
  <c r="J1074" i="19"/>
  <c r="K1074" i="19"/>
  <c r="I1071" i="19"/>
  <c r="J1071" i="19"/>
  <c r="K1071" i="19"/>
  <c r="I1068" i="19"/>
  <c r="J1068" i="19"/>
  <c r="K1068" i="19"/>
  <c r="I1065" i="19"/>
  <c r="J1065" i="19"/>
  <c r="K1065" i="19"/>
  <c r="I1062" i="19"/>
  <c r="J1062" i="19"/>
  <c r="K1062" i="19"/>
  <c r="I1059" i="19"/>
  <c r="J1059" i="19"/>
  <c r="K1059" i="19"/>
  <c r="I1024" i="19"/>
  <c r="K1024" i="19"/>
  <c r="J1024" i="19"/>
  <c r="I1021" i="19"/>
  <c r="K1021" i="19"/>
  <c r="J1021" i="19"/>
  <c r="I1018" i="19"/>
  <c r="K1018" i="19"/>
  <c r="J1018" i="19"/>
  <c r="I1015" i="19"/>
  <c r="K1015" i="19"/>
  <c r="J1015" i="19"/>
  <c r="I1012" i="19"/>
  <c r="K1012" i="19"/>
  <c r="J1012" i="19"/>
  <c r="I1009" i="19"/>
  <c r="K1009" i="19"/>
  <c r="J1009" i="19"/>
  <c r="I1006" i="19"/>
  <c r="K1006" i="19"/>
  <c r="J1006" i="19"/>
  <c r="I1003" i="19"/>
  <c r="K1003" i="19"/>
  <c r="J1003" i="19"/>
  <c r="J920" i="19"/>
  <c r="K920" i="19"/>
  <c r="I917" i="19"/>
  <c r="J917" i="19"/>
  <c r="K917" i="19"/>
  <c r="I914" i="19"/>
  <c r="J914" i="19"/>
  <c r="K914" i="19"/>
  <c r="I911" i="19"/>
  <c r="J911" i="19"/>
  <c r="K911" i="19"/>
  <c r="I908" i="19"/>
  <c r="J908" i="19"/>
  <c r="K908" i="19"/>
  <c r="I905" i="19"/>
  <c r="J905" i="19"/>
  <c r="K905" i="19"/>
  <c r="I902" i="19"/>
  <c r="J902" i="19"/>
  <c r="K902" i="19"/>
  <c r="I899" i="19"/>
  <c r="J899" i="19"/>
  <c r="K899" i="19"/>
  <c r="I870" i="19"/>
  <c r="J870" i="19"/>
  <c r="K870" i="19"/>
  <c r="I867" i="19"/>
  <c r="J867" i="19"/>
  <c r="K867" i="19"/>
  <c r="I864" i="19"/>
  <c r="J864" i="19"/>
  <c r="K864" i="19"/>
  <c r="I861" i="19"/>
  <c r="J861" i="19"/>
  <c r="K861" i="19"/>
  <c r="I858" i="19"/>
  <c r="J858" i="19"/>
  <c r="K858" i="19"/>
  <c r="I855" i="19"/>
  <c r="J855" i="19"/>
  <c r="K855" i="19"/>
  <c r="I852" i="19"/>
  <c r="J852" i="19"/>
  <c r="K852" i="19"/>
  <c r="I849" i="19"/>
  <c r="J849" i="19"/>
  <c r="K849" i="19"/>
  <c r="J1056" i="19"/>
  <c r="K1056" i="19"/>
  <c r="I1053" i="19"/>
  <c r="J1053" i="19"/>
  <c r="K1053" i="19"/>
  <c r="I1050" i="19"/>
  <c r="J1050" i="19"/>
  <c r="K1050" i="19"/>
  <c r="I1047" i="19"/>
  <c r="J1047" i="19"/>
  <c r="K1047" i="19"/>
  <c r="I1044" i="19"/>
  <c r="J1044" i="19"/>
  <c r="K1044" i="19"/>
  <c r="I755" i="19"/>
  <c r="J755" i="19"/>
  <c r="K755" i="19"/>
  <c r="I1187" i="19"/>
  <c r="J1187" i="19"/>
  <c r="K1187" i="19"/>
  <c r="I1184" i="19"/>
  <c r="J1184" i="19"/>
  <c r="K1184" i="19"/>
  <c r="I1181" i="19"/>
  <c r="J1181" i="19"/>
  <c r="K1181" i="19"/>
  <c r="I1178" i="19"/>
  <c r="J1178" i="19"/>
  <c r="K1178" i="19"/>
  <c r="I1175" i="19"/>
  <c r="J1175" i="19"/>
  <c r="K1175" i="19"/>
  <c r="I1172" i="19"/>
  <c r="J1172" i="19"/>
  <c r="K1172" i="19"/>
  <c r="I1169" i="19"/>
  <c r="J1169" i="19"/>
  <c r="K1169" i="19"/>
  <c r="I1166" i="19"/>
  <c r="J1166" i="19"/>
  <c r="K1166" i="19"/>
  <c r="I1163" i="19"/>
  <c r="J1163" i="19"/>
  <c r="K1163" i="19"/>
  <c r="I1160" i="19"/>
  <c r="J1160" i="19"/>
  <c r="K1160" i="19"/>
  <c r="I1157" i="19"/>
  <c r="J1157" i="19"/>
  <c r="K1157" i="19"/>
  <c r="I1154" i="19"/>
  <c r="J1154" i="19"/>
  <c r="K1154" i="19"/>
  <c r="I1151" i="19"/>
  <c r="J1151" i="19"/>
  <c r="K1151" i="19"/>
  <c r="I1148" i="19"/>
  <c r="J1148" i="19"/>
  <c r="K1148" i="19"/>
  <c r="I1145" i="19"/>
  <c r="J1145" i="19"/>
  <c r="K1145" i="19"/>
  <c r="I1142" i="19"/>
  <c r="J1142" i="19"/>
  <c r="K1142" i="19"/>
  <c r="I1139" i="19"/>
  <c r="J1139" i="19"/>
  <c r="K1139" i="19"/>
  <c r="I1136" i="19"/>
  <c r="J1136" i="19"/>
  <c r="K1136" i="19"/>
  <c r="I1133" i="19"/>
  <c r="J1133" i="19"/>
  <c r="K1133" i="19"/>
  <c r="I1130" i="19"/>
  <c r="J1130" i="19"/>
  <c r="K1130" i="19"/>
  <c r="I1127" i="19"/>
  <c r="J1127" i="19"/>
  <c r="K1127" i="19"/>
  <c r="I1124" i="19"/>
  <c r="J1124" i="19"/>
  <c r="K1124" i="19"/>
  <c r="I1121" i="19"/>
  <c r="J1121" i="19"/>
  <c r="K1121" i="19"/>
  <c r="I1118" i="19"/>
  <c r="J1118" i="19"/>
  <c r="K1118" i="19"/>
  <c r="I1115" i="19"/>
  <c r="J1115" i="19"/>
  <c r="K1115" i="19"/>
  <c r="I1112" i="19"/>
  <c r="J1112" i="19"/>
  <c r="K1112" i="19"/>
  <c r="I1109" i="19"/>
  <c r="J1109" i="19"/>
  <c r="K1109" i="19"/>
  <c r="I1106" i="19"/>
  <c r="J1106" i="19"/>
  <c r="K1106" i="19"/>
  <c r="I1103" i="19"/>
  <c r="J1103" i="19"/>
  <c r="K1103" i="19"/>
  <c r="I1100" i="19"/>
  <c r="J1100" i="19"/>
  <c r="K1100" i="19"/>
  <c r="I1097" i="19"/>
  <c r="J1097" i="19"/>
  <c r="K1097" i="19"/>
  <c r="I1094" i="19"/>
  <c r="J1094" i="19"/>
  <c r="K1094" i="19"/>
  <c r="I1091" i="19"/>
  <c r="J1091" i="19"/>
  <c r="K1091" i="19"/>
  <c r="I1088" i="19"/>
  <c r="J1088" i="19"/>
  <c r="K1088" i="19"/>
  <c r="I1085" i="19"/>
  <c r="J1085" i="19"/>
  <c r="K1085" i="19"/>
  <c r="I1082" i="19"/>
  <c r="J1082" i="19"/>
  <c r="K1082" i="19"/>
  <c r="I1079" i="19"/>
  <c r="J1079" i="19"/>
  <c r="K1079" i="19"/>
  <c r="I1076" i="19"/>
  <c r="J1076" i="19"/>
  <c r="K1076" i="19"/>
  <c r="I1073" i="19"/>
  <c r="J1073" i="19"/>
  <c r="K1073" i="19"/>
  <c r="I1070" i="19"/>
  <c r="J1070" i="19"/>
  <c r="K1070" i="19"/>
  <c r="I1067" i="19"/>
  <c r="J1067" i="19"/>
  <c r="K1067" i="19"/>
  <c r="I1064" i="19"/>
  <c r="J1064" i="19"/>
  <c r="K1064" i="19"/>
  <c r="I1061" i="19"/>
  <c r="J1061" i="19"/>
  <c r="K1061" i="19"/>
  <c r="I1058" i="19"/>
  <c r="J1058" i="19"/>
  <c r="K1058" i="19"/>
  <c r="J848" i="19"/>
  <c r="K848" i="19"/>
  <c r="I848" i="19"/>
  <c r="I845" i="19"/>
  <c r="J845" i="19"/>
  <c r="K845" i="19"/>
  <c r="I842" i="19"/>
  <c r="J842" i="19"/>
  <c r="K842" i="19"/>
  <c r="I839" i="19"/>
  <c r="J839" i="19"/>
  <c r="K839" i="19"/>
  <c r="I836" i="19"/>
  <c r="J836" i="19"/>
  <c r="K836" i="19"/>
  <c r="I833" i="19"/>
  <c r="J833" i="19"/>
  <c r="K833" i="19"/>
  <c r="I830" i="19"/>
  <c r="J830" i="19"/>
  <c r="K830" i="19"/>
  <c r="I827" i="19"/>
  <c r="J827" i="19"/>
  <c r="K827" i="19"/>
  <c r="I824" i="19"/>
  <c r="J824" i="19"/>
  <c r="K824" i="19"/>
  <c r="I815" i="19"/>
  <c r="J815" i="19"/>
  <c r="K815" i="19"/>
  <c r="I812" i="19"/>
  <c r="J812" i="19"/>
  <c r="K812" i="19"/>
  <c r="I809" i="19"/>
  <c r="J809" i="19"/>
  <c r="K809" i="19"/>
  <c r="I806" i="19"/>
  <c r="J806" i="19"/>
  <c r="K806" i="19"/>
  <c r="I803" i="19"/>
  <c r="J803" i="19"/>
  <c r="K803" i="19"/>
  <c r="I800" i="19"/>
  <c r="J800" i="19"/>
  <c r="K800" i="19"/>
  <c r="I797" i="19"/>
  <c r="J797" i="19"/>
  <c r="K797" i="19"/>
  <c r="I752" i="19"/>
  <c r="J752" i="19"/>
  <c r="K752" i="19"/>
  <c r="I746" i="19"/>
  <c r="J746" i="19"/>
  <c r="K746" i="19"/>
  <c r="I734" i="19"/>
  <c r="J734" i="19"/>
  <c r="K734" i="19"/>
  <c r="I725" i="19"/>
  <c r="J725" i="19"/>
  <c r="K725" i="19"/>
  <c r="I722" i="19"/>
  <c r="J722" i="19"/>
  <c r="K722" i="19"/>
  <c r="I719" i="19"/>
  <c r="J719" i="19"/>
  <c r="K719" i="19"/>
  <c r="I716" i="19"/>
  <c r="J716" i="19"/>
  <c r="K716" i="19"/>
  <c r="I713" i="19"/>
  <c r="J713" i="19"/>
  <c r="K713" i="19"/>
  <c r="I710" i="19"/>
  <c r="J710" i="19"/>
  <c r="K710" i="19"/>
  <c r="I758" i="19"/>
  <c r="J758" i="19"/>
  <c r="K758" i="19"/>
  <c r="I743" i="19"/>
  <c r="J743" i="19"/>
  <c r="K743" i="19"/>
  <c r="I731" i="19"/>
  <c r="J731" i="19"/>
  <c r="K731" i="19"/>
  <c r="I814" i="19"/>
  <c r="J814" i="19"/>
  <c r="K814" i="19"/>
  <c r="I811" i="19"/>
  <c r="J811" i="19"/>
  <c r="K811" i="19"/>
  <c r="I805" i="19"/>
  <c r="J805" i="19"/>
  <c r="K805" i="19"/>
  <c r="I796" i="19"/>
  <c r="J796" i="19"/>
  <c r="K796" i="19"/>
  <c r="I793" i="19"/>
  <c r="J793" i="19"/>
  <c r="K793" i="19"/>
  <c r="I781" i="19"/>
  <c r="J781" i="19"/>
  <c r="K781" i="19"/>
  <c r="I778" i="19"/>
  <c r="J778" i="19"/>
  <c r="K778" i="19"/>
  <c r="I794" i="19"/>
  <c r="J794" i="19"/>
  <c r="K794" i="19"/>
  <c r="I788" i="19"/>
  <c r="J788" i="19"/>
  <c r="K788" i="19"/>
  <c r="I782" i="19"/>
  <c r="J782" i="19"/>
  <c r="K782" i="19"/>
  <c r="J762" i="19"/>
  <c r="K762" i="19"/>
  <c r="I756" i="19"/>
  <c r="J756" i="19"/>
  <c r="K756" i="19"/>
  <c r="I750" i="19"/>
  <c r="J750" i="19"/>
  <c r="K750" i="19"/>
  <c r="I744" i="19"/>
  <c r="J744" i="19"/>
  <c r="K744" i="19"/>
  <c r="I735" i="19"/>
  <c r="J735" i="19"/>
  <c r="K735" i="19"/>
  <c r="I723" i="19"/>
  <c r="J723" i="19"/>
  <c r="K723" i="19"/>
  <c r="I720" i="19"/>
  <c r="J720" i="19"/>
  <c r="K720" i="19"/>
  <c r="I711" i="19"/>
  <c r="J711" i="19"/>
  <c r="K711" i="19"/>
  <c r="I705" i="19"/>
  <c r="J705" i="19"/>
  <c r="K705" i="19"/>
  <c r="I699" i="19"/>
  <c r="J699" i="19"/>
  <c r="K699" i="19"/>
  <c r="I696" i="19"/>
  <c r="J696" i="19"/>
  <c r="K696" i="19"/>
  <c r="I690" i="19"/>
  <c r="J690" i="19"/>
  <c r="K690" i="19"/>
  <c r="I684" i="19"/>
  <c r="J684" i="19"/>
  <c r="K684" i="19"/>
  <c r="I678" i="19"/>
  <c r="J678" i="19"/>
  <c r="K678" i="19"/>
  <c r="I672" i="19"/>
  <c r="J672" i="19"/>
  <c r="K672" i="19"/>
  <c r="I663" i="19"/>
  <c r="J663" i="19"/>
  <c r="K663" i="19"/>
  <c r="I657" i="19"/>
  <c r="J657" i="19"/>
  <c r="K657" i="19"/>
  <c r="I651" i="19"/>
  <c r="J651" i="19"/>
  <c r="K651" i="19"/>
  <c r="I645" i="19"/>
  <c r="J645" i="19"/>
  <c r="K645" i="19"/>
  <c r="I639" i="19"/>
  <c r="J639" i="19"/>
  <c r="K639" i="19"/>
  <c r="I633" i="19"/>
  <c r="J633" i="19"/>
  <c r="K633" i="19"/>
  <c r="I627" i="19"/>
  <c r="J627" i="19"/>
  <c r="K627" i="19"/>
  <c r="I624" i="19"/>
  <c r="J624" i="19"/>
  <c r="K624" i="19"/>
  <c r="I621" i="19"/>
  <c r="J621" i="19"/>
  <c r="K621" i="19"/>
  <c r="I791" i="19"/>
  <c r="J791" i="19"/>
  <c r="K791" i="19"/>
  <c r="I785" i="19"/>
  <c r="J785" i="19"/>
  <c r="K785" i="19"/>
  <c r="I779" i="19"/>
  <c r="J779" i="19"/>
  <c r="K779" i="19"/>
  <c r="I759" i="19"/>
  <c r="J759" i="19"/>
  <c r="K759" i="19"/>
  <c r="I753" i="19"/>
  <c r="J753" i="19"/>
  <c r="K753" i="19"/>
  <c r="I747" i="19"/>
  <c r="J747" i="19"/>
  <c r="K747" i="19"/>
  <c r="I741" i="19"/>
  <c r="J741" i="19"/>
  <c r="K741" i="19"/>
  <c r="I738" i="19"/>
  <c r="J738" i="19"/>
  <c r="K738" i="19"/>
  <c r="I732" i="19"/>
  <c r="J732" i="19"/>
  <c r="K732" i="19"/>
  <c r="I729" i="19"/>
  <c r="J729" i="19"/>
  <c r="K729" i="19"/>
  <c r="I726" i="19"/>
  <c r="J726" i="19"/>
  <c r="K726" i="19"/>
  <c r="I717" i="19"/>
  <c r="J717" i="19"/>
  <c r="K717" i="19"/>
  <c r="I714" i="19"/>
  <c r="J714" i="19"/>
  <c r="K714" i="19"/>
  <c r="I708" i="19"/>
  <c r="J708" i="19"/>
  <c r="K708" i="19"/>
  <c r="I702" i="19"/>
  <c r="J702" i="19"/>
  <c r="K702" i="19"/>
  <c r="I693" i="19"/>
  <c r="J693" i="19"/>
  <c r="K693" i="19"/>
  <c r="I687" i="19"/>
  <c r="J687" i="19"/>
  <c r="K687" i="19"/>
  <c r="I681" i="19"/>
  <c r="J681" i="19"/>
  <c r="K681" i="19"/>
  <c r="I675" i="19"/>
  <c r="J675" i="19"/>
  <c r="K675" i="19"/>
  <c r="I669" i="19"/>
  <c r="J669" i="19"/>
  <c r="K669" i="19"/>
  <c r="I666" i="19"/>
  <c r="J666" i="19"/>
  <c r="K666" i="19"/>
  <c r="I660" i="19"/>
  <c r="J660" i="19"/>
  <c r="K660" i="19"/>
  <c r="I654" i="19"/>
  <c r="J654" i="19"/>
  <c r="K654" i="19"/>
  <c r="I648" i="19"/>
  <c r="J648" i="19"/>
  <c r="K648" i="19"/>
  <c r="I642" i="19"/>
  <c r="J642" i="19"/>
  <c r="K642" i="19"/>
  <c r="I636" i="19"/>
  <c r="J636" i="19"/>
  <c r="K636" i="19"/>
  <c r="I630" i="19"/>
  <c r="J630" i="19"/>
  <c r="K630" i="19"/>
  <c r="I1054" i="19"/>
  <c r="K1054" i="19"/>
  <c r="J1054" i="19"/>
  <c r="I1051" i="19"/>
  <c r="K1051" i="19"/>
  <c r="J1051" i="19"/>
  <c r="I1048" i="19"/>
  <c r="K1048" i="19"/>
  <c r="J1048" i="19"/>
  <c r="I1045" i="19"/>
  <c r="K1045" i="19"/>
  <c r="J1045" i="19"/>
  <c r="I1025" i="19"/>
  <c r="J1025" i="19"/>
  <c r="I1022" i="19"/>
  <c r="J1022" i="19"/>
  <c r="I1019" i="19"/>
  <c r="J1019" i="19"/>
  <c r="I1016" i="19"/>
  <c r="J1016" i="19"/>
  <c r="I1013" i="19"/>
  <c r="J1013" i="19"/>
  <c r="I1010" i="19"/>
  <c r="J1010" i="19"/>
  <c r="I1007" i="19"/>
  <c r="J1007" i="19"/>
  <c r="I1004" i="19"/>
  <c r="J1004" i="19"/>
  <c r="I1001" i="19"/>
  <c r="J1001" i="19"/>
  <c r="I918" i="19"/>
  <c r="J918" i="19"/>
  <c r="I915" i="19"/>
  <c r="J915" i="19"/>
  <c r="I912" i="19"/>
  <c r="J912" i="19"/>
  <c r="I909" i="19"/>
  <c r="J909" i="19"/>
  <c r="I906" i="19"/>
  <c r="J906" i="19"/>
  <c r="I903" i="19"/>
  <c r="J903" i="19"/>
  <c r="I900" i="19"/>
  <c r="J900" i="19"/>
  <c r="I897" i="19"/>
  <c r="J897" i="19"/>
  <c r="I871" i="19"/>
  <c r="J871" i="19"/>
  <c r="K871" i="19"/>
  <c r="I868" i="19"/>
  <c r="J868" i="19"/>
  <c r="K868" i="19"/>
  <c r="I865" i="19"/>
  <c r="J865" i="19"/>
  <c r="K865" i="19"/>
  <c r="I862" i="19"/>
  <c r="J862" i="19"/>
  <c r="K862" i="19"/>
  <c r="I859" i="19"/>
  <c r="J859" i="19"/>
  <c r="K859" i="19"/>
  <c r="I856" i="19"/>
  <c r="J856" i="19"/>
  <c r="K856" i="19"/>
  <c r="I853" i="19"/>
  <c r="J853" i="19"/>
  <c r="K853" i="19"/>
  <c r="I850" i="19"/>
  <c r="J850" i="19"/>
  <c r="K850" i="19"/>
  <c r="J776" i="19"/>
  <c r="K776" i="19"/>
  <c r="I773" i="19"/>
  <c r="J773" i="19"/>
  <c r="K773" i="19"/>
  <c r="I770" i="19"/>
  <c r="J770" i="19"/>
  <c r="K770" i="19"/>
  <c r="I767" i="19"/>
  <c r="J767" i="19"/>
  <c r="K767" i="19"/>
  <c r="I764" i="19"/>
  <c r="J764" i="19"/>
  <c r="K764" i="19"/>
  <c r="K915" i="19"/>
  <c r="K897" i="19"/>
  <c r="I707" i="19"/>
  <c r="J707" i="19"/>
  <c r="K707" i="19"/>
  <c r="I704" i="19"/>
  <c r="J704" i="19"/>
  <c r="K704" i="19"/>
  <c r="I701" i="19"/>
  <c r="J701" i="19"/>
  <c r="K701" i="19"/>
  <c r="I698" i="19"/>
  <c r="J698" i="19"/>
  <c r="K698" i="19"/>
  <c r="I695" i="19"/>
  <c r="J695" i="19"/>
  <c r="K695" i="19"/>
  <c r="I692" i="19"/>
  <c r="J692" i="19"/>
  <c r="K692" i="19"/>
  <c r="I689" i="19"/>
  <c r="J689" i="19"/>
  <c r="K689" i="19"/>
  <c r="I686" i="19"/>
  <c r="J686" i="19"/>
  <c r="K686" i="19"/>
  <c r="I683" i="19"/>
  <c r="J683" i="19"/>
  <c r="K683" i="19"/>
  <c r="I680" i="19"/>
  <c r="J680" i="19"/>
  <c r="K680" i="19"/>
  <c r="I677" i="19"/>
  <c r="J677" i="19"/>
  <c r="K677" i="19"/>
  <c r="I674" i="19"/>
  <c r="J674" i="19"/>
  <c r="K674" i="19"/>
  <c r="I671" i="19"/>
  <c r="J671" i="19"/>
  <c r="K671" i="19"/>
  <c r="I668" i="19"/>
  <c r="J668" i="19"/>
  <c r="K668" i="19"/>
  <c r="I665" i="19"/>
  <c r="J665" i="19"/>
  <c r="K665" i="19"/>
  <c r="I662" i="19"/>
  <c r="J662" i="19"/>
  <c r="K662" i="19"/>
  <c r="I659" i="19"/>
  <c r="J659" i="19"/>
  <c r="K659" i="19"/>
  <c r="I656" i="19"/>
  <c r="J656" i="19"/>
  <c r="K656" i="19"/>
  <c r="I653" i="19"/>
  <c r="J653" i="19"/>
  <c r="K653" i="19"/>
  <c r="I650" i="19"/>
  <c r="J650" i="19"/>
  <c r="K650" i="19"/>
  <c r="I647" i="19"/>
  <c r="J647" i="19"/>
  <c r="K647" i="19"/>
  <c r="I644" i="19"/>
  <c r="J644" i="19"/>
  <c r="K644" i="19"/>
  <c r="I641" i="19"/>
  <c r="J641" i="19"/>
  <c r="K641" i="19"/>
  <c r="I638" i="19"/>
  <c r="J638" i="19"/>
  <c r="K638" i="19"/>
  <c r="I635" i="19"/>
  <c r="J635" i="19"/>
  <c r="K635" i="19"/>
  <c r="I632" i="19"/>
  <c r="J632" i="19"/>
  <c r="K632" i="19"/>
  <c r="I629" i="19"/>
  <c r="J629" i="19"/>
  <c r="K629" i="19"/>
  <c r="I626" i="19"/>
  <c r="J626" i="19"/>
  <c r="K626" i="19"/>
  <c r="I623" i="19"/>
  <c r="J623" i="19"/>
  <c r="K623" i="19"/>
  <c r="I620" i="19"/>
  <c r="J620" i="19"/>
  <c r="K620" i="19"/>
  <c r="K1019" i="19"/>
  <c r="K1010" i="19"/>
  <c r="K1001" i="19"/>
  <c r="K912" i="19"/>
  <c r="I766" i="19"/>
  <c r="J766" i="19"/>
  <c r="I763" i="19"/>
  <c r="J763" i="19"/>
  <c r="K763" i="19"/>
  <c r="K1026" i="19"/>
  <c r="K909" i="19"/>
  <c r="I1041" i="19"/>
  <c r="J1041" i="19"/>
  <c r="I1038" i="19"/>
  <c r="J1038" i="19"/>
  <c r="I1035" i="19"/>
  <c r="J1035" i="19"/>
  <c r="I1032" i="19"/>
  <c r="J1032" i="19"/>
  <c r="I1029" i="19"/>
  <c r="J1029" i="19"/>
  <c r="K1000" i="19"/>
  <c r="J1000" i="19"/>
  <c r="I997" i="19"/>
  <c r="K997" i="19"/>
  <c r="J997" i="19"/>
  <c r="I994" i="19"/>
  <c r="K994" i="19"/>
  <c r="J994" i="19"/>
  <c r="I991" i="19"/>
  <c r="K991" i="19"/>
  <c r="J991" i="19"/>
  <c r="I988" i="19"/>
  <c r="K988" i="19"/>
  <c r="J988" i="19"/>
  <c r="I985" i="19"/>
  <c r="K985" i="19"/>
  <c r="J985" i="19"/>
  <c r="I982" i="19"/>
  <c r="K982" i="19"/>
  <c r="J982" i="19"/>
  <c r="I979" i="19"/>
  <c r="K979" i="19"/>
  <c r="J979" i="19"/>
  <c r="I976" i="19"/>
  <c r="K976" i="19"/>
  <c r="J976" i="19"/>
  <c r="I973" i="19"/>
  <c r="K973" i="19"/>
  <c r="J973" i="19"/>
  <c r="I970" i="19"/>
  <c r="K970" i="19"/>
  <c r="J970" i="19"/>
  <c r="I967" i="19"/>
  <c r="K967" i="19"/>
  <c r="J967" i="19"/>
  <c r="I964" i="19"/>
  <c r="K964" i="19"/>
  <c r="J964" i="19"/>
  <c r="I961" i="19"/>
  <c r="K961" i="19"/>
  <c r="J961" i="19"/>
  <c r="I958" i="19"/>
  <c r="K958" i="19"/>
  <c r="J958" i="19"/>
  <c r="I955" i="19"/>
  <c r="K955" i="19"/>
  <c r="J955" i="19"/>
  <c r="I952" i="19"/>
  <c r="K952" i="19"/>
  <c r="J952" i="19"/>
  <c r="I949" i="19"/>
  <c r="K949" i="19"/>
  <c r="J949" i="19"/>
  <c r="I946" i="19"/>
  <c r="K946" i="19"/>
  <c r="J946" i="19"/>
  <c r="I943" i="19"/>
  <c r="K943" i="19"/>
  <c r="J943" i="19"/>
  <c r="I940" i="19"/>
  <c r="K940" i="19"/>
  <c r="J940" i="19"/>
  <c r="I937" i="19"/>
  <c r="K937" i="19"/>
  <c r="J937" i="19"/>
  <c r="I934" i="19"/>
  <c r="K934" i="19"/>
  <c r="J934" i="19"/>
  <c r="I931" i="19"/>
  <c r="K931" i="19"/>
  <c r="J931" i="19"/>
  <c r="I928" i="19"/>
  <c r="K928" i="19"/>
  <c r="J928" i="19"/>
  <c r="I925" i="19"/>
  <c r="K925" i="19"/>
  <c r="J925" i="19"/>
  <c r="I922" i="19"/>
  <c r="K922" i="19"/>
  <c r="J922" i="19"/>
  <c r="J896" i="19"/>
  <c r="K896" i="19"/>
  <c r="I893" i="19"/>
  <c r="J893" i="19"/>
  <c r="K893" i="19"/>
  <c r="I890" i="19"/>
  <c r="J890" i="19"/>
  <c r="K890" i="19"/>
  <c r="I887" i="19"/>
  <c r="J887" i="19"/>
  <c r="K887" i="19"/>
  <c r="I884" i="19"/>
  <c r="J884" i="19"/>
  <c r="K884" i="19"/>
  <c r="I881" i="19"/>
  <c r="J881" i="19"/>
  <c r="K881" i="19"/>
  <c r="I878" i="19"/>
  <c r="J878" i="19"/>
  <c r="K878" i="19"/>
  <c r="I875" i="19"/>
  <c r="J875" i="19"/>
  <c r="K875" i="19"/>
  <c r="I846" i="19"/>
  <c r="J846" i="19"/>
  <c r="I843" i="19"/>
  <c r="J843" i="19"/>
  <c r="K843" i="19"/>
  <c r="I840" i="19"/>
  <c r="J840" i="19"/>
  <c r="K840" i="19"/>
  <c r="I837" i="19"/>
  <c r="J837" i="19"/>
  <c r="I834" i="19"/>
  <c r="J834" i="19"/>
  <c r="K834" i="19"/>
  <c r="I831" i="19"/>
  <c r="J831" i="19"/>
  <c r="K831" i="19"/>
  <c r="I828" i="19"/>
  <c r="J828" i="19"/>
  <c r="I825" i="19"/>
  <c r="J825" i="19"/>
  <c r="K825" i="19"/>
  <c r="I810" i="19"/>
  <c r="J810" i="19"/>
  <c r="K810" i="19"/>
  <c r="I804" i="19"/>
  <c r="J804" i="19"/>
  <c r="K804" i="19"/>
  <c r="I798" i="19"/>
  <c r="J798" i="19"/>
  <c r="K798" i="19"/>
  <c r="I795" i="19"/>
  <c r="J795" i="19"/>
  <c r="K795" i="19"/>
  <c r="I789" i="19"/>
  <c r="J789" i="19"/>
  <c r="K789" i="19"/>
  <c r="I786" i="19"/>
  <c r="J786" i="19"/>
  <c r="K786" i="19"/>
  <c r="I780" i="19"/>
  <c r="J780" i="19"/>
  <c r="K780" i="19"/>
  <c r="I757" i="19"/>
  <c r="J757" i="19"/>
  <c r="I751" i="19"/>
  <c r="J751" i="19"/>
  <c r="K751" i="19"/>
  <c r="I745" i="19"/>
  <c r="J745" i="19"/>
  <c r="K745" i="19"/>
  <c r="I739" i="19"/>
  <c r="J739" i="19"/>
  <c r="K739" i="19"/>
  <c r="I733" i="19"/>
  <c r="J733" i="19"/>
  <c r="K733" i="19"/>
  <c r="I730" i="19"/>
  <c r="J730" i="19"/>
  <c r="K730" i="19"/>
  <c r="I721" i="19"/>
  <c r="J721" i="19"/>
  <c r="K721" i="19"/>
  <c r="I712" i="19"/>
  <c r="J712" i="19"/>
  <c r="K712" i="19"/>
  <c r="I709" i="19"/>
  <c r="J709" i="19"/>
  <c r="K709" i="19"/>
  <c r="I703" i="19"/>
  <c r="J703" i="19"/>
  <c r="K703" i="19"/>
  <c r="I694" i="19"/>
  <c r="J694" i="19"/>
  <c r="K694" i="19"/>
  <c r="I688" i="19"/>
  <c r="J688" i="19"/>
  <c r="K688" i="19"/>
  <c r="I682" i="19"/>
  <c r="J682" i="19"/>
  <c r="I676" i="19"/>
  <c r="J676" i="19"/>
  <c r="K676" i="19"/>
  <c r="I670" i="19"/>
  <c r="J670" i="19"/>
  <c r="K670" i="19"/>
  <c r="I664" i="19"/>
  <c r="J664" i="19"/>
  <c r="I658" i="19"/>
  <c r="J658" i="19"/>
  <c r="K658" i="19"/>
  <c r="I652" i="19"/>
  <c r="J652" i="19"/>
  <c r="K652" i="19"/>
  <c r="I646" i="19"/>
  <c r="J646" i="19"/>
  <c r="I640" i="19"/>
  <c r="J640" i="19"/>
  <c r="K640" i="19"/>
  <c r="I634" i="19"/>
  <c r="J634" i="19"/>
  <c r="K634" i="19"/>
  <c r="I628" i="19"/>
  <c r="J628" i="19"/>
  <c r="I625" i="19"/>
  <c r="J625" i="19"/>
  <c r="K625" i="19"/>
  <c r="I622" i="19"/>
  <c r="J622" i="19"/>
  <c r="K622" i="19"/>
  <c r="I619" i="19"/>
  <c r="J619" i="19"/>
  <c r="K619" i="19"/>
  <c r="K1025" i="19"/>
  <c r="K1016" i="19"/>
  <c r="K1007" i="19"/>
  <c r="K906" i="19"/>
  <c r="K628" i="19"/>
  <c r="I813" i="19"/>
  <c r="J813" i="19"/>
  <c r="K813" i="19"/>
  <c r="I807" i="19"/>
  <c r="J807" i="19"/>
  <c r="K807" i="19"/>
  <c r="I801" i="19"/>
  <c r="J801" i="19"/>
  <c r="K801" i="19"/>
  <c r="I792" i="19"/>
  <c r="J792" i="19"/>
  <c r="K792" i="19"/>
  <c r="I783" i="19"/>
  <c r="J783" i="19"/>
  <c r="K783" i="19"/>
  <c r="I777" i="19"/>
  <c r="J777" i="19"/>
  <c r="K777" i="19"/>
  <c r="I760" i="19"/>
  <c r="J760" i="19"/>
  <c r="K760" i="19"/>
  <c r="I754" i="19"/>
  <c r="J754" i="19"/>
  <c r="K754" i="19"/>
  <c r="I748" i="19"/>
  <c r="J748" i="19"/>
  <c r="I742" i="19"/>
  <c r="J742" i="19"/>
  <c r="K742" i="19"/>
  <c r="I736" i="19"/>
  <c r="J736" i="19"/>
  <c r="I727" i="19"/>
  <c r="J727" i="19"/>
  <c r="K727" i="19"/>
  <c r="I724" i="19"/>
  <c r="J724" i="19"/>
  <c r="K724" i="19"/>
  <c r="I718" i="19"/>
  <c r="J718" i="19"/>
  <c r="I715" i="19"/>
  <c r="J715" i="19"/>
  <c r="K715" i="19"/>
  <c r="I706" i="19"/>
  <c r="J706" i="19"/>
  <c r="K706" i="19"/>
  <c r="I700" i="19"/>
  <c r="J700" i="19"/>
  <c r="I697" i="19"/>
  <c r="J697" i="19"/>
  <c r="K697" i="19"/>
  <c r="I691" i="19"/>
  <c r="J691" i="19"/>
  <c r="K691" i="19"/>
  <c r="I685" i="19"/>
  <c r="J685" i="19"/>
  <c r="K685" i="19"/>
  <c r="I679" i="19"/>
  <c r="J679" i="19"/>
  <c r="K679" i="19"/>
  <c r="I673" i="19"/>
  <c r="J673" i="19"/>
  <c r="K673" i="19"/>
  <c r="I667" i="19"/>
  <c r="J667" i="19"/>
  <c r="K667" i="19"/>
  <c r="I661" i="19"/>
  <c r="J661" i="19"/>
  <c r="K661" i="19"/>
  <c r="I655" i="19"/>
  <c r="J655" i="19"/>
  <c r="K655" i="19"/>
  <c r="I649" i="19"/>
  <c r="J649" i="19"/>
  <c r="K649" i="19"/>
  <c r="I643" i="19"/>
  <c r="J643" i="19"/>
  <c r="K643" i="19"/>
  <c r="I637" i="19"/>
  <c r="J637" i="19"/>
  <c r="K637" i="19"/>
  <c r="I631" i="19"/>
  <c r="J631" i="19"/>
  <c r="K631" i="19"/>
  <c r="I1055" i="19"/>
  <c r="J1055" i="19"/>
  <c r="I1052" i="19"/>
  <c r="J1052" i="19"/>
  <c r="I1049" i="19"/>
  <c r="J1049" i="19"/>
  <c r="I1046" i="19"/>
  <c r="J1046" i="19"/>
  <c r="I1043" i="19"/>
  <c r="J1043" i="19"/>
  <c r="I1023" i="19"/>
  <c r="J1023" i="19"/>
  <c r="I1020" i="19"/>
  <c r="J1020" i="19"/>
  <c r="I1017" i="19"/>
  <c r="J1017" i="19"/>
  <c r="I1014" i="19"/>
  <c r="J1014" i="19"/>
  <c r="I1011" i="19"/>
  <c r="J1011" i="19"/>
  <c r="I1008" i="19"/>
  <c r="J1008" i="19"/>
  <c r="I1005" i="19"/>
  <c r="J1005" i="19"/>
  <c r="I1002" i="19"/>
  <c r="J1002" i="19"/>
  <c r="I919" i="19"/>
  <c r="K919" i="19"/>
  <c r="J919" i="19"/>
  <c r="I916" i="19"/>
  <c r="K916" i="19"/>
  <c r="J916" i="19"/>
  <c r="I913" i="19"/>
  <c r="K913" i="19"/>
  <c r="J913" i="19"/>
  <c r="I910" i="19"/>
  <c r="K910" i="19"/>
  <c r="J910" i="19"/>
  <c r="I907" i="19"/>
  <c r="K907" i="19"/>
  <c r="J907" i="19"/>
  <c r="I904" i="19"/>
  <c r="K904" i="19"/>
  <c r="J904" i="19"/>
  <c r="I901" i="19"/>
  <c r="K901" i="19"/>
  <c r="J901" i="19"/>
  <c r="I898" i="19"/>
  <c r="K898" i="19"/>
  <c r="J898" i="19"/>
  <c r="J872" i="19"/>
  <c r="K872" i="19"/>
  <c r="I869" i="19"/>
  <c r="J869" i="19"/>
  <c r="K869" i="19"/>
  <c r="I866" i="19"/>
  <c r="J866" i="19"/>
  <c r="K866" i="19"/>
  <c r="I863" i="19"/>
  <c r="J863" i="19"/>
  <c r="K863" i="19"/>
  <c r="I860" i="19"/>
  <c r="J860" i="19"/>
  <c r="K860" i="19"/>
  <c r="I857" i="19"/>
  <c r="J857" i="19"/>
  <c r="K857" i="19"/>
  <c r="I854" i="19"/>
  <c r="J854" i="19"/>
  <c r="K854" i="19"/>
  <c r="I851" i="19"/>
  <c r="J851" i="19"/>
  <c r="K851" i="19"/>
  <c r="I774" i="19"/>
  <c r="J774" i="19"/>
  <c r="K774" i="19"/>
  <c r="I771" i="19"/>
  <c r="J771" i="19"/>
  <c r="K771" i="19"/>
  <c r="I768" i="19"/>
  <c r="J768" i="19"/>
  <c r="K768" i="19"/>
  <c r="I765" i="19"/>
  <c r="J765" i="19"/>
  <c r="K765" i="19"/>
  <c r="I762" i="19"/>
  <c r="K1041" i="19"/>
  <c r="K1032" i="19"/>
  <c r="K1023" i="19"/>
  <c r="K1014" i="19"/>
  <c r="K1005" i="19"/>
  <c r="K903" i="19"/>
  <c r="K846" i="19"/>
  <c r="K718" i="19"/>
  <c r="K823" i="19"/>
  <c r="J823" i="19"/>
  <c r="K822" i="19"/>
  <c r="J822" i="19"/>
  <c r="K821" i="19"/>
  <c r="J821" i="19"/>
  <c r="K820" i="19"/>
  <c r="J820" i="19"/>
  <c r="K819" i="19"/>
  <c r="J819" i="19"/>
  <c r="J818" i="19"/>
  <c r="K818" i="19"/>
  <c r="K817" i="19"/>
  <c r="J817" i="19"/>
  <c r="K816" i="19"/>
  <c r="J816" i="19"/>
  <c r="E123" i="5"/>
  <c r="D132" i="5"/>
  <c r="G46" i="5" s="1"/>
  <c r="D129" i="5"/>
  <c r="G45" i="5" s="1"/>
  <c r="O725" i="1" l="1"/>
  <c r="R725" i="1" s="1"/>
  <c r="O726" i="1"/>
  <c r="R726" i="1" s="1"/>
  <c r="O727" i="1"/>
  <c r="R727" i="1" s="1"/>
  <c r="O728" i="1"/>
  <c r="R728" i="1" s="1"/>
  <c r="O729" i="1"/>
  <c r="R729" i="1" s="1"/>
  <c r="O730" i="1"/>
  <c r="R730" i="1" s="1"/>
  <c r="O731" i="1"/>
  <c r="R731" i="1" s="1"/>
  <c r="O732" i="1"/>
  <c r="R732" i="1" s="1"/>
  <c r="O733" i="1"/>
  <c r="R733" i="1" s="1"/>
  <c r="O734" i="1"/>
  <c r="R734" i="1" s="1"/>
  <c r="O735" i="1"/>
  <c r="R735" i="1" s="1"/>
  <c r="O736" i="1"/>
  <c r="R736" i="1" s="1"/>
  <c r="O737" i="1"/>
  <c r="R737" i="1" s="1"/>
  <c r="O738" i="1"/>
  <c r="R738" i="1" s="1"/>
  <c r="O739" i="1"/>
  <c r="R739" i="1" s="1"/>
  <c r="O740" i="1"/>
  <c r="R740" i="1" s="1"/>
  <c r="O741" i="1"/>
  <c r="R741" i="1" s="1"/>
  <c r="O742" i="1"/>
  <c r="R742" i="1" s="1"/>
  <c r="O743" i="1"/>
  <c r="R743" i="1" s="1"/>
  <c r="O744" i="1"/>
  <c r="R744" i="1" s="1"/>
  <c r="O745" i="1"/>
  <c r="R745" i="1" s="1"/>
  <c r="O746" i="1"/>
  <c r="R746" i="1" s="1"/>
  <c r="O747" i="1"/>
  <c r="R747" i="1" s="1"/>
  <c r="O748" i="1"/>
  <c r="R748" i="1" s="1"/>
  <c r="O749" i="1"/>
  <c r="R749" i="1" s="1"/>
  <c r="O750" i="1"/>
  <c r="R750" i="1" s="1"/>
  <c r="O751" i="1"/>
  <c r="R751" i="1" s="1"/>
  <c r="O752" i="1"/>
  <c r="R752" i="1" s="1"/>
  <c r="O753" i="1"/>
  <c r="R753" i="1" s="1"/>
  <c r="O754" i="1"/>
  <c r="R754" i="1" s="1"/>
  <c r="O755" i="1"/>
  <c r="R755" i="1" s="1"/>
  <c r="O756" i="1"/>
  <c r="R756" i="1" s="1"/>
  <c r="O757" i="1"/>
  <c r="R757" i="1" s="1"/>
  <c r="O758" i="1"/>
  <c r="R758" i="1" s="1"/>
  <c r="O759" i="1"/>
  <c r="R759" i="1" s="1"/>
  <c r="O760" i="1"/>
  <c r="R760" i="1" s="1"/>
  <c r="O761" i="1"/>
  <c r="R761" i="1" s="1"/>
  <c r="O762" i="1"/>
  <c r="R762" i="1" s="1"/>
  <c r="O763" i="1"/>
  <c r="R763" i="1" s="1"/>
  <c r="O764" i="1"/>
  <c r="R764" i="1" s="1"/>
  <c r="O765" i="1"/>
  <c r="R765" i="1" s="1"/>
  <c r="O766" i="1"/>
  <c r="R766" i="1" s="1"/>
  <c r="O767" i="1"/>
  <c r="R767" i="1" s="1"/>
  <c r="O768" i="1"/>
  <c r="R768" i="1" s="1"/>
  <c r="O769" i="1"/>
  <c r="R769" i="1" s="1"/>
  <c r="O770" i="1"/>
  <c r="R770" i="1" s="1"/>
  <c r="O771" i="1"/>
  <c r="R771" i="1" s="1"/>
  <c r="O772" i="1"/>
  <c r="R772" i="1" s="1"/>
  <c r="O773" i="1"/>
  <c r="R773" i="1" s="1"/>
  <c r="O774" i="1"/>
  <c r="R774" i="1" s="1"/>
  <c r="O775" i="1"/>
  <c r="R775" i="1" s="1"/>
  <c r="O776" i="1"/>
  <c r="R776" i="1" s="1"/>
  <c r="O777" i="1"/>
  <c r="R777" i="1" s="1"/>
  <c r="O778" i="1"/>
  <c r="R778" i="1" s="1"/>
  <c r="O779" i="1"/>
  <c r="R779" i="1" s="1"/>
  <c r="O780" i="1"/>
  <c r="R780" i="1" s="1"/>
  <c r="O781" i="1"/>
  <c r="R781" i="1" s="1"/>
  <c r="O782" i="1"/>
  <c r="R782" i="1" s="1"/>
  <c r="O783" i="1"/>
  <c r="R783" i="1" s="1"/>
  <c r="O784" i="1"/>
  <c r="R784" i="1" s="1"/>
  <c r="O785" i="1"/>
  <c r="R785" i="1" s="1"/>
  <c r="O786" i="1"/>
  <c r="R786" i="1" s="1"/>
  <c r="O787" i="1"/>
  <c r="R787" i="1" s="1"/>
  <c r="O788" i="1"/>
  <c r="R788" i="1" s="1"/>
  <c r="O789" i="1"/>
  <c r="R789" i="1" s="1"/>
  <c r="O790" i="1"/>
  <c r="R790" i="1" s="1"/>
  <c r="O791" i="1"/>
  <c r="R791" i="1" s="1"/>
  <c r="O792" i="1"/>
  <c r="R792" i="1" s="1"/>
  <c r="O793" i="1"/>
  <c r="R793" i="1" s="1"/>
  <c r="O794" i="1"/>
  <c r="R794" i="1" s="1"/>
  <c r="O795" i="1"/>
  <c r="R795" i="1" s="1"/>
  <c r="O796" i="1"/>
  <c r="R796" i="1" s="1"/>
  <c r="O797" i="1"/>
  <c r="R797" i="1" s="1"/>
  <c r="O798" i="1"/>
  <c r="R798" i="1" s="1"/>
  <c r="O799" i="1"/>
  <c r="R799" i="1" s="1"/>
  <c r="O800" i="1"/>
  <c r="R800" i="1" s="1"/>
  <c r="O801" i="1"/>
  <c r="R801" i="1" s="1"/>
  <c r="O802" i="1"/>
  <c r="R802" i="1" s="1"/>
  <c r="O803" i="1"/>
  <c r="R803" i="1" s="1"/>
  <c r="O804" i="1"/>
  <c r="R804" i="1" s="1"/>
  <c r="O805" i="1"/>
  <c r="R805" i="1" s="1"/>
  <c r="O806" i="1"/>
  <c r="R806" i="1" s="1"/>
  <c r="O807" i="1"/>
  <c r="R807" i="1" s="1"/>
  <c r="O808" i="1"/>
  <c r="R808" i="1" s="1"/>
  <c r="O809" i="1"/>
  <c r="R809" i="1" s="1"/>
  <c r="O810" i="1"/>
  <c r="R810" i="1" s="1"/>
  <c r="O811" i="1"/>
  <c r="R811" i="1" s="1"/>
  <c r="O812" i="1"/>
  <c r="R812" i="1" s="1"/>
  <c r="O813" i="1"/>
  <c r="R813" i="1" s="1"/>
  <c r="O814" i="1"/>
  <c r="R814" i="1" s="1"/>
  <c r="O815" i="1"/>
  <c r="R815" i="1" s="1"/>
  <c r="O816" i="1"/>
  <c r="R816" i="1" s="1"/>
  <c r="O817" i="1"/>
  <c r="R817" i="1" s="1"/>
  <c r="O818" i="1"/>
  <c r="R818" i="1" s="1"/>
  <c r="O819" i="1"/>
  <c r="R819" i="1" s="1"/>
  <c r="O820" i="1"/>
  <c r="R820" i="1" s="1"/>
  <c r="O821" i="1"/>
  <c r="R821" i="1" s="1"/>
  <c r="O822" i="1"/>
  <c r="R822" i="1" s="1"/>
  <c r="O823" i="1"/>
  <c r="R823" i="1" s="1"/>
  <c r="O824" i="1"/>
  <c r="R824" i="1" s="1"/>
  <c r="O825" i="1"/>
  <c r="R825" i="1" s="1"/>
  <c r="O826" i="1"/>
  <c r="R826" i="1" s="1"/>
  <c r="O827" i="1"/>
  <c r="R827" i="1" s="1"/>
  <c r="O828" i="1"/>
  <c r="R828" i="1" s="1"/>
  <c r="O829" i="1"/>
  <c r="R829" i="1" s="1"/>
  <c r="O830" i="1"/>
  <c r="R830" i="1" s="1"/>
  <c r="O831" i="1"/>
  <c r="R831" i="1" s="1"/>
  <c r="O832" i="1"/>
  <c r="R832" i="1" s="1"/>
  <c r="O833" i="1"/>
  <c r="R833" i="1" s="1"/>
  <c r="O834" i="1"/>
  <c r="R834" i="1" s="1"/>
  <c r="O835" i="1"/>
  <c r="R835" i="1" s="1"/>
  <c r="O836" i="1"/>
  <c r="R836" i="1" s="1"/>
  <c r="O837" i="1"/>
  <c r="R837" i="1" s="1"/>
  <c r="O838" i="1"/>
  <c r="R838" i="1" s="1"/>
  <c r="O839" i="1"/>
  <c r="R839" i="1" s="1"/>
  <c r="O840" i="1"/>
  <c r="R840" i="1" s="1"/>
  <c r="O841" i="1"/>
  <c r="R841" i="1" s="1"/>
  <c r="O842" i="1"/>
  <c r="R842" i="1" s="1"/>
  <c r="O843" i="1"/>
  <c r="R843" i="1" s="1"/>
  <c r="O844" i="1"/>
  <c r="R844" i="1" s="1"/>
  <c r="O845" i="1"/>
  <c r="R845" i="1" s="1"/>
  <c r="O846" i="1"/>
  <c r="R846" i="1" s="1"/>
  <c r="O847" i="1"/>
  <c r="R847" i="1" s="1"/>
  <c r="O848" i="1"/>
  <c r="R848" i="1" s="1"/>
  <c r="O849" i="1"/>
  <c r="R849" i="1" s="1"/>
  <c r="O850" i="1"/>
  <c r="R850" i="1" s="1"/>
  <c r="O851" i="1"/>
  <c r="R851" i="1" s="1"/>
  <c r="O852" i="1"/>
  <c r="R852" i="1" s="1"/>
  <c r="O853" i="1"/>
  <c r="R853" i="1" s="1"/>
  <c r="O854" i="1"/>
  <c r="R854" i="1" s="1"/>
  <c r="O855" i="1"/>
  <c r="R855" i="1" s="1"/>
  <c r="O856" i="1"/>
  <c r="R856" i="1" s="1"/>
  <c r="O857" i="1"/>
  <c r="R857" i="1" s="1"/>
  <c r="O858" i="1"/>
  <c r="R858" i="1" s="1"/>
  <c r="O859" i="1"/>
  <c r="R859" i="1" s="1"/>
  <c r="O860" i="1"/>
  <c r="R860" i="1" s="1"/>
  <c r="O861" i="1"/>
  <c r="R861" i="1" s="1"/>
  <c r="O862" i="1"/>
  <c r="R862" i="1" s="1"/>
  <c r="O863" i="1"/>
  <c r="R863" i="1" s="1"/>
  <c r="O864" i="1"/>
  <c r="R864" i="1" s="1"/>
  <c r="O865" i="1"/>
  <c r="R865" i="1" s="1"/>
  <c r="O866" i="1"/>
  <c r="R866" i="1" s="1"/>
  <c r="O867" i="1"/>
  <c r="R867" i="1" s="1"/>
  <c r="O868" i="1"/>
  <c r="R868" i="1" s="1"/>
  <c r="O869" i="1"/>
  <c r="R869" i="1" s="1"/>
  <c r="O870" i="1"/>
  <c r="R870" i="1" s="1"/>
  <c r="O871" i="1"/>
  <c r="R871" i="1" s="1"/>
  <c r="O872" i="1"/>
  <c r="R872" i="1" s="1"/>
  <c r="O873" i="1"/>
  <c r="R873" i="1" s="1"/>
  <c r="O874" i="1"/>
  <c r="R874" i="1" s="1"/>
  <c r="O875" i="1"/>
  <c r="R875" i="1" s="1"/>
  <c r="O876" i="1"/>
  <c r="R876" i="1" s="1"/>
  <c r="O877" i="1"/>
  <c r="R877" i="1" s="1"/>
  <c r="O878" i="1"/>
  <c r="R878" i="1" s="1"/>
  <c r="O879" i="1"/>
  <c r="R879" i="1" s="1"/>
  <c r="O880" i="1"/>
  <c r="R880" i="1" s="1"/>
  <c r="O881" i="1"/>
  <c r="R881" i="1" s="1"/>
  <c r="O882" i="1"/>
  <c r="R882" i="1" s="1"/>
  <c r="O883" i="1"/>
  <c r="R883" i="1" s="1"/>
  <c r="O884" i="1"/>
  <c r="R884" i="1" s="1"/>
  <c r="O885" i="1"/>
  <c r="R885" i="1" s="1"/>
  <c r="O886" i="1"/>
  <c r="R886" i="1" s="1"/>
  <c r="O887" i="1"/>
  <c r="R887" i="1" s="1"/>
  <c r="O888" i="1"/>
  <c r="R888" i="1" s="1"/>
  <c r="O889" i="1"/>
  <c r="R889" i="1" s="1"/>
  <c r="O890" i="1"/>
  <c r="R890" i="1" s="1"/>
  <c r="O891" i="1"/>
  <c r="R891" i="1" s="1"/>
  <c r="O892" i="1"/>
  <c r="R892" i="1" s="1"/>
  <c r="O893" i="1"/>
  <c r="R893" i="1" s="1"/>
  <c r="O894" i="1"/>
  <c r="R894" i="1" s="1"/>
  <c r="O895" i="1"/>
  <c r="R895" i="1" s="1"/>
  <c r="O896" i="1"/>
  <c r="R896" i="1" s="1"/>
  <c r="O897" i="1"/>
  <c r="R897" i="1" s="1"/>
  <c r="O898" i="1"/>
  <c r="R898" i="1" s="1"/>
  <c r="O899" i="1"/>
  <c r="R899" i="1" s="1"/>
  <c r="O900" i="1"/>
  <c r="R900" i="1" s="1"/>
  <c r="O901" i="1"/>
  <c r="R901" i="1" s="1"/>
  <c r="O902" i="1"/>
  <c r="R902" i="1" s="1"/>
  <c r="O903" i="1"/>
  <c r="R903" i="1" s="1"/>
  <c r="O904" i="1"/>
  <c r="R904" i="1" s="1"/>
  <c r="O905" i="1"/>
  <c r="R905" i="1" s="1"/>
  <c r="O906" i="1"/>
  <c r="R906" i="1" s="1"/>
  <c r="O907" i="1"/>
  <c r="R907" i="1" s="1"/>
  <c r="O908" i="1"/>
  <c r="R908" i="1" s="1"/>
  <c r="O909" i="1"/>
  <c r="R909" i="1" s="1"/>
  <c r="O910" i="1"/>
  <c r="R910" i="1" s="1"/>
  <c r="O911" i="1"/>
  <c r="R911" i="1" s="1"/>
  <c r="O912" i="1"/>
  <c r="R912" i="1" s="1"/>
  <c r="O913" i="1"/>
  <c r="R913" i="1" s="1"/>
  <c r="O914" i="1"/>
  <c r="R914" i="1" s="1"/>
  <c r="O915" i="1"/>
  <c r="R915" i="1" s="1"/>
  <c r="O916" i="1"/>
  <c r="R916" i="1" s="1"/>
  <c r="O917" i="1"/>
  <c r="R917" i="1" s="1"/>
  <c r="O918" i="1"/>
  <c r="R918" i="1" s="1"/>
  <c r="O919" i="1"/>
  <c r="R919" i="1" s="1"/>
  <c r="O920" i="1"/>
  <c r="R920" i="1" s="1"/>
  <c r="O921" i="1"/>
  <c r="R921" i="1" s="1"/>
  <c r="O922" i="1"/>
  <c r="R922" i="1" s="1"/>
  <c r="O923" i="1"/>
  <c r="R923" i="1" s="1"/>
  <c r="O924" i="1"/>
  <c r="R924" i="1" s="1"/>
  <c r="O925" i="1"/>
  <c r="R925" i="1" s="1"/>
  <c r="O926" i="1"/>
  <c r="R926" i="1" s="1"/>
  <c r="O927" i="1"/>
  <c r="R927" i="1" s="1"/>
  <c r="O928" i="1"/>
  <c r="R928" i="1" s="1"/>
  <c r="O929" i="1"/>
  <c r="R929" i="1" s="1"/>
  <c r="O930" i="1"/>
  <c r="R930" i="1" s="1"/>
  <c r="O931" i="1"/>
  <c r="R931" i="1" s="1"/>
  <c r="O932" i="1"/>
  <c r="R932" i="1" s="1"/>
  <c r="O933" i="1"/>
  <c r="R933" i="1" s="1"/>
  <c r="O934" i="1"/>
  <c r="R934" i="1" s="1"/>
  <c r="O935" i="1"/>
  <c r="R935" i="1" s="1"/>
  <c r="O936" i="1"/>
  <c r="R936" i="1" s="1"/>
  <c r="O937" i="1"/>
  <c r="R937" i="1" s="1"/>
  <c r="O938" i="1"/>
  <c r="R938" i="1" s="1"/>
  <c r="O939" i="1"/>
  <c r="R939" i="1" s="1"/>
  <c r="O940" i="1"/>
  <c r="R940" i="1" s="1"/>
  <c r="O941" i="1"/>
  <c r="R941" i="1" s="1"/>
  <c r="O942" i="1"/>
  <c r="R942" i="1" s="1"/>
  <c r="O943" i="1"/>
  <c r="R943" i="1" s="1"/>
  <c r="O944" i="1"/>
  <c r="R944" i="1" s="1"/>
  <c r="O945" i="1"/>
  <c r="R945" i="1" s="1"/>
  <c r="O946" i="1"/>
  <c r="R946" i="1" s="1"/>
  <c r="O947" i="1"/>
  <c r="R947" i="1" s="1"/>
  <c r="O948" i="1"/>
  <c r="R948" i="1" s="1"/>
  <c r="O949" i="1"/>
  <c r="R949" i="1" s="1"/>
  <c r="O950" i="1"/>
  <c r="R950" i="1" s="1"/>
  <c r="O951" i="1"/>
  <c r="R951" i="1" s="1"/>
  <c r="O952" i="1"/>
  <c r="R952" i="1" s="1"/>
  <c r="O953" i="1"/>
  <c r="R953" i="1" s="1"/>
  <c r="O954" i="1"/>
  <c r="R954" i="1" s="1"/>
  <c r="O955" i="1"/>
  <c r="R955" i="1" s="1"/>
  <c r="O956" i="1"/>
  <c r="R956" i="1" s="1"/>
  <c r="O957" i="1"/>
  <c r="R957" i="1" s="1"/>
  <c r="O958" i="1"/>
  <c r="R958" i="1" s="1"/>
  <c r="O959" i="1"/>
  <c r="R959" i="1" s="1"/>
  <c r="O960" i="1"/>
  <c r="R960" i="1" s="1"/>
  <c r="O961" i="1"/>
  <c r="R961" i="1" s="1"/>
  <c r="O962" i="1"/>
  <c r="R962" i="1" s="1"/>
  <c r="O963" i="1"/>
  <c r="R963" i="1" s="1"/>
  <c r="O964" i="1"/>
  <c r="R964" i="1" s="1"/>
  <c r="O965" i="1"/>
  <c r="R965" i="1" s="1"/>
  <c r="O966" i="1"/>
  <c r="R966" i="1" s="1"/>
  <c r="O967" i="1"/>
  <c r="R967" i="1" s="1"/>
  <c r="O968" i="1"/>
  <c r="R968" i="1" s="1"/>
  <c r="O969" i="1"/>
  <c r="R969" i="1" s="1"/>
  <c r="O970" i="1"/>
  <c r="R970" i="1" s="1"/>
  <c r="O971" i="1"/>
  <c r="R971" i="1" s="1"/>
  <c r="O972" i="1"/>
  <c r="R972" i="1" s="1"/>
  <c r="O973" i="1"/>
  <c r="R973" i="1" s="1"/>
  <c r="O974" i="1"/>
  <c r="R974" i="1" s="1"/>
  <c r="O975" i="1"/>
  <c r="R975" i="1" s="1"/>
  <c r="O976" i="1"/>
  <c r="R976" i="1" s="1"/>
  <c r="O977" i="1"/>
  <c r="R977" i="1" s="1"/>
  <c r="O978" i="1"/>
  <c r="R978" i="1" s="1"/>
  <c r="O979" i="1"/>
  <c r="R979" i="1" s="1"/>
  <c r="O980" i="1"/>
  <c r="R980" i="1" s="1"/>
  <c r="O981" i="1"/>
  <c r="R981" i="1" s="1"/>
  <c r="O982" i="1"/>
  <c r="R982" i="1" s="1"/>
  <c r="O983" i="1"/>
  <c r="R983" i="1" s="1"/>
  <c r="O984" i="1"/>
  <c r="R984" i="1" s="1"/>
  <c r="O985" i="1"/>
  <c r="R985" i="1" s="1"/>
  <c r="O986" i="1"/>
  <c r="R986" i="1" s="1"/>
  <c r="O987" i="1"/>
  <c r="R987" i="1" s="1"/>
  <c r="O988" i="1"/>
  <c r="R988" i="1" s="1"/>
  <c r="O989" i="1"/>
  <c r="R989" i="1" s="1"/>
  <c r="O990" i="1"/>
  <c r="R990" i="1" s="1"/>
  <c r="O991" i="1"/>
  <c r="R991" i="1" s="1"/>
  <c r="O992" i="1"/>
  <c r="R992" i="1" s="1"/>
  <c r="O993" i="1"/>
  <c r="R993" i="1" s="1"/>
  <c r="O994" i="1"/>
  <c r="R994" i="1" s="1"/>
  <c r="O995" i="1"/>
  <c r="R995" i="1" s="1"/>
  <c r="O996" i="1"/>
  <c r="R996" i="1" s="1"/>
  <c r="O997" i="1"/>
  <c r="R997" i="1" s="1"/>
  <c r="O998" i="1"/>
  <c r="R998" i="1" s="1"/>
  <c r="O999" i="1"/>
  <c r="R999" i="1" s="1"/>
  <c r="O1000" i="1"/>
  <c r="R1000" i="1" s="1"/>
  <c r="O1001" i="1"/>
  <c r="R1001" i="1" s="1"/>
  <c r="O1002" i="1"/>
  <c r="R1002" i="1" s="1"/>
  <c r="O1003" i="1"/>
  <c r="R1003" i="1" s="1"/>
  <c r="O1004" i="1"/>
  <c r="R1004" i="1" s="1"/>
  <c r="O1005" i="1"/>
  <c r="R1005" i="1" s="1"/>
  <c r="O1006" i="1"/>
  <c r="R1006" i="1" s="1"/>
  <c r="O1007" i="1"/>
  <c r="R1007" i="1" s="1"/>
  <c r="O1008" i="1"/>
  <c r="R1008" i="1" s="1"/>
  <c r="O1009" i="1"/>
  <c r="R1009" i="1" s="1"/>
  <c r="O1010" i="1"/>
  <c r="R1010" i="1" s="1"/>
  <c r="O1011" i="1"/>
  <c r="R1011" i="1" s="1"/>
  <c r="O1012" i="1"/>
  <c r="R1012" i="1" s="1"/>
  <c r="O1013" i="1"/>
  <c r="R1013" i="1" s="1"/>
  <c r="O1014" i="1"/>
  <c r="R1014" i="1" s="1"/>
  <c r="O1015" i="1"/>
  <c r="R1015" i="1" s="1"/>
  <c r="O724" i="1"/>
  <c r="R724" i="1" s="1"/>
  <c r="B40" i="24" l="1"/>
  <c r="O680" i="1" l="1"/>
  <c r="O678" i="1"/>
  <c r="A1" i="18" l="1"/>
  <c r="E642" i="27" l="1"/>
  <c r="E51" i="5" l="1"/>
  <c r="D3" i="3"/>
  <c r="D126" i="5" l="1"/>
  <c r="G44" i="5" s="1"/>
  <c r="D123" i="5"/>
  <c r="G43" i="5" s="1"/>
  <c r="I12" i="5" s="1"/>
  <c r="I14" i="3"/>
  <c r="O630" i="1" l="1"/>
  <c r="D120" i="5" l="1"/>
  <c r="G42" i="5" s="1"/>
  <c r="D117" i="5"/>
  <c r="G41" i="5" s="1"/>
  <c r="D114" i="5"/>
  <c r="G40" i="5" s="1"/>
  <c r="E111" i="5"/>
  <c r="D111" i="5"/>
  <c r="G39" i="5" s="1"/>
  <c r="I13" i="5" l="1"/>
  <c r="B622" i="27"/>
  <c r="C622" i="27"/>
  <c r="D622" i="27"/>
  <c r="E622" i="27"/>
  <c r="F622" i="27"/>
  <c r="B623" i="27"/>
  <c r="C623" i="27"/>
  <c r="D623" i="27"/>
  <c r="E623" i="27"/>
  <c r="F623" i="27"/>
  <c r="B624" i="27"/>
  <c r="C624" i="27"/>
  <c r="D624" i="27"/>
  <c r="E624" i="27"/>
  <c r="F624" i="27"/>
  <c r="B625" i="27"/>
  <c r="C625" i="27"/>
  <c r="D625" i="27"/>
  <c r="E625" i="27"/>
  <c r="F625" i="27"/>
  <c r="B626" i="27"/>
  <c r="C626" i="27"/>
  <c r="D626" i="27"/>
  <c r="E626" i="27"/>
  <c r="F626" i="27"/>
  <c r="B627" i="27"/>
  <c r="C627" i="27"/>
  <c r="D627" i="27"/>
  <c r="E627" i="27"/>
  <c r="F627" i="27"/>
  <c r="B628" i="27"/>
  <c r="C628" i="27"/>
  <c r="D628" i="27"/>
  <c r="E628" i="27"/>
  <c r="F628" i="27"/>
  <c r="B629" i="27"/>
  <c r="C629" i="27"/>
  <c r="D629" i="27"/>
  <c r="E629" i="27"/>
  <c r="F629" i="27"/>
  <c r="B630" i="27"/>
  <c r="C630" i="27"/>
  <c r="D630" i="27"/>
  <c r="E630" i="27"/>
  <c r="F630" i="27"/>
  <c r="B631" i="27"/>
  <c r="C631" i="27"/>
  <c r="D631" i="27"/>
  <c r="E631" i="27"/>
  <c r="F631" i="27"/>
  <c r="B632" i="27"/>
  <c r="C632" i="27"/>
  <c r="D632" i="27"/>
  <c r="E632" i="27"/>
  <c r="F632" i="27"/>
  <c r="B633" i="27"/>
  <c r="C633" i="27"/>
  <c r="D633" i="27"/>
  <c r="E633" i="27"/>
  <c r="F633" i="27"/>
  <c r="B634" i="27"/>
  <c r="C634" i="27"/>
  <c r="D634" i="27"/>
  <c r="E634" i="27"/>
  <c r="F634" i="27"/>
  <c r="B635" i="27"/>
  <c r="C635" i="27"/>
  <c r="D635" i="27"/>
  <c r="E635" i="27"/>
  <c r="F635" i="27"/>
  <c r="B636" i="27"/>
  <c r="C636" i="27"/>
  <c r="D636" i="27"/>
  <c r="E636" i="27"/>
  <c r="F636" i="27"/>
  <c r="B637" i="27"/>
  <c r="C637" i="27"/>
  <c r="D637" i="27"/>
  <c r="E637" i="27"/>
  <c r="F637" i="27"/>
  <c r="B638" i="27"/>
  <c r="C638" i="27"/>
  <c r="D638" i="27"/>
  <c r="E638" i="27"/>
  <c r="F638" i="27"/>
  <c r="B639" i="27"/>
  <c r="C639" i="27"/>
  <c r="D639" i="27"/>
  <c r="E639" i="27"/>
  <c r="F639" i="27"/>
  <c r="B640" i="27"/>
  <c r="C640" i="27"/>
  <c r="D640" i="27"/>
  <c r="E640" i="27"/>
  <c r="F640" i="27"/>
  <c r="B641" i="27"/>
  <c r="C641" i="27"/>
  <c r="D641" i="27"/>
  <c r="E641" i="27"/>
  <c r="F641" i="27"/>
  <c r="B642" i="27"/>
  <c r="C642" i="27"/>
  <c r="D642" i="27"/>
  <c r="F642" i="27"/>
  <c r="B643" i="27"/>
  <c r="C643" i="27"/>
  <c r="D643" i="27"/>
  <c r="E643" i="27"/>
  <c r="F643" i="27"/>
  <c r="B644" i="27"/>
  <c r="C644" i="27"/>
  <c r="D644" i="27"/>
  <c r="E644" i="27"/>
  <c r="F644" i="27"/>
  <c r="B645" i="27"/>
  <c r="C645" i="27"/>
  <c r="D645" i="27"/>
  <c r="E645" i="27"/>
  <c r="F645" i="27"/>
  <c r="B646" i="27"/>
  <c r="C646" i="27"/>
  <c r="D646" i="27"/>
  <c r="E646" i="27"/>
  <c r="F646" i="27"/>
  <c r="B647" i="27"/>
  <c r="C647" i="27"/>
  <c r="D647" i="27"/>
  <c r="E647" i="27"/>
  <c r="F647" i="27"/>
  <c r="B648" i="27"/>
  <c r="C648" i="27"/>
  <c r="D648" i="27"/>
  <c r="E648" i="27"/>
  <c r="F648" i="27"/>
  <c r="B649" i="27"/>
  <c r="C649" i="27"/>
  <c r="D649" i="27"/>
  <c r="E649" i="27"/>
  <c r="F649" i="27"/>
  <c r="B650" i="27"/>
  <c r="C650" i="27"/>
  <c r="D650" i="27"/>
  <c r="E650" i="27"/>
  <c r="F650" i="27"/>
  <c r="B651" i="27"/>
  <c r="C651" i="27"/>
  <c r="D651" i="27"/>
  <c r="E651" i="27"/>
  <c r="F651" i="27"/>
  <c r="B652" i="27"/>
  <c r="C652" i="27"/>
  <c r="D652" i="27"/>
  <c r="E652" i="27"/>
  <c r="F652" i="27"/>
  <c r="B653" i="27"/>
  <c r="C653" i="27"/>
  <c r="D653" i="27"/>
  <c r="E653" i="27"/>
  <c r="F653" i="27"/>
  <c r="B654" i="27"/>
  <c r="C654" i="27"/>
  <c r="D654" i="27"/>
  <c r="E654" i="27"/>
  <c r="F654" i="27"/>
  <c r="B655" i="27"/>
  <c r="C655" i="27"/>
  <c r="D655" i="27"/>
  <c r="E655" i="27"/>
  <c r="F655" i="27"/>
  <c r="B656" i="27"/>
  <c r="C656" i="27"/>
  <c r="D656" i="27"/>
  <c r="E656" i="27"/>
  <c r="F656" i="27"/>
  <c r="B657" i="27"/>
  <c r="C657" i="27"/>
  <c r="D657" i="27"/>
  <c r="E657" i="27"/>
  <c r="F657" i="27"/>
  <c r="B658" i="27"/>
  <c r="C658" i="27"/>
  <c r="D658" i="27"/>
  <c r="E658" i="27"/>
  <c r="F658" i="27"/>
  <c r="B659" i="27"/>
  <c r="C659" i="27"/>
  <c r="D659" i="27"/>
  <c r="E659" i="27"/>
  <c r="F659" i="27"/>
  <c r="B660" i="27"/>
  <c r="C660" i="27"/>
  <c r="D660" i="27"/>
  <c r="E660" i="27"/>
  <c r="F660" i="27"/>
  <c r="B661" i="27"/>
  <c r="C661" i="27"/>
  <c r="D661" i="27"/>
  <c r="E661" i="27"/>
  <c r="F661" i="27"/>
  <c r="B662" i="27"/>
  <c r="C662" i="27"/>
  <c r="D662" i="27"/>
  <c r="E662" i="27"/>
  <c r="F662" i="27"/>
  <c r="B663" i="27"/>
  <c r="C663" i="27"/>
  <c r="D663" i="27"/>
  <c r="E663" i="27"/>
  <c r="F663" i="27"/>
  <c r="B664" i="27"/>
  <c r="C664" i="27"/>
  <c r="D664" i="27"/>
  <c r="E664" i="27"/>
  <c r="F664" i="27"/>
  <c r="B665" i="27"/>
  <c r="C665" i="27"/>
  <c r="D665" i="27"/>
  <c r="E665" i="27"/>
  <c r="F665" i="27"/>
  <c r="B666" i="27"/>
  <c r="C666" i="27"/>
  <c r="D666" i="27"/>
  <c r="E666" i="27"/>
  <c r="F666" i="27"/>
  <c r="B667" i="27"/>
  <c r="C667" i="27"/>
  <c r="D667" i="27"/>
  <c r="E667" i="27"/>
  <c r="F667" i="27"/>
  <c r="B668" i="27"/>
  <c r="C668" i="27"/>
  <c r="D668" i="27"/>
  <c r="E668" i="27"/>
  <c r="F668" i="27"/>
  <c r="B669" i="27"/>
  <c r="C669" i="27"/>
  <c r="D669" i="27"/>
  <c r="E669" i="27"/>
  <c r="F669" i="27"/>
  <c r="B670" i="27"/>
  <c r="C670" i="27"/>
  <c r="D670" i="27"/>
  <c r="E670" i="27"/>
  <c r="F670" i="27"/>
  <c r="B671" i="27"/>
  <c r="C671" i="27"/>
  <c r="D671" i="27"/>
  <c r="E671" i="27"/>
  <c r="F671" i="27"/>
  <c r="B672" i="27"/>
  <c r="C672" i="27"/>
  <c r="D672" i="27"/>
  <c r="E672" i="27"/>
  <c r="F672" i="27"/>
  <c r="B673" i="27"/>
  <c r="C673" i="27"/>
  <c r="D673" i="27"/>
  <c r="E673" i="27"/>
  <c r="F673" i="27"/>
  <c r="B674" i="27"/>
  <c r="C674" i="27"/>
  <c r="D674" i="27"/>
  <c r="E674" i="27"/>
  <c r="F674" i="27"/>
  <c r="B675" i="27"/>
  <c r="C675" i="27"/>
  <c r="D675" i="27"/>
  <c r="E675" i="27"/>
  <c r="F675" i="27"/>
  <c r="B676" i="27"/>
  <c r="C676" i="27"/>
  <c r="D676" i="27"/>
  <c r="E676" i="27"/>
  <c r="F676" i="27"/>
  <c r="B677" i="27"/>
  <c r="C677" i="27"/>
  <c r="D677" i="27"/>
  <c r="E677" i="27"/>
  <c r="F677" i="27"/>
  <c r="B678" i="27"/>
  <c r="C678" i="27"/>
  <c r="D678" i="27"/>
  <c r="E678" i="27"/>
  <c r="F678" i="27"/>
  <c r="B679" i="27"/>
  <c r="C679" i="27"/>
  <c r="D679" i="27"/>
  <c r="E679" i="27"/>
  <c r="F679" i="27"/>
  <c r="B680" i="27"/>
  <c r="C680" i="27"/>
  <c r="D680" i="27"/>
  <c r="E680" i="27"/>
  <c r="F680" i="27"/>
  <c r="B681" i="27"/>
  <c r="C681" i="27"/>
  <c r="D681" i="27"/>
  <c r="E681" i="27"/>
  <c r="F681" i="27"/>
  <c r="B682" i="27"/>
  <c r="C682" i="27"/>
  <c r="D682" i="27"/>
  <c r="E682" i="27"/>
  <c r="F682" i="27"/>
  <c r="B683" i="27"/>
  <c r="C683" i="27"/>
  <c r="D683" i="27"/>
  <c r="E683" i="27"/>
  <c r="F683" i="27"/>
  <c r="B684" i="27"/>
  <c r="C684" i="27"/>
  <c r="D684" i="27"/>
  <c r="E684" i="27"/>
  <c r="F684" i="27"/>
  <c r="B685" i="27"/>
  <c r="C685" i="27"/>
  <c r="D685" i="27"/>
  <c r="E685" i="27"/>
  <c r="F685" i="27"/>
  <c r="B686" i="27"/>
  <c r="C686" i="27"/>
  <c r="D686" i="27"/>
  <c r="E686" i="27"/>
  <c r="F686" i="27"/>
  <c r="B687" i="27"/>
  <c r="C687" i="27"/>
  <c r="D687" i="27"/>
  <c r="E687" i="27"/>
  <c r="F687" i="27"/>
  <c r="B688" i="27"/>
  <c r="C688" i="27"/>
  <c r="D688" i="27"/>
  <c r="E688" i="27"/>
  <c r="F688" i="27"/>
  <c r="B689" i="27"/>
  <c r="C689" i="27"/>
  <c r="D689" i="27"/>
  <c r="E689" i="27"/>
  <c r="F689" i="27"/>
  <c r="B690" i="27"/>
  <c r="C690" i="27"/>
  <c r="D690" i="27"/>
  <c r="E690" i="27"/>
  <c r="F690" i="27"/>
  <c r="B691" i="27"/>
  <c r="C691" i="27"/>
  <c r="D691" i="27"/>
  <c r="E691" i="27"/>
  <c r="F691" i="27"/>
  <c r="B692" i="27"/>
  <c r="C692" i="27"/>
  <c r="D692" i="27"/>
  <c r="E692" i="27"/>
  <c r="F692" i="27"/>
  <c r="B693" i="27"/>
  <c r="C693" i="27"/>
  <c r="D693" i="27"/>
  <c r="E693" i="27"/>
  <c r="F693" i="27"/>
  <c r="B694" i="27"/>
  <c r="C694" i="27"/>
  <c r="D694" i="27"/>
  <c r="E694" i="27"/>
  <c r="F694" i="27"/>
  <c r="B695" i="27"/>
  <c r="C695" i="27"/>
  <c r="D695" i="27"/>
  <c r="E695" i="27"/>
  <c r="F695" i="27"/>
  <c r="B696" i="27"/>
  <c r="C696" i="27"/>
  <c r="D696" i="27"/>
  <c r="E696" i="27"/>
  <c r="F696" i="27"/>
  <c r="B697" i="27"/>
  <c r="C697" i="27"/>
  <c r="D697" i="27"/>
  <c r="E697" i="27"/>
  <c r="F697" i="27"/>
  <c r="B698" i="27"/>
  <c r="C698" i="27"/>
  <c r="D698" i="27"/>
  <c r="E698" i="27"/>
  <c r="F698" i="27"/>
  <c r="B699" i="27"/>
  <c r="C699" i="27"/>
  <c r="D699" i="27"/>
  <c r="E699" i="27"/>
  <c r="F699" i="27"/>
  <c r="B700" i="27"/>
  <c r="C700" i="27"/>
  <c r="D700" i="27"/>
  <c r="E700" i="27"/>
  <c r="F700" i="27"/>
  <c r="B701" i="27"/>
  <c r="C701" i="27"/>
  <c r="D701" i="27"/>
  <c r="E701" i="27"/>
  <c r="F701" i="27"/>
  <c r="B702" i="27"/>
  <c r="C702" i="27"/>
  <c r="D702" i="27"/>
  <c r="E702" i="27"/>
  <c r="F702" i="27"/>
  <c r="B703" i="27"/>
  <c r="C703" i="27"/>
  <c r="D703" i="27"/>
  <c r="E703" i="27"/>
  <c r="F703" i="27"/>
  <c r="B704" i="27"/>
  <c r="C704" i="27"/>
  <c r="D704" i="27"/>
  <c r="E704" i="27"/>
  <c r="F704" i="27"/>
  <c r="B705" i="27"/>
  <c r="C705" i="27"/>
  <c r="D705" i="27"/>
  <c r="E705" i="27"/>
  <c r="F705" i="27"/>
  <c r="B706" i="27"/>
  <c r="C706" i="27"/>
  <c r="D706" i="27"/>
  <c r="E706" i="27"/>
  <c r="F706" i="27"/>
  <c r="B707" i="27"/>
  <c r="C707" i="27"/>
  <c r="D707" i="27"/>
  <c r="E707" i="27"/>
  <c r="F707" i="27"/>
  <c r="B708" i="27"/>
  <c r="C708" i="27"/>
  <c r="D708" i="27"/>
  <c r="E708" i="27"/>
  <c r="F708" i="27"/>
  <c r="B709" i="27"/>
  <c r="C709" i="27"/>
  <c r="D709" i="27"/>
  <c r="E709" i="27"/>
  <c r="F709" i="27"/>
  <c r="B710" i="27"/>
  <c r="C710" i="27"/>
  <c r="D710" i="27"/>
  <c r="E710" i="27"/>
  <c r="F710" i="27"/>
  <c r="B711" i="27"/>
  <c r="C711" i="27"/>
  <c r="D711" i="27"/>
  <c r="E711" i="27"/>
  <c r="F711" i="27"/>
  <c r="B712" i="27"/>
  <c r="C712" i="27"/>
  <c r="D712" i="27"/>
  <c r="E712" i="27"/>
  <c r="F712" i="27"/>
  <c r="B713" i="27"/>
  <c r="C713" i="27"/>
  <c r="D713" i="27"/>
  <c r="E713" i="27"/>
  <c r="F713" i="27"/>
  <c r="B714" i="27"/>
  <c r="C714" i="27"/>
  <c r="D714" i="27"/>
  <c r="E714" i="27"/>
  <c r="F714" i="27"/>
  <c r="B715" i="27"/>
  <c r="C715" i="27"/>
  <c r="D715" i="27"/>
  <c r="E715" i="27"/>
  <c r="F715" i="27"/>
  <c r="B716" i="27"/>
  <c r="C716" i="27"/>
  <c r="D716" i="27"/>
  <c r="E716" i="27"/>
  <c r="F716" i="27"/>
  <c r="B717" i="27"/>
  <c r="C717" i="27"/>
  <c r="D717" i="27"/>
  <c r="E717" i="27"/>
  <c r="F717" i="27"/>
  <c r="B718" i="27"/>
  <c r="C718" i="27"/>
  <c r="D718" i="27"/>
  <c r="E718" i="27"/>
  <c r="F718" i="27"/>
  <c r="B719" i="27"/>
  <c r="C719" i="27"/>
  <c r="D719" i="27"/>
  <c r="E719" i="27"/>
  <c r="F719" i="27"/>
  <c r="B720" i="27"/>
  <c r="C720" i="27"/>
  <c r="D720" i="27"/>
  <c r="E720" i="27"/>
  <c r="F720" i="27"/>
  <c r="B721" i="27"/>
  <c r="C721" i="27"/>
  <c r="D721" i="27"/>
  <c r="E721" i="27"/>
  <c r="F721" i="27"/>
  <c r="B722" i="27"/>
  <c r="C722" i="27"/>
  <c r="D722" i="27"/>
  <c r="E722" i="27"/>
  <c r="F722" i="27"/>
  <c r="B723" i="27"/>
  <c r="C723" i="27"/>
  <c r="D723" i="27"/>
  <c r="E723" i="27"/>
  <c r="F723" i="27"/>
  <c r="B724" i="27"/>
  <c r="C724" i="27"/>
  <c r="D724" i="27"/>
  <c r="E724" i="27"/>
  <c r="F724" i="27"/>
  <c r="B725" i="27"/>
  <c r="C725" i="27"/>
  <c r="D725" i="27"/>
  <c r="E725" i="27"/>
  <c r="F725" i="27"/>
  <c r="B726" i="27"/>
  <c r="C726" i="27"/>
  <c r="D726" i="27"/>
  <c r="E726" i="27"/>
  <c r="F726" i="27"/>
  <c r="B727" i="27"/>
  <c r="C727" i="27"/>
  <c r="D727" i="27"/>
  <c r="E727" i="27"/>
  <c r="F727" i="27"/>
  <c r="B728" i="27"/>
  <c r="C728" i="27"/>
  <c r="D728" i="27"/>
  <c r="E728" i="27"/>
  <c r="F728" i="27"/>
  <c r="B729" i="27"/>
  <c r="C729" i="27"/>
  <c r="D729" i="27"/>
  <c r="E729" i="27"/>
  <c r="F729" i="27"/>
  <c r="B730" i="27"/>
  <c r="C730" i="27"/>
  <c r="D730" i="27"/>
  <c r="E730" i="27"/>
  <c r="F730" i="27"/>
  <c r="B731" i="27"/>
  <c r="C731" i="27"/>
  <c r="D731" i="27"/>
  <c r="E731" i="27"/>
  <c r="F731" i="27"/>
  <c r="B732" i="27"/>
  <c r="C732" i="27"/>
  <c r="D732" i="27"/>
  <c r="E732" i="27"/>
  <c r="F732" i="27"/>
  <c r="B733" i="27"/>
  <c r="C733" i="27"/>
  <c r="D733" i="27"/>
  <c r="E733" i="27"/>
  <c r="F733" i="27"/>
  <c r="B734" i="27"/>
  <c r="C734" i="27"/>
  <c r="D734" i="27"/>
  <c r="E734" i="27"/>
  <c r="F734" i="27"/>
  <c r="B735" i="27"/>
  <c r="C735" i="27"/>
  <c r="D735" i="27"/>
  <c r="E735" i="27"/>
  <c r="F735" i="27"/>
  <c r="B736" i="27"/>
  <c r="C736" i="27"/>
  <c r="D736" i="27"/>
  <c r="E736" i="27"/>
  <c r="F736" i="27"/>
  <c r="B737" i="27"/>
  <c r="C737" i="27"/>
  <c r="D737" i="27"/>
  <c r="E737" i="27"/>
  <c r="F737" i="27"/>
  <c r="B738" i="27"/>
  <c r="C738" i="27"/>
  <c r="D738" i="27"/>
  <c r="E738" i="27"/>
  <c r="F738" i="27"/>
  <c r="B739" i="27"/>
  <c r="C739" i="27"/>
  <c r="D739" i="27"/>
  <c r="E739" i="27"/>
  <c r="F739" i="27"/>
  <c r="B740" i="27"/>
  <c r="C740" i="27"/>
  <c r="D740" i="27"/>
  <c r="E740" i="27"/>
  <c r="F740" i="27"/>
  <c r="B741" i="27"/>
  <c r="C741" i="27"/>
  <c r="D741" i="27"/>
  <c r="E741" i="27"/>
  <c r="F741" i="27"/>
  <c r="B742" i="27"/>
  <c r="C742" i="27"/>
  <c r="D742" i="27"/>
  <c r="E742" i="27"/>
  <c r="F742" i="27"/>
  <c r="B743" i="27"/>
  <c r="C743" i="27"/>
  <c r="D743" i="27"/>
  <c r="E743" i="27"/>
  <c r="F743" i="27"/>
  <c r="B744" i="27"/>
  <c r="C744" i="27"/>
  <c r="D744" i="27"/>
  <c r="E744" i="27"/>
  <c r="F744" i="27"/>
  <c r="B745" i="27"/>
  <c r="C745" i="27"/>
  <c r="D745" i="27"/>
  <c r="E745" i="27"/>
  <c r="F745" i="27"/>
  <c r="B746" i="27"/>
  <c r="C746" i="27"/>
  <c r="D746" i="27"/>
  <c r="E746" i="27"/>
  <c r="F746" i="27"/>
  <c r="B747" i="27"/>
  <c r="C747" i="27"/>
  <c r="D747" i="27"/>
  <c r="E747" i="27"/>
  <c r="F747" i="27"/>
  <c r="B748" i="27"/>
  <c r="C748" i="27"/>
  <c r="D748" i="27"/>
  <c r="E748" i="27"/>
  <c r="F748" i="27"/>
  <c r="B749" i="27"/>
  <c r="C749" i="27"/>
  <c r="D749" i="27"/>
  <c r="E749" i="27"/>
  <c r="F749" i="27"/>
  <c r="B750" i="27"/>
  <c r="C750" i="27"/>
  <c r="D750" i="27"/>
  <c r="E750" i="27"/>
  <c r="F750" i="27"/>
  <c r="B751" i="27"/>
  <c r="C751" i="27"/>
  <c r="D751" i="27"/>
  <c r="E751" i="27"/>
  <c r="F751" i="27"/>
  <c r="B752" i="27"/>
  <c r="C752" i="27"/>
  <c r="D752" i="27"/>
  <c r="E752" i="27"/>
  <c r="F752" i="27"/>
  <c r="B753" i="27"/>
  <c r="C753" i="27"/>
  <c r="D753" i="27"/>
  <c r="E753" i="27"/>
  <c r="F753" i="27"/>
  <c r="B754" i="27"/>
  <c r="C754" i="27"/>
  <c r="D754" i="27"/>
  <c r="E754" i="27"/>
  <c r="F754" i="27"/>
  <c r="B755" i="27"/>
  <c r="C755" i="27"/>
  <c r="D755" i="27"/>
  <c r="E755" i="27"/>
  <c r="F755" i="27"/>
  <c r="B756" i="27"/>
  <c r="C756" i="27"/>
  <c r="D756" i="27"/>
  <c r="E756" i="27"/>
  <c r="F756" i="27"/>
  <c r="B757" i="27"/>
  <c r="C757" i="27"/>
  <c r="D757" i="27"/>
  <c r="E757" i="27"/>
  <c r="F757" i="27"/>
  <c r="B758" i="27"/>
  <c r="C758" i="27"/>
  <c r="D758" i="27"/>
  <c r="E758" i="27"/>
  <c r="F758" i="27"/>
  <c r="B759" i="27"/>
  <c r="C759" i="27"/>
  <c r="D759" i="27"/>
  <c r="E759" i="27"/>
  <c r="F759" i="27"/>
  <c r="B760" i="27"/>
  <c r="C760" i="27"/>
  <c r="D760" i="27"/>
  <c r="E760" i="27"/>
  <c r="F760" i="27"/>
  <c r="B761" i="27"/>
  <c r="C761" i="27"/>
  <c r="D761" i="27"/>
  <c r="E761" i="27"/>
  <c r="F761" i="27"/>
  <c r="B762" i="27"/>
  <c r="C762" i="27"/>
  <c r="D762" i="27"/>
  <c r="E762" i="27"/>
  <c r="F762" i="27"/>
  <c r="B763" i="27"/>
  <c r="C763" i="27"/>
  <c r="D763" i="27"/>
  <c r="E763" i="27"/>
  <c r="F763" i="27"/>
  <c r="B764" i="27"/>
  <c r="C764" i="27"/>
  <c r="D764" i="27"/>
  <c r="E764" i="27"/>
  <c r="F764" i="27"/>
  <c r="B765" i="27"/>
  <c r="C765" i="27"/>
  <c r="D765" i="27"/>
  <c r="E765" i="27"/>
  <c r="F765" i="27"/>
  <c r="B766" i="27"/>
  <c r="C766" i="27"/>
  <c r="D766" i="27"/>
  <c r="E766" i="27"/>
  <c r="F766" i="27"/>
  <c r="B767" i="27"/>
  <c r="C767" i="27"/>
  <c r="D767" i="27"/>
  <c r="E767" i="27"/>
  <c r="F767" i="27"/>
  <c r="B768" i="27"/>
  <c r="C768" i="27"/>
  <c r="D768" i="27"/>
  <c r="E768" i="27"/>
  <c r="F768" i="27"/>
  <c r="B769" i="27"/>
  <c r="C769" i="27"/>
  <c r="D769" i="27"/>
  <c r="E769" i="27"/>
  <c r="F769" i="27"/>
  <c r="B770" i="27"/>
  <c r="C770" i="27"/>
  <c r="D770" i="27"/>
  <c r="E770" i="27"/>
  <c r="F770" i="27"/>
  <c r="B771" i="27"/>
  <c r="C771" i="27"/>
  <c r="D771" i="27"/>
  <c r="E771" i="27"/>
  <c r="F771" i="27"/>
  <c r="B772" i="27"/>
  <c r="C772" i="27"/>
  <c r="D772" i="27"/>
  <c r="E772" i="27"/>
  <c r="F772" i="27"/>
  <c r="B773" i="27"/>
  <c r="C773" i="27"/>
  <c r="D773" i="27"/>
  <c r="E773" i="27"/>
  <c r="F773" i="27"/>
  <c r="B774" i="27"/>
  <c r="C774" i="27"/>
  <c r="D774" i="27"/>
  <c r="E774" i="27"/>
  <c r="F774" i="27"/>
  <c r="B775" i="27"/>
  <c r="C775" i="27"/>
  <c r="D775" i="27"/>
  <c r="E775" i="27"/>
  <c r="F775" i="27"/>
  <c r="B776" i="27"/>
  <c r="C776" i="27"/>
  <c r="D776" i="27"/>
  <c r="E776" i="27"/>
  <c r="F776" i="27"/>
  <c r="B777" i="27"/>
  <c r="C777" i="27"/>
  <c r="D777" i="27"/>
  <c r="E777" i="27"/>
  <c r="F777" i="27"/>
  <c r="B778" i="27"/>
  <c r="C778" i="27"/>
  <c r="D778" i="27"/>
  <c r="E778" i="27"/>
  <c r="F778" i="27"/>
  <c r="B779" i="27"/>
  <c r="C779" i="27"/>
  <c r="D779" i="27"/>
  <c r="E779" i="27"/>
  <c r="F779" i="27"/>
  <c r="B780" i="27"/>
  <c r="C780" i="27"/>
  <c r="D780" i="27"/>
  <c r="E780" i="27"/>
  <c r="F780" i="27"/>
  <c r="B781" i="27"/>
  <c r="C781" i="27"/>
  <c r="D781" i="27"/>
  <c r="E781" i="27"/>
  <c r="F781" i="27"/>
  <c r="B782" i="27"/>
  <c r="C782" i="27"/>
  <c r="D782" i="27"/>
  <c r="E782" i="27"/>
  <c r="F782" i="27"/>
  <c r="B783" i="27"/>
  <c r="C783" i="27"/>
  <c r="D783" i="27"/>
  <c r="E783" i="27"/>
  <c r="F783" i="27"/>
  <c r="B784" i="27"/>
  <c r="C784" i="27"/>
  <c r="D784" i="27"/>
  <c r="E784" i="27"/>
  <c r="F784" i="27"/>
  <c r="B785" i="27"/>
  <c r="C785" i="27"/>
  <c r="D785" i="27"/>
  <c r="E785" i="27"/>
  <c r="F785" i="27"/>
  <c r="B786" i="27"/>
  <c r="C786" i="27"/>
  <c r="D786" i="27"/>
  <c r="E786" i="27"/>
  <c r="F786" i="27"/>
  <c r="B787" i="27"/>
  <c r="C787" i="27"/>
  <c r="D787" i="27"/>
  <c r="E787" i="27"/>
  <c r="F787" i="27"/>
  <c r="B788" i="27"/>
  <c r="C788" i="27"/>
  <c r="D788" i="27"/>
  <c r="E788" i="27"/>
  <c r="F788" i="27"/>
  <c r="B789" i="27"/>
  <c r="C789" i="27"/>
  <c r="D789" i="27"/>
  <c r="E789" i="27"/>
  <c r="F789" i="27"/>
  <c r="B790" i="27"/>
  <c r="C790" i="27"/>
  <c r="D790" i="27"/>
  <c r="E790" i="27"/>
  <c r="F790" i="27"/>
  <c r="B791" i="27"/>
  <c r="C791" i="27"/>
  <c r="D791" i="27"/>
  <c r="E791" i="27"/>
  <c r="F791" i="27"/>
  <c r="B792" i="27"/>
  <c r="C792" i="27"/>
  <c r="D792" i="27"/>
  <c r="E792" i="27"/>
  <c r="F792" i="27"/>
  <c r="B793" i="27"/>
  <c r="C793" i="27"/>
  <c r="D793" i="27"/>
  <c r="E793" i="27"/>
  <c r="F793" i="27"/>
  <c r="B794" i="27"/>
  <c r="C794" i="27"/>
  <c r="D794" i="27"/>
  <c r="E794" i="27"/>
  <c r="F794" i="27"/>
  <c r="B795" i="27"/>
  <c r="C795" i="27"/>
  <c r="D795" i="27"/>
  <c r="E795" i="27"/>
  <c r="F795" i="27"/>
  <c r="B796" i="27"/>
  <c r="C796" i="27"/>
  <c r="D796" i="27"/>
  <c r="E796" i="27"/>
  <c r="F796" i="27"/>
  <c r="B797" i="27"/>
  <c r="C797" i="27"/>
  <c r="D797" i="27"/>
  <c r="E797" i="27"/>
  <c r="F797" i="27"/>
  <c r="B798" i="27"/>
  <c r="C798" i="27"/>
  <c r="D798" i="27"/>
  <c r="E798" i="27"/>
  <c r="F798" i="27"/>
  <c r="B799" i="27"/>
  <c r="C799" i="27"/>
  <c r="D799" i="27"/>
  <c r="E799" i="27"/>
  <c r="F799" i="27"/>
  <c r="B800" i="27"/>
  <c r="C800" i="27"/>
  <c r="D800" i="27"/>
  <c r="E800" i="27"/>
  <c r="F800" i="27"/>
  <c r="B801" i="27"/>
  <c r="C801" i="27"/>
  <c r="D801" i="27"/>
  <c r="E801" i="27"/>
  <c r="F801" i="27"/>
  <c r="B802" i="27"/>
  <c r="C802" i="27"/>
  <c r="D802" i="27"/>
  <c r="E802" i="27"/>
  <c r="F802" i="27"/>
  <c r="B803" i="27"/>
  <c r="C803" i="27"/>
  <c r="D803" i="27"/>
  <c r="E803" i="27"/>
  <c r="F803" i="27"/>
  <c r="B804" i="27"/>
  <c r="C804" i="27"/>
  <c r="D804" i="27"/>
  <c r="E804" i="27"/>
  <c r="F804" i="27"/>
  <c r="B805" i="27"/>
  <c r="C805" i="27"/>
  <c r="D805" i="27"/>
  <c r="E805" i="27"/>
  <c r="F805" i="27"/>
  <c r="B806" i="27"/>
  <c r="C806" i="27"/>
  <c r="D806" i="27"/>
  <c r="E806" i="27"/>
  <c r="F806" i="27"/>
  <c r="B807" i="27"/>
  <c r="C807" i="27"/>
  <c r="D807" i="27"/>
  <c r="E807" i="27"/>
  <c r="F807" i="27"/>
  <c r="B808" i="27"/>
  <c r="C808" i="27"/>
  <c r="D808" i="27"/>
  <c r="E808" i="27"/>
  <c r="F808" i="27"/>
  <c r="B809" i="27"/>
  <c r="C809" i="27"/>
  <c r="D809" i="27"/>
  <c r="E809" i="27"/>
  <c r="F809" i="27"/>
  <c r="B810" i="27"/>
  <c r="C810" i="27"/>
  <c r="D810" i="27"/>
  <c r="E810" i="27"/>
  <c r="F810" i="27"/>
  <c r="B811" i="27"/>
  <c r="C811" i="27"/>
  <c r="D811" i="27"/>
  <c r="E811" i="27"/>
  <c r="F811" i="27"/>
  <c r="B812" i="27"/>
  <c r="C812" i="27"/>
  <c r="D812" i="27"/>
  <c r="E812" i="27"/>
  <c r="F812" i="27"/>
  <c r="B813" i="27"/>
  <c r="C813" i="27"/>
  <c r="D813" i="27"/>
  <c r="E813" i="27"/>
  <c r="F813" i="27"/>
  <c r="B814" i="27"/>
  <c r="C814" i="27"/>
  <c r="D814" i="27"/>
  <c r="E814" i="27"/>
  <c r="F814" i="27"/>
  <c r="B815" i="27"/>
  <c r="C815" i="27"/>
  <c r="D815" i="27"/>
  <c r="E815" i="27"/>
  <c r="F815" i="27"/>
  <c r="B816" i="27"/>
  <c r="C816" i="27"/>
  <c r="D816" i="27"/>
  <c r="E816" i="27"/>
  <c r="F816" i="27"/>
  <c r="B817" i="27"/>
  <c r="C817" i="27"/>
  <c r="D817" i="27"/>
  <c r="E817" i="27"/>
  <c r="F817" i="27"/>
  <c r="B818" i="27"/>
  <c r="C818" i="27"/>
  <c r="D818" i="27"/>
  <c r="E818" i="27"/>
  <c r="F818" i="27"/>
  <c r="B819" i="27"/>
  <c r="C819" i="27"/>
  <c r="D819" i="27"/>
  <c r="E819" i="27"/>
  <c r="F819" i="27"/>
  <c r="B820" i="27"/>
  <c r="C820" i="27"/>
  <c r="D820" i="27"/>
  <c r="E820" i="27"/>
  <c r="F820" i="27"/>
  <c r="B821" i="27"/>
  <c r="C821" i="27"/>
  <c r="D821" i="27"/>
  <c r="E821" i="27"/>
  <c r="F821" i="27"/>
  <c r="B822" i="27"/>
  <c r="C822" i="27"/>
  <c r="D822" i="27"/>
  <c r="E822" i="27"/>
  <c r="F822" i="27"/>
  <c r="B823" i="27"/>
  <c r="C823" i="27"/>
  <c r="D823" i="27"/>
  <c r="E823" i="27"/>
  <c r="F823" i="27"/>
  <c r="B824" i="27"/>
  <c r="C824" i="27"/>
  <c r="D824" i="27"/>
  <c r="E824" i="27"/>
  <c r="F824" i="27"/>
  <c r="B825" i="27"/>
  <c r="C825" i="27"/>
  <c r="D825" i="27"/>
  <c r="E825" i="27"/>
  <c r="F825" i="27"/>
  <c r="B826" i="27"/>
  <c r="C826" i="27"/>
  <c r="D826" i="27"/>
  <c r="E826" i="27"/>
  <c r="F826" i="27"/>
  <c r="B827" i="27"/>
  <c r="C827" i="27"/>
  <c r="D827" i="27"/>
  <c r="E827" i="27"/>
  <c r="F827" i="27"/>
  <c r="B828" i="27"/>
  <c r="C828" i="27"/>
  <c r="D828" i="27"/>
  <c r="E828" i="27"/>
  <c r="F828" i="27"/>
  <c r="B829" i="27"/>
  <c r="C829" i="27"/>
  <c r="D829" i="27"/>
  <c r="E829" i="27"/>
  <c r="F829" i="27"/>
  <c r="B830" i="27"/>
  <c r="C830" i="27"/>
  <c r="D830" i="27"/>
  <c r="E830" i="27"/>
  <c r="F830" i="27"/>
  <c r="B831" i="27"/>
  <c r="C831" i="27"/>
  <c r="D831" i="27"/>
  <c r="E831" i="27"/>
  <c r="F831" i="27"/>
  <c r="B832" i="27"/>
  <c r="C832" i="27"/>
  <c r="D832" i="27"/>
  <c r="E832" i="27"/>
  <c r="F832" i="27"/>
  <c r="B833" i="27"/>
  <c r="C833" i="27"/>
  <c r="D833" i="27"/>
  <c r="E833" i="27"/>
  <c r="F833" i="27"/>
  <c r="B834" i="27"/>
  <c r="C834" i="27"/>
  <c r="D834" i="27"/>
  <c r="E834" i="27"/>
  <c r="F834" i="27"/>
  <c r="B835" i="27"/>
  <c r="C835" i="27"/>
  <c r="D835" i="27"/>
  <c r="E835" i="27"/>
  <c r="F835" i="27"/>
  <c r="B836" i="27"/>
  <c r="C836" i="27"/>
  <c r="D836" i="27"/>
  <c r="E836" i="27"/>
  <c r="F836" i="27"/>
  <c r="B837" i="27"/>
  <c r="C837" i="27"/>
  <c r="D837" i="27"/>
  <c r="E837" i="27"/>
  <c r="F837" i="27"/>
  <c r="B838" i="27"/>
  <c r="C838" i="27"/>
  <c r="D838" i="27"/>
  <c r="E838" i="27"/>
  <c r="F838" i="27"/>
  <c r="B839" i="27"/>
  <c r="C839" i="27"/>
  <c r="D839" i="27"/>
  <c r="E839" i="27"/>
  <c r="F839" i="27"/>
  <c r="B840" i="27"/>
  <c r="C840" i="27"/>
  <c r="D840" i="27"/>
  <c r="E840" i="27"/>
  <c r="F840" i="27"/>
  <c r="B841" i="27"/>
  <c r="C841" i="27"/>
  <c r="D841" i="27"/>
  <c r="E841" i="27"/>
  <c r="F841" i="27"/>
  <c r="B842" i="27"/>
  <c r="C842" i="27"/>
  <c r="D842" i="27"/>
  <c r="E842" i="27"/>
  <c r="F842" i="27"/>
  <c r="B843" i="27"/>
  <c r="C843" i="27"/>
  <c r="D843" i="27"/>
  <c r="E843" i="27"/>
  <c r="F843" i="27"/>
  <c r="B844" i="27"/>
  <c r="C844" i="27"/>
  <c r="D844" i="27"/>
  <c r="E844" i="27"/>
  <c r="F844" i="27"/>
  <c r="B845" i="27"/>
  <c r="C845" i="27"/>
  <c r="D845" i="27"/>
  <c r="E845" i="27"/>
  <c r="F845" i="27"/>
  <c r="B846" i="27"/>
  <c r="C846" i="27"/>
  <c r="D846" i="27"/>
  <c r="E846" i="27"/>
  <c r="F846" i="27"/>
  <c r="B847" i="27"/>
  <c r="C847" i="27"/>
  <c r="D847" i="27"/>
  <c r="E847" i="27"/>
  <c r="F847" i="27"/>
  <c r="B848" i="27"/>
  <c r="C848" i="27"/>
  <c r="D848" i="27"/>
  <c r="E848" i="27"/>
  <c r="F848" i="27"/>
  <c r="B849" i="27"/>
  <c r="C849" i="27"/>
  <c r="D849" i="27"/>
  <c r="E849" i="27"/>
  <c r="F849" i="27"/>
  <c r="B850" i="27"/>
  <c r="C850" i="27"/>
  <c r="D850" i="27"/>
  <c r="E850" i="27"/>
  <c r="F850" i="27"/>
  <c r="B851" i="27"/>
  <c r="C851" i="27"/>
  <c r="D851" i="27"/>
  <c r="E851" i="27"/>
  <c r="F851" i="27"/>
  <c r="B852" i="27"/>
  <c r="C852" i="27"/>
  <c r="D852" i="27"/>
  <c r="E852" i="27"/>
  <c r="F852" i="27"/>
  <c r="B853" i="27"/>
  <c r="C853" i="27"/>
  <c r="D853" i="27"/>
  <c r="E853" i="27"/>
  <c r="F853" i="27"/>
  <c r="B854" i="27"/>
  <c r="C854" i="27"/>
  <c r="D854" i="27"/>
  <c r="E854" i="27"/>
  <c r="F854" i="27"/>
  <c r="B855" i="27"/>
  <c r="C855" i="27"/>
  <c r="D855" i="27"/>
  <c r="E855" i="27"/>
  <c r="F855" i="27"/>
  <c r="B856" i="27"/>
  <c r="C856" i="27"/>
  <c r="D856" i="27"/>
  <c r="E856" i="27"/>
  <c r="F856" i="27"/>
  <c r="B857" i="27"/>
  <c r="C857" i="27"/>
  <c r="D857" i="27"/>
  <c r="E857" i="27"/>
  <c r="F857" i="27"/>
  <c r="B858" i="27"/>
  <c r="C858" i="27"/>
  <c r="D858" i="27"/>
  <c r="E858" i="27"/>
  <c r="F858" i="27"/>
  <c r="B859" i="27"/>
  <c r="C859" i="27"/>
  <c r="D859" i="27"/>
  <c r="E859" i="27"/>
  <c r="F859" i="27"/>
  <c r="B860" i="27"/>
  <c r="C860" i="27"/>
  <c r="D860" i="27"/>
  <c r="E860" i="27"/>
  <c r="F860" i="27"/>
  <c r="B861" i="27"/>
  <c r="C861" i="27"/>
  <c r="D861" i="27"/>
  <c r="E861" i="27"/>
  <c r="F861" i="27"/>
  <c r="B862" i="27"/>
  <c r="C862" i="27"/>
  <c r="D862" i="27"/>
  <c r="E862" i="27"/>
  <c r="F862" i="27"/>
  <c r="B863" i="27"/>
  <c r="C863" i="27"/>
  <c r="D863" i="27"/>
  <c r="E863" i="27"/>
  <c r="F863" i="27"/>
  <c r="B864" i="27"/>
  <c r="C864" i="27"/>
  <c r="D864" i="27"/>
  <c r="E864" i="27"/>
  <c r="F864" i="27"/>
  <c r="B865" i="27"/>
  <c r="C865" i="27"/>
  <c r="D865" i="27"/>
  <c r="E865" i="27"/>
  <c r="F865" i="27"/>
  <c r="B866" i="27"/>
  <c r="C866" i="27"/>
  <c r="D866" i="27"/>
  <c r="E866" i="27"/>
  <c r="F866" i="27"/>
  <c r="B867" i="27"/>
  <c r="C867" i="27"/>
  <c r="D867" i="27"/>
  <c r="E867" i="27"/>
  <c r="F867" i="27"/>
  <c r="B868" i="27"/>
  <c r="C868" i="27"/>
  <c r="D868" i="27"/>
  <c r="E868" i="27"/>
  <c r="F868" i="27"/>
  <c r="B869" i="27"/>
  <c r="C869" i="27"/>
  <c r="D869" i="27"/>
  <c r="E869" i="27"/>
  <c r="F869" i="27"/>
  <c r="B870" i="27"/>
  <c r="C870" i="27"/>
  <c r="D870" i="27"/>
  <c r="E870" i="27"/>
  <c r="F870" i="27"/>
  <c r="B871" i="27"/>
  <c r="C871" i="27"/>
  <c r="D871" i="27"/>
  <c r="E871" i="27"/>
  <c r="F871" i="27"/>
  <c r="B872" i="27"/>
  <c r="C872" i="27"/>
  <c r="D872" i="27"/>
  <c r="E872" i="27"/>
  <c r="F872" i="27"/>
  <c r="B873" i="27"/>
  <c r="C873" i="27"/>
  <c r="D873" i="27"/>
  <c r="E873" i="27"/>
  <c r="F873" i="27"/>
  <c r="B874" i="27"/>
  <c r="C874" i="27"/>
  <c r="D874" i="27"/>
  <c r="E874" i="27"/>
  <c r="F874" i="27"/>
  <c r="B875" i="27"/>
  <c r="C875" i="27"/>
  <c r="D875" i="27"/>
  <c r="E875" i="27"/>
  <c r="F875" i="27"/>
  <c r="B876" i="27"/>
  <c r="C876" i="27"/>
  <c r="D876" i="27"/>
  <c r="E876" i="27"/>
  <c r="F876" i="27"/>
  <c r="B877" i="27"/>
  <c r="C877" i="27"/>
  <c r="D877" i="27"/>
  <c r="E877" i="27"/>
  <c r="F877" i="27"/>
  <c r="B878" i="27"/>
  <c r="C878" i="27"/>
  <c r="D878" i="27"/>
  <c r="E878" i="27"/>
  <c r="F878" i="27"/>
  <c r="B879" i="27"/>
  <c r="C879" i="27"/>
  <c r="D879" i="27"/>
  <c r="E879" i="27"/>
  <c r="F879" i="27"/>
  <c r="B880" i="27"/>
  <c r="C880" i="27"/>
  <c r="D880" i="27"/>
  <c r="E880" i="27"/>
  <c r="F880" i="27"/>
  <c r="B881" i="27"/>
  <c r="C881" i="27"/>
  <c r="D881" i="27"/>
  <c r="E881" i="27"/>
  <c r="F881" i="27"/>
  <c r="B882" i="27"/>
  <c r="C882" i="27"/>
  <c r="D882" i="27"/>
  <c r="E882" i="27"/>
  <c r="F882" i="27"/>
  <c r="B883" i="27"/>
  <c r="C883" i="27"/>
  <c r="D883" i="27"/>
  <c r="E883" i="27"/>
  <c r="F883" i="27"/>
  <c r="B884" i="27"/>
  <c r="C884" i="27"/>
  <c r="D884" i="27"/>
  <c r="E884" i="27"/>
  <c r="F884" i="27"/>
  <c r="B885" i="27"/>
  <c r="C885" i="27"/>
  <c r="D885" i="27"/>
  <c r="E885" i="27"/>
  <c r="F885" i="27"/>
  <c r="B886" i="27"/>
  <c r="C886" i="27"/>
  <c r="D886" i="27"/>
  <c r="E886" i="27"/>
  <c r="F886" i="27"/>
  <c r="B887" i="27"/>
  <c r="C887" i="27"/>
  <c r="D887" i="27"/>
  <c r="E887" i="27"/>
  <c r="F887" i="27"/>
  <c r="B888" i="27"/>
  <c r="C888" i="27"/>
  <c r="D888" i="27"/>
  <c r="E888" i="27"/>
  <c r="F888" i="27"/>
  <c r="B889" i="27"/>
  <c r="C889" i="27"/>
  <c r="D889" i="27"/>
  <c r="E889" i="27"/>
  <c r="F889" i="27"/>
  <c r="B890" i="27"/>
  <c r="C890" i="27"/>
  <c r="D890" i="27"/>
  <c r="E890" i="27"/>
  <c r="F890" i="27"/>
  <c r="B891" i="27"/>
  <c r="C891" i="27"/>
  <c r="D891" i="27"/>
  <c r="E891" i="27"/>
  <c r="F891" i="27"/>
  <c r="B892" i="27"/>
  <c r="C892" i="27"/>
  <c r="D892" i="27"/>
  <c r="E892" i="27"/>
  <c r="F892" i="27"/>
  <c r="B893" i="27"/>
  <c r="C893" i="27"/>
  <c r="D893" i="27"/>
  <c r="E893" i="27"/>
  <c r="F893" i="27"/>
  <c r="B894" i="27"/>
  <c r="C894" i="27"/>
  <c r="D894" i="27"/>
  <c r="E894" i="27"/>
  <c r="F894" i="27"/>
  <c r="B895" i="27"/>
  <c r="C895" i="27"/>
  <c r="D895" i="27"/>
  <c r="E895" i="27"/>
  <c r="F895" i="27"/>
  <c r="B896" i="27"/>
  <c r="C896" i="27"/>
  <c r="D896" i="27"/>
  <c r="E896" i="27"/>
  <c r="F896" i="27"/>
  <c r="B897" i="27"/>
  <c r="C897" i="27"/>
  <c r="D897" i="27"/>
  <c r="E897" i="27"/>
  <c r="F897" i="27"/>
  <c r="B898" i="27"/>
  <c r="C898" i="27"/>
  <c r="D898" i="27"/>
  <c r="E898" i="27"/>
  <c r="F898" i="27"/>
  <c r="B899" i="27"/>
  <c r="C899" i="27"/>
  <c r="D899" i="27"/>
  <c r="E899" i="27"/>
  <c r="F899" i="27"/>
  <c r="B900" i="27"/>
  <c r="C900" i="27"/>
  <c r="D900" i="27"/>
  <c r="E900" i="27"/>
  <c r="F900" i="27"/>
  <c r="B901" i="27"/>
  <c r="C901" i="27"/>
  <c r="D901" i="27"/>
  <c r="E901" i="27"/>
  <c r="F901" i="27"/>
  <c r="B902" i="27"/>
  <c r="C902" i="27"/>
  <c r="D902" i="27"/>
  <c r="E902" i="27"/>
  <c r="F902" i="27"/>
  <c r="B903" i="27"/>
  <c r="C903" i="27"/>
  <c r="D903" i="27"/>
  <c r="E903" i="27"/>
  <c r="F903" i="27"/>
  <c r="B904" i="27"/>
  <c r="C904" i="27"/>
  <c r="D904" i="27"/>
  <c r="E904" i="27"/>
  <c r="F904" i="27"/>
  <c r="B905" i="27"/>
  <c r="C905" i="27"/>
  <c r="D905" i="27"/>
  <c r="E905" i="27"/>
  <c r="F905" i="27"/>
  <c r="B906" i="27"/>
  <c r="C906" i="27"/>
  <c r="D906" i="27"/>
  <c r="E906" i="27"/>
  <c r="F906" i="27"/>
  <c r="B907" i="27"/>
  <c r="C907" i="27"/>
  <c r="D907" i="27"/>
  <c r="E907" i="27"/>
  <c r="F907" i="27"/>
  <c r="B908" i="27"/>
  <c r="C908" i="27"/>
  <c r="D908" i="27"/>
  <c r="E908" i="27"/>
  <c r="F908" i="27"/>
  <c r="B909" i="27"/>
  <c r="C909" i="27"/>
  <c r="D909" i="27"/>
  <c r="E909" i="27"/>
  <c r="F909" i="27"/>
  <c r="B910" i="27"/>
  <c r="C910" i="27"/>
  <c r="D910" i="27"/>
  <c r="E910" i="27"/>
  <c r="F910" i="27"/>
  <c r="B911" i="27"/>
  <c r="C911" i="27"/>
  <c r="D911" i="27"/>
  <c r="E911" i="27"/>
  <c r="F911" i="27"/>
  <c r="B912" i="27"/>
  <c r="C912" i="27"/>
  <c r="D912" i="27"/>
  <c r="E912" i="27"/>
  <c r="F912" i="27"/>
  <c r="B913" i="27"/>
  <c r="C913" i="27"/>
  <c r="D913" i="27"/>
  <c r="E913" i="27"/>
  <c r="F913" i="27"/>
  <c r="B914" i="27"/>
  <c r="C914" i="27"/>
  <c r="D914" i="27"/>
  <c r="E914" i="27"/>
  <c r="F914" i="27"/>
  <c r="B915" i="27"/>
  <c r="C915" i="27"/>
  <c r="D915" i="27"/>
  <c r="E915" i="27"/>
  <c r="F915" i="27"/>
  <c r="B916" i="27"/>
  <c r="C916" i="27"/>
  <c r="D916" i="27"/>
  <c r="E916" i="27"/>
  <c r="F916" i="27"/>
  <c r="B917" i="27"/>
  <c r="C917" i="27"/>
  <c r="D917" i="27"/>
  <c r="E917" i="27"/>
  <c r="F917" i="27"/>
  <c r="B918" i="27"/>
  <c r="C918" i="27"/>
  <c r="D918" i="27"/>
  <c r="E918" i="27"/>
  <c r="F918" i="27"/>
  <c r="B919" i="27"/>
  <c r="C919" i="27"/>
  <c r="D919" i="27"/>
  <c r="E919" i="27"/>
  <c r="F919" i="27"/>
  <c r="B920" i="27"/>
  <c r="C920" i="27"/>
  <c r="D920" i="27"/>
  <c r="E920" i="27"/>
  <c r="F920" i="27"/>
  <c r="B921" i="27"/>
  <c r="C921" i="27"/>
  <c r="D921" i="27"/>
  <c r="E921" i="27"/>
  <c r="F921" i="27"/>
  <c r="B922" i="27"/>
  <c r="C922" i="27"/>
  <c r="D922" i="27"/>
  <c r="E922" i="27"/>
  <c r="F922" i="27"/>
  <c r="B923" i="27"/>
  <c r="C923" i="27"/>
  <c r="D923" i="27"/>
  <c r="E923" i="27"/>
  <c r="F923" i="27"/>
  <c r="B924" i="27"/>
  <c r="C924" i="27"/>
  <c r="D924" i="27"/>
  <c r="E924" i="27"/>
  <c r="F924" i="27"/>
  <c r="B925" i="27"/>
  <c r="C925" i="27"/>
  <c r="D925" i="27"/>
  <c r="E925" i="27"/>
  <c r="F925" i="27"/>
  <c r="B926" i="27"/>
  <c r="C926" i="27"/>
  <c r="D926" i="27"/>
  <c r="E926" i="27"/>
  <c r="F926" i="27"/>
  <c r="B927" i="27"/>
  <c r="C927" i="27"/>
  <c r="D927" i="27"/>
  <c r="E927" i="27"/>
  <c r="F927" i="27"/>
  <c r="B928" i="27"/>
  <c r="C928" i="27"/>
  <c r="D928" i="27"/>
  <c r="E928" i="27"/>
  <c r="F928" i="27"/>
  <c r="B929" i="27"/>
  <c r="C929" i="27"/>
  <c r="D929" i="27"/>
  <c r="E929" i="27"/>
  <c r="F929" i="27"/>
  <c r="B930" i="27"/>
  <c r="C930" i="27"/>
  <c r="D930" i="27"/>
  <c r="E930" i="27"/>
  <c r="F930" i="27"/>
  <c r="B931" i="27"/>
  <c r="C931" i="27"/>
  <c r="D931" i="27"/>
  <c r="E931" i="27"/>
  <c r="F931" i="27"/>
  <c r="B932" i="27"/>
  <c r="C932" i="27"/>
  <c r="D932" i="27"/>
  <c r="E932" i="27"/>
  <c r="F932" i="27"/>
  <c r="B933" i="27"/>
  <c r="C933" i="27"/>
  <c r="D933" i="27"/>
  <c r="E933" i="27"/>
  <c r="F933" i="27"/>
  <c r="B934" i="27"/>
  <c r="C934" i="27"/>
  <c r="D934" i="27"/>
  <c r="E934" i="27"/>
  <c r="F934" i="27"/>
  <c r="B935" i="27"/>
  <c r="C935" i="27"/>
  <c r="D935" i="27"/>
  <c r="E935" i="27"/>
  <c r="F935" i="27"/>
  <c r="B936" i="27"/>
  <c r="C936" i="27"/>
  <c r="D936" i="27"/>
  <c r="E936" i="27"/>
  <c r="F936" i="27"/>
  <c r="B937" i="27"/>
  <c r="C937" i="27"/>
  <c r="D937" i="27"/>
  <c r="E937" i="27"/>
  <c r="F937" i="27"/>
  <c r="B938" i="27"/>
  <c r="C938" i="27"/>
  <c r="D938" i="27"/>
  <c r="E938" i="27"/>
  <c r="F938" i="27"/>
  <c r="B939" i="27"/>
  <c r="C939" i="27"/>
  <c r="D939" i="27"/>
  <c r="E939" i="27"/>
  <c r="F939" i="27"/>
  <c r="B940" i="27"/>
  <c r="C940" i="27"/>
  <c r="D940" i="27"/>
  <c r="E940" i="27"/>
  <c r="F940" i="27"/>
  <c r="B941" i="27"/>
  <c r="C941" i="27"/>
  <c r="D941" i="27"/>
  <c r="E941" i="27"/>
  <c r="F941" i="27"/>
  <c r="B942" i="27"/>
  <c r="C942" i="27"/>
  <c r="D942" i="27"/>
  <c r="E942" i="27"/>
  <c r="F942" i="27"/>
  <c r="B943" i="27"/>
  <c r="C943" i="27"/>
  <c r="D943" i="27"/>
  <c r="E943" i="27"/>
  <c r="F943" i="27"/>
  <c r="B944" i="27"/>
  <c r="C944" i="27"/>
  <c r="D944" i="27"/>
  <c r="E944" i="27"/>
  <c r="F944" i="27"/>
  <c r="B945" i="27"/>
  <c r="C945" i="27"/>
  <c r="D945" i="27"/>
  <c r="E945" i="27"/>
  <c r="F945" i="27"/>
  <c r="B946" i="27"/>
  <c r="C946" i="27"/>
  <c r="D946" i="27"/>
  <c r="E946" i="27"/>
  <c r="F946" i="27"/>
  <c r="B947" i="27"/>
  <c r="C947" i="27"/>
  <c r="D947" i="27"/>
  <c r="E947" i="27"/>
  <c r="F947" i="27"/>
  <c r="B948" i="27"/>
  <c r="C948" i="27"/>
  <c r="D948" i="27"/>
  <c r="E948" i="27"/>
  <c r="F948" i="27"/>
  <c r="B949" i="27"/>
  <c r="C949" i="27"/>
  <c r="D949" i="27"/>
  <c r="E949" i="27"/>
  <c r="F949" i="27"/>
  <c r="B950" i="27"/>
  <c r="C950" i="27"/>
  <c r="D950" i="27"/>
  <c r="E950" i="27"/>
  <c r="F950" i="27"/>
  <c r="B951" i="27"/>
  <c r="C951" i="27"/>
  <c r="D951" i="27"/>
  <c r="E951" i="27"/>
  <c r="F951" i="27"/>
  <c r="B952" i="27"/>
  <c r="C952" i="27"/>
  <c r="D952" i="27"/>
  <c r="E952" i="27"/>
  <c r="F952" i="27"/>
  <c r="B953" i="27"/>
  <c r="C953" i="27"/>
  <c r="D953" i="27"/>
  <c r="E953" i="27"/>
  <c r="F953" i="27"/>
  <c r="B954" i="27"/>
  <c r="C954" i="27"/>
  <c r="D954" i="27"/>
  <c r="E954" i="27"/>
  <c r="F954" i="27"/>
  <c r="B955" i="27"/>
  <c r="C955" i="27"/>
  <c r="D955" i="27"/>
  <c r="E955" i="27"/>
  <c r="F955" i="27"/>
  <c r="B956" i="27"/>
  <c r="C956" i="27"/>
  <c r="D956" i="27"/>
  <c r="E956" i="27"/>
  <c r="F956" i="27"/>
  <c r="B957" i="27"/>
  <c r="C957" i="27"/>
  <c r="D957" i="27"/>
  <c r="E957" i="27"/>
  <c r="F957" i="27"/>
  <c r="B958" i="27"/>
  <c r="C958" i="27"/>
  <c r="D958" i="27"/>
  <c r="E958" i="27"/>
  <c r="F958" i="27"/>
  <c r="B959" i="27"/>
  <c r="C959" i="27"/>
  <c r="D959" i="27"/>
  <c r="E959" i="27"/>
  <c r="F959" i="27"/>
  <c r="B960" i="27"/>
  <c r="C960" i="27"/>
  <c r="D960" i="27"/>
  <c r="E960" i="27"/>
  <c r="F960" i="27"/>
  <c r="B961" i="27"/>
  <c r="C961" i="27"/>
  <c r="D961" i="27"/>
  <c r="E961" i="27"/>
  <c r="F961" i="27"/>
  <c r="B962" i="27"/>
  <c r="C962" i="27"/>
  <c r="D962" i="27"/>
  <c r="E962" i="27"/>
  <c r="F962" i="27"/>
  <c r="B963" i="27"/>
  <c r="C963" i="27"/>
  <c r="D963" i="27"/>
  <c r="E963" i="27"/>
  <c r="F963" i="27"/>
  <c r="B964" i="27"/>
  <c r="C964" i="27"/>
  <c r="D964" i="27"/>
  <c r="E964" i="27"/>
  <c r="F964" i="27"/>
  <c r="B965" i="27"/>
  <c r="C965" i="27"/>
  <c r="D965" i="27"/>
  <c r="E965" i="27"/>
  <c r="F965" i="27"/>
  <c r="B966" i="27"/>
  <c r="C966" i="27"/>
  <c r="D966" i="27"/>
  <c r="E966" i="27"/>
  <c r="F966" i="27"/>
  <c r="B967" i="27"/>
  <c r="C967" i="27"/>
  <c r="D967" i="27"/>
  <c r="E967" i="27"/>
  <c r="F967" i="27"/>
  <c r="B968" i="27"/>
  <c r="C968" i="27"/>
  <c r="D968" i="27"/>
  <c r="E968" i="27"/>
  <c r="F968" i="27"/>
  <c r="B969" i="27"/>
  <c r="C969" i="27"/>
  <c r="D969" i="27"/>
  <c r="E969" i="27"/>
  <c r="F969" i="27"/>
  <c r="B970" i="27"/>
  <c r="C970" i="27"/>
  <c r="D970" i="27"/>
  <c r="E970" i="27"/>
  <c r="F970" i="27"/>
  <c r="B971" i="27"/>
  <c r="C971" i="27"/>
  <c r="D971" i="27"/>
  <c r="E971" i="27"/>
  <c r="F971" i="27"/>
  <c r="B972" i="27"/>
  <c r="C972" i="27"/>
  <c r="D972" i="27"/>
  <c r="E972" i="27"/>
  <c r="F972" i="27"/>
  <c r="B973" i="27"/>
  <c r="C973" i="27"/>
  <c r="D973" i="27"/>
  <c r="E973" i="27"/>
  <c r="F973" i="27"/>
  <c r="B974" i="27"/>
  <c r="C974" i="27"/>
  <c r="D974" i="27"/>
  <c r="E974" i="27"/>
  <c r="F974" i="27"/>
  <c r="B975" i="27"/>
  <c r="C975" i="27"/>
  <c r="D975" i="27"/>
  <c r="E975" i="27"/>
  <c r="F975" i="27"/>
  <c r="B976" i="27"/>
  <c r="C976" i="27"/>
  <c r="D976" i="27"/>
  <c r="E976" i="27"/>
  <c r="F976" i="27"/>
  <c r="B977" i="27"/>
  <c r="C977" i="27"/>
  <c r="D977" i="27"/>
  <c r="E977" i="27"/>
  <c r="F977" i="27"/>
  <c r="B978" i="27"/>
  <c r="C978" i="27"/>
  <c r="D978" i="27"/>
  <c r="E978" i="27"/>
  <c r="F978" i="27"/>
  <c r="B979" i="27"/>
  <c r="C979" i="27"/>
  <c r="D979" i="27"/>
  <c r="E979" i="27"/>
  <c r="F979" i="27"/>
  <c r="B980" i="27"/>
  <c r="C980" i="27"/>
  <c r="D980" i="27"/>
  <c r="E980" i="27"/>
  <c r="F980" i="27"/>
  <c r="B981" i="27"/>
  <c r="C981" i="27"/>
  <c r="D981" i="27"/>
  <c r="E981" i="27"/>
  <c r="F981" i="27"/>
  <c r="B982" i="27"/>
  <c r="C982" i="27"/>
  <c r="D982" i="27"/>
  <c r="E982" i="27"/>
  <c r="F982" i="27"/>
  <c r="B983" i="27"/>
  <c r="C983" i="27"/>
  <c r="D983" i="27"/>
  <c r="E983" i="27"/>
  <c r="F983" i="27"/>
  <c r="B984" i="27"/>
  <c r="C984" i="27"/>
  <c r="D984" i="27"/>
  <c r="E984" i="27"/>
  <c r="F984" i="27"/>
  <c r="B985" i="27"/>
  <c r="C985" i="27"/>
  <c r="D985" i="27"/>
  <c r="E985" i="27"/>
  <c r="F985" i="27"/>
  <c r="B986" i="27"/>
  <c r="C986" i="27"/>
  <c r="D986" i="27"/>
  <c r="E986" i="27"/>
  <c r="F986" i="27"/>
  <c r="B987" i="27"/>
  <c r="C987" i="27"/>
  <c r="D987" i="27"/>
  <c r="E987" i="27"/>
  <c r="F987" i="27"/>
  <c r="B988" i="27"/>
  <c r="C988" i="27"/>
  <c r="D988" i="27"/>
  <c r="E988" i="27"/>
  <c r="F988" i="27"/>
  <c r="B989" i="27"/>
  <c r="C989" i="27"/>
  <c r="D989" i="27"/>
  <c r="E989" i="27"/>
  <c r="F989" i="27"/>
  <c r="B990" i="27"/>
  <c r="C990" i="27"/>
  <c r="D990" i="27"/>
  <c r="E990" i="27"/>
  <c r="F990" i="27"/>
  <c r="B991" i="27"/>
  <c r="C991" i="27"/>
  <c r="D991" i="27"/>
  <c r="E991" i="27"/>
  <c r="F991" i="27"/>
  <c r="B992" i="27"/>
  <c r="C992" i="27"/>
  <c r="D992" i="27"/>
  <c r="E992" i="27"/>
  <c r="F992" i="27"/>
  <c r="B993" i="27"/>
  <c r="C993" i="27"/>
  <c r="D993" i="27"/>
  <c r="E993" i="27"/>
  <c r="F993" i="27"/>
  <c r="B994" i="27"/>
  <c r="C994" i="27"/>
  <c r="D994" i="27"/>
  <c r="E994" i="27"/>
  <c r="F994" i="27"/>
  <c r="B995" i="27"/>
  <c r="C995" i="27"/>
  <c r="D995" i="27"/>
  <c r="E995" i="27"/>
  <c r="F995" i="27"/>
  <c r="B996" i="27"/>
  <c r="C996" i="27"/>
  <c r="D996" i="27"/>
  <c r="E996" i="27"/>
  <c r="F996" i="27"/>
  <c r="B997" i="27"/>
  <c r="C997" i="27"/>
  <c r="D997" i="27"/>
  <c r="E997" i="27"/>
  <c r="F997" i="27"/>
  <c r="B998" i="27"/>
  <c r="C998" i="27"/>
  <c r="D998" i="27"/>
  <c r="E998" i="27"/>
  <c r="F998" i="27"/>
  <c r="B999" i="27"/>
  <c r="C999" i="27"/>
  <c r="D999" i="27"/>
  <c r="E999" i="27"/>
  <c r="F999" i="27"/>
  <c r="B1000" i="27"/>
  <c r="C1000" i="27"/>
  <c r="D1000" i="27"/>
  <c r="E1000" i="27"/>
  <c r="F1000" i="27"/>
  <c r="B1001" i="27"/>
  <c r="C1001" i="27"/>
  <c r="D1001" i="27"/>
  <c r="E1001" i="27"/>
  <c r="F1001" i="27"/>
  <c r="B1002" i="27"/>
  <c r="C1002" i="27"/>
  <c r="D1002" i="27"/>
  <c r="E1002" i="27"/>
  <c r="F1002" i="27"/>
  <c r="B1003" i="27"/>
  <c r="C1003" i="27"/>
  <c r="D1003" i="27"/>
  <c r="E1003" i="27"/>
  <c r="F1003" i="27"/>
  <c r="B1004" i="27"/>
  <c r="C1004" i="27"/>
  <c r="D1004" i="27"/>
  <c r="E1004" i="27"/>
  <c r="F1004" i="27"/>
  <c r="B1005" i="27"/>
  <c r="C1005" i="27"/>
  <c r="D1005" i="27"/>
  <c r="E1005" i="27"/>
  <c r="F1005" i="27"/>
  <c r="B1006" i="27"/>
  <c r="C1006" i="27"/>
  <c r="D1006" i="27"/>
  <c r="E1006" i="27"/>
  <c r="F1006" i="27"/>
  <c r="B1007" i="27"/>
  <c r="C1007" i="27"/>
  <c r="D1007" i="27"/>
  <c r="E1007" i="27"/>
  <c r="F1007" i="27"/>
  <c r="B1008" i="27"/>
  <c r="C1008" i="27"/>
  <c r="D1008" i="27"/>
  <c r="E1008" i="27"/>
  <c r="F1008" i="27"/>
  <c r="B1009" i="27"/>
  <c r="C1009" i="27"/>
  <c r="D1009" i="27"/>
  <c r="E1009" i="27"/>
  <c r="F1009" i="27"/>
  <c r="B1010" i="27"/>
  <c r="C1010" i="27"/>
  <c r="D1010" i="27"/>
  <c r="E1010" i="27"/>
  <c r="F1010" i="27"/>
  <c r="B1011" i="27"/>
  <c r="C1011" i="27"/>
  <c r="D1011" i="27"/>
  <c r="E1011" i="27"/>
  <c r="F1011" i="27"/>
  <c r="B1012" i="27"/>
  <c r="C1012" i="27"/>
  <c r="D1012" i="27"/>
  <c r="E1012" i="27"/>
  <c r="F1012" i="27"/>
  <c r="B1013" i="27"/>
  <c r="C1013" i="27"/>
  <c r="D1013" i="27"/>
  <c r="E1013" i="27"/>
  <c r="F1013" i="27"/>
  <c r="B1014" i="27"/>
  <c r="C1014" i="27"/>
  <c r="D1014" i="27"/>
  <c r="E1014" i="27"/>
  <c r="F1014" i="27"/>
  <c r="B1015" i="27"/>
  <c r="C1015" i="27"/>
  <c r="D1015" i="27"/>
  <c r="E1015" i="27"/>
  <c r="F1015" i="27"/>
  <c r="B1016" i="27"/>
  <c r="C1016" i="27"/>
  <c r="D1016" i="27"/>
  <c r="E1016" i="27"/>
  <c r="F1016" i="27"/>
  <c r="B1017" i="27"/>
  <c r="C1017" i="27"/>
  <c r="D1017" i="27"/>
  <c r="E1017" i="27"/>
  <c r="F1017" i="27"/>
  <c r="B1018" i="27"/>
  <c r="C1018" i="27"/>
  <c r="D1018" i="27"/>
  <c r="E1018" i="27"/>
  <c r="F1018" i="27"/>
  <c r="B1019" i="27"/>
  <c r="C1019" i="27"/>
  <c r="D1019" i="27"/>
  <c r="E1019" i="27"/>
  <c r="F1019" i="27"/>
  <c r="B1020" i="27"/>
  <c r="C1020" i="27"/>
  <c r="D1020" i="27"/>
  <c r="E1020" i="27"/>
  <c r="F1020" i="27"/>
  <c r="B1021" i="27"/>
  <c r="C1021" i="27"/>
  <c r="D1021" i="27"/>
  <c r="E1021" i="27"/>
  <c r="F1021" i="27"/>
  <c r="B1022" i="27"/>
  <c r="C1022" i="27"/>
  <c r="D1022" i="27"/>
  <c r="E1022" i="27"/>
  <c r="F1022" i="27"/>
  <c r="B1023" i="27"/>
  <c r="C1023" i="27"/>
  <c r="D1023" i="27"/>
  <c r="E1023" i="27"/>
  <c r="F1023" i="27"/>
  <c r="B1024" i="27"/>
  <c r="C1024" i="27"/>
  <c r="D1024" i="27"/>
  <c r="E1024" i="27"/>
  <c r="F1024" i="27"/>
  <c r="B1025" i="27"/>
  <c r="C1025" i="27"/>
  <c r="D1025" i="27"/>
  <c r="E1025" i="27"/>
  <c r="F1025" i="27"/>
  <c r="B1026" i="27"/>
  <c r="C1026" i="27"/>
  <c r="D1026" i="27"/>
  <c r="E1026" i="27"/>
  <c r="F1026" i="27"/>
  <c r="B1027" i="27"/>
  <c r="C1027" i="27"/>
  <c r="D1027" i="27"/>
  <c r="E1027" i="27"/>
  <c r="F1027" i="27"/>
  <c r="B1028" i="27"/>
  <c r="C1028" i="27"/>
  <c r="D1028" i="27"/>
  <c r="E1028" i="27"/>
  <c r="F1028" i="27"/>
  <c r="B1029" i="27"/>
  <c r="C1029" i="27"/>
  <c r="D1029" i="27"/>
  <c r="E1029" i="27"/>
  <c r="F1029" i="27"/>
  <c r="B1030" i="27"/>
  <c r="C1030" i="27"/>
  <c r="D1030" i="27"/>
  <c r="E1030" i="27"/>
  <c r="F1030" i="27"/>
  <c r="B1031" i="27"/>
  <c r="C1031" i="27"/>
  <c r="D1031" i="27"/>
  <c r="E1031" i="27"/>
  <c r="F1031" i="27"/>
  <c r="B1032" i="27"/>
  <c r="C1032" i="27"/>
  <c r="D1032" i="27"/>
  <c r="E1032" i="27"/>
  <c r="F1032" i="27"/>
  <c r="B1033" i="27"/>
  <c r="C1033" i="27"/>
  <c r="D1033" i="27"/>
  <c r="E1033" i="27"/>
  <c r="F1033" i="27"/>
  <c r="B1034" i="27"/>
  <c r="C1034" i="27"/>
  <c r="D1034" i="27"/>
  <c r="E1034" i="27"/>
  <c r="F1034" i="27"/>
  <c r="B1035" i="27"/>
  <c r="C1035" i="27"/>
  <c r="D1035" i="27"/>
  <c r="E1035" i="27"/>
  <c r="F1035" i="27"/>
  <c r="B1036" i="27"/>
  <c r="C1036" i="27"/>
  <c r="D1036" i="27"/>
  <c r="E1036" i="27"/>
  <c r="F1036" i="27"/>
  <c r="B1037" i="27"/>
  <c r="C1037" i="27"/>
  <c r="D1037" i="27"/>
  <c r="E1037" i="27"/>
  <c r="F1037" i="27"/>
  <c r="B1038" i="27"/>
  <c r="C1038" i="27"/>
  <c r="D1038" i="27"/>
  <c r="E1038" i="27"/>
  <c r="F1038" i="27"/>
  <c r="B1039" i="27"/>
  <c r="C1039" i="27"/>
  <c r="D1039" i="27"/>
  <c r="E1039" i="27"/>
  <c r="F1039" i="27"/>
  <c r="B1040" i="27"/>
  <c r="C1040" i="27"/>
  <c r="D1040" i="27"/>
  <c r="E1040" i="27"/>
  <c r="F1040" i="27"/>
  <c r="B1041" i="27"/>
  <c r="C1041" i="27"/>
  <c r="D1041" i="27"/>
  <c r="E1041" i="27"/>
  <c r="F1041" i="27"/>
  <c r="B1042" i="27"/>
  <c r="C1042" i="27"/>
  <c r="D1042" i="27"/>
  <c r="E1042" i="27"/>
  <c r="F1042" i="27"/>
  <c r="B1043" i="27"/>
  <c r="C1043" i="27"/>
  <c r="D1043" i="27"/>
  <c r="E1043" i="27"/>
  <c r="F1043" i="27"/>
  <c r="B1044" i="27"/>
  <c r="C1044" i="27"/>
  <c r="D1044" i="27"/>
  <c r="E1044" i="27"/>
  <c r="F1044" i="27"/>
  <c r="B1045" i="27"/>
  <c r="C1045" i="27"/>
  <c r="D1045" i="27"/>
  <c r="E1045" i="27"/>
  <c r="F1045" i="27"/>
  <c r="B1046" i="27"/>
  <c r="C1046" i="27"/>
  <c r="D1046" i="27"/>
  <c r="E1046" i="27"/>
  <c r="F1046" i="27"/>
  <c r="B1047" i="27"/>
  <c r="C1047" i="27"/>
  <c r="D1047" i="27"/>
  <c r="E1047" i="27"/>
  <c r="F1047" i="27"/>
  <c r="B1048" i="27"/>
  <c r="C1048" i="27"/>
  <c r="D1048" i="27"/>
  <c r="E1048" i="27"/>
  <c r="F1048" i="27"/>
  <c r="B1049" i="27"/>
  <c r="C1049" i="27"/>
  <c r="D1049" i="27"/>
  <c r="E1049" i="27"/>
  <c r="F1049" i="27"/>
  <c r="B1050" i="27"/>
  <c r="C1050" i="27"/>
  <c r="D1050" i="27"/>
  <c r="E1050" i="27"/>
  <c r="F1050" i="27"/>
  <c r="B1051" i="27"/>
  <c r="C1051" i="27"/>
  <c r="D1051" i="27"/>
  <c r="E1051" i="27"/>
  <c r="F1051" i="27"/>
  <c r="B1052" i="27"/>
  <c r="C1052" i="27"/>
  <c r="D1052" i="27"/>
  <c r="E1052" i="27"/>
  <c r="F1052" i="27"/>
  <c r="B1053" i="27"/>
  <c r="C1053" i="27"/>
  <c r="D1053" i="27"/>
  <c r="E1053" i="27"/>
  <c r="F1053" i="27"/>
  <c r="B1054" i="27"/>
  <c r="C1054" i="27"/>
  <c r="D1054" i="27"/>
  <c r="E1054" i="27"/>
  <c r="F1054" i="27"/>
  <c r="B1055" i="27"/>
  <c r="C1055" i="27"/>
  <c r="D1055" i="27"/>
  <c r="E1055" i="27"/>
  <c r="F1055" i="27"/>
  <c r="B1056" i="27"/>
  <c r="C1056" i="27"/>
  <c r="D1056" i="27"/>
  <c r="E1056" i="27"/>
  <c r="F1056" i="27"/>
  <c r="B1057" i="27"/>
  <c r="C1057" i="27"/>
  <c r="D1057" i="27"/>
  <c r="E1057" i="27"/>
  <c r="F1057" i="27"/>
  <c r="B1058" i="27"/>
  <c r="C1058" i="27"/>
  <c r="D1058" i="27"/>
  <c r="E1058" i="27"/>
  <c r="F1058" i="27"/>
  <c r="B1059" i="27"/>
  <c r="C1059" i="27"/>
  <c r="D1059" i="27"/>
  <c r="E1059" i="27"/>
  <c r="F1059" i="27"/>
  <c r="B1060" i="27"/>
  <c r="C1060" i="27"/>
  <c r="D1060" i="27"/>
  <c r="E1060" i="27"/>
  <c r="F1060" i="27"/>
  <c r="B1061" i="27"/>
  <c r="C1061" i="27"/>
  <c r="D1061" i="27"/>
  <c r="E1061" i="27"/>
  <c r="F1061" i="27"/>
  <c r="B1062" i="27"/>
  <c r="C1062" i="27"/>
  <c r="D1062" i="27"/>
  <c r="E1062" i="27"/>
  <c r="F1062" i="27"/>
  <c r="B1063" i="27"/>
  <c r="C1063" i="27"/>
  <c r="D1063" i="27"/>
  <c r="E1063" i="27"/>
  <c r="F1063" i="27"/>
  <c r="B1064" i="27"/>
  <c r="C1064" i="27"/>
  <c r="D1064" i="27"/>
  <c r="E1064" i="27"/>
  <c r="F1064" i="27"/>
  <c r="B1065" i="27"/>
  <c r="C1065" i="27"/>
  <c r="D1065" i="27"/>
  <c r="E1065" i="27"/>
  <c r="F1065" i="27"/>
  <c r="B1066" i="27"/>
  <c r="C1066" i="27"/>
  <c r="D1066" i="27"/>
  <c r="E1066" i="27"/>
  <c r="F1066" i="27"/>
  <c r="B1067" i="27"/>
  <c r="C1067" i="27"/>
  <c r="D1067" i="27"/>
  <c r="E1067" i="27"/>
  <c r="F1067" i="27"/>
  <c r="B1068" i="27"/>
  <c r="C1068" i="27"/>
  <c r="D1068" i="27"/>
  <c r="E1068" i="27"/>
  <c r="F1068" i="27"/>
  <c r="B1069" i="27"/>
  <c r="C1069" i="27"/>
  <c r="D1069" i="27"/>
  <c r="E1069" i="27"/>
  <c r="F1069" i="27"/>
  <c r="B1070" i="27"/>
  <c r="C1070" i="27"/>
  <c r="D1070" i="27"/>
  <c r="E1070" i="27"/>
  <c r="F1070" i="27"/>
  <c r="B1071" i="27"/>
  <c r="C1071" i="27"/>
  <c r="D1071" i="27"/>
  <c r="E1071" i="27"/>
  <c r="F1071" i="27"/>
  <c r="B1072" i="27"/>
  <c r="C1072" i="27"/>
  <c r="D1072" i="27"/>
  <c r="E1072" i="27"/>
  <c r="F1072" i="27"/>
  <c r="B1073" i="27"/>
  <c r="C1073" i="27"/>
  <c r="D1073" i="27"/>
  <c r="E1073" i="27"/>
  <c r="F1073" i="27"/>
  <c r="B1074" i="27"/>
  <c r="C1074" i="27"/>
  <c r="D1074" i="27"/>
  <c r="E1074" i="27"/>
  <c r="F1074" i="27"/>
  <c r="B1075" i="27"/>
  <c r="C1075" i="27"/>
  <c r="D1075" i="27"/>
  <c r="E1075" i="27"/>
  <c r="F1075" i="27"/>
  <c r="B1076" i="27"/>
  <c r="C1076" i="27"/>
  <c r="D1076" i="27"/>
  <c r="E1076" i="27"/>
  <c r="F1076" i="27"/>
  <c r="B1077" i="27"/>
  <c r="C1077" i="27"/>
  <c r="D1077" i="27"/>
  <c r="E1077" i="27"/>
  <c r="F1077" i="27"/>
  <c r="B1078" i="27"/>
  <c r="C1078" i="27"/>
  <c r="D1078" i="27"/>
  <c r="E1078" i="27"/>
  <c r="F1078" i="27"/>
  <c r="B1079" i="27"/>
  <c r="C1079" i="27"/>
  <c r="D1079" i="27"/>
  <c r="E1079" i="27"/>
  <c r="F1079" i="27"/>
  <c r="B1080" i="27"/>
  <c r="C1080" i="27"/>
  <c r="D1080" i="27"/>
  <c r="E1080" i="27"/>
  <c r="F1080" i="27"/>
  <c r="B1081" i="27"/>
  <c r="C1081" i="27"/>
  <c r="D1081" i="27"/>
  <c r="E1081" i="27"/>
  <c r="F1081" i="27"/>
  <c r="B1082" i="27"/>
  <c r="C1082" i="27"/>
  <c r="D1082" i="27"/>
  <c r="E1082" i="27"/>
  <c r="F1082" i="27"/>
  <c r="B1083" i="27"/>
  <c r="C1083" i="27"/>
  <c r="D1083" i="27"/>
  <c r="E1083" i="27"/>
  <c r="F1083" i="27"/>
  <c r="B1084" i="27"/>
  <c r="C1084" i="27"/>
  <c r="D1084" i="27"/>
  <c r="E1084" i="27"/>
  <c r="F1084" i="27"/>
  <c r="B1085" i="27"/>
  <c r="C1085" i="27"/>
  <c r="D1085" i="27"/>
  <c r="E1085" i="27"/>
  <c r="F1085" i="27"/>
  <c r="B1086" i="27"/>
  <c r="C1086" i="27"/>
  <c r="D1086" i="27"/>
  <c r="E1086" i="27"/>
  <c r="F1086" i="27"/>
  <c r="B1087" i="27"/>
  <c r="C1087" i="27"/>
  <c r="D1087" i="27"/>
  <c r="E1087" i="27"/>
  <c r="F1087" i="27"/>
  <c r="B1088" i="27"/>
  <c r="C1088" i="27"/>
  <c r="D1088" i="27"/>
  <c r="E1088" i="27"/>
  <c r="F1088" i="27"/>
  <c r="B1089" i="27"/>
  <c r="C1089" i="27"/>
  <c r="D1089" i="27"/>
  <c r="E1089" i="27"/>
  <c r="F1089" i="27"/>
  <c r="B1090" i="27"/>
  <c r="C1090" i="27"/>
  <c r="D1090" i="27"/>
  <c r="E1090" i="27"/>
  <c r="F1090" i="27"/>
  <c r="B1091" i="27"/>
  <c r="C1091" i="27"/>
  <c r="D1091" i="27"/>
  <c r="E1091" i="27"/>
  <c r="F1091" i="27"/>
  <c r="B1092" i="27"/>
  <c r="C1092" i="27"/>
  <c r="D1092" i="27"/>
  <c r="E1092" i="27"/>
  <c r="F1092" i="27"/>
  <c r="B1093" i="27"/>
  <c r="C1093" i="27"/>
  <c r="D1093" i="27"/>
  <c r="E1093" i="27"/>
  <c r="F1093" i="27"/>
  <c r="B1094" i="27"/>
  <c r="C1094" i="27"/>
  <c r="D1094" i="27"/>
  <c r="E1094" i="27"/>
  <c r="F1094" i="27"/>
  <c r="B1095" i="27"/>
  <c r="C1095" i="27"/>
  <c r="D1095" i="27"/>
  <c r="E1095" i="27"/>
  <c r="F1095" i="27"/>
  <c r="B1096" i="27"/>
  <c r="C1096" i="27"/>
  <c r="D1096" i="27"/>
  <c r="E1096" i="27"/>
  <c r="F1096" i="27"/>
  <c r="B1097" i="27"/>
  <c r="C1097" i="27"/>
  <c r="D1097" i="27"/>
  <c r="E1097" i="27"/>
  <c r="F1097" i="27"/>
  <c r="B1098" i="27"/>
  <c r="C1098" i="27"/>
  <c r="D1098" i="27"/>
  <c r="E1098" i="27"/>
  <c r="F1098" i="27"/>
  <c r="B1099" i="27"/>
  <c r="C1099" i="27"/>
  <c r="D1099" i="27"/>
  <c r="E1099" i="27"/>
  <c r="F1099" i="27"/>
  <c r="B1100" i="27"/>
  <c r="C1100" i="27"/>
  <c r="D1100" i="27"/>
  <c r="E1100" i="27"/>
  <c r="F1100" i="27"/>
  <c r="B1101" i="27"/>
  <c r="C1101" i="27"/>
  <c r="D1101" i="27"/>
  <c r="E1101" i="27"/>
  <c r="F1101" i="27"/>
  <c r="B1102" i="27"/>
  <c r="C1102" i="27"/>
  <c r="D1102" i="27"/>
  <c r="E1102" i="27"/>
  <c r="F1102" i="27"/>
  <c r="B1103" i="27"/>
  <c r="C1103" i="27"/>
  <c r="D1103" i="27"/>
  <c r="E1103" i="27"/>
  <c r="F1103" i="27"/>
  <c r="B1104" i="27"/>
  <c r="C1104" i="27"/>
  <c r="D1104" i="27"/>
  <c r="E1104" i="27"/>
  <c r="F1104" i="27"/>
  <c r="B1105" i="27"/>
  <c r="C1105" i="27"/>
  <c r="D1105" i="27"/>
  <c r="E1105" i="27"/>
  <c r="F1105" i="27"/>
  <c r="B1106" i="27"/>
  <c r="C1106" i="27"/>
  <c r="D1106" i="27"/>
  <c r="E1106" i="27"/>
  <c r="F1106" i="27"/>
  <c r="B1107" i="27"/>
  <c r="C1107" i="27"/>
  <c r="D1107" i="27"/>
  <c r="E1107" i="27"/>
  <c r="F1107" i="27"/>
  <c r="B1108" i="27"/>
  <c r="C1108" i="27"/>
  <c r="D1108" i="27"/>
  <c r="E1108" i="27"/>
  <c r="F1108" i="27"/>
  <c r="B1109" i="27"/>
  <c r="C1109" i="27"/>
  <c r="D1109" i="27"/>
  <c r="E1109" i="27"/>
  <c r="F1109" i="27"/>
  <c r="B1110" i="27"/>
  <c r="C1110" i="27"/>
  <c r="D1110" i="27"/>
  <c r="E1110" i="27"/>
  <c r="F1110" i="27"/>
  <c r="B1111" i="27"/>
  <c r="C1111" i="27"/>
  <c r="D1111" i="27"/>
  <c r="E1111" i="27"/>
  <c r="F1111" i="27"/>
  <c r="B1112" i="27"/>
  <c r="C1112" i="27"/>
  <c r="D1112" i="27"/>
  <c r="E1112" i="27"/>
  <c r="F1112" i="27"/>
  <c r="B1113" i="27"/>
  <c r="C1113" i="27"/>
  <c r="D1113" i="27"/>
  <c r="E1113" i="27"/>
  <c r="F1113" i="27"/>
  <c r="B1114" i="27"/>
  <c r="C1114" i="27"/>
  <c r="D1114" i="27"/>
  <c r="E1114" i="27"/>
  <c r="F1114" i="27"/>
  <c r="B1115" i="27"/>
  <c r="C1115" i="27"/>
  <c r="D1115" i="27"/>
  <c r="E1115" i="27"/>
  <c r="F1115" i="27"/>
  <c r="B1116" i="27"/>
  <c r="C1116" i="27"/>
  <c r="D1116" i="27"/>
  <c r="E1116" i="27"/>
  <c r="F1116" i="27"/>
  <c r="B1117" i="27"/>
  <c r="C1117" i="27"/>
  <c r="D1117" i="27"/>
  <c r="E1117" i="27"/>
  <c r="F1117" i="27"/>
  <c r="B1118" i="27"/>
  <c r="C1118" i="27"/>
  <c r="D1118" i="27"/>
  <c r="E1118" i="27"/>
  <c r="F1118" i="27"/>
  <c r="B1119" i="27"/>
  <c r="C1119" i="27"/>
  <c r="D1119" i="27"/>
  <c r="E1119" i="27"/>
  <c r="F1119" i="27"/>
  <c r="B1120" i="27"/>
  <c r="C1120" i="27"/>
  <c r="D1120" i="27"/>
  <c r="E1120" i="27"/>
  <c r="F1120" i="27"/>
  <c r="B1121" i="27"/>
  <c r="C1121" i="27"/>
  <c r="D1121" i="27"/>
  <c r="E1121" i="27"/>
  <c r="F1121" i="27"/>
  <c r="B1122" i="27"/>
  <c r="C1122" i="27"/>
  <c r="D1122" i="27"/>
  <c r="E1122" i="27"/>
  <c r="F1122" i="27"/>
  <c r="B1123" i="27"/>
  <c r="C1123" i="27"/>
  <c r="D1123" i="27"/>
  <c r="E1123" i="27"/>
  <c r="F1123" i="27"/>
  <c r="B1124" i="27"/>
  <c r="C1124" i="27"/>
  <c r="D1124" i="27"/>
  <c r="E1124" i="27"/>
  <c r="F1124" i="27"/>
  <c r="B1125" i="27"/>
  <c r="C1125" i="27"/>
  <c r="D1125" i="27"/>
  <c r="E1125" i="27"/>
  <c r="F1125" i="27"/>
  <c r="B1126" i="27"/>
  <c r="C1126" i="27"/>
  <c r="D1126" i="27"/>
  <c r="E1126" i="27"/>
  <c r="F1126" i="27"/>
  <c r="B1127" i="27"/>
  <c r="C1127" i="27"/>
  <c r="D1127" i="27"/>
  <c r="E1127" i="27"/>
  <c r="F1127" i="27"/>
  <c r="B1128" i="27"/>
  <c r="C1128" i="27"/>
  <c r="D1128" i="27"/>
  <c r="E1128" i="27"/>
  <c r="F1128" i="27"/>
  <c r="B1129" i="27"/>
  <c r="C1129" i="27"/>
  <c r="D1129" i="27"/>
  <c r="E1129" i="27"/>
  <c r="F1129" i="27"/>
  <c r="B1130" i="27"/>
  <c r="C1130" i="27"/>
  <c r="D1130" i="27"/>
  <c r="E1130" i="27"/>
  <c r="F1130" i="27"/>
  <c r="B1131" i="27"/>
  <c r="C1131" i="27"/>
  <c r="D1131" i="27"/>
  <c r="E1131" i="27"/>
  <c r="F1131" i="27"/>
  <c r="B1132" i="27"/>
  <c r="C1132" i="27"/>
  <c r="D1132" i="27"/>
  <c r="E1132" i="27"/>
  <c r="F1132" i="27"/>
  <c r="B1133" i="27"/>
  <c r="C1133" i="27"/>
  <c r="D1133" i="27"/>
  <c r="E1133" i="27"/>
  <c r="F1133" i="27"/>
  <c r="B1134" i="27"/>
  <c r="C1134" i="27"/>
  <c r="D1134" i="27"/>
  <c r="E1134" i="27"/>
  <c r="F1134" i="27"/>
  <c r="B1135" i="27"/>
  <c r="C1135" i="27"/>
  <c r="D1135" i="27"/>
  <c r="E1135" i="27"/>
  <c r="F1135" i="27"/>
  <c r="B1136" i="27"/>
  <c r="C1136" i="27"/>
  <c r="D1136" i="27"/>
  <c r="E1136" i="27"/>
  <c r="F1136" i="27"/>
  <c r="B1137" i="27"/>
  <c r="C1137" i="27"/>
  <c r="D1137" i="27"/>
  <c r="E1137" i="27"/>
  <c r="F1137" i="27"/>
  <c r="B1138" i="27"/>
  <c r="C1138" i="27"/>
  <c r="D1138" i="27"/>
  <c r="E1138" i="27"/>
  <c r="F1138" i="27"/>
  <c r="B1139" i="27"/>
  <c r="C1139" i="27"/>
  <c r="D1139" i="27"/>
  <c r="E1139" i="27"/>
  <c r="F1139" i="27"/>
  <c r="B1140" i="27"/>
  <c r="C1140" i="27"/>
  <c r="D1140" i="27"/>
  <c r="E1140" i="27"/>
  <c r="F1140" i="27"/>
  <c r="B1141" i="27"/>
  <c r="C1141" i="27"/>
  <c r="D1141" i="27"/>
  <c r="E1141" i="27"/>
  <c r="F1141" i="27"/>
  <c r="B1142" i="27"/>
  <c r="C1142" i="27"/>
  <c r="D1142" i="27"/>
  <c r="E1142" i="27"/>
  <c r="F1142" i="27"/>
  <c r="B1143" i="27"/>
  <c r="C1143" i="27"/>
  <c r="D1143" i="27"/>
  <c r="E1143" i="27"/>
  <c r="F1143" i="27"/>
  <c r="B1144" i="27"/>
  <c r="C1144" i="27"/>
  <c r="D1144" i="27"/>
  <c r="E1144" i="27"/>
  <c r="F1144" i="27"/>
  <c r="B1145" i="27"/>
  <c r="C1145" i="27"/>
  <c r="D1145" i="27"/>
  <c r="E1145" i="27"/>
  <c r="F1145" i="27"/>
  <c r="B1146" i="27"/>
  <c r="C1146" i="27"/>
  <c r="D1146" i="27"/>
  <c r="E1146" i="27"/>
  <c r="F1146" i="27"/>
  <c r="B1147" i="27"/>
  <c r="C1147" i="27"/>
  <c r="D1147" i="27"/>
  <c r="E1147" i="27"/>
  <c r="F1147" i="27"/>
  <c r="B1148" i="27"/>
  <c r="C1148" i="27"/>
  <c r="D1148" i="27"/>
  <c r="E1148" i="27"/>
  <c r="F1148" i="27"/>
  <c r="B1149" i="27"/>
  <c r="C1149" i="27"/>
  <c r="D1149" i="27"/>
  <c r="E1149" i="27"/>
  <c r="F1149" i="27"/>
  <c r="B1150" i="27"/>
  <c r="C1150" i="27"/>
  <c r="D1150" i="27"/>
  <c r="E1150" i="27"/>
  <c r="F1150" i="27"/>
  <c r="B1151" i="27"/>
  <c r="C1151" i="27"/>
  <c r="D1151" i="27"/>
  <c r="E1151" i="27"/>
  <c r="F1151" i="27"/>
  <c r="B1152" i="27"/>
  <c r="C1152" i="27"/>
  <c r="D1152" i="27"/>
  <c r="E1152" i="27"/>
  <c r="F1152" i="27"/>
  <c r="B1153" i="27"/>
  <c r="C1153" i="27"/>
  <c r="D1153" i="27"/>
  <c r="E1153" i="27"/>
  <c r="F1153" i="27"/>
  <c r="B1154" i="27"/>
  <c r="C1154" i="27"/>
  <c r="D1154" i="27"/>
  <c r="E1154" i="27"/>
  <c r="F1154" i="27"/>
  <c r="B1155" i="27"/>
  <c r="C1155" i="27"/>
  <c r="D1155" i="27"/>
  <c r="E1155" i="27"/>
  <c r="F1155" i="27"/>
  <c r="B1156" i="27"/>
  <c r="C1156" i="27"/>
  <c r="D1156" i="27"/>
  <c r="E1156" i="27"/>
  <c r="F1156" i="27"/>
  <c r="B1157" i="27"/>
  <c r="C1157" i="27"/>
  <c r="D1157" i="27"/>
  <c r="E1157" i="27"/>
  <c r="F1157" i="27"/>
  <c r="B1158" i="27"/>
  <c r="C1158" i="27"/>
  <c r="D1158" i="27"/>
  <c r="E1158" i="27"/>
  <c r="F1158" i="27"/>
  <c r="B1159" i="27"/>
  <c r="C1159" i="27"/>
  <c r="D1159" i="27"/>
  <c r="E1159" i="27"/>
  <c r="F1159" i="27"/>
  <c r="B1160" i="27"/>
  <c r="C1160" i="27"/>
  <c r="D1160" i="27"/>
  <c r="E1160" i="27"/>
  <c r="F1160" i="27"/>
  <c r="B1161" i="27"/>
  <c r="C1161" i="27"/>
  <c r="D1161" i="27"/>
  <c r="E1161" i="27"/>
  <c r="F1161" i="27"/>
  <c r="B1162" i="27"/>
  <c r="C1162" i="27"/>
  <c r="D1162" i="27"/>
  <c r="E1162" i="27"/>
  <c r="F1162" i="27"/>
  <c r="B1163" i="27"/>
  <c r="C1163" i="27"/>
  <c r="D1163" i="27"/>
  <c r="E1163" i="27"/>
  <c r="F1163" i="27"/>
  <c r="B1164" i="27"/>
  <c r="C1164" i="27"/>
  <c r="D1164" i="27"/>
  <c r="E1164" i="27"/>
  <c r="F1164" i="27"/>
  <c r="B1165" i="27"/>
  <c r="C1165" i="27"/>
  <c r="D1165" i="27"/>
  <c r="E1165" i="27"/>
  <c r="F1165" i="27"/>
  <c r="B1166" i="27"/>
  <c r="C1166" i="27"/>
  <c r="D1166" i="27"/>
  <c r="E1166" i="27"/>
  <c r="F1166" i="27"/>
  <c r="B1167" i="27"/>
  <c r="C1167" i="27"/>
  <c r="D1167" i="27"/>
  <c r="E1167" i="27"/>
  <c r="F1167" i="27"/>
  <c r="B1168" i="27"/>
  <c r="C1168" i="27"/>
  <c r="D1168" i="27"/>
  <c r="E1168" i="27"/>
  <c r="F1168" i="27"/>
  <c r="B1169" i="27"/>
  <c r="C1169" i="27"/>
  <c r="D1169" i="27"/>
  <c r="E1169" i="27"/>
  <c r="F1169" i="27"/>
  <c r="B1170" i="27"/>
  <c r="C1170" i="27"/>
  <c r="D1170" i="27"/>
  <c r="E1170" i="27"/>
  <c r="F1170" i="27"/>
  <c r="B1171" i="27"/>
  <c r="C1171" i="27"/>
  <c r="D1171" i="27"/>
  <c r="E1171" i="27"/>
  <c r="F1171" i="27"/>
  <c r="B1172" i="27"/>
  <c r="C1172" i="27"/>
  <c r="D1172" i="27"/>
  <c r="E1172" i="27"/>
  <c r="F1172" i="27"/>
  <c r="B1173" i="27"/>
  <c r="C1173" i="27"/>
  <c r="D1173" i="27"/>
  <c r="E1173" i="27"/>
  <c r="F1173" i="27"/>
  <c r="B1174" i="27"/>
  <c r="C1174" i="27"/>
  <c r="D1174" i="27"/>
  <c r="E1174" i="27"/>
  <c r="F1174" i="27"/>
  <c r="B1175" i="27"/>
  <c r="C1175" i="27"/>
  <c r="D1175" i="27"/>
  <c r="E1175" i="27"/>
  <c r="F1175" i="27"/>
  <c r="B1176" i="27"/>
  <c r="C1176" i="27"/>
  <c r="D1176" i="27"/>
  <c r="E1176" i="27"/>
  <c r="F1176" i="27"/>
  <c r="B1177" i="27"/>
  <c r="C1177" i="27"/>
  <c r="D1177" i="27"/>
  <c r="E1177" i="27"/>
  <c r="F1177" i="27"/>
  <c r="B1178" i="27"/>
  <c r="C1178" i="27"/>
  <c r="D1178" i="27"/>
  <c r="E1178" i="27"/>
  <c r="F1178" i="27"/>
  <c r="B1179" i="27"/>
  <c r="C1179" i="27"/>
  <c r="D1179" i="27"/>
  <c r="E1179" i="27"/>
  <c r="F1179" i="27"/>
  <c r="B1180" i="27"/>
  <c r="C1180" i="27"/>
  <c r="D1180" i="27"/>
  <c r="E1180" i="27"/>
  <c r="F1180" i="27"/>
  <c r="B1181" i="27"/>
  <c r="C1181" i="27"/>
  <c r="D1181" i="27"/>
  <c r="E1181" i="27"/>
  <c r="F1181" i="27"/>
  <c r="B1182" i="27"/>
  <c r="C1182" i="27"/>
  <c r="D1182" i="27"/>
  <c r="E1182" i="27"/>
  <c r="F1182" i="27"/>
  <c r="B1183" i="27"/>
  <c r="C1183" i="27"/>
  <c r="D1183" i="27"/>
  <c r="E1183" i="27"/>
  <c r="F1183" i="27"/>
  <c r="B617" i="27"/>
  <c r="C617" i="27"/>
  <c r="D617" i="27"/>
  <c r="E617" i="27"/>
  <c r="F617" i="27"/>
  <c r="B618" i="27"/>
  <c r="C618" i="27"/>
  <c r="D618" i="27"/>
  <c r="E618" i="27"/>
  <c r="F618" i="27"/>
  <c r="B619" i="27"/>
  <c r="C619" i="27"/>
  <c r="D619" i="27"/>
  <c r="E619" i="27"/>
  <c r="F619" i="27"/>
  <c r="B620" i="27"/>
  <c r="C620" i="27"/>
  <c r="D620" i="27"/>
  <c r="E620" i="27"/>
  <c r="F620" i="27"/>
  <c r="B621" i="27"/>
  <c r="C621" i="27"/>
  <c r="D621" i="27"/>
  <c r="E621" i="27"/>
  <c r="F621" i="27"/>
  <c r="O624" i="1" l="1"/>
  <c r="O623" i="1"/>
  <c r="O625" i="1"/>
  <c r="O626" i="1"/>
  <c r="O627" i="1"/>
  <c r="O628" i="1"/>
  <c r="O629"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9"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A619" i="27" l="1"/>
  <c r="A620" i="27"/>
  <c r="A621" i="27"/>
  <c r="A622" i="27"/>
  <c r="A623" i="27"/>
  <c r="A624" i="27"/>
  <c r="A625" i="27"/>
  <c r="A626" i="27"/>
  <c r="A627" i="27"/>
  <c r="A628" i="27"/>
  <c r="A629" i="27"/>
  <c r="A630" i="27"/>
  <c r="A631" i="27"/>
  <c r="A632" i="27"/>
  <c r="A633" i="27"/>
  <c r="A634" i="27"/>
  <c r="A635" i="27"/>
  <c r="A636" i="27"/>
  <c r="A637" i="27"/>
  <c r="A638" i="27"/>
  <c r="A639" i="27"/>
  <c r="A640" i="27"/>
  <c r="A641" i="27"/>
  <c r="A642" i="27"/>
  <c r="A643" i="27"/>
  <c r="A644" i="27"/>
  <c r="A645" i="27"/>
  <c r="A646" i="27"/>
  <c r="A647" i="27"/>
  <c r="A648" i="27"/>
  <c r="A649" i="27"/>
  <c r="A650" i="27"/>
  <c r="A651" i="27"/>
  <c r="A652" i="27"/>
  <c r="A653" i="27"/>
  <c r="A654" i="27"/>
  <c r="A655" i="27"/>
  <c r="A656" i="27"/>
  <c r="A657" i="27"/>
  <c r="A658" i="27"/>
  <c r="A659" i="27"/>
  <c r="A660" i="27"/>
  <c r="A661" i="27"/>
  <c r="A662" i="27"/>
  <c r="A663" i="27"/>
  <c r="A664" i="27"/>
  <c r="A665" i="27"/>
  <c r="A666" i="27"/>
  <c r="A667" i="27"/>
  <c r="A668" i="27"/>
  <c r="A669" i="27"/>
  <c r="A670" i="27"/>
  <c r="A671" i="27"/>
  <c r="A672" i="27"/>
  <c r="A673" i="27"/>
  <c r="A674" i="27"/>
  <c r="A675" i="27"/>
  <c r="A676" i="27"/>
  <c r="A677" i="27"/>
  <c r="A678" i="27"/>
  <c r="A679" i="27"/>
  <c r="A680" i="27"/>
  <c r="A681" i="27"/>
  <c r="A682" i="27"/>
  <c r="A683" i="27"/>
  <c r="A684" i="27"/>
  <c r="A685" i="27"/>
  <c r="A686" i="27"/>
  <c r="A687" i="27"/>
  <c r="A688" i="27"/>
  <c r="A689" i="27"/>
  <c r="A690" i="27"/>
  <c r="A691" i="27"/>
  <c r="A692" i="27"/>
  <c r="A693" i="27"/>
  <c r="A694" i="27"/>
  <c r="A695" i="27"/>
  <c r="A696" i="27"/>
  <c r="A697" i="27"/>
  <c r="A698" i="27"/>
  <c r="A699" i="27"/>
  <c r="A700" i="27"/>
  <c r="A701" i="27"/>
  <c r="A702" i="27"/>
  <c r="A703" i="27"/>
  <c r="A704" i="27"/>
  <c r="A705" i="27"/>
  <c r="A706" i="27"/>
  <c r="A707" i="27"/>
  <c r="A708" i="27"/>
  <c r="A709" i="27"/>
  <c r="A710" i="27"/>
  <c r="A711" i="27"/>
  <c r="A712" i="27"/>
  <c r="A713" i="27"/>
  <c r="A714" i="27"/>
  <c r="A715" i="27"/>
  <c r="A716" i="27"/>
  <c r="A717" i="27"/>
  <c r="A718" i="27"/>
  <c r="A719" i="27"/>
  <c r="A720" i="27"/>
  <c r="A721" i="27"/>
  <c r="A722" i="27"/>
  <c r="A723" i="27"/>
  <c r="A724" i="27"/>
  <c r="A725" i="27"/>
  <c r="A726" i="27"/>
  <c r="A727" i="27"/>
  <c r="A728" i="27"/>
  <c r="A729" i="27"/>
  <c r="A730" i="27"/>
  <c r="A731" i="27"/>
  <c r="A732" i="27"/>
  <c r="A733" i="27"/>
  <c r="A734" i="27"/>
  <c r="A735" i="27"/>
  <c r="A736" i="27"/>
  <c r="A737" i="27"/>
  <c r="A738" i="27"/>
  <c r="A739" i="27"/>
  <c r="A740" i="27"/>
  <c r="A741" i="27"/>
  <c r="A742" i="27"/>
  <c r="A743" i="27"/>
  <c r="A744" i="27"/>
  <c r="A745" i="27"/>
  <c r="A746" i="27"/>
  <c r="A747" i="27"/>
  <c r="A748" i="27"/>
  <c r="A749" i="27"/>
  <c r="A750" i="27"/>
  <c r="A751" i="27"/>
  <c r="A752" i="27"/>
  <c r="A753" i="27"/>
  <c r="A754" i="27"/>
  <c r="A755" i="27"/>
  <c r="A756" i="27"/>
  <c r="A757" i="27"/>
  <c r="A758" i="27"/>
  <c r="A759" i="27"/>
  <c r="A760" i="27"/>
  <c r="A761" i="27"/>
  <c r="A762" i="27"/>
  <c r="A763" i="27"/>
  <c r="A764" i="27"/>
  <c r="A765" i="27"/>
  <c r="A766" i="27"/>
  <c r="A767" i="27"/>
  <c r="A768" i="27"/>
  <c r="A769" i="27"/>
  <c r="A770" i="27"/>
  <c r="A771" i="27"/>
  <c r="A772" i="27"/>
  <c r="A773" i="27"/>
  <c r="A774" i="27"/>
  <c r="A775" i="27"/>
  <c r="A776" i="27"/>
  <c r="A777" i="27"/>
  <c r="A778" i="27"/>
  <c r="A779" i="27"/>
  <c r="A780" i="27"/>
  <c r="A781" i="27"/>
  <c r="A782" i="27"/>
  <c r="A783" i="27"/>
  <c r="A784" i="27"/>
  <c r="A785" i="27"/>
  <c r="A786" i="27"/>
  <c r="A787" i="27"/>
  <c r="A788" i="27"/>
  <c r="A789" i="27"/>
  <c r="A790" i="27"/>
  <c r="A791" i="27"/>
  <c r="A792" i="27"/>
  <c r="A793" i="27"/>
  <c r="A794" i="27"/>
  <c r="A795" i="27"/>
  <c r="A796" i="27"/>
  <c r="A797" i="27"/>
  <c r="A798" i="27"/>
  <c r="A799" i="27"/>
  <c r="A800" i="27"/>
  <c r="A801" i="27"/>
  <c r="A802" i="27"/>
  <c r="A803" i="27"/>
  <c r="A804" i="27"/>
  <c r="A805" i="27"/>
  <c r="A806" i="27"/>
  <c r="A807" i="27"/>
  <c r="A808" i="27"/>
  <c r="A809" i="27"/>
  <c r="A810" i="27"/>
  <c r="A811" i="27"/>
  <c r="A812" i="27"/>
  <c r="A813" i="27"/>
  <c r="A814" i="27"/>
  <c r="A815" i="27"/>
  <c r="A816" i="27"/>
  <c r="A817" i="27"/>
  <c r="A818" i="27"/>
  <c r="A819" i="27"/>
  <c r="A820" i="27"/>
  <c r="A821" i="27"/>
  <c r="A822" i="27"/>
  <c r="A823" i="27"/>
  <c r="A824" i="27"/>
  <c r="A825" i="27"/>
  <c r="A826" i="27"/>
  <c r="A827" i="27"/>
  <c r="A828" i="27"/>
  <c r="A829" i="27"/>
  <c r="A830" i="27"/>
  <c r="A831" i="27"/>
  <c r="A832" i="27"/>
  <c r="A833" i="27"/>
  <c r="A834" i="27"/>
  <c r="A835" i="27"/>
  <c r="A836" i="27"/>
  <c r="A837" i="27"/>
  <c r="A838" i="27"/>
  <c r="A839" i="27"/>
  <c r="A840" i="27"/>
  <c r="A841" i="27"/>
  <c r="A842" i="27"/>
  <c r="A843" i="27"/>
  <c r="A844" i="27"/>
  <c r="A845" i="27"/>
  <c r="A846" i="27"/>
  <c r="A847" i="27"/>
  <c r="A848" i="27"/>
  <c r="A849" i="27"/>
  <c r="A850" i="27"/>
  <c r="A851" i="27"/>
  <c r="A852" i="27"/>
  <c r="A853" i="27"/>
  <c r="A854" i="27"/>
  <c r="A855" i="27"/>
  <c r="A856" i="27"/>
  <c r="A857" i="27"/>
  <c r="A858" i="27"/>
  <c r="A859" i="27"/>
  <c r="A860" i="27"/>
  <c r="A861" i="27"/>
  <c r="A862" i="27"/>
  <c r="A863" i="27"/>
  <c r="A864" i="27"/>
  <c r="A865" i="27"/>
  <c r="A866" i="27"/>
  <c r="A867" i="27"/>
  <c r="A868" i="27"/>
  <c r="A869" i="27"/>
  <c r="A870" i="27"/>
  <c r="A871" i="27"/>
  <c r="A872" i="27"/>
  <c r="A873" i="27"/>
  <c r="A874" i="27"/>
  <c r="A875" i="27"/>
  <c r="A876" i="27"/>
  <c r="A877" i="27"/>
  <c r="A878" i="27"/>
  <c r="A879" i="27"/>
  <c r="A880" i="27"/>
  <c r="A881" i="27"/>
  <c r="A882" i="27"/>
  <c r="A883" i="27"/>
  <c r="A884" i="27"/>
  <c r="A885" i="27"/>
  <c r="A886" i="27"/>
  <c r="A887" i="27"/>
  <c r="A888" i="27"/>
  <c r="A889" i="27"/>
  <c r="A890" i="27"/>
  <c r="A891" i="27"/>
  <c r="A892" i="27"/>
  <c r="A893" i="27"/>
  <c r="A894" i="27"/>
  <c r="A895" i="27"/>
  <c r="A896" i="27"/>
  <c r="A897" i="27"/>
  <c r="A898" i="27"/>
  <c r="A899" i="27"/>
  <c r="A900" i="27"/>
  <c r="A901" i="27"/>
  <c r="A902" i="27"/>
  <c r="A903" i="27"/>
  <c r="A904" i="27"/>
  <c r="A905" i="27"/>
  <c r="A906" i="27"/>
  <c r="A907" i="27"/>
  <c r="A908" i="27"/>
  <c r="A909" i="27"/>
  <c r="A910" i="27"/>
  <c r="A911" i="27"/>
  <c r="A912" i="27"/>
  <c r="A913" i="27"/>
  <c r="A914" i="27"/>
  <c r="A915" i="27"/>
  <c r="A916" i="27"/>
  <c r="A917" i="27"/>
  <c r="A918" i="27"/>
  <c r="A919" i="27"/>
  <c r="A920" i="27"/>
  <c r="A921" i="27"/>
  <c r="A922" i="27"/>
  <c r="A923" i="27"/>
  <c r="A924" i="27"/>
  <c r="A925" i="27"/>
  <c r="A926" i="27"/>
  <c r="A927" i="27"/>
  <c r="A928" i="27"/>
  <c r="A929" i="27"/>
  <c r="A930" i="27"/>
  <c r="A931" i="27"/>
  <c r="A932" i="27"/>
  <c r="A933" i="27"/>
  <c r="A934" i="27"/>
  <c r="A935" i="27"/>
  <c r="A936" i="27"/>
  <c r="A937" i="27"/>
  <c r="A938" i="27"/>
  <c r="A939" i="27"/>
  <c r="A940" i="27"/>
  <c r="A941" i="27"/>
  <c r="A942" i="27"/>
  <c r="A943" i="27"/>
  <c r="A944" i="27"/>
  <c r="A945" i="27"/>
  <c r="A946" i="27"/>
  <c r="A947" i="27"/>
  <c r="A948" i="27"/>
  <c r="A949" i="27"/>
  <c r="A950" i="27"/>
  <c r="A951" i="27"/>
  <c r="A952" i="27"/>
  <c r="A953" i="27"/>
  <c r="A954" i="27"/>
  <c r="A955" i="27"/>
  <c r="A956" i="27"/>
  <c r="A957" i="27"/>
  <c r="A958" i="27"/>
  <c r="A959" i="27"/>
  <c r="A960" i="27"/>
  <c r="A961" i="27"/>
  <c r="A962" i="27"/>
  <c r="A963" i="27"/>
  <c r="A964" i="27"/>
  <c r="A965" i="27"/>
  <c r="A966" i="27"/>
  <c r="A967" i="27"/>
  <c r="A968" i="27"/>
  <c r="A969" i="27"/>
  <c r="A970" i="27"/>
  <c r="A971" i="27"/>
  <c r="A972" i="27"/>
  <c r="A973" i="27"/>
  <c r="A974" i="27"/>
  <c r="A975" i="27"/>
  <c r="A976" i="27"/>
  <c r="A977" i="27"/>
  <c r="A978" i="27"/>
  <c r="A979" i="27"/>
  <c r="A980" i="27"/>
  <c r="A981" i="27"/>
  <c r="A982" i="27"/>
  <c r="A983" i="27"/>
  <c r="A984" i="27"/>
  <c r="A985" i="27"/>
  <c r="A986" i="27"/>
  <c r="A987" i="27"/>
  <c r="A988" i="27"/>
  <c r="A989" i="27"/>
  <c r="A990" i="27"/>
  <c r="A991" i="27"/>
  <c r="A992" i="27"/>
  <c r="A993" i="27"/>
  <c r="A994" i="27"/>
  <c r="A995" i="27"/>
  <c r="A996" i="27"/>
  <c r="A997" i="27"/>
  <c r="A998" i="27"/>
  <c r="A999" i="27"/>
  <c r="A1000" i="27"/>
  <c r="A1001" i="27"/>
  <c r="A1002" i="27"/>
  <c r="A1003" i="27"/>
  <c r="A1004" i="27"/>
  <c r="A1005" i="27"/>
  <c r="A1006" i="27"/>
  <c r="A1007" i="27"/>
  <c r="A1008" i="27"/>
  <c r="A1009" i="27"/>
  <c r="A1010" i="27"/>
  <c r="A1011" i="27"/>
  <c r="A1012" i="27"/>
  <c r="A1013" i="27"/>
  <c r="A1014" i="27"/>
  <c r="A1015" i="27"/>
  <c r="A1016" i="27"/>
  <c r="A1017" i="27"/>
  <c r="A1018" i="27"/>
  <c r="A1019" i="27"/>
  <c r="A1020" i="27"/>
  <c r="A1021" i="27"/>
  <c r="A1022" i="27"/>
  <c r="A1023" i="27"/>
  <c r="A1024" i="27"/>
  <c r="A1025" i="27"/>
  <c r="A1026" i="27"/>
  <c r="A1027" i="27"/>
  <c r="A1028" i="27"/>
  <c r="A1029" i="27"/>
  <c r="A1030" i="27"/>
  <c r="A1031" i="27"/>
  <c r="A1032" i="27"/>
  <c r="A1033" i="27"/>
  <c r="A1034" i="27"/>
  <c r="A1035" i="27"/>
  <c r="A1036" i="27"/>
  <c r="A1037" i="27"/>
  <c r="A1038" i="27"/>
  <c r="A1039" i="27"/>
  <c r="A1040" i="27"/>
  <c r="A1041" i="27"/>
  <c r="A1042" i="27"/>
  <c r="A1043" i="27"/>
  <c r="A1044" i="27"/>
  <c r="A1045" i="27"/>
  <c r="A1046" i="27"/>
  <c r="A1047" i="27"/>
  <c r="A1048" i="27"/>
  <c r="A1049" i="27"/>
  <c r="A1050" i="27"/>
  <c r="A1051" i="27"/>
  <c r="A1052" i="27"/>
  <c r="A1053" i="27"/>
  <c r="A1054" i="27"/>
  <c r="A1055" i="27"/>
  <c r="A1056" i="27"/>
  <c r="A1057" i="27"/>
  <c r="A1058" i="27"/>
  <c r="A1059" i="27"/>
  <c r="A1060" i="27"/>
  <c r="A1061" i="27"/>
  <c r="A1062" i="27"/>
  <c r="A1063" i="27"/>
  <c r="A1064" i="27"/>
  <c r="A1065" i="27"/>
  <c r="A1066" i="27"/>
  <c r="A1067" i="27"/>
  <c r="A1068" i="27"/>
  <c r="A1069" i="27"/>
  <c r="A1070" i="27"/>
  <c r="A1071" i="27"/>
  <c r="A1072" i="27"/>
  <c r="A1073" i="27"/>
  <c r="A1074" i="27"/>
  <c r="A1075" i="27"/>
  <c r="A1076" i="27"/>
  <c r="A1077" i="27"/>
  <c r="A1078" i="27"/>
  <c r="A1079" i="27"/>
  <c r="A1080" i="27"/>
  <c r="A1081" i="27"/>
  <c r="A1082" i="27"/>
  <c r="A1083" i="27"/>
  <c r="A1084" i="27"/>
  <c r="A1085" i="27"/>
  <c r="A1086" i="27"/>
  <c r="A1087" i="27"/>
  <c r="A1088" i="27"/>
  <c r="A1089" i="27"/>
  <c r="A1090" i="27"/>
  <c r="A1091" i="27"/>
  <c r="A1092" i="27"/>
  <c r="A1093" i="27"/>
  <c r="A1094" i="27"/>
  <c r="A1095" i="27"/>
  <c r="A1096" i="27"/>
  <c r="A1097" i="27"/>
  <c r="A1098" i="27"/>
  <c r="A1099" i="27"/>
  <c r="A1100" i="27"/>
  <c r="A1101" i="27"/>
  <c r="A1102" i="27"/>
  <c r="A1103" i="27"/>
  <c r="A1104" i="27"/>
  <c r="A1105" i="27"/>
  <c r="A1106" i="27"/>
  <c r="A1107" i="27"/>
  <c r="A1108" i="27"/>
  <c r="A1109" i="27"/>
  <c r="A1110" i="27"/>
  <c r="A1111" i="27"/>
  <c r="A1112" i="27"/>
  <c r="A1113" i="27"/>
  <c r="A1114" i="27"/>
  <c r="A1115" i="27"/>
  <c r="A1116" i="27"/>
  <c r="A1117" i="27"/>
  <c r="A1118" i="27"/>
  <c r="A1119" i="27"/>
  <c r="A1120" i="27"/>
  <c r="A1121" i="27"/>
  <c r="A1122" i="27"/>
  <c r="A1123" i="27"/>
  <c r="A1124" i="27"/>
  <c r="A1125" i="27"/>
  <c r="A1126" i="27"/>
  <c r="A1127" i="27"/>
  <c r="A1128" i="27"/>
  <c r="A1129" i="27"/>
  <c r="A1130" i="27"/>
  <c r="A1131" i="27"/>
  <c r="A1132" i="27"/>
  <c r="A1133" i="27"/>
  <c r="A1134" i="27"/>
  <c r="A1135" i="27"/>
  <c r="A1136" i="27"/>
  <c r="A1137" i="27"/>
  <c r="A1138" i="27"/>
  <c r="A1139" i="27"/>
  <c r="A1140" i="27"/>
  <c r="A1141" i="27"/>
  <c r="A1142" i="27"/>
  <c r="A1143" i="27"/>
  <c r="A1144" i="27"/>
  <c r="A1145" i="27"/>
  <c r="A1146" i="27"/>
  <c r="A1147" i="27"/>
  <c r="A1148" i="27"/>
  <c r="A1149" i="27"/>
  <c r="A1150" i="27"/>
  <c r="A1151" i="27"/>
  <c r="A1152" i="27"/>
  <c r="A1153" i="27"/>
  <c r="A1154" i="27"/>
  <c r="A1155" i="27"/>
  <c r="A1156" i="27"/>
  <c r="A1157" i="27"/>
  <c r="A1158" i="27"/>
  <c r="A1159" i="27"/>
  <c r="A1160" i="27"/>
  <c r="A1161" i="27"/>
  <c r="A1162" i="27"/>
  <c r="A1163" i="27"/>
  <c r="A1164" i="27"/>
  <c r="A1165" i="27"/>
  <c r="A1166" i="27"/>
  <c r="A1167" i="27"/>
  <c r="A1168" i="27"/>
  <c r="A1169" i="27"/>
  <c r="A1170" i="27"/>
  <c r="A1171" i="27"/>
  <c r="A1172" i="27"/>
  <c r="A1173" i="27"/>
  <c r="A1174" i="27"/>
  <c r="A1175" i="27"/>
  <c r="A1176" i="27"/>
  <c r="A1177" i="27"/>
  <c r="A1178" i="27"/>
  <c r="A1179" i="27"/>
  <c r="A1180" i="27"/>
  <c r="A1181" i="27"/>
  <c r="A1182" i="27"/>
  <c r="A1183" i="27"/>
  <c r="B581" i="27" l="1"/>
  <c r="C581" i="27"/>
  <c r="D581" i="27"/>
  <c r="E581" i="27"/>
  <c r="F581" i="27"/>
  <c r="E99" i="5" l="1"/>
  <c r="D108" i="5"/>
  <c r="G38" i="5" s="1"/>
  <c r="D105" i="5"/>
  <c r="G37" i="5" s="1"/>
  <c r="D102" i="5"/>
  <c r="G36" i="5" s="1"/>
  <c r="D99" i="5"/>
  <c r="G35" i="5" s="1"/>
  <c r="I11" i="5" l="1"/>
  <c r="C3" i="27"/>
  <c r="D3" i="27"/>
  <c r="E3" i="27"/>
  <c r="F3" i="27"/>
  <c r="C4" i="27"/>
  <c r="D4" i="27"/>
  <c r="E4" i="27"/>
  <c r="F4" i="27"/>
  <c r="C5" i="27"/>
  <c r="D5" i="27"/>
  <c r="E5" i="27"/>
  <c r="F5" i="27"/>
  <c r="C6" i="27"/>
  <c r="D6" i="27"/>
  <c r="E6" i="27"/>
  <c r="F6" i="27"/>
  <c r="C7" i="27"/>
  <c r="D7" i="27"/>
  <c r="E7" i="27"/>
  <c r="F7" i="27"/>
  <c r="C8" i="27"/>
  <c r="D8" i="27"/>
  <c r="E8" i="27"/>
  <c r="F8" i="27"/>
  <c r="C9" i="27"/>
  <c r="D9" i="27"/>
  <c r="E9" i="27"/>
  <c r="F9" i="27"/>
  <c r="C10" i="27"/>
  <c r="D10" i="27"/>
  <c r="E10" i="27"/>
  <c r="F10" i="27"/>
  <c r="C11" i="27"/>
  <c r="D11" i="27"/>
  <c r="E11" i="27"/>
  <c r="F11" i="27"/>
  <c r="C12" i="27"/>
  <c r="D12" i="27"/>
  <c r="E12" i="27"/>
  <c r="F12" i="27"/>
  <c r="C13" i="27"/>
  <c r="D13" i="27"/>
  <c r="E13" i="27"/>
  <c r="F13" i="27"/>
  <c r="C14" i="27"/>
  <c r="D14" i="27"/>
  <c r="E14" i="27"/>
  <c r="F14" i="27"/>
  <c r="C15" i="27"/>
  <c r="D15" i="27"/>
  <c r="E15" i="27"/>
  <c r="F15" i="27"/>
  <c r="C16" i="27"/>
  <c r="D16" i="27"/>
  <c r="E16" i="27"/>
  <c r="F16" i="27"/>
  <c r="C17" i="27"/>
  <c r="D17" i="27"/>
  <c r="E17" i="27"/>
  <c r="F17" i="27"/>
  <c r="C18" i="27"/>
  <c r="D18" i="27"/>
  <c r="E18" i="27"/>
  <c r="F18" i="27"/>
  <c r="C19" i="27"/>
  <c r="D19" i="27"/>
  <c r="E19" i="27"/>
  <c r="F19" i="27"/>
  <c r="C20" i="27"/>
  <c r="D20" i="27"/>
  <c r="E20" i="27"/>
  <c r="F20" i="27"/>
  <c r="C21" i="27"/>
  <c r="D21" i="27"/>
  <c r="E21" i="27"/>
  <c r="F21" i="27"/>
  <c r="C22" i="27"/>
  <c r="D22" i="27"/>
  <c r="E22" i="27"/>
  <c r="F22" i="27"/>
  <c r="C23" i="27"/>
  <c r="D23" i="27"/>
  <c r="E23" i="27"/>
  <c r="F23" i="27"/>
  <c r="C24" i="27"/>
  <c r="D24" i="27"/>
  <c r="E24" i="27"/>
  <c r="F24" i="27"/>
  <c r="C25" i="27"/>
  <c r="D25" i="27"/>
  <c r="E25" i="27"/>
  <c r="F25" i="27"/>
  <c r="C26" i="27"/>
  <c r="D26" i="27"/>
  <c r="E26" i="27"/>
  <c r="F26" i="27"/>
  <c r="C27" i="27"/>
  <c r="D27" i="27"/>
  <c r="E27" i="27"/>
  <c r="F27" i="27"/>
  <c r="C28" i="27"/>
  <c r="D28" i="27"/>
  <c r="E28" i="27"/>
  <c r="F28" i="27"/>
  <c r="C29" i="27"/>
  <c r="D29" i="27"/>
  <c r="E29" i="27"/>
  <c r="F29" i="27"/>
  <c r="C30" i="27"/>
  <c r="D30" i="27"/>
  <c r="E30" i="27"/>
  <c r="F30" i="27"/>
  <c r="C31" i="27"/>
  <c r="D31" i="27"/>
  <c r="E31" i="27"/>
  <c r="F31" i="27"/>
  <c r="C32" i="27"/>
  <c r="D32" i="27"/>
  <c r="E32" i="27"/>
  <c r="F32" i="27"/>
  <c r="C33" i="27"/>
  <c r="D33" i="27"/>
  <c r="E33" i="27"/>
  <c r="F33" i="27"/>
  <c r="C34" i="27"/>
  <c r="D34" i="27"/>
  <c r="E34" i="27"/>
  <c r="F34" i="27"/>
  <c r="C35" i="27"/>
  <c r="D35" i="27"/>
  <c r="E35" i="27"/>
  <c r="F35" i="27"/>
  <c r="C36" i="27"/>
  <c r="D36" i="27"/>
  <c r="E36" i="27"/>
  <c r="F36" i="27"/>
  <c r="C37" i="27"/>
  <c r="D37" i="27"/>
  <c r="E37" i="27"/>
  <c r="F37" i="27"/>
  <c r="C38" i="27"/>
  <c r="D38" i="27"/>
  <c r="E38" i="27"/>
  <c r="F38" i="27"/>
  <c r="C39" i="27"/>
  <c r="D39" i="27"/>
  <c r="E39" i="27"/>
  <c r="F39" i="27"/>
  <c r="C40" i="27"/>
  <c r="D40" i="27"/>
  <c r="E40" i="27"/>
  <c r="F40" i="27"/>
  <c r="C41" i="27"/>
  <c r="D41" i="27"/>
  <c r="E41" i="27"/>
  <c r="F41" i="27"/>
  <c r="C42" i="27"/>
  <c r="D42" i="27"/>
  <c r="E42" i="27"/>
  <c r="F42" i="27"/>
  <c r="C43" i="27"/>
  <c r="D43" i="27"/>
  <c r="E43" i="27"/>
  <c r="F43" i="27"/>
  <c r="C44" i="27"/>
  <c r="D44" i="27"/>
  <c r="E44" i="27"/>
  <c r="F44" i="27"/>
  <c r="C45" i="27"/>
  <c r="D45" i="27"/>
  <c r="E45" i="27"/>
  <c r="F45" i="27"/>
  <c r="C46" i="27"/>
  <c r="D46" i="27"/>
  <c r="E46" i="27"/>
  <c r="F46" i="27"/>
  <c r="C47" i="27"/>
  <c r="D47" i="27"/>
  <c r="E47" i="27"/>
  <c r="F47" i="27"/>
  <c r="C48" i="27"/>
  <c r="D48" i="27"/>
  <c r="E48" i="27"/>
  <c r="F48" i="27"/>
  <c r="C49" i="27"/>
  <c r="D49" i="27"/>
  <c r="E49" i="27"/>
  <c r="F49" i="27"/>
  <c r="C50" i="27"/>
  <c r="D50" i="27"/>
  <c r="E50" i="27"/>
  <c r="F50" i="27"/>
  <c r="C51" i="27"/>
  <c r="D51" i="27"/>
  <c r="E51" i="27"/>
  <c r="F51" i="27"/>
  <c r="C52" i="27"/>
  <c r="D52" i="27"/>
  <c r="E52" i="27"/>
  <c r="F52" i="27"/>
  <c r="C53" i="27"/>
  <c r="D53" i="27"/>
  <c r="E53" i="27"/>
  <c r="F53" i="27"/>
  <c r="C54" i="27"/>
  <c r="D54" i="27"/>
  <c r="E54" i="27"/>
  <c r="F54" i="27"/>
  <c r="C55" i="27"/>
  <c r="D55" i="27"/>
  <c r="E55" i="27"/>
  <c r="F55" i="27"/>
  <c r="C56" i="27"/>
  <c r="D56" i="27"/>
  <c r="E56" i="27"/>
  <c r="F56" i="27"/>
  <c r="C57" i="27"/>
  <c r="D57" i="27"/>
  <c r="E57" i="27"/>
  <c r="F57" i="27"/>
  <c r="C58" i="27"/>
  <c r="D58" i="27"/>
  <c r="E58" i="27"/>
  <c r="F58" i="27"/>
  <c r="C59" i="27"/>
  <c r="D59" i="27"/>
  <c r="E59" i="27"/>
  <c r="F59" i="27"/>
  <c r="C60" i="27"/>
  <c r="D60" i="27"/>
  <c r="E60" i="27"/>
  <c r="F60" i="27"/>
  <c r="C61" i="27"/>
  <c r="D61" i="27"/>
  <c r="E61" i="27"/>
  <c r="F61" i="27"/>
  <c r="C62" i="27"/>
  <c r="D62" i="27"/>
  <c r="E62" i="27"/>
  <c r="F62" i="27"/>
  <c r="C63" i="27"/>
  <c r="D63" i="27"/>
  <c r="E63" i="27"/>
  <c r="F63" i="27"/>
  <c r="C64" i="27"/>
  <c r="D64" i="27"/>
  <c r="E64" i="27"/>
  <c r="F64" i="27"/>
  <c r="C65" i="27"/>
  <c r="D65" i="27"/>
  <c r="E65" i="27"/>
  <c r="F65" i="27"/>
  <c r="C66" i="27"/>
  <c r="D66" i="27"/>
  <c r="E66" i="27"/>
  <c r="F66" i="27"/>
  <c r="C67" i="27"/>
  <c r="D67" i="27"/>
  <c r="E67" i="27"/>
  <c r="F67" i="27"/>
  <c r="C68" i="27"/>
  <c r="D68" i="27"/>
  <c r="E68" i="27"/>
  <c r="F68" i="27"/>
  <c r="C69" i="27"/>
  <c r="D69" i="27"/>
  <c r="E69" i="27"/>
  <c r="F69" i="27"/>
  <c r="C70" i="27"/>
  <c r="D70" i="27"/>
  <c r="E70" i="27"/>
  <c r="F70" i="27"/>
  <c r="C71" i="27"/>
  <c r="D71" i="27"/>
  <c r="E71" i="27"/>
  <c r="F71" i="27"/>
  <c r="C72" i="27"/>
  <c r="D72" i="27"/>
  <c r="E72" i="27"/>
  <c r="F72" i="27"/>
  <c r="C73" i="27"/>
  <c r="D73" i="27"/>
  <c r="E73" i="27"/>
  <c r="F73" i="27"/>
  <c r="C74" i="27"/>
  <c r="D74" i="27"/>
  <c r="E74" i="27"/>
  <c r="F74" i="27"/>
  <c r="C75" i="27"/>
  <c r="D75" i="27"/>
  <c r="E75" i="27"/>
  <c r="F75" i="27"/>
  <c r="C76" i="27"/>
  <c r="D76" i="27"/>
  <c r="E76" i="27"/>
  <c r="F76" i="27"/>
  <c r="C77" i="27"/>
  <c r="D77" i="27"/>
  <c r="E77" i="27"/>
  <c r="F77" i="27"/>
  <c r="C78" i="27"/>
  <c r="D78" i="27"/>
  <c r="E78" i="27"/>
  <c r="F78" i="27"/>
  <c r="C79" i="27"/>
  <c r="D79" i="27"/>
  <c r="E79" i="27"/>
  <c r="F79" i="27"/>
  <c r="C80" i="27"/>
  <c r="D80" i="27"/>
  <c r="E80" i="27"/>
  <c r="F80" i="27"/>
  <c r="C81" i="27"/>
  <c r="D81" i="27"/>
  <c r="E81" i="27"/>
  <c r="F81" i="27"/>
  <c r="C82" i="27"/>
  <c r="D82" i="27"/>
  <c r="E82" i="27"/>
  <c r="F82" i="27"/>
  <c r="C83" i="27"/>
  <c r="D83" i="27"/>
  <c r="E83" i="27"/>
  <c r="F83" i="27"/>
  <c r="C84" i="27"/>
  <c r="D84" i="27"/>
  <c r="E84" i="27"/>
  <c r="F84" i="27"/>
  <c r="C85" i="27"/>
  <c r="D85" i="27"/>
  <c r="E85" i="27"/>
  <c r="F85" i="27"/>
  <c r="C86" i="27"/>
  <c r="D86" i="27"/>
  <c r="E86" i="27"/>
  <c r="F86" i="27"/>
  <c r="C87" i="27"/>
  <c r="D87" i="27"/>
  <c r="E87" i="27"/>
  <c r="F87" i="27"/>
  <c r="C88" i="27"/>
  <c r="D88" i="27"/>
  <c r="E88" i="27"/>
  <c r="F88" i="27"/>
  <c r="C89" i="27"/>
  <c r="D89" i="27"/>
  <c r="E89" i="27"/>
  <c r="F89" i="27"/>
  <c r="C90" i="27"/>
  <c r="D90" i="27"/>
  <c r="E90" i="27"/>
  <c r="F90" i="27"/>
  <c r="C91" i="27"/>
  <c r="D91" i="27"/>
  <c r="E91" i="27"/>
  <c r="F91" i="27"/>
  <c r="C92" i="27"/>
  <c r="D92" i="27"/>
  <c r="E92" i="27"/>
  <c r="F92" i="27"/>
  <c r="C93" i="27"/>
  <c r="D93" i="27"/>
  <c r="E93" i="27"/>
  <c r="F93" i="27"/>
  <c r="C94" i="27"/>
  <c r="D94" i="27"/>
  <c r="E94" i="27"/>
  <c r="F94" i="27"/>
  <c r="C95" i="27"/>
  <c r="D95" i="27"/>
  <c r="E95" i="27"/>
  <c r="F95" i="27"/>
  <c r="C96" i="27"/>
  <c r="D96" i="27"/>
  <c r="E96" i="27"/>
  <c r="F96" i="27"/>
  <c r="C97" i="27"/>
  <c r="D97" i="27"/>
  <c r="E97" i="27"/>
  <c r="F97" i="27"/>
  <c r="C98" i="27"/>
  <c r="D98" i="27"/>
  <c r="E98" i="27"/>
  <c r="F98" i="27"/>
  <c r="C99" i="27"/>
  <c r="D99" i="27"/>
  <c r="E99" i="27"/>
  <c r="F99" i="27"/>
  <c r="C100" i="27"/>
  <c r="D100" i="27"/>
  <c r="E100" i="27"/>
  <c r="F100" i="27"/>
  <c r="C101" i="27"/>
  <c r="D101" i="27"/>
  <c r="E101" i="27"/>
  <c r="F101" i="27"/>
  <c r="C102" i="27"/>
  <c r="D102" i="27"/>
  <c r="E102" i="27"/>
  <c r="F102" i="27"/>
  <c r="C103" i="27"/>
  <c r="D103" i="27"/>
  <c r="E103" i="27"/>
  <c r="F103" i="27"/>
  <c r="C104" i="27"/>
  <c r="D104" i="27"/>
  <c r="E104" i="27"/>
  <c r="F104" i="27"/>
  <c r="C105" i="27"/>
  <c r="D105" i="27"/>
  <c r="E105" i="27"/>
  <c r="F105" i="27"/>
  <c r="C106" i="27"/>
  <c r="D106" i="27"/>
  <c r="E106" i="27"/>
  <c r="F106" i="27"/>
  <c r="C107" i="27"/>
  <c r="D107" i="27"/>
  <c r="E107" i="27"/>
  <c r="F107" i="27"/>
  <c r="C108" i="27"/>
  <c r="D108" i="27"/>
  <c r="E108" i="27"/>
  <c r="F108" i="27"/>
  <c r="C109" i="27"/>
  <c r="D109" i="27"/>
  <c r="E109" i="27"/>
  <c r="F109" i="27"/>
  <c r="C110" i="27"/>
  <c r="D110" i="27"/>
  <c r="E110" i="27"/>
  <c r="F110" i="27"/>
  <c r="C111" i="27"/>
  <c r="D111" i="27"/>
  <c r="E111" i="27"/>
  <c r="F111" i="27"/>
  <c r="C112" i="27"/>
  <c r="D112" i="27"/>
  <c r="E112" i="27"/>
  <c r="F112" i="27"/>
  <c r="C113" i="27"/>
  <c r="D113" i="27"/>
  <c r="E113" i="27"/>
  <c r="F113" i="27"/>
  <c r="C114" i="27"/>
  <c r="D114" i="27"/>
  <c r="E114" i="27"/>
  <c r="F114" i="27"/>
  <c r="C115" i="27"/>
  <c r="D115" i="27"/>
  <c r="E115" i="27"/>
  <c r="F115" i="27"/>
  <c r="C116" i="27"/>
  <c r="D116" i="27"/>
  <c r="E116" i="27"/>
  <c r="F116" i="27"/>
  <c r="C117" i="27"/>
  <c r="D117" i="27"/>
  <c r="E117" i="27"/>
  <c r="F117" i="27"/>
  <c r="C118" i="27"/>
  <c r="D118" i="27"/>
  <c r="E118" i="27"/>
  <c r="F118" i="27"/>
  <c r="C119" i="27"/>
  <c r="D119" i="27"/>
  <c r="E119" i="27"/>
  <c r="F119" i="27"/>
  <c r="C120" i="27"/>
  <c r="D120" i="27"/>
  <c r="E120" i="27"/>
  <c r="F120" i="27"/>
  <c r="C121" i="27"/>
  <c r="D121" i="27"/>
  <c r="E121" i="27"/>
  <c r="F121" i="27"/>
  <c r="C122" i="27"/>
  <c r="D122" i="27"/>
  <c r="E122" i="27"/>
  <c r="F122" i="27"/>
  <c r="C123" i="27"/>
  <c r="D123" i="27"/>
  <c r="E123" i="27"/>
  <c r="F123" i="27"/>
  <c r="C124" i="27"/>
  <c r="D124" i="27"/>
  <c r="E124" i="27"/>
  <c r="F124" i="27"/>
  <c r="C125" i="27"/>
  <c r="D125" i="27"/>
  <c r="E125" i="27"/>
  <c r="F125" i="27"/>
  <c r="C126" i="27"/>
  <c r="D126" i="27"/>
  <c r="E126" i="27"/>
  <c r="F126" i="27"/>
  <c r="C127" i="27"/>
  <c r="D127" i="27"/>
  <c r="E127" i="27"/>
  <c r="F127" i="27"/>
  <c r="C128" i="27"/>
  <c r="D128" i="27"/>
  <c r="E128" i="27"/>
  <c r="F128" i="27"/>
  <c r="C129" i="27"/>
  <c r="D129" i="27"/>
  <c r="E129" i="27"/>
  <c r="F129" i="27"/>
  <c r="C130" i="27"/>
  <c r="D130" i="27"/>
  <c r="E130" i="27"/>
  <c r="F130" i="27"/>
  <c r="C131" i="27"/>
  <c r="D131" i="27"/>
  <c r="E131" i="27"/>
  <c r="F131" i="27"/>
  <c r="C132" i="27"/>
  <c r="D132" i="27"/>
  <c r="E132" i="27"/>
  <c r="F132" i="27"/>
  <c r="C133" i="27"/>
  <c r="D133" i="27"/>
  <c r="E133" i="27"/>
  <c r="F133" i="27"/>
  <c r="C134" i="27"/>
  <c r="D134" i="27"/>
  <c r="E134" i="27"/>
  <c r="F134" i="27"/>
  <c r="C135" i="27"/>
  <c r="D135" i="27"/>
  <c r="E135" i="27"/>
  <c r="F135" i="27"/>
  <c r="C136" i="27"/>
  <c r="D136" i="27"/>
  <c r="E136" i="27"/>
  <c r="F136" i="27"/>
  <c r="C137" i="27"/>
  <c r="D137" i="27"/>
  <c r="E137" i="27"/>
  <c r="F137" i="27"/>
  <c r="C138" i="27"/>
  <c r="D138" i="27"/>
  <c r="E138" i="27"/>
  <c r="F138" i="27"/>
  <c r="C139" i="27"/>
  <c r="D139" i="27"/>
  <c r="E139" i="27"/>
  <c r="F139" i="27"/>
  <c r="C140" i="27"/>
  <c r="D140" i="27"/>
  <c r="E140" i="27"/>
  <c r="F140" i="27"/>
  <c r="C141" i="27"/>
  <c r="D141" i="27"/>
  <c r="E141" i="27"/>
  <c r="F141" i="27"/>
  <c r="C142" i="27"/>
  <c r="D142" i="27"/>
  <c r="E142" i="27"/>
  <c r="F142" i="27"/>
  <c r="C143" i="27"/>
  <c r="D143" i="27"/>
  <c r="E143" i="27"/>
  <c r="F143" i="27"/>
  <c r="C144" i="27"/>
  <c r="D144" i="27"/>
  <c r="E144" i="27"/>
  <c r="F144" i="27"/>
  <c r="C145" i="27"/>
  <c r="D145" i="27"/>
  <c r="E145" i="27"/>
  <c r="F145" i="27"/>
  <c r="C146" i="27"/>
  <c r="D146" i="27"/>
  <c r="E146" i="27"/>
  <c r="F146" i="27"/>
  <c r="C147" i="27"/>
  <c r="D147" i="27"/>
  <c r="E147" i="27"/>
  <c r="F147" i="27"/>
  <c r="C148" i="27"/>
  <c r="D148" i="27"/>
  <c r="E148" i="27"/>
  <c r="F148" i="27"/>
  <c r="C149" i="27"/>
  <c r="D149" i="27"/>
  <c r="E149" i="27"/>
  <c r="F149" i="27"/>
  <c r="C150" i="27"/>
  <c r="D150" i="27"/>
  <c r="E150" i="27"/>
  <c r="F150" i="27"/>
  <c r="C151" i="27"/>
  <c r="D151" i="27"/>
  <c r="E151" i="27"/>
  <c r="F151" i="27"/>
  <c r="C152" i="27"/>
  <c r="D152" i="27"/>
  <c r="E152" i="27"/>
  <c r="F152" i="27"/>
  <c r="C153" i="27"/>
  <c r="D153" i="27"/>
  <c r="E153" i="27"/>
  <c r="F153" i="27"/>
  <c r="C154" i="27"/>
  <c r="D154" i="27"/>
  <c r="E154" i="27"/>
  <c r="F154" i="27"/>
  <c r="C155" i="27"/>
  <c r="D155" i="27"/>
  <c r="E155" i="27"/>
  <c r="F155" i="27"/>
  <c r="C156" i="27"/>
  <c r="D156" i="27"/>
  <c r="E156" i="27"/>
  <c r="F156" i="27"/>
  <c r="C157" i="27"/>
  <c r="D157" i="27"/>
  <c r="E157" i="27"/>
  <c r="F157" i="27"/>
  <c r="C158" i="27"/>
  <c r="D158" i="27"/>
  <c r="E158" i="27"/>
  <c r="F158" i="27"/>
  <c r="C159" i="27"/>
  <c r="D159" i="27"/>
  <c r="E159" i="27"/>
  <c r="F159" i="27"/>
  <c r="C160" i="27"/>
  <c r="D160" i="27"/>
  <c r="E160" i="27"/>
  <c r="F160" i="27"/>
  <c r="C161" i="27"/>
  <c r="D161" i="27"/>
  <c r="E161" i="27"/>
  <c r="F161" i="27"/>
  <c r="C162" i="27"/>
  <c r="D162" i="27"/>
  <c r="E162" i="27"/>
  <c r="F162" i="27"/>
  <c r="C163" i="27"/>
  <c r="D163" i="27"/>
  <c r="E163" i="27"/>
  <c r="F163" i="27"/>
  <c r="C164" i="27"/>
  <c r="D164" i="27"/>
  <c r="E164" i="27"/>
  <c r="F164" i="27"/>
  <c r="C165" i="27"/>
  <c r="D165" i="27"/>
  <c r="E165" i="27"/>
  <c r="F165" i="27"/>
  <c r="C166" i="27"/>
  <c r="D166" i="27"/>
  <c r="E166" i="27"/>
  <c r="F166" i="27"/>
  <c r="C167" i="27"/>
  <c r="D167" i="27"/>
  <c r="E167" i="27"/>
  <c r="F167" i="27"/>
  <c r="C168" i="27"/>
  <c r="D168" i="27"/>
  <c r="E168" i="27"/>
  <c r="F168" i="27"/>
  <c r="C169" i="27"/>
  <c r="D169" i="27"/>
  <c r="E169" i="27"/>
  <c r="F169" i="27"/>
  <c r="C170" i="27"/>
  <c r="D170" i="27"/>
  <c r="E170" i="27"/>
  <c r="F170" i="27"/>
  <c r="C171" i="27"/>
  <c r="D171" i="27"/>
  <c r="E171" i="27"/>
  <c r="F171" i="27"/>
  <c r="C172" i="27"/>
  <c r="D172" i="27"/>
  <c r="E172" i="27"/>
  <c r="F172" i="27"/>
  <c r="C173" i="27"/>
  <c r="D173" i="27"/>
  <c r="E173" i="27"/>
  <c r="F173" i="27"/>
  <c r="C174" i="27"/>
  <c r="D174" i="27"/>
  <c r="E174" i="27"/>
  <c r="F174" i="27"/>
  <c r="C175" i="27"/>
  <c r="D175" i="27"/>
  <c r="E175" i="27"/>
  <c r="F175" i="27"/>
  <c r="C176" i="27"/>
  <c r="D176" i="27"/>
  <c r="E176" i="27"/>
  <c r="F176" i="27"/>
  <c r="C177" i="27"/>
  <c r="D177" i="27"/>
  <c r="E177" i="27"/>
  <c r="F177" i="27"/>
  <c r="C178" i="27"/>
  <c r="D178" i="27"/>
  <c r="E178" i="27"/>
  <c r="F178" i="27"/>
  <c r="C179" i="27"/>
  <c r="D179" i="27"/>
  <c r="E179" i="27"/>
  <c r="F179" i="27"/>
  <c r="C180" i="27"/>
  <c r="D180" i="27"/>
  <c r="E180" i="27"/>
  <c r="F180" i="27"/>
  <c r="C181" i="27"/>
  <c r="D181" i="27"/>
  <c r="E181" i="27"/>
  <c r="F181" i="27"/>
  <c r="C182" i="27"/>
  <c r="D182" i="27"/>
  <c r="E182" i="27"/>
  <c r="F182" i="27"/>
  <c r="C183" i="27"/>
  <c r="D183" i="27"/>
  <c r="E183" i="27"/>
  <c r="F183" i="27"/>
  <c r="C184" i="27"/>
  <c r="D184" i="27"/>
  <c r="E184" i="27"/>
  <c r="F184" i="27"/>
  <c r="C185" i="27"/>
  <c r="D185" i="27"/>
  <c r="E185" i="27"/>
  <c r="F185" i="27"/>
  <c r="C186" i="27"/>
  <c r="D186" i="27"/>
  <c r="E186" i="27"/>
  <c r="F186" i="27"/>
  <c r="C187" i="27"/>
  <c r="D187" i="27"/>
  <c r="E187" i="27"/>
  <c r="F187" i="27"/>
  <c r="C188" i="27"/>
  <c r="D188" i="27"/>
  <c r="E188" i="27"/>
  <c r="F188" i="27"/>
  <c r="C189" i="27"/>
  <c r="D189" i="27"/>
  <c r="E189" i="27"/>
  <c r="F189" i="27"/>
  <c r="C190" i="27"/>
  <c r="D190" i="27"/>
  <c r="E190" i="27"/>
  <c r="F190" i="27"/>
  <c r="C191" i="27"/>
  <c r="D191" i="27"/>
  <c r="E191" i="27"/>
  <c r="F191" i="27"/>
  <c r="C192" i="27"/>
  <c r="D192" i="27"/>
  <c r="E192" i="27"/>
  <c r="F192" i="27"/>
  <c r="C193" i="27"/>
  <c r="D193" i="27"/>
  <c r="E193" i="27"/>
  <c r="F193" i="27"/>
  <c r="C194" i="27"/>
  <c r="D194" i="27"/>
  <c r="E194" i="27"/>
  <c r="F194" i="27"/>
  <c r="C195" i="27"/>
  <c r="D195" i="27"/>
  <c r="E195" i="27"/>
  <c r="F195" i="27"/>
  <c r="C196" i="27"/>
  <c r="D196" i="27"/>
  <c r="E196" i="27"/>
  <c r="F196" i="27"/>
  <c r="C197" i="27"/>
  <c r="D197" i="27"/>
  <c r="E197" i="27"/>
  <c r="F197" i="27"/>
  <c r="C198" i="27"/>
  <c r="D198" i="27"/>
  <c r="E198" i="27"/>
  <c r="F198" i="27"/>
  <c r="C199" i="27"/>
  <c r="D199" i="27"/>
  <c r="E199" i="27"/>
  <c r="F199" i="27"/>
  <c r="C200" i="27"/>
  <c r="D200" i="27"/>
  <c r="E200" i="27"/>
  <c r="F200" i="27"/>
  <c r="C201" i="27"/>
  <c r="D201" i="27"/>
  <c r="E201" i="27"/>
  <c r="F201" i="27"/>
  <c r="C202" i="27"/>
  <c r="D202" i="27"/>
  <c r="E202" i="27"/>
  <c r="F202" i="27"/>
  <c r="C203" i="27"/>
  <c r="D203" i="27"/>
  <c r="E203" i="27"/>
  <c r="F203" i="27"/>
  <c r="C204" i="27"/>
  <c r="D204" i="27"/>
  <c r="E204" i="27"/>
  <c r="F204" i="27"/>
  <c r="C205" i="27"/>
  <c r="D205" i="27"/>
  <c r="E205" i="27"/>
  <c r="F205" i="27"/>
  <c r="C206" i="27"/>
  <c r="D206" i="27"/>
  <c r="E206" i="27"/>
  <c r="F206" i="27"/>
  <c r="C207" i="27"/>
  <c r="D207" i="27"/>
  <c r="E207" i="27"/>
  <c r="F207" i="27"/>
  <c r="C208" i="27"/>
  <c r="D208" i="27"/>
  <c r="E208" i="27"/>
  <c r="F208" i="27"/>
  <c r="C209" i="27"/>
  <c r="D209" i="27"/>
  <c r="E209" i="27"/>
  <c r="F209" i="27"/>
  <c r="C210" i="27"/>
  <c r="D210" i="27"/>
  <c r="E210" i="27"/>
  <c r="F210" i="27"/>
  <c r="C211" i="27"/>
  <c r="D211" i="27"/>
  <c r="E211" i="27"/>
  <c r="F211" i="27"/>
  <c r="C212" i="27"/>
  <c r="D212" i="27"/>
  <c r="E212" i="27"/>
  <c r="F212" i="27"/>
  <c r="C213" i="27"/>
  <c r="D213" i="27"/>
  <c r="E213" i="27"/>
  <c r="F213" i="27"/>
  <c r="C214" i="27"/>
  <c r="D214" i="27"/>
  <c r="E214" i="27"/>
  <c r="F214" i="27"/>
  <c r="C215" i="27"/>
  <c r="D215" i="27"/>
  <c r="E215" i="27"/>
  <c r="F215" i="27"/>
  <c r="C216" i="27"/>
  <c r="D216" i="27"/>
  <c r="E216" i="27"/>
  <c r="F216" i="27"/>
  <c r="C217" i="27"/>
  <c r="D217" i="27"/>
  <c r="E217" i="27"/>
  <c r="F217" i="27"/>
  <c r="C218" i="27"/>
  <c r="D218" i="27"/>
  <c r="E218" i="27"/>
  <c r="F218" i="27"/>
  <c r="C219" i="27"/>
  <c r="D219" i="27"/>
  <c r="E219" i="27"/>
  <c r="F219" i="27"/>
  <c r="C220" i="27"/>
  <c r="D220" i="27"/>
  <c r="E220" i="27"/>
  <c r="F220" i="27"/>
  <c r="C221" i="27"/>
  <c r="D221" i="27"/>
  <c r="E221" i="27"/>
  <c r="F221" i="27"/>
  <c r="B222" i="27"/>
  <c r="C222" i="27"/>
  <c r="D222" i="27"/>
  <c r="E222" i="27"/>
  <c r="F222" i="27"/>
  <c r="B223" i="27"/>
  <c r="C223" i="27"/>
  <c r="D223" i="27"/>
  <c r="E223" i="27"/>
  <c r="F223" i="27"/>
  <c r="B224" i="27"/>
  <c r="C224" i="27"/>
  <c r="D224" i="27"/>
  <c r="E224" i="27"/>
  <c r="F224" i="27"/>
  <c r="B225" i="27"/>
  <c r="C225" i="27"/>
  <c r="D225" i="27"/>
  <c r="E225" i="27"/>
  <c r="F225" i="27"/>
  <c r="B226" i="27"/>
  <c r="C226" i="27"/>
  <c r="D226" i="27"/>
  <c r="E226" i="27"/>
  <c r="F226" i="27"/>
  <c r="B227" i="27"/>
  <c r="C227" i="27"/>
  <c r="D227" i="27"/>
  <c r="E227" i="27"/>
  <c r="F227" i="27"/>
  <c r="B228" i="27"/>
  <c r="C228" i="27"/>
  <c r="D228" i="27"/>
  <c r="E228" i="27"/>
  <c r="F228" i="27"/>
  <c r="B229" i="27"/>
  <c r="C229" i="27"/>
  <c r="D229" i="27"/>
  <c r="E229" i="27"/>
  <c r="F229" i="27"/>
  <c r="B230" i="27"/>
  <c r="C230" i="27"/>
  <c r="D230" i="27"/>
  <c r="E230" i="27"/>
  <c r="F230" i="27"/>
  <c r="B231" i="27"/>
  <c r="C231" i="27"/>
  <c r="D231" i="27"/>
  <c r="E231" i="27"/>
  <c r="F231" i="27"/>
  <c r="B232" i="27"/>
  <c r="C232" i="27"/>
  <c r="D232" i="27"/>
  <c r="E232" i="27"/>
  <c r="F232" i="27"/>
  <c r="B233" i="27"/>
  <c r="C233" i="27"/>
  <c r="D233" i="27"/>
  <c r="E233" i="27"/>
  <c r="F233" i="27"/>
  <c r="B234" i="27"/>
  <c r="C234" i="27"/>
  <c r="D234" i="27"/>
  <c r="E234" i="27"/>
  <c r="F234" i="27"/>
  <c r="B235" i="27"/>
  <c r="C235" i="27"/>
  <c r="D235" i="27"/>
  <c r="E235" i="27"/>
  <c r="F235" i="27"/>
  <c r="B236" i="27"/>
  <c r="C236" i="27"/>
  <c r="D236" i="27"/>
  <c r="E236" i="27"/>
  <c r="F236" i="27"/>
  <c r="B237" i="27"/>
  <c r="C237" i="27"/>
  <c r="D237" i="27"/>
  <c r="E237" i="27"/>
  <c r="F237" i="27"/>
  <c r="B238" i="27"/>
  <c r="C238" i="27"/>
  <c r="D238" i="27"/>
  <c r="E238" i="27"/>
  <c r="F238" i="27"/>
  <c r="B239" i="27"/>
  <c r="C239" i="27"/>
  <c r="D239" i="27"/>
  <c r="E239" i="27"/>
  <c r="F239" i="27"/>
  <c r="B240" i="27"/>
  <c r="C240" i="27"/>
  <c r="D240" i="27"/>
  <c r="E240" i="27"/>
  <c r="F240" i="27"/>
  <c r="B241" i="27"/>
  <c r="C241" i="27"/>
  <c r="D241" i="27"/>
  <c r="E241" i="27"/>
  <c r="F241" i="27"/>
  <c r="B242" i="27"/>
  <c r="C242" i="27"/>
  <c r="D242" i="27"/>
  <c r="E242" i="27"/>
  <c r="F242" i="27"/>
  <c r="B243" i="27"/>
  <c r="C243" i="27"/>
  <c r="D243" i="27"/>
  <c r="E243" i="27"/>
  <c r="F243" i="27"/>
  <c r="B244" i="27"/>
  <c r="C244" i="27"/>
  <c r="D244" i="27"/>
  <c r="E244" i="27"/>
  <c r="F244" i="27"/>
  <c r="B245" i="27"/>
  <c r="C245" i="27"/>
  <c r="D245" i="27"/>
  <c r="E245" i="27"/>
  <c r="F245" i="27"/>
  <c r="B246" i="27"/>
  <c r="C246" i="27"/>
  <c r="D246" i="27"/>
  <c r="E246" i="27"/>
  <c r="F246" i="27"/>
  <c r="B247" i="27"/>
  <c r="C247" i="27"/>
  <c r="D247" i="27"/>
  <c r="E247" i="27"/>
  <c r="F247" i="27"/>
  <c r="B248" i="27"/>
  <c r="C248" i="27"/>
  <c r="D248" i="27"/>
  <c r="E248" i="27"/>
  <c r="F248" i="27"/>
  <c r="B249" i="27"/>
  <c r="C249" i="27"/>
  <c r="D249" i="27"/>
  <c r="E249" i="27"/>
  <c r="F249" i="27"/>
  <c r="B250" i="27"/>
  <c r="C250" i="27"/>
  <c r="D250" i="27"/>
  <c r="E250" i="27"/>
  <c r="F250" i="27"/>
  <c r="B251" i="27"/>
  <c r="C251" i="27"/>
  <c r="D251" i="27"/>
  <c r="E251" i="27"/>
  <c r="F251" i="27"/>
  <c r="B252" i="27"/>
  <c r="C252" i="27"/>
  <c r="D252" i="27"/>
  <c r="E252" i="27"/>
  <c r="F252" i="27"/>
  <c r="B253" i="27"/>
  <c r="C253" i="27"/>
  <c r="D253" i="27"/>
  <c r="E253" i="27"/>
  <c r="F253" i="27"/>
  <c r="B254" i="27"/>
  <c r="C254" i="27"/>
  <c r="D254" i="27"/>
  <c r="E254" i="27"/>
  <c r="F254" i="27"/>
  <c r="B255" i="27"/>
  <c r="C255" i="27"/>
  <c r="D255" i="27"/>
  <c r="E255" i="27"/>
  <c r="F255" i="27"/>
  <c r="B256" i="27"/>
  <c r="C256" i="27"/>
  <c r="D256" i="27"/>
  <c r="E256" i="27"/>
  <c r="F256" i="27"/>
  <c r="B257" i="27"/>
  <c r="C257" i="27"/>
  <c r="D257" i="27"/>
  <c r="E257" i="27"/>
  <c r="F257" i="27"/>
  <c r="B258" i="27"/>
  <c r="C258" i="27"/>
  <c r="D258" i="27"/>
  <c r="E258" i="27"/>
  <c r="F258" i="27"/>
  <c r="B259" i="27"/>
  <c r="C259" i="27"/>
  <c r="D259" i="27"/>
  <c r="E259" i="27"/>
  <c r="F259" i="27"/>
  <c r="B260" i="27"/>
  <c r="C260" i="27"/>
  <c r="D260" i="27"/>
  <c r="E260" i="27"/>
  <c r="F260" i="27"/>
  <c r="B261" i="27"/>
  <c r="C261" i="27"/>
  <c r="D261" i="27"/>
  <c r="E261" i="27"/>
  <c r="F261" i="27"/>
  <c r="B262" i="27"/>
  <c r="C262" i="27"/>
  <c r="D262" i="27"/>
  <c r="E262" i="27"/>
  <c r="F262" i="27"/>
  <c r="B263" i="27"/>
  <c r="C263" i="27"/>
  <c r="D263" i="27"/>
  <c r="E263" i="27"/>
  <c r="F263" i="27"/>
  <c r="B264" i="27"/>
  <c r="C264" i="27"/>
  <c r="D264" i="27"/>
  <c r="E264" i="27"/>
  <c r="F264" i="27"/>
  <c r="B265" i="27"/>
  <c r="C265" i="27"/>
  <c r="D265" i="27"/>
  <c r="E265" i="27"/>
  <c r="F265" i="27"/>
  <c r="B266" i="27"/>
  <c r="C266" i="27"/>
  <c r="D266" i="27"/>
  <c r="E266" i="27"/>
  <c r="F266" i="27"/>
  <c r="B267" i="27"/>
  <c r="C267" i="27"/>
  <c r="D267" i="27"/>
  <c r="E267" i="27"/>
  <c r="F267" i="27"/>
  <c r="B268" i="27"/>
  <c r="C268" i="27"/>
  <c r="D268" i="27"/>
  <c r="E268" i="27"/>
  <c r="F268" i="27"/>
  <c r="B269" i="27"/>
  <c r="C269" i="27"/>
  <c r="D269" i="27"/>
  <c r="E269" i="27"/>
  <c r="F269" i="27"/>
  <c r="B270" i="27"/>
  <c r="C270" i="27"/>
  <c r="D270" i="27"/>
  <c r="E270" i="27"/>
  <c r="F270" i="27"/>
  <c r="B271" i="27"/>
  <c r="C271" i="27"/>
  <c r="D271" i="27"/>
  <c r="E271" i="27"/>
  <c r="F271" i="27"/>
  <c r="B272" i="27"/>
  <c r="C272" i="27"/>
  <c r="D272" i="27"/>
  <c r="E272" i="27"/>
  <c r="F272" i="27"/>
  <c r="B273" i="27"/>
  <c r="C273" i="27"/>
  <c r="D273" i="27"/>
  <c r="E273" i="27"/>
  <c r="F273" i="27"/>
  <c r="B274" i="27"/>
  <c r="C274" i="27"/>
  <c r="D274" i="27"/>
  <c r="E274" i="27"/>
  <c r="F274" i="27"/>
  <c r="B275" i="27"/>
  <c r="C275" i="27"/>
  <c r="D275" i="27"/>
  <c r="E275" i="27"/>
  <c r="F275" i="27"/>
  <c r="B276" i="27"/>
  <c r="C276" i="27"/>
  <c r="D276" i="27"/>
  <c r="E276" i="27"/>
  <c r="F276" i="27"/>
  <c r="B277" i="27"/>
  <c r="C277" i="27"/>
  <c r="D277" i="27"/>
  <c r="E277" i="27"/>
  <c r="F277" i="27"/>
  <c r="B278" i="27"/>
  <c r="C278" i="27"/>
  <c r="D278" i="27"/>
  <c r="E278" i="27"/>
  <c r="F278" i="27"/>
  <c r="B279" i="27"/>
  <c r="C279" i="27"/>
  <c r="D279" i="27"/>
  <c r="E279" i="27"/>
  <c r="F279" i="27"/>
  <c r="B280" i="27"/>
  <c r="C280" i="27"/>
  <c r="D280" i="27"/>
  <c r="E280" i="27"/>
  <c r="F280" i="27"/>
  <c r="B281" i="27"/>
  <c r="C281" i="27"/>
  <c r="D281" i="27"/>
  <c r="E281" i="27"/>
  <c r="F281" i="27"/>
  <c r="B282" i="27"/>
  <c r="C282" i="27"/>
  <c r="D282" i="27"/>
  <c r="E282" i="27"/>
  <c r="F282" i="27"/>
  <c r="B283" i="27"/>
  <c r="C283" i="27"/>
  <c r="D283" i="27"/>
  <c r="E283" i="27"/>
  <c r="F283" i="27"/>
  <c r="A284" i="27"/>
  <c r="B284" i="27"/>
  <c r="C284" i="27"/>
  <c r="D284" i="27"/>
  <c r="E284" i="27"/>
  <c r="F284" i="27"/>
  <c r="B285" i="27"/>
  <c r="C285" i="27"/>
  <c r="D285" i="27"/>
  <c r="E285" i="27"/>
  <c r="F285" i="27"/>
  <c r="B286" i="27"/>
  <c r="C286" i="27"/>
  <c r="D286" i="27"/>
  <c r="E286" i="27"/>
  <c r="F286" i="27"/>
  <c r="B287" i="27"/>
  <c r="C287" i="27"/>
  <c r="D287" i="27"/>
  <c r="E287" i="27"/>
  <c r="F287" i="27"/>
  <c r="A288" i="27"/>
  <c r="B288" i="27"/>
  <c r="C288" i="27"/>
  <c r="D288" i="27"/>
  <c r="E288" i="27"/>
  <c r="F288" i="27"/>
  <c r="B289" i="27"/>
  <c r="C289" i="27"/>
  <c r="D289" i="27"/>
  <c r="E289" i="27"/>
  <c r="F289" i="27"/>
  <c r="B290" i="27"/>
  <c r="C290" i="27"/>
  <c r="D290" i="27"/>
  <c r="E290" i="27"/>
  <c r="F290" i="27"/>
  <c r="B291" i="27"/>
  <c r="C291" i="27"/>
  <c r="D291" i="27"/>
  <c r="E291" i="27"/>
  <c r="F291" i="27"/>
  <c r="B292" i="27"/>
  <c r="C292" i="27"/>
  <c r="D292" i="27"/>
  <c r="E292" i="27"/>
  <c r="F292" i="27"/>
  <c r="B293" i="27"/>
  <c r="C293" i="27"/>
  <c r="D293" i="27"/>
  <c r="E293" i="27"/>
  <c r="F293" i="27"/>
  <c r="B294" i="27"/>
  <c r="C294" i="27"/>
  <c r="D294" i="27"/>
  <c r="E294" i="27"/>
  <c r="F294" i="27"/>
  <c r="B295" i="27"/>
  <c r="C295" i="27"/>
  <c r="D295" i="27"/>
  <c r="E295" i="27"/>
  <c r="F295" i="27"/>
  <c r="B296" i="27"/>
  <c r="C296" i="27"/>
  <c r="D296" i="27"/>
  <c r="E296" i="27"/>
  <c r="F296" i="27"/>
  <c r="B297" i="27"/>
  <c r="C297" i="27"/>
  <c r="D297" i="27"/>
  <c r="E297" i="27"/>
  <c r="F297" i="27"/>
  <c r="B298" i="27"/>
  <c r="C298" i="27"/>
  <c r="D298" i="27"/>
  <c r="E298" i="27"/>
  <c r="F298" i="27"/>
  <c r="B299" i="27"/>
  <c r="C299" i="27"/>
  <c r="D299" i="27"/>
  <c r="E299" i="27"/>
  <c r="F299" i="27"/>
  <c r="B300" i="27"/>
  <c r="C300" i="27"/>
  <c r="D300" i="27"/>
  <c r="E300" i="27"/>
  <c r="F300" i="27"/>
  <c r="B301" i="27"/>
  <c r="C301" i="27"/>
  <c r="D301" i="27"/>
  <c r="E301" i="27"/>
  <c r="F301" i="27"/>
  <c r="B302" i="27"/>
  <c r="C302" i="27"/>
  <c r="D302" i="27"/>
  <c r="E302" i="27"/>
  <c r="F302" i="27"/>
  <c r="B303" i="27"/>
  <c r="C303" i="27"/>
  <c r="D303" i="27"/>
  <c r="E303" i="27"/>
  <c r="F303" i="27"/>
  <c r="B304" i="27"/>
  <c r="C304" i="27"/>
  <c r="D304" i="27"/>
  <c r="E304" i="27"/>
  <c r="F304" i="27"/>
  <c r="B305" i="27"/>
  <c r="C305" i="27"/>
  <c r="D305" i="27"/>
  <c r="E305" i="27"/>
  <c r="F305" i="27"/>
  <c r="B306" i="27"/>
  <c r="C306" i="27"/>
  <c r="D306" i="27"/>
  <c r="E306" i="27"/>
  <c r="F306" i="27"/>
  <c r="B307" i="27"/>
  <c r="C307" i="27"/>
  <c r="D307" i="27"/>
  <c r="E307" i="27"/>
  <c r="F307" i="27"/>
  <c r="B308" i="27"/>
  <c r="C308" i="27"/>
  <c r="D308" i="27"/>
  <c r="E308" i="27"/>
  <c r="F308" i="27"/>
  <c r="B309" i="27"/>
  <c r="C309" i="27"/>
  <c r="D309" i="27"/>
  <c r="E309" i="27"/>
  <c r="F309" i="27"/>
  <c r="B310" i="27"/>
  <c r="C310" i="27"/>
  <c r="D310" i="27"/>
  <c r="E310" i="27"/>
  <c r="F310" i="27"/>
  <c r="B311" i="27"/>
  <c r="C311" i="27"/>
  <c r="D311" i="27"/>
  <c r="E311" i="27"/>
  <c r="F311" i="27"/>
  <c r="B312" i="27"/>
  <c r="C312" i="27"/>
  <c r="D312" i="27"/>
  <c r="E312" i="27"/>
  <c r="F312" i="27"/>
  <c r="B313" i="27"/>
  <c r="C313" i="27"/>
  <c r="D313" i="27"/>
  <c r="E313" i="27"/>
  <c r="F313" i="27"/>
  <c r="B314" i="27"/>
  <c r="C314" i="27"/>
  <c r="D314" i="27"/>
  <c r="E314" i="27"/>
  <c r="F314" i="27"/>
  <c r="B315" i="27"/>
  <c r="C315" i="27"/>
  <c r="D315" i="27"/>
  <c r="E315" i="27"/>
  <c r="F315" i="27"/>
  <c r="B316" i="27"/>
  <c r="C316" i="27"/>
  <c r="D316" i="27"/>
  <c r="E316" i="27"/>
  <c r="F316" i="27"/>
  <c r="B317" i="27"/>
  <c r="C317" i="27"/>
  <c r="D317" i="27"/>
  <c r="E317" i="27"/>
  <c r="F317" i="27"/>
  <c r="B318" i="27"/>
  <c r="C318" i="27"/>
  <c r="D318" i="27"/>
  <c r="E318" i="27"/>
  <c r="F318" i="27"/>
  <c r="B319" i="27"/>
  <c r="C319" i="27"/>
  <c r="D319" i="27"/>
  <c r="E319" i="27"/>
  <c r="F319" i="27"/>
  <c r="B320" i="27"/>
  <c r="C320" i="27"/>
  <c r="D320" i="27"/>
  <c r="E320" i="27"/>
  <c r="F320" i="27"/>
  <c r="B321" i="27"/>
  <c r="C321" i="27"/>
  <c r="D321" i="27"/>
  <c r="E321" i="27"/>
  <c r="F321" i="27"/>
  <c r="B322" i="27"/>
  <c r="C322" i="27"/>
  <c r="D322" i="27"/>
  <c r="E322" i="27"/>
  <c r="F322" i="27"/>
  <c r="B323" i="27"/>
  <c r="C323" i="27"/>
  <c r="D323" i="27"/>
  <c r="E323" i="27"/>
  <c r="F323" i="27"/>
  <c r="B324" i="27"/>
  <c r="C324" i="27"/>
  <c r="D324" i="27"/>
  <c r="E324" i="27"/>
  <c r="F324" i="27"/>
  <c r="B325" i="27"/>
  <c r="C325" i="27"/>
  <c r="D325" i="27"/>
  <c r="E325" i="27"/>
  <c r="F325" i="27"/>
  <c r="B326" i="27"/>
  <c r="C326" i="27"/>
  <c r="D326" i="27"/>
  <c r="E326" i="27"/>
  <c r="F326" i="27"/>
  <c r="B327" i="27"/>
  <c r="C327" i="27"/>
  <c r="D327" i="27"/>
  <c r="E327" i="27"/>
  <c r="F327" i="27"/>
  <c r="B328" i="27"/>
  <c r="C328" i="27"/>
  <c r="D328" i="27"/>
  <c r="E328" i="27"/>
  <c r="F328" i="27"/>
  <c r="B329" i="27"/>
  <c r="C329" i="27"/>
  <c r="D329" i="27"/>
  <c r="E329" i="27"/>
  <c r="F329" i="27"/>
  <c r="B330" i="27"/>
  <c r="C330" i="27"/>
  <c r="D330" i="27"/>
  <c r="E330" i="27"/>
  <c r="F330" i="27"/>
  <c r="B331" i="27"/>
  <c r="C331" i="27"/>
  <c r="D331" i="27"/>
  <c r="E331" i="27"/>
  <c r="F331" i="27"/>
  <c r="B332" i="27"/>
  <c r="C332" i="27"/>
  <c r="D332" i="27"/>
  <c r="E332" i="27"/>
  <c r="F332" i="27"/>
  <c r="B333" i="27"/>
  <c r="C333" i="27"/>
  <c r="D333" i="27"/>
  <c r="E333" i="27"/>
  <c r="F333" i="27"/>
  <c r="B334" i="27"/>
  <c r="C334" i="27"/>
  <c r="D334" i="27"/>
  <c r="E334" i="27"/>
  <c r="F334" i="27"/>
  <c r="B335" i="27"/>
  <c r="C335" i="27"/>
  <c r="D335" i="27"/>
  <c r="E335" i="27"/>
  <c r="F335" i="27"/>
  <c r="B336" i="27"/>
  <c r="C336" i="27"/>
  <c r="D336" i="27"/>
  <c r="E336" i="27"/>
  <c r="F336" i="27"/>
  <c r="B337" i="27"/>
  <c r="C337" i="27"/>
  <c r="D337" i="27"/>
  <c r="E337" i="27"/>
  <c r="F337" i="27"/>
  <c r="B338" i="27"/>
  <c r="C338" i="27"/>
  <c r="D338" i="27"/>
  <c r="E338" i="27"/>
  <c r="F338" i="27"/>
  <c r="B339" i="27"/>
  <c r="C339" i="27"/>
  <c r="D339" i="27"/>
  <c r="E339" i="27"/>
  <c r="F339" i="27"/>
  <c r="B340" i="27"/>
  <c r="C340" i="27"/>
  <c r="D340" i="27"/>
  <c r="E340" i="27"/>
  <c r="F340" i="27"/>
  <c r="B341" i="27"/>
  <c r="C341" i="27"/>
  <c r="D341" i="27"/>
  <c r="E341" i="27"/>
  <c r="F341" i="27"/>
  <c r="B342" i="27"/>
  <c r="C342" i="27"/>
  <c r="D342" i="27"/>
  <c r="E342" i="27"/>
  <c r="F342" i="27"/>
  <c r="B343" i="27"/>
  <c r="C343" i="27"/>
  <c r="D343" i="27"/>
  <c r="E343" i="27"/>
  <c r="F343" i="27"/>
  <c r="B344" i="27"/>
  <c r="C344" i="27"/>
  <c r="D344" i="27"/>
  <c r="E344" i="27"/>
  <c r="F344" i="27"/>
  <c r="B345" i="27"/>
  <c r="C345" i="27"/>
  <c r="D345" i="27"/>
  <c r="E345" i="27"/>
  <c r="F345" i="27"/>
  <c r="B346" i="27"/>
  <c r="C346" i="27"/>
  <c r="D346" i="27"/>
  <c r="E346" i="27"/>
  <c r="F346" i="27"/>
  <c r="B347" i="27"/>
  <c r="C347" i="27"/>
  <c r="D347" i="27"/>
  <c r="E347" i="27"/>
  <c r="F347" i="27"/>
  <c r="B348" i="27"/>
  <c r="C348" i="27"/>
  <c r="D348" i="27"/>
  <c r="E348" i="27"/>
  <c r="F348" i="27"/>
  <c r="B349" i="27"/>
  <c r="C349" i="27"/>
  <c r="D349" i="27"/>
  <c r="E349" i="27"/>
  <c r="F349" i="27"/>
  <c r="B350" i="27"/>
  <c r="C350" i="27"/>
  <c r="D350" i="27"/>
  <c r="E350" i="27"/>
  <c r="F350" i="27"/>
  <c r="B351" i="27"/>
  <c r="C351" i="27"/>
  <c r="D351" i="27"/>
  <c r="E351" i="27"/>
  <c r="F351" i="27"/>
  <c r="B352" i="27"/>
  <c r="C352" i="27"/>
  <c r="D352" i="27"/>
  <c r="E352" i="27"/>
  <c r="F352" i="27"/>
  <c r="B353" i="27"/>
  <c r="C353" i="27"/>
  <c r="D353" i="27"/>
  <c r="E353" i="27"/>
  <c r="F353" i="27"/>
  <c r="B354" i="27"/>
  <c r="C354" i="27"/>
  <c r="D354" i="27"/>
  <c r="E354" i="27"/>
  <c r="F354" i="27"/>
  <c r="B355" i="27"/>
  <c r="C355" i="27"/>
  <c r="D355" i="27"/>
  <c r="E355" i="27"/>
  <c r="F355" i="27"/>
  <c r="B356" i="27"/>
  <c r="C356" i="27"/>
  <c r="D356" i="27"/>
  <c r="E356" i="27"/>
  <c r="F356" i="27"/>
  <c r="B357" i="27"/>
  <c r="C357" i="27"/>
  <c r="D357" i="27"/>
  <c r="E357" i="27"/>
  <c r="F357" i="27"/>
  <c r="B358" i="27"/>
  <c r="C358" i="27"/>
  <c r="D358" i="27"/>
  <c r="E358" i="27"/>
  <c r="F358" i="27"/>
  <c r="B359" i="27"/>
  <c r="C359" i="27"/>
  <c r="D359" i="27"/>
  <c r="E359" i="27"/>
  <c r="F359" i="27"/>
  <c r="B360" i="27"/>
  <c r="C360" i="27"/>
  <c r="D360" i="27"/>
  <c r="E360" i="27"/>
  <c r="F360" i="27"/>
  <c r="B361" i="27"/>
  <c r="C361" i="27"/>
  <c r="D361" i="27"/>
  <c r="E361" i="27"/>
  <c r="F361" i="27"/>
  <c r="B362" i="27"/>
  <c r="C362" i="27"/>
  <c r="D362" i="27"/>
  <c r="E362" i="27"/>
  <c r="F362" i="27"/>
  <c r="B363" i="27"/>
  <c r="C363" i="27"/>
  <c r="D363" i="27"/>
  <c r="E363" i="27"/>
  <c r="F363" i="27"/>
  <c r="B364" i="27"/>
  <c r="C364" i="27"/>
  <c r="D364" i="27"/>
  <c r="E364" i="27"/>
  <c r="F364" i="27"/>
  <c r="B365" i="27"/>
  <c r="C365" i="27"/>
  <c r="D365" i="27"/>
  <c r="E365" i="27"/>
  <c r="F365" i="27"/>
  <c r="B366" i="27"/>
  <c r="C366" i="27"/>
  <c r="D366" i="27"/>
  <c r="E366" i="27"/>
  <c r="F366" i="27"/>
  <c r="B367" i="27"/>
  <c r="C367" i="27"/>
  <c r="D367" i="27"/>
  <c r="E367" i="27"/>
  <c r="F367" i="27"/>
  <c r="B368" i="27"/>
  <c r="C368" i="27"/>
  <c r="D368" i="27"/>
  <c r="E368" i="27"/>
  <c r="F368" i="27"/>
  <c r="B369" i="27"/>
  <c r="C369" i="27"/>
  <c r="D369" i="27"/>
  <c r="E369" i="27"/>
  <c r="F369" i="27"/>
  <c r="B370" i="27"/>
  <c r="C370" i="27"/>
  <c r="D370" i="27"/>
  <c r="E370" i="27"/>
  <c r="F370" i="27"/>
  <c r="B371" i="27"/>
  <c r="C371" i="27"/>
  <c r="D371" i="27"/>
  <c r="E371" i="27"/>
  <c r="F371" i="27"/>
  <c r="B372" i="27"/>
  <c r="C372" i="27"/>
  <c r="D372" i="27"/>
  <c r="E372" i="27"/>
  <c r="F372" i="27"/>
  <c r="B373" i="27"/>
  <c r="C373" i="27"/>
  <c r="D373" i="27"/>
  <c r="E373" i="27"/>
  <c r="F373" i="27"/>
  <c r="B374" i="27"/>
  <c r="C374" i="27"/>
  <c r="D374" i="27"/>
  <c r="E374" i="27"/>
  <c r="F374" i="27"/>
  <c r="B375" i="27"/>
  <c r="C375" i="27"/>
  <c r="D375" i="27"/>
  <c r="E375" i="27"/>
  <c r="F375" i="27"/>
  <c r="B376" i="27"/>
  <c r="C376" i="27"/>
  <c r="D376" i="27"/>
  <c r="E376" i="27"/>
  <c r="F376" i="27"/>
  <c r="B377" i="27"/>
  <c r="C377" i="27"/>
  <c r="D377" i="27"/>
  <c r="E377" i="27"/>
  <c r="F377" i="27"/>
  <c r="B378" i="27"/>
  <c r="C378" i="27"/>
  <c r="D378" i="27"/>
  <c r="E378" i="27"/>
  <c r="F378" i="27"/>
  <c r="B379" i="27"/>
  <c r="C379" i="27"/>
  <c r="D379" i="27"/>
  <c r="E379" i="27"/>
  <c r="F379" i="27"/>
  <c r="B380" i="27"/>
  <c r="C380" i="27"/>
  <c r="D380" i="27"/>
  <c r="E380" i="27"/>
  <c r="F380" i="27"/>
  <c r="B381" i="27"/>
  <c r="C381" i="27"/>
  <c r="D381" i="27"/>
  <c r="E381" i="27"/>
  <c r="F381" i="27"/>
  <c r="B382" i="27"/>
  <c r="C382" i="27"/>
  <c r="D382" i="27"/>
  <c r="E382" i="27"/>
  <c r="F382" i="27"/>
  <c r="B383" i="27"/>
  <c r="C383" i="27"/>
  <c r="D383" i="27"/>
  <c r="E383" i="27"/>
  <c r="F383" i="27"/>
  <c r="B384" i="27"/>
  <c r="C384" i="27"/>
  <c r="D384" i="27"/>
  <c r="E384" i="27"/>
  <c r="F384" i="27"/>
  <c r="B385" i="27"/>
  <c r="C385" i="27"/>
  <c r="D385" i="27"/>
  <c r="E385" i="27"/>
  <c r="F385" i="27"/>
  <c r="B386" i="27"/>
  <c r="C386" i="27"/>
  <c r="D386" i="27"/>
  <c r="E386" i="27"/>
  <c r="F386" i="27"/>
  <c r="B387" i="27"/>
  <c r="C387" i="27"/>
  <c r="D387" i="27"/>
  <c r="E387" i="27"/>
  <c r="F387" i="27"/>
  <c r="B388" i="27"/>
  <c r="C388" i="27"/>
  <c r="D388" i="27"/>
  <c r="E388" i="27"/>
  <c r="F388" i="27"/>
  <c r="B389" i="27"/>
  <c r="C389" i="27"/>
  <c r="D389" i="27"/>
  <c r="E389" i="27"/>
  <c r="F389" i="27"/>
  <c r="B390" i="27"/>
  <c r="C390" i="27"/>
  <c r="D390" i="27"/>
  <c r="E390" i="27"/>
  <c r="F390" i="27"/>
  <c r="B391" i="27"/>
  <c r="C391" i="27"/>
  <c r="D391" i="27"/>
  <c r="E391" i="27"/>
  <c r="F391" i="27"/>
  <c r="B392" i="27"/>
  <c r="C392" i="27"/>
  <c r="D392" i="27"/>
  <c r="E392" i="27"/>
  <c r="F392" i="27"/>
  <c r="B393" i="27"/>
  <c r="C393" i="27"/>
  <c r="D393" i="27"/>
  <c r="E393" i="27"/>
  <c r="F393" i="27"/>
  <c r="B394" i="27"/>
  <c r="C394" i="27"/>
  <c r="D394" i="27"/>
  <c r="E394" i="27"/>
  <c r="F394" i="27"/>
  <c r="B395" i="27"/>
  <c r="C395" i="27"/>
  <c r="D395" i="27"/>
  <c r="E395" i="27"/>
  <c r="F395" i="27"/>
  <c r="B396" i="27"/>
  <c r="C396" i="27"/>
  <c r="D396" i="27"/>
  <c r="E396" i="27"/>
  <c r="F396" i="27"/>
  <c r="B397" i="27"/>
  <c r="C397" i="27"/>
  <c r="D397" i="27"/>
  <c r="E397" i="27"/>
  <c r="F397" i="27"/>
  <c r="B398" i="27"/>
  <c r="C398" i="27"/>
  <c r="D398" i="27"/>
  <c r="E398" i="27"/>
  <c r="F398" i="27"/>
  <c r="B399" i="27"/>
  <c r="C399" i="27"/>
  <c r="D399" i="27"/>
  <c r="E399" i="27"/>
  <c r="F399" i="27"/>
  <c r="B400" i="27"/>
  <c r="C400" i="27"/>
  <c r="D400" i="27"/>
  <c r="E400" i="27"/>
  <c r="F400" i="27"/>
  <c r="B401" i="27"/>
  <c r="C401" i="27"/>
  <c r="D401" i="27"/>
  <c r="E401" i="27"/>
  <c r="F401" i="27"/>
  <c r="B402" i="27"/>
  <c r="C402" i="27"/>
  <c r="D402" i="27"/>
  <c r="E402" i="27"/>
  <c r="F402" i="27"/>
  <c r="B403" i="27"/>
  <c r="C403" i="27"/>
  <c r="D403" i="27"/>
  <c r="E403" i="27"/>
  <c r="F403" i="27"/>
  <c r="B404" i="27"/>
  <c r="C404" i="27"/>
  <c r="D404" i="27"/>
  <c r="E404" i="27"/>
  <c r="F404" i="27"/>
  <c r="B405" i="27"/>
  <c r="C405" i="27"/>
  <c r="D405" i="27"/>
  <c r="E405" i="27"/>
  <c r="F405" i="27"/>
  <c r="B406" i="27"/>
  <c r="C406" i="27"/>
  <c r="D406" i="27"/>
  <c r="E406" i="27"/>
  <c r="F406" i="27"/>
  <c r="B407" i="27"/>
  <c r="C407" i="27"/>
  <c r="D407" i="27"/>
  <c r="E407" i="27"/>
  <c r="F407" i="27"/>
  <c r="B408" i="27"/>
  <c r="C408" i="27"/>
  <c r="D408" i="27"/>
  <c r="E408" i="27"/>
  <c r="F408" i="27"/>
  <c r="B409" i="27"/>
  <c r="C409" i="27"/>
  <c r="D409" i="27"/>
  <c r="E409" i="27"/>
  <c r="F409" i="27"/>
  <c r="B410" i="27"/>
  <c r="C410" i="27"/>
  <c r="D410" i="27"/>
  <c r="E410" i="27"/>
  <c r="F410" i="27"/>
  <c r="B411" i="27"/>
  <c r="C411" i="27"/>
  <c r="D411" i="27"/>
  <c r="E411" i="27"/>
  <c r="F411" i="27"/>
  <c r="B412" i="27"/>
  <c r="C412" i="27"/>
  <c r="D412" i="27"/>
  <c r="E412" i="27"/>
  <c r="F412" i="27"/>
  <c r="B413" i="27"/>
  <c r="C413" i="27"/>
  <c r="D413" i="27"/>
  <c r="E413" i="27"/>
  <c r="F413" i="27"/>
  <c r="B414" i="27"/>
  <c r="C414" i="27"/>
  <c r="D414" i="27"/>
  <c r="E414" i="27"/>
  <c r="F414" i="27"/>
  <c r="B415" i="27"/>
  <c r="C415" i="27"/>
  <c r="D415" i="27"/>
  <c r="E415" i="27"/>
  <c r="F415" i="27"/>
  <c r="B416" i="27"/>
  <c r="C416" i="27"/>
  <c r="D416" i="27"/>
  <c r="E416" i="27"/>
  <c r="F416" i="27"/>
  <c r="B417" i="27"/>
  <c r="C417" i="27"/>
  <c r="D417" i="27"/>
  <c r="E417" i="27"/>
  <c r="F417" i="27"/>
  <c r="B418" i="27"/>
  <c r="C418" i="27"/>
  <c r="D418" i="27"/>
  <c r="E418" i="27"/>
  <c r="F418" i="27"/>
  <c r="B419" i="27"/>
  <c r="C419" i="27"/>
  <c r="D419" i="27"/>
  <c r="E419" i="27"/>
  <c r="F419" i="27"/>
  <c r="B420" i="27"/>
  <c r="C420" i="27"/>
  <c r="D420" i="27"/>
  <c r="E420" i="27"/>
  <c r="F420" i="27"/>
  <c r="B421" i="27"/>
  <c r="C421" i="27"/>
  <c r="D421" i="27"/>
  <c r="E421" i="27"/>
  <c r="F421" i="27"/>
  <c r="B422" i="27"/>
  <c r="C422" i="27"/>
  <c r="D422" i="27"/>
  <c r="E422" i="27"/>
  <c r="F422" i="27"/>
  <c r="B423" i="27"/>
  <c r="C423" i="27"/>
  <c r="D423" i="27"/>
  <c r="E423" i="27"/>
  <c r="F423" i="27"/>
  <c r="B424" i="27"/>
  <c r="C424" i="27"/>
  <c r="D424" i="27"/>
  <c r="E424" i="27"/>
  <c r="F424" i="27"/>
  <c r="B425" i="27"/>
  <c r="C425" i="27"/>
  <c r="D425" i="27"/>
  <c r="E425" i="27"/>
  <c r="F425" i="27"/>
  <c r="B426" i="27"/>
  <c r="C426" i="27"/>
  <c r="D426" i="27"/>
  <c r="E426" i="27"/>
  <c r="F426" i="27"/>
  <c r="B427" i="27"/>
  <c r="C427" i="27"/>
  <c r="D427" i="27"/>
  <c r="E427" i="27"/>
  <c r="F427" i="27"/>
  <c r="B428" i="27"/>
  <c r="C428" i="27"/>
  <c r="D428" i="27"/>
  <c r="E428" i="27"/>
  <c r="F428" i="27"/>
  <c r="B429" i="27"/>
  <c r="C429" i="27"/>
  <c r="D429" i="27"/>
  <c r="E429" i="27"/>
  <c r="F429" i="27"/>
  <c r="B430" i="27"/>
  <c r="C430" i="27"/>
  <c r="D430" i="27"/>
  <c r="E430" i="27"/>
  <c r="F430" i="27"/>
  <c r="B431" i="27"/>
  <c r="C431" i="27"/>
  <c r="D431" i="27"/>
  <c r="E431" i="27"/>
  <c r="F431" i="27"/>
  <c r="B432" i="27"/>
  <c r="C432" i="27"/>
  <c r="D432" i="27"/>
  <c r="E432" i="27"/>
  <c r="F432" i="27"/>
  <c r="B433" i="27"/>
  <c r="C433" i="27"/>
  <c r="D433" i="27"/>
  <c r="E433" i="27"/>
  <c r="F433" i="27"/>
  <c r="B434" i="27"/>
  <c r="C434" i="27"/>
  <c r="D434" i="27"/>
  <c r="E434" i="27"/>
  <c r="F434" i="27"/>
  <c r="B435" i="27"/>
  <c r="C435" i="27"/>
  <c r="D435" i="27"/>
  <c r="E435" i="27"/>
  <c r="F435" i="27"/>
  <c r="B436" i="27"/>
  <c r="C436" i="27"/>
  <c r="D436" i="27"/>
  <c r="E436" i="27"/>
  <c r="F436" i="27"/>
  <c r="B437" i="27"/>
  <c r="C437" i="27"/>
  <c r="D437" i="27"/>
  <c r="E437" i="27"/>
  <c r="F437" i="27"/>
  <c r="B438" i="27"/>
  <c r="C438" i="27"/>
  <c r="D438" i="27"/>
  <c r="E438" i="27"/>
  <c r="F438" i="27"/>
  <c r="B439" i="27"/>
  <c r="C439" i="27"/>
  <c r="D439" i="27"/>
  <c r="E439" i="27"/>
  <c r="F439" i="27"/>
  <c r="B440" i="27"/>
  <c r="C440" i="27"/>
  <c r="D440" i="27"/>
  <c r="E440" i="27"/>
  <c r="F440" i="27"/>
  <c r="B441" i="27"/>
  <c r="C441" i="27"/>
  <c r="D441" i="27"/>
  <c r="E441" i="27"/>
  <c r="F441" i="27"/>
  <c r="B442" i="27"/>
  <c r="C442" i="27"/>
  <c r="D442" i="27"/>
  <c r="E442" i="27"/>
  <c r="F442" i="27"/>
  <c r="B443" i="27"/>
  <c r="C443" i="27"/>
  <c r="D443" i="27"/>
  <c r="E443" i="27"/>
  <c r="F443" i="27"/>
  <c r="B444" i="27"/>
  <c r="C444" i="27"/>
  <c r="D444" i="27"/>
  <c r="E444" i="27"/>
  <c r="F444" i="27"/>
  <c r="B445" i="27"/>
  <c r="C445" i="27"/>
  <c r="D445" i="27"/>
  <c r="E445" i="27"/>
  <c r="F445" i="27"/>
  <c r="B446" i="27"/>
  <c r="C446" i="27"/>
  <c r="D446" i="27"/>
  <c r="E446" i="27"/>
  <c r="F446" i="27"/>
  <c r="B447" i="27"/>
  <c r="C447" i="27"/>
  <c r="D447" i="27"/>
  <c r="E447" i="27"/>
  <c r="F447" i="27"/>
  <c r="B448" i="27"/>
  <c r="C448" i="27"/>
  <c r="D448" i="27"/>
  <c r="E448" i="27"/>
  <c r="F448" i="27"/>
  <c r="B449" i="27"/>
  <c r="C449" i="27"/>
  <c r="D449" i="27"/>
  <c r="E449" i="27"/>
  <c r="F449" i="27"/>
  <c r="B450" i="27"/>
  <c r="C450" i="27"/>
  <c r="D450" i="27"/>
  <c r="E450" i="27"/>
  <c r="F450" i="27"/>
  <c r="B451" i="27"/>
  <c r="C451" i="27"/>
  <c r="D451" i="27"/>
  <c r="E451" i="27"/>
  <c r="F451" i="27"/>
  <c r="B452" i="27"/>
  <c r="C452" i="27"/>
  <c r="D452" i="27"/>
  <c r="E452" i="27"/>
  <c r="F452" i="27"/>
  <c r="A453" i="27"/>
  <c r="B453" i="27"/>
  <c r="C453" i="27"/>
  <c r="D453" i="27"/>
  <c r="E453" i="27"/>
  <c r="F453" i="27"/>
  <c r="B454" i="27"/>
  <c r="C454" i="27"/>
  <c r="D454" i="27"/>
  <c r="E454" i="27"/>
  <c r="F454" i="27"/>
  <c r="B455" i="27"/>
  <c r="C455" i="27"/>
  <c r="D455" i="27"/>
  <c r="E455" i="27"/>
  <c r="F455" i="27"/>
  <c r="B456" i="27"/>
  <c r="C456" i="27"/>
  <c r="D456" i="27"/>
  <c r="E456" i="27"/>
  <c r="F456" i="27"/>
  <c r="B457" i="27"/>
  <c r="C457" i="27"/>
  <c r="D457" i="27"/>
  <c r="E457" i="27"/>
  <c r="F457" i="27"/>
  <c r="B458" i="27"/>
  <c r="C458" i="27"/>
  <c r="D458" i="27"/>
  <c r="E458" i="27"/>
  <c r="F458" i="27"/>
  <c r="B459" i="27"/>
  <c r="C459" i="27"/>
  <c r="D459" i="27"/>
  <c r="E459" i="27"/>
  <c r="F459" i="27"/>
  <c r="B460" i="27"/>
  <c r="C460" i="27"/>
  <c r="D460" i="27"/>
  <c r="E460" i="27"/>
  <c r="F460" i="27"/>
  <c r="B461" i="27"/>
  <c r="C461" i="27"/>
  <c r="D461" i="27"/>
  <c r="E461" i="27"/>
  <c r="F461" i="27"/>
  <c r="B462" i="27"/>
  <c r="C462" i="27"/>
  <c r="D462" i="27"/>
  <c r="E462" i="27"/>
  <c r="F462" i="27"/>
  <c r="B463" i="27"/>
  <c r="C463" i="27"/>
  <c r="D463" i="27"/>
  <c r="E463" i="27"/>
  <c r="F463" i="27"/>
  <c r="B464" i="27"/>
  <c r="C464" i="27"/>
  <c r="D464" i="27"/>
  <c r="E464" i="27"/>
  <c r="F464" i="27"/>
  <c r="B465" i="27"/>
  <c r="C465" i="27"/>
  <c r="D465" i="27"/>
  <c r="E465" i="27"/>
  <c r="F465" i="27"/>
  <c r="B466" i="27"/>
  <c r="C466" i="27"/>
  <c r="D466" i="27"/>
  <c r="E466" i="27"/>
  <c r="F466" i="27"/>
  <c r="B467" i="27"/>
  <c r="C467" i="27"/>
  <c r="D467" i="27"/>
  <c r="E467" i="27"/>
  <c r="F467" i="27"/>
  <c r="B468" i="27"/>
  <c r="C468" i="27"/>
  <c r="D468" i="27"/>
  <c r="E468" i="27"/>
  <c r="F468" i="27"/>
  <c r="B469" i="27"/>
  <c r="C469" i="27"/>
  <c r="D469" i="27"/>
  <c r="E469" i="27"/>
  <c r="F469" i="27"/>
  <c r="B470" i="27"/>
  <c r="C470" i="27"/>
  <c r="D470" i="27"/>
  <c r="E470" i="27"/>
  <c r="F470" i="27"/>
  <c r="B471" i="27"/>
  <c r="C471" i="27"/>
  <c r="D471" i="27"/>
  <c r="E471" i="27"/>
  <c r="F471" i="27"/>
  <c r="B472" i="27"/>
  <c r="C472" i="27"/>
  <c r="D472" i="27"/>
  <c r="E472" i="27"/>
  <c r="F472" i="27"/>
  <c r="B473" i="27"/>
  <c r="C473" i="27"/>
  <c r="D473" i="27"/>
  <c r="E473" i="27"/>
  <c r="F473" i="27"/>
  <c r="B474" i="27"/>
  <c r="C474" i="27"/>
  <c r="D474" i="27"/>
  <c r="E474" i="27"/>
  <c r="F474" i="27"/>
  <c r="B475" i="27"/>
  <c r="C475" i="27"/>
  <c r="D475" i="27"/>
  <c r="E475" i="27"/>
  <c r="F475" i="27"/>
  <c r="B476" i="27"/>
  <c r="C476" i="27"/>
  <c r="D476" i="27"/>
  <c r="E476" i="27"/>
  <c r="F476" i="27"/>
  <c r="B477" i="27"/>
  <c r="C477" i="27"/>
  <c r="D477" i="27"/>
  <c r="E477" i="27"/>
  <c r="F477" i="27"/>
  <c r="B478" i="27"/>
  <c r="C478" i="27"/>
  <c r="D478" i="27"/>
  <c r="E478" i="27"/>
  <c r="F478" i="27"/>
  <c r="B479" i="27"/>
  <c r="C479" i="27"/>
  <c r="D479" i="27"/>
  <c r="E479" i="27"/>
  <c r="F479" i="27"/>
  <c r="B480" i="27"/>
  <c r="C480" i="27"/>
  <c r="D480" i="27"/>
  <c r="E480" i="27"/>
  <c r="F480" i="27"/>
  <c r="B481" i="27"/>
  <c r="C481" i="27"/>
  <c r="D481" i="27"/>
  <c r="E481" i="27"/>
  <c r="F481" i="27"/>
  <c r="B482" i="27"/>
  <c r="C482" i="27"/>
  <c r="D482" i="27"/>
  <c r="E482" i="27"/>
  <c r="F482" i="27"/>
  <c r="B483" i="27"/>
  <c r="C483" i="27"/>
  <c r="D483" i="27"/>
  <c r="E483" i="27"/>
  <c r="F483" i="27"/>
  <c r="B484" i="27"/>
  <c r="C484" i="27"/>
  <c r="D484" i="27"/>
  <c r="E484" i="27"/>
  <c r="F484" i="27"/>
  <c r="B485" i="27"/>
  <c r="C485" i="27"/>
  <c r="D485" i="27"/>
  <c r="E485" i="27"/>
  <c r="F485" i="27"/>
  <c r="B486" i="27"/>
  <c r="C486" i="27"/>
  <c r="D486" i="27"/>
  <c r="E486" i="27"/>
  <c r="F486" i="27"/>
  <c r="B487" i="27"/>
  <c r="C487" i="27"/>
  <c r="D487" i="27"/>
  <c r="E487" i="27"/>
  <c r="F487" i="27"/>
  <c r="B488" i="27"/>
  <c r="C488" i="27"/>
  <c r="D488" i="27"/>
  <c r="E488" i="27"/>
  <c r="F488" i="27"/>
  <c r="B489" i="27"/>
  <c r="C489" i="27"/>
  <c r="D489" i="27"/>
  <c r="E489" i="27"/>
  <c r="F489" i="27"/>
  <c r="B490" i="27"/>
  <c r="C490" i="27"/>
  <c r="D490" i="27"/>
  <c r="E490" i="27"/>
  <c r="F490" i="27"/>
  <c r="B491" i="27"/>
  <c r="C491" i="27"/>
  <c r="D491" i="27"/>
  <c r="E491" i="27"/>
  <c r="F491" i="27"/>
  <c r="B492" i="27"/>
  <c r="C492" i="27"/>
  <c r="D492" i="27"/>
  <c r="E492" i="27"/>
  <c r="F492" i="27"/>
  <c r="B493" i="27"/>
  <c r="C493" i="27"/>
  <c r="D493" i="27"/>
  <c r="E493" i="27"/>
  <c r="F493" i="27"/>
  <c r="B494" i="27"/>
  <c r="C494" i="27"/>
  <c r="D494" i="27"/>
  <c r="E494" i="27"/>
  <c r="F494" i="27"/>
  <c r="B495" i="27"/>
  <c r="C495" i="27"/>
  <c r="D495" i="27"/>
  <c r="E495" i="27"/>
  <c r="F495" i="27"/>
  <c r="B496" i="27"/>
  <c r="C496" i="27"/>
  <c r="D496" i="27"/>
  <c r="E496" i="27"/>
  <c r="F496" i="27"/>
  <c r="B497" i="27"/>
  <c r="C497" i="27"/>
  <c r="D497" i="27"/>
  <c r="E497" i="27"/>
  <c r="F497" i="27"/>
  <c r="B498" i="27"/>
  <c r="C498" i="27"/>
  <c r="D498" i="27"/>
  <c r="E498" i="27"/>
  <c r="F498" i="27"/>
  <c r="B499" i="27"/>
  <c r="C499" i="27"/>
  <c r="D499" i="27"/>
  <c r="E499" i="27"/>
  <c r="F499" i="27"/>
  <c r="B500" i="27"/>
  <c r="C500" i="27"/>
  <c r="D500" i="27"/>
  <c r="E500" i="27"/>
  <c r="F500" i="27"/>
  <c r="B501" i="27"/>
  <c r="C501" i="27"/>
  <c r="D501" i="27"/>
  <c r="E501" i="27"/>
  <c r="F501" i="27"/>
  <c r="B502" i="27"/>
  <c r="C502" i="27"/>
  <c r="D502" i="27"/>
  <c r="E502" i="27"/>
  <c r="F502" i="27"/>
  <c r="B503" i="27"/>
  <c r="C503" i="27"/>
  <c r="D503" i="27"/>
  <c r="E503" i="27"/>
  <c r="F503" i="27"/>
  <c r="B504" i="27"/>
  <c r="C504" i="27"/>
  <c r="D504" i="27"/>
  <c r="E504" i="27"/>
  <c r="F504" i="27"/>
  <c r="B505" i="27"/>
  <c r="C505" i="27"/>
  <c r="D505" i="27"/>
  <c r="E505" i="27"/>
  <c r="F505" i="27"/>
  <c r="B506" i="27"/>
  <c r="C506" i="27"/>
  <c r="D506" i="27"/>
  <c r="E506" i="27"/>
  <c r="F506" i="27"/>
  <c r="B507" i="27"/>
  <c r="C507" i="27"/>
  <c r="D507" i="27"/>
  <c r="E507" i="27"/>
  <c r="F507" i="27"/>
  <c r="B508" i="27"/>
  <c r="C508" i="27"/>
  <c r="D508" i="27"/>
  <c r="E508" i="27"/>
  <c r="F508" i="27"/>
  <c r="B509" i="27"/>
  <c r="C509" i="27"/>
  <c r="D509" i="27"/>
  <c r="E509" i="27"/>
  <c r="F509" i="27"/>
  <c r="B510" i="27"/>
  <c r="C510" i="27"/>
  <c r="D510" i="27"/>
  <c r="E510" i="27"/>
  <c r="F510" i="27"/>
  <c r="B511" i="27"/>
  <c r="C511" i="27"/>
  <c r="D511" i="27"/>
  <c r="E511" i="27"/>
  <c r="F511" i="27"/>
  <c r="B512" i="27"/>
  <c r="C512" i="27"/>
  <c r="D512" i="27"/>
  <c r="E512" i="27"/>
  <c r="F512" i="27"/>
  <c r="B513" i="27"/>
  <c r="C513" i="27"/>
  <c r="D513" i="27"/>
  <c r="E513" i="27"/>
  <c r="F513" i="27"/>
  <c r="B514" i="27"/>
  <c r="C514" i="27"/>
  <c r="D514" i="27"/>
  <c r="E514" i="27"/>
  <c r="F514" i="27"/>
  <c r="B515" i="27"/>
  <c r="C515" i="27"/>
  <c r="D515" i="27"/>
  <c r="E515" i="27"/>
  <c r="F515" i="27"/>
  <c r="B516" i="27"/>
  <c r="C516" i="27"/>
  <c r="D516" i="27"/>
  <c r="E516" i="27"/>
  <c r="F516" i="27"/>
  <c r="B517" i="27"/>
  <c r="C517" i="27"/>
  <c r="D517" i="27"/>
  <c r="E517" i="27"/>
  <c r="F517" i="27"/>
  <c r="B518" i="27"/>
  <c r="C518" i="27"/>
  <c r="D518" i="27"/>
  <c r="E518" i="27"/>
  <c r="F518" i="27"/>
  <c r="B519" i="27"/>
  <c r="C519" i="27"/>
  <c r="D519" i="27"/>
  <c r="E519" i="27"/>
  <c r="F519" i="27"/>
  <c r="B520" i="27"/>
  <c r="C520" i="27"/>
  <c r="D520" i="27"/>
  <c r="E520" i="27"/>
  <c r="F520" i="27"/>
  <c r="B521" i="27"/>
  <c r="C521" i="27"/>
  <c r="D521" i="27"/>
  <c r="E521" i="27"/>
  <c r="F521" i="27"/>
  <c r="B522" i="27"/>
  <c r="C522" i="27"/>
  <c r="D522" i="27"/>
  <c r="E522" i="27"/>
  <c r="F522" i="27"/>
  <c r="B523" i="27"/>
  <c r="C523" i="27"/>
  <c r="D523" i="27"/>
  <c r="E523" i="27"/>
  <c r="F523" i="27"/>
  <c r="B524" i="27"/>
  <c r="C524" i="27"/>
  <c r="D524" i="27"/>
  <c r="E524" i="27"/>
  <c r="F524" i="27"/>
  <c r="B525" i="27"/>
  <c r="C525" i="27"/>
  <c r="D525" i="27"/>
  <c r="E525" i="27"/>
  <c r="F525" i="27"/>
  <c r="B526" i="27"/>
  <c r="C526" i="27"/>
  <c r="D526" i="27"/>
  <c r="E526" i="27"/>
  <c r="F526" i="27"/>
  <c r="B527" i="27"/>
  <c r="C527" i="27"/>
  <c r="D527" i="27"/>
  <c r="E527" i="27"/>
  <c r="F527" i="27"/>
  <c r="B528" i="27"/>
  <c r="C528" i="27"/>
  <c r="D528" i="27"/>
  <c r="E528" i="27"/>
  <c r="F528" i="27"/>
  <c r="B529" i="27"/>
  <c r="C529" i="27"/>
  <c r="D529" i="27"/>
  <c r="E529" i="27"/>
  <c r="F529" i="27"/>
  <c r="B530" i="27"/>
  <c r="C530" i="27"/>
  <c r="D530" i="27"/>
  <c r="E530" i="27"/>
  <c r="F530" i="27"/>
  <c r="B531" i="27"/>
  <c r="C531" i="27"/>
  <c r="D531" i="27"/>
  <c r="E531" i="27"/>
  <c r="F531" i="27"/>
  <c r="B532" i="27"/>
  <c r="C532" i="27"/>
  <c r="D532" i="27"/>
  <c r="E532" i="27"/>
  <c r="F532" i="27"/>
  <c r="B533" i="27"/>
  <c r="C533" i="27"/>
  <c r="D533" i="27"/>
  <c r="E533" i="27"/>
  <c r="F533" i="27"/>
  <c r="B534" i="27"/>
  <c r="C534" i="27"/>
  <c r="D534" i="27"/>
  <c r="E534" i="27"/>
  <c r="F534" i="27"/>
  <c r="B535" i="27"/>
  <c r="C535" i="27"/>
  <c r="D535" i="27"/>
  <c r="E535" i="27"/>
  <c r="F535" i="27"/>
  <c r="B536" i="27"/>
  <c r="C536" i="27"/>
  <c r="D536" i="27"/>
  <c r="E536" i="27"/>
  <c r="F536" i="27"/>
  <c r="B537" i="27"/>
  <c r="C537" i="27"/>
  <c r="D537" i="27"/>
  <c r="E537" i="27"/>
  <c r="F537" i="27"/>
  <c r="B538" i="27"/>
  <c r="C538" i="27"/>
  <c r="D538" i="27"/>
  <c r="E538" i="27"/>
  <c r="F538" i="27"/>
  <c r="B539" i="27"/>
  <c r="C539" i="27"/>
  <c r="D539" i="27"/>
  <c r="E539" i="27"/>
  <c r="F539" i="27"/>
  <c r="B540" i="27"/>
  <c r="C540" i="27"/>
  <c r="D540" i="27"/>
  <c r="E540" i="27"/>
  <c r="F540" i="27"/>
  <c r="B541" i="27"/>
  <c r="C541" i="27"/>
  <c r="D541" i="27"/>
  <c r="E541" i="27"/>
  <c r="F541" i="27"/>
  <c r="B542" i="27"/>
  <c r="C542" i="27"/>
  <c r="D542" i="27"/>
  <c r="E542" i="27"/>
  <c r="F542" i="27"/>
  <c r="B543" i="27"/>
  <c r="C543" i="27"/>
  <c r="D543" i="27"/>
  <c r="E543" i="27"/>
  <c r="F543" i="27"/>
  <c r="B544" i="27"/>
  <c r="C544" i="27"/>
  <c r="D544" i="27"/>
  <c r="E544" i="27"/>
  <c r="F544" i="27"/>
  <c r="B545" i="27"/>
  <c r="C545" i="27"/>
  <c r="D545" i="27"/>
  <c r="E545" i="27"/>
  <c r="F545" i="27"/>
  <c r="B546" i="27"/>
  <c r="C546" i="27"/>
  <c r="D546" i="27"/>
  <c r="E546" i="27"/>
  <c r="F546" i="27"/>
  <c r="B547" i="27"/>
  <c r="C547" i="27"/>
  <c r="D547" i="27"/>
  <c r="E547" i="27"/>
  <c r="F547" i="27"/>
  <c r="B548" i="27"/>
  <c r="C548" i="27"/>
  <c r="D548" i="27"/>
  <c r="E548" i="27"/>
  <c r="F548" i="27"/>
  <c r="B549" i="27"/>
  <c r="C549" i="27"/>
  <c r="D549" i="27"/>
  <c r="E549" i="27"/>
  <c r="F549" i="27"/>
  <c r="B550" i="27"/>
  <c r="C550" i="27"/>
  <c r="D550" i="27"/>
  <c r="E550" i="27"/>
  <c r="F550" i="27"/>
  <c r="B551" i="27"/>
  <c r="C551" i="27"/>
  <c r="D551" i="27"/>
  <c r="E551" i="27"/>
  <c r="F551" i="27"/>
  <c r="B552" i="27"/>
  <c r="C552" i="27"/>
  <c r="D552" i="27"/>
  <c r="E552" i="27"/>
  <c r="F552" i="27"/>
  <c r="B553" i="27"/>
  <c r="C553" i="27"/>
  <c r="D553" i="27"/>
  <c r="E553" i="27"/>
  <c r="F553" i="27"/>
  <c r="B554" i="27"/>
  <c r="C554" i="27"/>
  <c r="D554" i="27"/>
  <c r="E554" i="27"/>
  <c r="F554" i="27"/>
  <c r="B555" i="27"/>
  <c r="C555" i="27"/>
  <c r="D555" i="27"/>
  <c r="E555" i="27"/>
  <c r="F555" i="27"/>
  <c r="B556" i="27"/>
  <c r="C556" i="27"/>
  <c r="D556" i="27"/>
  <c r="E556" i="27"/>
  <c r="F556" i="27"/>
  <c r="B557" i="27"/>
  <c r="C557" i="27"/>
  <c r="D557" i="27"/>
  <c r="E557" i="27"/>
  <c r="F557" i="27"/>
  <c r="B558" i="27"/>
  <c r="C558" i="27"/>
  <c r="D558" i="27"/>
  <c r="E558" i="27"/>
  <c r="F558" i="27"/>
  <c r="B559" i="27"/>
  <c r="C559" i="27"/>
  <c r="D559" i="27"/>
  <c r="E559" i="27"/>
  <c r="F559" i="27"/>
  <c r="B560" i="27"/>
  <c r="C560" i="27"/>
  <c r="D560" i="27"/>
  <c r="E560" i="27"/>
  <c r="F560" i="27"/>
  <c r="B561" i="27"/>
  <c r="C561" i="27"/>
  <c r="D561" i="27"/>
  <c r="E561" i="27"/>
  <c r="F561" i="27"/>
  <c r="B562" i="27"/>
  <c r="C562" i="27"/>
  <c r="D562" i="27"/>
  <c r="E562" i="27"/>
  <c r="F562" i="27"/>
  <c r="B563" i="27"/>
  <c r="C563" i="27"/>
  <c r="D563" i="27"/>
  <c r="E563" i="27"/>
  <c r="F563" i="27"/>
  <c r="B564" i="27"/>
  <c r="C564" i="27"/>
  <c r="D564" i="27"/>
  <c r="E564" i="27"/>
  <c r="F564" i="27"/>
  <c r="B565" i="27"/>
  <c r="C565" i="27"/>
  <c r="D565" i="27"/>
  <c r="E565" i="27"/>
  <c r="F565" i="27"/>
  <c r="B566" i="27"/>
  <c r="C566" i="27"/>
  <c r="D566" i="27"/>
  <c r="E566" i="27"/>
  <c r="F566" i="27"/>
  <c r="B567" i="27"/>
  <c r="C567" i="27"/>
  <c r="D567" i="27"/>
  <c r="E567" i="27"/>
  <c r="F567" i="27"/>
  <c r="B568" i="27"/>
  <c r="C568" i="27"/>
  <c r="D568" i="27"/>
  <c r="E568" i="27"/>
  <c r="F568" i="27"/>
  <c r="B569" i="27"/>
  <c r="C569" i="27"/>
  <c r="D569" i="27"/>
  <c r="E569" i="27"/>
  <c r="F569" i="27"/>
  <c r="B570" i="27"/>
  <c r="C570" i="27"/>
  <c r="D570" i="27"/>
  <c r="E570" i="27"/>
  <c r="F570" i="27"/>
  <c r="B571" i="27"/>
  <c r="C571" i="27"/>
  <c r="D571" i="27"/>
  <c r="E571" i="27"/>
  <c r="F571" i="27"/>
  <c r="B572" i="27"/>
  <c r="C572" i="27"/>
  <c r="D572" i="27"/>
  <c r="E572" i="27"/>
  <c r="F572" i="27"/>
  <c r="B573" i="27"/>
  <c r="C573" i="27"/>
  <c r="D573" i="27"/>
  <c r="E573" i="27"/>
  <c r="F573" i="27"/>
  <c r="B574" i="27"/>
  <c r="C574" i="27"/>
  <c r="D574" i="27"/>
  <c r="E574" i="27"/>
  <c r="F574" i="27"/>
  <c r="B575" i="27"/>
  <c r="C575" i="27"/>
  <c r="D575" i="27"/>
  <c r="E575" i="27"/>
  <c r="F575" i="27"/>
  <c r="B576" i="27"/>
  <c r="C576" i="27"/>
  <c r="D576" i="27"/>
  <c r="E576" i="27"/>
  <c r="F576" i="27"/>
  <c r="B577" i="27"/>
  <c r="C577" i="27"/>
  <c r="D577" i="27"/>
  <c r="E577" i="27"/>
  <c r="F577" i="27"/>
  <c r="B578" i="27"/>
  <c r="C578" i="27"/>
  <c r="D578" i="27"/>
  <c r="E578" i="27"/>
  <c r="F578" i="27"/>
  <c r="B579" i="27"/>
  <c r="C579" i="27"/>
  <c r="D579" i="27"/>
  <c r="E579" i="27"/>
  <c r="F579" i="27"/>
  <c r="B580" i="27"/>
  <c r="C580" i="27"/>
  <c r="D580" i="27"/>
  <c r="E580" i="27"/>
  <c r="F580" i="27"/>
  <c r="B32" i="24" l="1"/>
  <c r="C32" i="24"/>
  <c r="C582" i="27" l="1"/>
  <c r="C583" i="27"/>
  <c r="C584" i="27"/>
  <c r="C585" i="27"/>
  <c r="C586" i="27"/>
  <c r="C587" i="27"/>
  <c r="C588" i="27"/>
  <c r="C589" i="27"/>
  <c r="C590" i="27"/>
  <c r="C591" i="27"/>
  <c r="C592" i="27"/>
  <c r="C593" i="27"/>
  <c r="C594" i="27"/>
  <c r="C595" i="27"/>
  <c r="C596" i="27"/>
  <c r="C597" i="27"/>
  <c r="C598" i="27"/>
  <c r="C599" i="27"/>
  <c r="C600" i="27"/>
  <c r="C601" i="27"/>
  <c r="C602" i="27"/>
  <c r="C603" i="27"/>
  <c r="C604" i="27"/>
  <c r="C605" i="27"/>
  <c r="C606" i="27"/>
  <c r="C607" i="27"/>
  <c r="C608" i="27"/>
  <c r="C609" i="27"/>
  <c r="C610" i="27"/>
  <c r="C611" i="27"/>
  <c r="C612" i="27"/>
  <c r="C613" i="27"/>
  <c r="C614" i="27"/>
  <c r="C615" i="27"/>
  <c r="C616" i="27"/>
  <c r="C2" i="27"/>
  <c r="B20" i="24" l="1"/>
  <c r="B8" i="24"/>
  <c r="B17" i="24"/>
  <c r="B27" i="24"/>
  <c r="B28" i="24"/>
  <c r="B9" i="24"/>
  <c r="B5" i="24"/>
  <c r="B13" i="24"/>
  <c r="B22" i="24"/>
  <c r="B24" i="24"/>
  <c r="B39" i="24"/>
  <c r="B11" i="24"/>
  <c r="B29" i="24"/>
  <c r="B31" i="24"/>
  <c r="B36" i="24"/>
  <c r="B34" i="24"/>
  <c r="B21" i="24"/>
  <c r="B4" i="24"/>
  <c r="B18" i="24"/>
  <c r="B35" i="24"/>
  <c r="B15" i="24"/>
  <c r="B16" i="24"/>
  <c r="B33" i="24"/>
  <c r="B6" i="24"/>
  <c r="B10" i="24"/>
  <c r="B30" i="24"/>
  <c r="B37" i="24"/>
  <c r="B26" i="24"/>
  <c r="B12" i="24"/>
  <c r="B25" i="24"/>
  <c r="B23" i="24"/>
  <c r="B14" i="24"/>
  <c r="B7" i="24"/>
  <c r="B3" i="24"/>
  <c r="B19" i="24"/>
  <c r="D1" i="24" l="1"/>
  <c r="D41" i="24" s="1"/>
  <c r="H3" i="19"/>
  <c r="I3" i="19" s="1"/>
  <c r="H4" i="19"/>
  <c r="I4" i="19" s="1"/>
  <c r="H5" i="19"/>
  <c r="I5" i="19" s="1"/>
  <c r="H6" i="19"/>
  <c r="I6" i="19" s="1"/>
  <c r="H7" i="19"/>
  <c r="K7" i="19" s="1"/>
  <c r="H8" i="19"/>
  <c r="K8" i="19" s="1"/>
  <c r="H9" i="19"/>
  <c r="K9" i="19" s="1"/>
  <c r="H10" i="19"/>
  <c r="I10" i="19" s="1"/>
  <c r="H11" i="19"/>
  <c r="J11" i="19" s="1"/>
  <c r="H12" i="19"/>
  <c r="J12" i="19" s="1"/>
  <c r="H13" i="19"/>
  <c r="I13" i="19" s="1"/>
  <c r="H14" i="19"/>
  <c r="H15" i="19"/>
  <c r="I15" i="19" s="1"/>
  <c r="H16" i="19"/>
  <c r="I16" i="19" s="1"/>
  <c r="H17" i="19"/>
  <c r="I17" i="19" s="1"/>
  <c r="H18" i="19"/>
  <c r="I18" i="19" s="1"/>
  <c r="H19" i="19"/>
  <c r="K19" i="19" s="1"/>
  <c r="H20" i="19"/>
  <c r="K20" i="19" s="1"/>
  <c r="H21" i="19"/>
  <c r="K21" i="19" s="1"/>
  <c r="H22" i="19"/>
  <c r="I22" i="19" s="1"/>
  <c r="H23" i="19"/>
  <c r="J23" i="19" s="1"/>
  <c r="H24" i="19"/>
  <c r="J24" i="19" s="1"/>
  <c r="H25" i="19"/>
  <c r="I25" i="19" s="1"/>
  <c r="H26" i="19"/>
  <c r="H27" i="19"/>
  <c r="I27" i="19" s="1"/>
  <c r="H28" i="19"/>
  <c r="I28" i="19" s="1"/>
  <c r="H29" i="19"/>
  <c r="I29" i="19" s="1"/>
  <c r="H30" i="19"/>
  <c r="I30" i="19" s="1"/>
  <c r="H31" i="19"/>
  <c r="K31" i="19" s="1"/>
  <c r="H32" i="19"/>
  <c r="K32" i="19" s="1"/>
  <c r="H33" i="19"/>
  <c r="K33" i="19" s="1"/>
  <c r="H34" i="19"/>
  <c r="I34" i="19" s="1"/>
  <c r="H35" i="19"/>
  <c r="J35" i="19" s="1"/>
  <c r="H36" i="19"/>
  <c r="J36" i="19" s="1"/>
  <c r="H37" i="19"/>
  <c r="I37" i="19" s="1"/>
  <c r="H38" i="19"/>
  <c r="H39" i="19"/>
  <c r="I39" i="19" s="1"/>
  <c r="H40" i="19"/>
  <c r="I40" i="19" s="1"/>
  <c r="H41" i="19"/>
  <c r="I41" i="19" s="1"/>
  <c r="H42" i="19"/>
  <c r="I42" i="19" s="1"/>
  <c r="H43" i="19"/>
  <c r="K43" i="19" s="1"/>
  <c r="H44" i="19"/>
  <c r="K44" i="19" s="1"/>
  <c r="H45" i="19"/>
  <c r="K45" i="19" s="1"/>
  <c r="H46" i="19"/>
  <c r="I46" i="19" s="1"/>
  <c r="H47" i="19"/>
  <c r="J47" i="19" s="1"/>
  <c r="H48" i="19"/>
  <c r="J48" i="19" s="1"/>
  <c r="H49" i="19"/>
  <c r="I49" i="19" s="1"/>
  <c r="H50" i="19"/>
  <c r="H51" i="19"/>
  <c r="I51" i="19" s="1"/>
  <c r="H52" i="19"/>
  <c r="I52" i="19" s="1"/>
  <c r="H53" i="19"/>
  <c r="I53" i="19" s="1"/>
  <c r="H54" i="19"/>
  <c r="I54" i="19" s="1"/>
  <c r="H55" i="19"/>
  <c r="K55" i="19" s="1"/>
  <c r="H56" i="19"/>
  <c r="K56" i="19" s="1"/>
  <c r="H57" i="19"/>
  <c r="K57" i="19" s="1"/>
  <c r="H58" i="19"/>
  <c r="I58" i="19" s="1"/>
  <c r="H59" i="19"/>
  <c r="J59" i="19" s="1"/>
  <c r="H60" i="19"/>
  <c r="J60" i="19" s="1"/>
  <c r="H61" i="19"/>
  <c r="I61" i="19" s="1"/>
  <c r="H62" i="19"/>
  <c r="H63" i="19"/>
  <c r="I63" i="19" s="1"/>
  <c r="H64" i="19"/>
  <c r="I64" i="19" s="1"/>
  <c r="H65" i="19"/>
  <c r="I65" i="19" s="1"/>
  <c r="H66" i="19"/>
  <c r="I66" i="19" s="1"/>
  <c r="H67" i="19"/>
  <c r="K67" i="19" s="1"/>
  <c r="H68" i="19"/>
  <c r="K68" i="19" s="1"/>
  <c r="H69" i="19"/>
  <c r="K69" i="19" s="1"/>
  <c r="H70" i="19"/>
  <c r="I70" i="19" s="1"/>
  <c r="H71" i="19"/>
  <c r="J71" i="19" s="1"/>
  <c r="H72" i="19"/>
  <c r="J72" i="19" s="1"/>
  <c r="H73" i="19"/>
  <c r="I73" i="19" s="1"/>
  <c r="H74" i="19"/>
  <c r="H75" i="19"/>
  <c r="I75" i="19" s="1"/>
  <c r="H76" i="19"/>
  <c r="I76" i="19" s="1"/>
  <c r="H77" i="19"/>
  <c r="I77" i="19" s="1"/>
  <c r="H78" i="19"/>
  <c r="I78" i="19" s="1"/>
  <c r="H79" i="19"/>
  <c r="K79" i="19" s="1"/>
  <c r="H80" i="19"/>
  <c r="K80" i="19" s="1"/>
  <c r="H81" i="19"/>
  <c r="K81" i="19" s="1"/>
  <c r="H82" i="19"/>
  <c r="I82" i="19" s="1"/>
  <c r="H83" i="19"/>
  <c r="J83" i="19" s="1"/>
  <c r="H84" i="19"/>
  <c r="J84" i="19" s="1"/>
  <c r="H85" i="19"/>
  <c r="I85" i="19" s="1"/>
  <c r="H86" i="19"/>
  <c r="H87" i="19"/>
  <c r="I87" i="19" s="1"/>
  <c r="H88" i="19"/>
  <c r="I88" i="19" s="1"/>
  <c r="H89" i="19"/>
  <c r="I89" i="19" s="1"/>
  <c r="H90" i="19"/>
  <c r="I90" i="19" s="1"/>
  <c r="H91" i="19"/>
  <c r="K91" i="19" s="1"/>
  <c r="H92" i="19"/>
  <c r="K92" i="19" s="1"/>
  <c r="H93" i="19"/>
  <c r="K93" i="19" s="1"/>
  <c r="H94" i="19"/>
  <c r="I94" i="19" s="1"/>
  <c r="H95" i="19"/>
  <c r="J95" i="19" s="1"/>
  <c r="H96" i="19"/>
  <c r="J96" i="19" s="1"/>
  <c r="H97" i="19"/>
  <c r="I97" i="19" s="1"/>
  <c r="H98" i="19"/>
  <c r="H99" i="19"/>
  <c r="I99" i="19" s="1"/>
  <c r="H100" i="19"/>
  <c r="I100" i="19" s="1"/>
  <c r="H101" i="19"/>
  <c r="I101" i="19" s="1"/>
  <c r="H102" i="19"/>
  <c r="I102" i="19" s="1"/>
  <c r="H103" i="19"/>
  <c r="K103" i="19" s="1"/>
  <c r="H104" i="19"/>
  <c r="K104" i="19" s="1"/>
  <c r="H105" i="19"/>
  <c r="K105" i="19" s="1"/>
  <c r="H106" i="19"/>
  <c r="I106" i="19" s="1"/>
  <c r="H107" i="19"/>
  <c r="J107" i="19" s="1"/>
  <c r="H108" i="19"/>
  <c r="J108" i="19" s="1"/>
  <c r="H109" i="19"/>
  <c r="I109" i="19" s="1"/>
  <c r="H110" i="19"/>
  <c r="H111" i="19"/>
  <c r="I111" i="19" s="1"/>
  <c r="H112" i="19"/>
  <c r="I112" i="19" s="1"/>
  <c r="H113" i="19"/>
  <c r="I113" i="19" s="1"/>
  <c r="H114" i="19"/>
  <c r="I114" i="19" s="1"/>
  <c r="H115" i="19"/>
  <c r="K115" i="19" s="1"/>
  <c r="H116" i="19"/>
  <c r="K116" i="19" s="1"/>
  <c r="H117" i="19"/>
  <c r="K117" i="19" s="1"/>
  <c r="H118" i="19"/>
  <c r="I118" i="19" s="1"/>
  <c r="H119" i="19"/>
  <c r="J119" i="19" s="1"/>
  <c r="H120" i="19"/>
  <c r="J120" i="19" s="1"/>
  <c r="H121" i="19"/>
  <c r="I121" i="19" s="1"/>
  <c r="H122" i="19"/>
  <c r="H123" i="19"/>
  <c r="I123" i="19" s="1"/>
  <c r="H124" i="19"/>
  <c r="I124" i="19" s="1"/>
  <c r="H125" i="19"/>
  <c r="I125" i="19" s="1"/>
  <c r="H126" i="19"/>
  <c r="I126" i="19" s="1"/>
  <c r="H127" i="19"/>
  <c r="K127" i="19" s="1"/>
  <c r="H128" i="19"/>
  <c r="K128" i="19" s="1"/>
  <c r="H129" i="19"/>
  <c r="K129" i="19" s="1"/>
  <c r="H130" i="19"/>
  <c r="I130" i="19" s="1"/>
  <c r="H131" i="19"/>
  <c r="J131" i="19" s="1"/>
  <c r="H132" i="19"/>
  <c r="J132" i="19" s="1"/>
  <c r="H133" i="19"/>
  <c r="I133" i="19" s="1"/>
  <c r="H134" i="19"/>
  <c r="H135" i="19"/>
  <c r="I135" i="19" s="1"/>
  <c r="H136" i="19"/>
  <c r="I136" i="19" s="1"/>
  <c r="H137" i="19"/>
  <c r="I137" i="19" s="1"/>
  <c r="H138" i="19"/>
  <c r="I138" i="19" s="1"/>
  <c r="H139" i="19"/>
  <c r="K139" i="19" s="1"/>
  <c r="H140" i="19"/>
  <c r="K140" i="19" s="1"/>
  <c r="H141" i="19"/>
  <c r="K141" i="19" s="1"/>
  <c r="H142" i="19"/>
  <c r="I142" i="19" s="1"/>
  <c r="H143" i="19"/>
  <c r="J143" i="19" s="1"/>
  <c r="H144" i="19"/>
  <c r="J144" i="19" s="1"/>
  <c r="H145" i="19"/>
  <c r="I145" i="19" s="1"/>
  <c r="H146" i="19"/>
  <c r="H147" i="19"/>
  <c r="I147" i="19" s="1"/>
  <c r="H148" i="19"/>
  <c r="I148" i="19" s="1"/>
  <c r="H149" i="19"/>
  <c r="I149" i="19" s="1"/>
  <c r="H150" i="19"/>
  <c r="I150" i="19" s="1"/>
  <c r="H151" i="19"/>
  <c r="K151" i="19" s="1"/>
  <c r="H152" i="19"/>
  <c r="K152" i="19" s="1"/>
  <c r="H153" i="19"/>
  <c r="K153" i="19" s="1"/>
  <c r="H154" i="19"/>
  <c r="I154" i="19" s="1"/>
  <c r="H155" i="19"/>
  <c r="J155" i="19" s="1"/>
  <c r="H156" i="19"/>
  <c r="J156" i="19" s="1"/>
  <c r="H157" i="19"/>
  <c r="I157" i="19" s="1"/>
  <c r="H158" i="19"/>
  <c r="H159" i="19"/>
  <c r="I159" i="19" s="1"/>
  <c r="H160" i="19"/>
  <c r="I160" i="19" s="1"/>
  <c r="H161" i="19"/>
  <c r="I161" i="19" s="1"/>
  <c r="H162" i="19"/>
  <c r="I162" i="19" s="1"/>
  <c r="H163" i="19"/>
  <c r="K163" i="19" s="1"/>
  <c r="H164" i="19"/>
  <c r="K164" i="19" s="1"/>
  <c r="H165" i="19"/>
  <c r="K165" i="19" s="1"/>
  <c r="H166" i="19"/>
  <c r="I166" i="19" s="1"/>
  <c r="H167" i="19"/>
  <c r="J167" i="19" s="1"/>
  <c r="H168" i="19"/>
  <c r="J168" i="19" s="1"/>
  <c r="H169" i="19"/>
  <c r="I169" i="19" s="1"/>
  <c r="H170" i="19"/>
  <c r="H171" i="19"/>
  <c r="I171" i="19" s="1"/>
  <c r="H172" i="19"/>
  <c r="I172" i="19" s="1"/>
  <c r="H173" i="19"/>
  <c r="I173" i="19" s="1"/>
  <c r="H174" i="19"/>
  <c r="I174" i="19" s="1"/>
  <c r="H175" i="19"/>
  <c r="K175" i="19" s="1"/>
  <c r="H176" i="19"/>
  <c r="K176" i="19" s="1"/>
  <c r="H177" i="19"/>
  <c r="K177" i="19" s="1"/>
  <c r="H178" i="19"/>
  <c r="I178" i="19" s="1"/>
  <c r="H179" i="19"/>
  <c r="J179" i="19" s="1"/>
  <c r="H180" i="19"/>
  <c r="J180" i="19" s="1"/>
  <c r="H181" i="19"/>
  <c r="I181" i="19" s="1"/>
  <c r="H182" i="19"/>
  <c r="H183" i="19"/>
  <c r="I183" i="19" s="1"/>
  <c r="H184" i="19"/>
  <c r="I184" i="19" s="1"/>
  <c r="H185" i="19"/>
  <c r="I185" i="19" s="1"/>
  <c r="H186" i="19"/>
  <c r="I186" i="19" s="1"/>
  <c r="H187" i="19"/>
  <c r="K187" i="19" s="1"/>
  <c r="H188" i="19"/>
  <c r="K188" i="19" s="1"/>
  <c r="H189" i="19"/>
  <c r="K189" i="19" s="1"/>
  <c r="H190" i="19"/>
  <c r="I190" i="19" s="1"/>
  <c r="H191" i="19"/>
  <c r="J191" i="19" s="1"/>
  <c r="H192" i="19"/>
  <c r="J192" i="19" s="1"/>
  <c r="H193" i="19"/>
  <c r="J193" i="19" s="1"/>
  <c r="H194" i="19"/>
  <c r="H195" i="19"/>
  <c r="I195" i="19" s="1"/>
  <c r="H196" i="19"/>
  <c r="I196" i="19" s="1"/>
  <c r="H197" i="19"/>
  <c r="I197" i="19" s="1"/>
  <c r="H198" i="19"/>
  <c r="I198" i="19" s="1"/>
  <c r="H199" i="19"/>
  <c r="K199" i="19" s="1"/>
  <c r="H200" i="19"/>
  <c r="K200" i="19" s="1"/>
  <c r="H201" i="19"/>
  <c r="K201" i="19" s="1"/>
  <c r="H202" i="19"/>
  <c r="I202" i="19" s="1"/>
  <c r="H203" i="19"/>
  <c r="J203" i="19" s="1"/>
  <c r="H204" i="19"/>
  <c r="J204" i="19" s="1"/>
  <c r="H205" i="19"/>
  <c r="J205" i="19" s="1"/>
  <c r="H206" i="19"/>
  <c r="H207" i="19"/>
  <c r="I207" i="19" s="1"/>
  <c r="H208" i="19"/>
  <c r="I208" i="19" s="1"/>
  <c r="H209" i="19"/>
  <c r="I209" i="19" s="1"/>
  <c r="H210" i="19"/>
  <c r="I210" i="19" s="1"/>
  <c r="H211" i="19"/>
  <c r="K211" i="19" s="1"/>
  <c r="H212" i="19"/>
  <c r="K212" i="19" s="1"/>
  <c r="H213" i="19"/>
  <c r="K213" i="19" s="1"/>
  <c r="H214" i="19"/>
  <c r="I214" i="19" s="1"/>
  <c r="H215" i="19"/>
  <c r="J215" i="19" s="1"/>
  <c r="H216" i="19"/>
  <c r="J216" i="19" s="1"/>
  <c r="H217" i="19"/>
  <c r="J217" i="19" s="1"/>
  <c r="H218" i="19"/>
  <c r="H219" i="19"/>
  <c r="I219" i="19" s="1"/>
  <c r="H220" i="19"/>
  <c r="I220" i="19" s="1"/>
  <c r="H221" i="19"/>
  <c r="I221" i="19" s="1"/>
  <c r="H222" i="19"/>
  <c r="I222" i="19" s="1"/>
  <c r="H223" i="19"/>
  <c r="K223" i="19" s="1"/>
  <c r="H224" i="19"/>
  <c r="K224" i="19" s="1"/>
  <c r="H225" i="19"/>
  <c r="K225" i="19" s="1"/>
  <c r="H226" i="19"/>
  <c r="I226" i="19" s="1"/>
  <c r="H227" i="19"/>
  <c r="J227" i="19" s="1"/>
  <c r="H228" i="19"/>
  <c r="J228" i="19" s="1"/>
  <c r="H229" i="19"/>
  <c r="J229" i="19" s="1"/>
  <c r="H230" i="19"/>
  <c r="H231" i="19"/>
  <c r="I231" i="19" s="1"/>
  <c r="H232" i="19"/>
  <c r="I232" i="19" s="1"/>
  <c r="H233" i="19"/>
  <c r="I233" i="19" s="1"/>
  <c r="H234" i="19"/>
  <c r="I234" i="19" s="1"/>
  <c r="H235" i="19"/>
  <c r="K235" i="19" s="1"/>
  <c r="H236" i="19"/>
  <c r="K236" i="19" s="1"/>
  <c r="H237" i="19"/>
  <c r="K237" i="19" s="1"/>
  <c r="H238" i="19"/>
  <c r="I238" i="19" s="1"/>
  <c r="H239" i="19"/>
  <c r="J239" i="19" s="1"/>
  <c r="H240" i="19"/>
  <c r="J240" i="19" s="1"/>
  <c r="H241" i="19"/>
  <c r="J241" i="19" s="1"/>
  <c r="H242" i="19"/>
  <c r="H243" i="19"/>
  <c r="I243" i="19" s="1"/>
  <c r="H244" i="19"/>
  <c r="I244" i="19" s="1"/>
  <c r="H245" i="19"/>
  <c r="I245" i="19" s="1"/>
  <c r="H246" i="19"/>
  <c r="I246" i="19" s="1"/>
  <c r="H247" i="19"/>
  <c r="K247" i="19" s="1"/>
  <c r="H248" i="19"/>
  <c r="K248" i="19" s="1"/>
  <c r="H249" i="19"/>
  <c r="K249" i="19" s="1"/>
  <c r="H250" i="19"/>
  <c r="I250" i="19" s="1"/>
  <c r="H251" i="19"/>
  <c r="J251" i="19" s="1"/>
  <c r="H252" i="19"/>
  <c r="J252" i="19" s="1"/>
  <c r="H253" i="19"/>
  <c r="J253" i="19" s="1"/>
  <c r="H254" i="19"/>
  <c r="H255" i="19"/>
  <c r="I255" i="19" s="1"/>
  <c r="H256" i="19"/>
  <c r="I256" i="19" s="1"/>
  <c r="H257" i="19"/>
  <c r="I257" i="19" s="1"/>
  <c r="H258" i="19"/>
  <c r="I258" i="19" s="1"/>
  <c r="H259" i="19"/>
  <c r="K259" i="19" s="1"/>
  <c r="H260" i="19"/>
  <c r="K260" i="19" s="1"/>
  <c r="H261" i="19"/>
  <c r="K261" i="19" s="1"/>
  <c r="H262" i="19"/>
  <c r="I262" i="19" s="1"/>
  <c r="H263" i="19"/>
  <c r="J263" i="19" s="1"/>
  <c r="H264" i="19"/>
  <c r="J264" i="19" s="1"/>
  <c r="H265" i="19"/>
  <c r="J265" i="19" s="1"/>
  <c r="H266" i="19"/>
  <c r="H267" i="19"/>
  <c r="I267" i="19" s="1"/>
  <c r="H268" i="19"/>
  <c r="I268" i="19" s="1"/>
  <c r="H269" i="19"/>
  <c r="I269" i="19" s="1"/>
  <c r="H270" i="19"/>
  <c r="I270" i="19" s="1"/>
  <c r="H271" i="19"/>
  <c r="K271" i="19" s="1"/>
  <c r="H272" i="19"/>
  <c r="K272" i="19" s="1"/>
  <c r="H273" i="19"/>
  <c r="K273" i="19" s="1"/>
  <c r="H274" i="19"/>
  <c r="I274" i="19" s="1"/>
  <c r="H275" i="19"/>
  <c r="J275" i="19" s="1"/>
  <c r="H276" i="19"/>
  <c r="J276" i="19" s="1"/>
  <c r="H277" i="19"/>
  <c r="J277" i="19" s="1"/>
  <c r="H278" i="19"/>
  <c r="H279" i="19"/>
  <c r="I279" i="19" s="1"/>
  <c r="H280" i="19"/>
  <c r="I280" i="19" s="1"/>
  <c r="H281" i="19"/>
  <c r="I281" i="19" s="1"/>
  <c r="H282" i="19"/>
  <c r="I282" i="19" s="1"/>
  <c r="H283" i="19"/>
  <c r="K283" i="19" s="1"/>
  <c r="H284" i="19"/>
  <c r="K284" i="19" s="1"/>
  <c r="H285" i="19"/>
  <c r="K285" i="19" s="1"/>
  <c r="H286" i="19"/>
  <c r="I286" i="19" s="1"/>
  <c r="H287" i="19"/>
  <c r="J287" i="19" s="1"/>
  <c r="H288" i="19"/>
  <c r="J288" i="19" s="1"/>
  <c r="H289" i="19"/>
  <c r="J289" i="19" s="1"/>
  <c r="H290" i="19"/>
  <c r="H291" i="19"/>
  <c r="I291" i="19" s="1"/>
  <c r="H292" i="19"/>
  <c r="I292" i="19" s="1"/>
  <c r="H293" i="19"/>
  <c r="I293" i="19" s="1"/>
  <c r="H294" i="19"/>
  <c r="I294" i="19" s="1"/>
  <c r="H295" i="19"/>
  <c r="K295" i="19" s="1"/>
  <c r="H296" i="19"/>
  <c r="K296" i="19" s="1"/>
  <c r="H297" i="19"/>
  <c r="K297" i="19" s="1"/>
  <c r="H298" i="19"/>
  <c r="I298" i="19" s="1"/>
  <c r="H299" i="19"/>
  <c r="J299" i="19" s="1"/>
  <c r="H300" i="19"/>
  <c r="J300" i="19" s="1"/>
  <c r="H301" i="19"/>
  <c r="J301" i="19" s="1"/>
  <c r="H302" i="19"/>
  <c r="H303" i="19"/>
  <c r="I303" i="19" s="1"/>
  <c r="H304" i="19"/>
  <c r="I304" i="19" s="1"/>
  <c r="H305" i="19"/>
  <c r="I305" i="19" s="1"/>
  <c r="H306" i="19"/>
  <c r="I306" i="19" s="1"/>
  <c r="H307" i="19"/>
  <c r="K307" i="19" s="1"/>
  <c r="H308" i="19"/>
  <c r="K308" i="19" s="1"/>
  <c r="H309" i="19"/>
  <c r="K309" i="19" s="1"/>
  <c r="H310" i="19"/>
  <c r="I310" i="19" s="1"/>
  <c r="H311" i="19"/>
  <c r="J311" i="19" s="1"/>
  <c r="H312" i="19"/>
  <c r="J312" i="19" s="1"/>
  <c r="H313" i="19"/>
  <c r="J313" i="19" s="1"/>
  <c r="H314" i="19"/>
  <c r="H315" i="19"/>
  <c r="I315" i="19" s="1"/>
  <c r="H316" i="19"/>
  <c r="I316" i="19" s="1"/>
  <c r="H317" i="19"/>
  <c r="I317" i="19" s="1"/>
  <c r="H318" i="19"/>
  <c r="I318" i="19" s="1"/>
  <c r="H319" i="19"/>
  <c r="K319" i="19" s="1"/>
  <c r="H320" i="19"/>
  <c r="K320" i="19" s="1"/>
  <c r="H321" i="19"/>
  <c r="K321" i="19" s="1"/>
  <c r="H322" i="19"/>
  <c r="I322" i="19" s="1"/>
  <c r="H323" i="19"/>
  <c r="J323" i="19" s="1"/>
  <c r="H324" i="19"/>
  <c r="J324" i="19" s="1"/>
  <c r="H325" i="19"/>
  <c r="J325" i="19" s="1"/>
  <c r="H326" i="19"/>
  <c r="H327" i="19"/>
  <c r="I327" i="19" s="1"/>
  <c r="H328" i="19"/>
  <c r="I328" i="19" s="1"/>
  <c r="H329" i="19"/>
  <c r="I329" i="19" s="1"/>
  <c r="H330" i="19"/>
  <c r="I330" i="19" s="1"/>
  <c r="H331" i="19"/>
  <c r="K331" i="19" s="1"/>
  <c r="H332" i="19"/>
  <c r="K332" i="19" s="1"/>
  <c r="H333" i="19"/>
  <c r="K333" i="19" s="1"/>
  <c r="H334" i="19"/>
  <c r="I334" i="19" s="1"/>
  <c r="H335" i="19"/>
  <c r="J335" i="19" s="1"/>
  <c r="H336" i="19"/>
  <c r="J336" i="19" s="1"/>
  <c r="H337" i="19"/>
  <c r="J337" i="19" s="1"/>
  <c r="H338" i="19"/>
  <c r="H339" i="19"/>
  <c r="I339" i="19" s="1"/>
  <c r="H340" i="19"/>
  <c r="I340" i="19" s="1"/>
  <c r="H341" i="19"/>
  <c r="I341" i="19" s="1"/>
  <c r="H342" i="19"/>
  <c r="I342" i="19" s="1"/>
  <c r="H343" i="19"/>
  <c r="K343" i="19" s="1"/>
  <c r="H344" i="19"/>
  <c r="K344" i="19" s="1"/>
  <c r="H345" i="19"/>
  <c r="K345" i="19" s="1"/>
  <c r="H346" i="19"/>
  <c r="I346" i="19" s="1"/>
  <c r="H347" i="19"/>
  <c r="J347" i="19" s="1"/>
  <c r="H348" i="19"/>
  <c r="J348" i="19" s="1"/>
  <c r="H349" i="19"/>
  <c r="J349" i="19" s="1"/>
  <c r="H350" i="19"/>
  <c r="H351" i="19"/>
  <c r="I351" i="19" s="1"/>
  <c r="H352" i="19"/>
  <c r="I352" i="19" s="1"/>
  <c r="H353" i="19"/>
  <c r="I353" i="19" s="1"/>
  <c r="H354" i="19"/>
  <c r="I354" i="19" s="1"/>
  <c r="H355" i="19"/>
  <c r="K355" i="19" s="1"/>
  <c r="H356" i="19"/>
  <c r="K356" i="19" s="1"/>
  <c r="H357" i="19"/>
  <c r="K357" i="19" s="1"/>
  <c r="H358" i="19"/>
  <c r="I358" i="19" s="1"/>
  <c r="H359" i="19"/>
  <c r="J359" i="19" s="1"/>
  <c r="H360" i="19"/>
  <c r="J360" i="19" s="1"/>
  <c r="H361" i="19"/>
  <c r="J361" i="19" s="1"/>
  <c r="H362" i="19"/>
  <c r="H363" i="19"/>
  <c r="I363" i="19" s="1"/>
  <c r="H364" i="19"/>
  <c r="I364" i="19" s="1"/>
  <c r="H365" i="19"/>
  <c r="I365" i="19" s="1"/>
  <c r="H366" i="19"/>
  <c r="I366" i="19" s="1"/>
  <c r="H367" i="19"/>
  <c r="K367" i="19" s="1"/>
  <c r="H368" i="19"/>
  <c r="K368" i="19" s="1"/>
  <c r="H369" i="19"/>
  <c r="K369" i="19" s="1"/>
  <c r="H370" i="19"/>
  <c r="I370" i="19" s="1"/>
  <c r="H371" i="19"/>
  <c r="J371" i="19" s="1"/>
  <c r="H372" i="19"/>
  <c r="J372" i="19" s="1"/>
  <c r="H373" i="19"/>
  <c r="J373" i="19" s="1"/>
  <c r="H374" i="19"/>
  <c r="H375" i="19"/>
  <c r="I375" i="19" s="1"/>
  <c r="H376" i="19"/>
  <c r="I376" i="19" s="1"/>
  <c r="H377" i="19"/>
  <c r="I377" i="19" s="1"/>
  <c r="H378" i="19"/>
  <c r="I378" i="19" s="1"/>
  <c r="H379" i="19"/>
  <c r="K379" i="19" s="1"/>
  <c r="H380" i="19"/>
  <c r="K380" i="19" s="1"/>
  <c r="H381" i="19"/>
  <c r="K381" i="19" s="1"/>
  <c r="H382" i="19"/>
  <c r="I382" i="19" s="1"/>
  <c r="H383" i="19"/>
  <c r="J383" i="19" s="1"/>
  <c r="H384" i="19"/>
  <c r="J384" i="19" s="1"/>
  <c r="H385" i="19"/>
  <c r="H386" i="19"/>
  <c r="I386" i="19" s="1"/>
  <c r="H387" i="19"/>
  <c r="I387" i="19" s="1"/>
  <c r="H388" i="19"/>
  <c r="I388" i="19" s="1"/>
  <c r="H389" i="19"/>
  <c r="I389" i="19" s="1"/>
  <c r="H390" i="19"/>
  <c r="I390" i="19" s="1"/>
  <c r="H391" i="19"/>
  <c r="K391" i="19" s="1"/>
  <c r="H392" i="19"/>
  <c r="K392" i="19" s="1"/>
  <c r="H393" i="19"/>
  <c r="K393" i="19" s="1"/>
  <c r="H394" i="19"/>
  <c r="I394" i="19" s="1"/>
  <c r="H395" i="19"/>
  <c r="J395" i="19" s="1"/>
  <c r="H396" i="19"/>
  <c r="J396" i="19" s="1"/>
  <c r="H397" i="19"/>
  <c r="H398" i="19"/>
  <c r="I398" i="19" s="1"/>
  <c r="H399" i="19"/>
  <c r="I399" i="19" s="1"/>
  <c r="H400" i="19"/>
  <c r="I400" i="19" s="1"/>
  <c r="H401" i="19"/>
  <c r="I401" i="19" s="1"/>
  <c r="H402" i="19"/>
  <c r="I402" i="19" s="1"/>
  <c r="H403" i="19"/>
  <c r="K403" i="19" s="1"/>
  <c r="H404" i="19"/>
  <c r="K404" i="19" s="1"/>
  <c r="H405" i="19"/>
  <c r="K405" i="19" s="1"/>
  <c r="H406" i="19"/>
  <c r="K406" i="19" s="1"/>
  <c r="H407" i="19"/>
  <c r="K407" i="19" s="1"/>
  <c r="H408" i="19"/>
  <c r="K408" i="19" s="1"/>
  <c r="H409" i="19"/>
  <c r="H410" i="19"/>
  <c r="H411" i="19"/>
  <c r="K411" i="19" s="1"/>
  <c r="H412" i="19"/>
  <c r="K412" i="19" s="1"/>
  <c r="H413" i="19"/>
  <c r="K413" i="19" s="1"/>
  <c r="H414" i="19"/>
  <c r="K414" i="19" s="1"/>
  <c r="H415" i="19"/>
  <c r="K415" i="19" s="1"/>
  <c r="H416" i="19"/>
  <c r="K416" i="19" s="1"/>
  <c r="H417" i="19"/>
  <c r="K417" i="19" s="1"/>
  <c r="H418" i="19"/>
  <c r="K418" i="19" s="1"/>
  <c r="H419" i="19"/>
  <c r="J419" i="19" s="1"/>
  <c r="H420" i="19"/>
  <c r="J420" i="19" s="1"/>
  <c r="H421" i="19"/>
  <c r="H422" i="19"/>
  <c r="H423" i="19"/>
  <c r="K423" i="19" s="1"/>
  <c r="H424" i="19"/>
  <c r="K424" i="19" s="1"/>
  <c r="H425" i="19"/>
  <c r="K425" i="19" s="1"/>
  <c r="H426" i="19"/>
  <c r="K426" i="19" s="1"/>
  <c r="H427" i="19"/>
  <c r="K427" i="19" s="1"/>
  <c r="H428" i="19"/>
  <c r="K428" i="19" s="1"/>
  <c r="H429" i="19"/>
  <c r="K429" i="19" s="1"/>
  <c r="H430" i="19"/>
  <c r="K430" i="19" s="1"/>
  <c r="H431" i="19"/>
  <c r="J431" i="19" s="1"/>
  <c r="H432" i="19"/>
  <c r="J432" i="19" s="1"/>
  <c r="H433" i="19"/>
  <c r="H434" i="19"/>
  <c r="I434" i="19" s="1"/>
  <c r="H435" i="19"/>
  <c r="K435" i="19" s="1"/>
  <c r="H436" i="19"/>
  <c r="K436" i="19" s="1"/>
  <c r="H437" i="19"/>
  <c r="K437" i="19" s="1"/>
  <c r="H438" i="19"/>
  <c r="K438" i="19" s="1"/>
  <c r="H439" i="19"/>
  <c r="K439" i="19" s="1"/>
  <c r="H440" i="19"/>
  <c r="K440" i="19" s="1"/>
  <c r="H441" i="19"/>
  <c r="H442" i="19"/>
  <c r="K442" i="19" s="1"/>
  <c r="H443" i="19"/>
  <c r="J443" i="19" s="1"/>
  <c r="H444" i="19"/>
  <c r="J444" i="19" s="1"/>
  <c r="H445" i="19"/>
  <c r="H446" i="19"/>
  <c r="H447" i="19"/>
  <c r="K447" i="19" s="1"/>
  <c r="H448" i="19"/>
  <c r="K448" i="19" s="1"/>
  <c r="H449" i="19"/>
  <c r="K449" i="19" s="1"/>
  <c r="H450" i="19"/>
  <c r="K450" i="19" s="1"/>
  <c r="H451" i="19"/>
  <c r="K451" i="19" s="1"/>
  <c r="H452" i="19"/>
  <c r="K452" i="19" s="1"/>
  <c r="H453" i="19"/>
  <c r="H454" i="19"/>
  <c r="K454" i="19" s="1"/>
  <c r="H455" i="19"/>
  <c r="K455" i="19" s="1"/>
  <c r="H456" i="19"/>
  <c r="K456" i="19" s="1"/>
  <c r="H457" i="19"/>
  <c r="H458" i="19"/>
  <c r="H459" i="19"/>
  <c r="K459" i="19" s="1"/>
  <c r="H460" i="19"/>
  <c r="K460" i="19" s="1"/>
  <c r="H461" i="19"/>
  <c r="K461" i="19" s="1"/>
  <c r="H462" i="19"/>
  <c r="K462" i="19" s="1"/>
  <c r="H463" i="19"/>
  <c r="K463" i="19" s="1"/>
  <c r="H464" i="19"/>
  <c r="K464" i="19" s="1"/>
  <c r="H465" i="19"/>
  <c r="H466" i="19"/>
  <c r="K466" i="19" s="1"/>
  <c r="H467" i="19"/>
  <c r="J467" i="19" s="1"/>
  <c r="H468" i="19"/>
  <c r="J468" i="19" s="1"/>
  <c r="H469" i="19"/>
  <c r="H470" i="19"/>
  <c r="H471" i="19"/>
  <c r="K471" i="19" s="1"/>
  <c r="H472" i="19"/>
  <c r="K472" i="19" s="1"/>
  <c r="H473" i="19"/>
  <c r="K473" i="19" s="1"/>
  <c r="H474" i="19"/>
  <c r="K474" i="19" s="1"/>
  <c r="H475" i="19"/>
  <c r="K475" i="19" s="1"/>
  <c r="H476" i="19"/>
  <c r="K476" i="19" s="1"/>
  <c r="H477" i="19"/>
  <c r="H478" i="19"/>
  <c r="K478" i="19" s="1"/>
  <c r="H479" i="19"/>
  <c r="J479" i="19" s="1"/>
  <c r="H480" i="19"/>
  <c r="J480" i="19" s="1"/>
  <c r="H481" i="19"/>
  <c r="H482" i="19"/>
  <c r="H483" i="19"/>
  <c r="K483" i="19" s="1"/>
  <c r="H484" i="19"/>
  <c r="K484" i="19" s="1"/>
  <c r="H485" i="19"/>
  <c r="K485" i="19" s="1"/>
  <c r="H486" i="19"/>
  <c r="J486" i="19" s="1"/>
  <c r="H487" i="19"/>
  <c r="K487" i="19" s="1"/>
  <c r="H488" i="19"/>
  <c r="K488" i="19" s="1"/>
  <c r="H489" i="19"/>
  <c r="H490" i="19"/>
  <c r="K490" i="19" s="1"/>
  <c r="H491" i="19"/>
  <c r="J491" i="19" s="1"/>
  <c r="H492" i="19"/>
  <c r="J492" i="19" s="1"/>
  <c r="H493" i="19"/>
  <c r="H494" i="19"/>
  <c r="I494" i="19" s="1"/>
  <c r="H495" i="19"/>
  <c r="K495" i="19" s="1"/>
  <c r="H496" i="19"/>
  <c r="K496" i="19" s="1"/>
  <c r="H497" i="19"/>
  <c r="J497" i="19" s="1"/>
  <c r="H498" i="19"/>
  <c r="H499" i="19"/>
  <c r="K499" i="19" s="1"/>
  <c r="H500" i="19"/>
  <c r="K500" i="19" s="1"/>
  <c r="H501" i="19"/>
  <c r="H502" i="19"/>
  <c r="K502" i="19" s="1"/>
  <c r="H503" i="19"/>
  <c r="K503" i="19" s="1"/>
  <c r="H504" i="19"/>
  <c r="K504" i="19" s="1"/>
  <c r="H505" i="19"/>
  <c r="H506" i="19"/>
  <c r="H507" i="19"/>
  <c r="K507" i="19" s="1"/>
  <c r="H508" i="19"/>
  <c r="J508" i="19" s="1"/>
  <c r="H509" i="19"/>
  <c r="H510" i="19"/>
  <c r="H511" i="19"/>
  <c r="K511" i="19" s="1"/>
  <c r="H512" i="19"/>
  <c r="K512" i="19" s="1"/>
  <c r="H513" i="19"/>
  <c r="H514" i="19"/>
  <c r="K514" i="19" s="1"/>
  <c r="H515" i="19"/>
  <c r="J515" i="19" s="1"/>
  <c r="H516" i="19"/>
  <c r="J516" i="19" s="1"/>
  <c r="H517" i="19"/>
  <c r="H518" i="19"/>
  <c r="H519" i="19"/>
  <c r="K519" i="19" s="1"/>
  <c r="H520" i="19"/>
  <c r="K520" i="19" s="1"/>
  <c r="H521" i="19"/>
  <c r="H522" i="19"/>
  <c r="H523" i="19"/>
  <c r="H524" i="19"/>
  <c r="K524" i="19" s="1"/>
  <c r="H525" i="19"/>
  <c r="H526" i="19"/>
  <c r="K526" i="19" s="1"/>
  <c r="H527" i="19"/>
  <c r="J527" i="19" s="1"/>
  <c r="H528" i="19"/>
  <c r="J528" i="19" s="1"/>
  <c r="H529" i="19"/>
  <c r="H530" i="19"/>
  <c r="H531" i="19"/>
  <c r="I531" i="19" s="1"/>
  <c r="H532" i="19"/>
  <c r="H533" i="19"/>
  <c r="H534" i="19"/>
  <c r="H535" i="19"/>
  <c r="K535" i="19" s="1"/>
  <c r="H536" i="19"/>
  <c r="K536" i="19" s="1"/>
  <c r="H537" i="19"/>
  <c r="H538" i="19"/>
  <c r="K538" i="19" s="1"/>
  <c r="H539" i="19"/>
  <c r="J539" i="19" s="1"/>
  <c r="H540" i="19"/>
  <c r="J540" i="19" s="1"/>
  <c r="H541" i="19"/>
  <c r="H542" i="19"/>
  <c r="H543" i="19"/>
  <c r="H544" i="19"/>
  <c r="H545" i="19"/>
  <c r="H546" i="19"/>
  <c r="H547" i="19"/>
  <c r="J547" i="19" s="1"/>
  <c r="H548" i="19"/>
  <c r="K548" i="19" s="1"/>
  <c r="H549" i="19"/>
  <c r="H550" i="19"/>
  <c r="K550" i="19" s="1"/>
  <c r="H551" i="19"/>
  <c r="K551" i="19" s="1"/>
  <c r="H552" i="19"/>
  <c r="K552" i="19" s="1"/>
  <c r="H553" i="19"/>
  <c r="H554" i="19"/>
  <c r="H555" i="19"/>
  <c r="I555" i="19" s="1"/>
  <c r="H556" i="19"/>
  <c r="I556" i="19" s="1"/>
  <c r="H557" i="19"/>
  <c r="H558" i="19"/>
  <c r="H559" i="19"/>
  <c r="K559" i="19" s="1"/>
  <c r="H560" i="19"/>
  <c r="K560" i="19" s="1"/>
  <c r="H561" i="19"/>
  <c r="H562" i="19"/>
  <c r="K562" i="19" s="1"/>
  <c r="H563" i="19"/>
  <c r="J563" i="19" s="1"/>
  <c r="H564" i="19"/>
  <c r="J564" i="19" s="1"/>
  <c r="H565" i="19"/>
  <c r="H566" i="19"/>
  <c r="H567" i="19"/>
  <c r="H568" i="19"/>
  <c r="I568" i="19" s="1"/>
  <c r="H569" i="19"/>
  <c r="H570" i="19"/>
  <c r="H571" i="19"/>
  <c r="K571" i="19" s="1"/>
  <c r="H572" i="19"/>
  <c r="K572" i="19" s="1"/>
  <c r="H573" i="19"/>
  <c r="H574" i="19"/>
  <c r="K574" i="19" s="1"/>
  <c r="H575" i="19"/>
  <c r="J575" i="19" s="1"/>
  <c r="H576" i="19"/>
  <c r="J576" i="19" s="1"/>
  <c r="H577" i="19"/>
  <c r="H578" i="19"/>
  <c r="H579" i="19"/>
  <c r="I579" i="19" s="1"/>
  <c r="H580" i="19"/>
  <c r="H581" i="19"/>
  <c r="H582" i="19"/>
  <c r="H583" i="19"/>
  <c r="J583" i="19" s="1"/>
  <c r="H584" i="19"/>
  <c r="K584" i="19" s="1"/>
  <c r="H585" i="19"/>
  <c r="H586" i="19"/>
  <c r="K586" i="19" s="1"/>
  <c r="H587" i="19"/>
  <c r="J587" i="19" s="1"/>
  <c r="H588" i="19"/>
  <c r="J588" i="19" s="1"/>
  <c r="H589" i="19"/>
  <c r="H590" i="19"/>
  <c r="H591" i="19"/>
  <c r="I591" i="19" s="1"/>
  <c r="H592" i="19"/>
  <c r="I592" i="19" s="1"/>
  <c r="H593" i="19"/>
  <c r="H594" i="19"/>
  <c r="H595" i="19"/>
  <c r="K595" i="19" s="1"/>
  <c r="H596" i="19"/>
  <c r="K596" i="19" s="1"/>
  <c r="H597" i="19"/>
  <c r="H598" i="19"/>
  <c r="K598" i="19" s="1"/>
  <c r="H599" i="19"/>
  <c r="K599" i="19" s="1"/>
  <c r="H600" i="19"/>
  <c r="K600" i="19" s="1"/>
  <c r="H601" i="19"/>
  <c r="H602" i="19"/>
  <c r="H603" i="19"/>
  <c r="H604" i="19"/>
  <c r="H605" i="19"/>
  <c r="H606" i="19"/>
  <c r="H607" i="19"/>
  <c r="J607" i="19" s="1"/>
  <c r="H608" i="19"/>
  <c r="K608" i="19" s="1"/>
  <c r="H609" i="19"/>
  <c r="H610" i="19"/>
  <c r="K610" i="19" s="1"/>
  <c r="H611" i="19"/>
  <c r="J611" i="19" s="1"/>
  <c r="H612" i="19"/>
  <c r="J612" i="19" s="1"/>
  <c r="H613" i="19"/>
  <c r="H614" i="19"/>
  <c r="H615" i="19"/>
  <c r="I615" i="19" s="1"/>
  <c r="H616" i="19"/>
  <c r="I616" i="19" s="1"/>
  <c r="H617" i="19"/>
  <c r="H618" i="19"/>
  <c r="H2" i="19"/>
  <c r="I2" i="19" s="1"/>
  <c r="D3" i="24" l="1"/>
  <c r="D9" i="24"/>
  <c r="D4" i="24"/>
  <c r="D28" i="24"/>
  <c r="D29" i="24"/>
  <c r="D37" i="24"/>
  <c r="D39" i="24"/>
  <c r="D17" i="24"/>
  <c r="D19" i="24"/>
  <c r="D30" i="24"/>
  <c r="D35" i="24"/>
  <c r="D36" i="24"/>
  <c r="D12" i="24"/>
  <c r="D26" i="24"/>
  <c r="D13" i="24"/>
  <c r="D6" i="24"/>
  <c r="D2" i="24"/>
  <c r="D18" i="24"/>
  <c r="D25" i="24"/>
  <c r="D22" i="24"/>
  <c r="D31" i="24"/>
  <c r="D24" i="24"/>
  <c r="D38" i="24"/>
  <c r="D15" i="24"/>
  <c r="D33" i="24"/>
  <c r="D11" i="24"/>
  <c r="D10" i="24"/>
  <c r="D40" i="24"/>
  <c r="D21" i="24"/>
  <c r="D14" i="24"/>
  <c r="D20" i="24"/>
  <c r="D27" i="24"/>
  <c r="D8" i="24"/>
  <c r="D5" i="24"/>
  <c r="D16" i="24"/>
  <c r="D23" i="24"/>
  <c r="D34" i="24"/>
  <c r="D7" i="24"/>
  <c r="D32" i="24"/>
  <c r="J617" i="19"/>
  <c r="K617" i="19"/>
  <c r="J618" i="19"/>
  <c r="K618" i="19"/>
  <c r="I19" i="19"/>
  <c r="I24" i="19"/>
  <c r="I36" i="19"/>
  <c r="I120" i="19"/>
  <c r="I48" i="19"/>
  <c r="I12" i="19"/>
  <c r="I45" i="19"/>
  <c r="I33" i="19"/>
  <c r="I21" i="19"/>
  <c r="I9" i="19"/>
  <c r="I141" i="19"/>
  <c r="I57" i="19"/>
  <c r="I69" i="19"/>
  <c r="I165" i="19"/>
  <c r="I139" i="19"/>
  <c r="I107" i="19"/>
  <c r="I23" i="19"/>
  <c r="I47" i="19"/>
  <c r="I131" i="19"/>
  <c r="I35" i="19"/>
  <c r="I11" i="19"/>
  <c r="I215" i="19"/>
  <c r="I119" i="19"/>
  <c r="I155" i="19"/>
  <c r="I83" i="19"/>
  <c r="I167" i="19"/>
  <c r="I59" i="19"/>
  <c r="I84" i="19"/>
  <c r="I132" i="19"/>
  <c r="I108" i="19"/>
  <c r="I96" i="19"/>
  <c r="I192" i="19"/>
  <c r="I241" i="19"/>
  <c r="J2" i="19"/>
  <c r="F2" i="19"/>
  <c r="I156" i="19"/>
  <c r="I127" i="19"/>
  <c r="I91" i="19"/>
  <c r="I79" i="19"/>
  <c r="I67" i="19"/>
  <c r="I31" i="19"/>
  <c r="I175" i="19"/>
  <c r="I103" i="19"/>
  <c r="I263" i="19"/>
  <c r="I191" i="19"/>
  <c r="I179" i="19"/>
  <c r="I105" i="19"/>
  <c r="I203" i="19"/>
  <c r="I239" i="19"/>
  <c r="I227" i="19"/>
  <c r="I217" i="19"/>
  <c r="I115" i="19"/>
  <c r="I7" i="19"/>
  <c r="I229" i="19"/>
  <c r="I43" i="19"/>
  <c r="I307" i="19"/>
  <c r="I180" i="19"/>
  <c r="I319" i="19"/>
  <c r="I312" i="19"/>
  <c r="I144" i="19"/>
  <c r="I252" i="19"/>
  <c r="I240" i="19"/>
  <c r="I228" i="19"/>
  <c r="I216" i="19"/>
  <c r="I187" i="19"/>
  <c r="I72" i="19"/>
  <c r="I71" i="19"/>
  <c r="I163" i="19"/>
  <c r="I117" i="19"/>
  <c r="I93" i="19"/>
  <c r="I153" i="19"/>
  <c r="I129" i="19"/>
  <c r="I189" i="19"/>
  <c r="I81" i="19"/>
  <c r="I336" i="19"/>
  <c r="I60" i="19"/>
  <c r="I265" i="19"/>
  <c r="I247" i="19"/>
  <c r="I205" i="19"/>
  <c r="I193" i="19"/>
  <c r="I211" i="19"/>
  <c r="I199" i="19"/>
  <c r="I324" i="19"/>
  <c r="I168" i="19"/>
  <c r="I151" i="19"/>
  <c r="I143" i="19"/>
  <c r="I55" i="19"/>
  <c r="I331" i="19"/>
  <c r="I271" i="19"/>
  <c r="I259" i="19"/>
  <c r="I235" i="19"/>
  <c r="I283" i="19"/>
  <c r="I223" i="19"/>
  <c r="I295" i="19"/>
  <c r="I225" i="19"/>
  <c r="I201" i="19"/>
  <c r="I261" i="19"/>
  <c r="I213" i="19"/>
  <c r="I177" i="19"/>
  <c r="I204" i="19"/>
  <c r="I300" i="19"/>
  <c r="I288" i="19"/>
  <c r="I276" i="19"/>
  <c r="I264" i="19"/>
  <c r="I323" i="19"/>
  <c r="I275" i="19"/>
  <c r="I95" i="19"/>
  <c r="I417" i="19"/>
  <c r="I80" i="19"/>
  <c r="I359" i="19"/>
  <c r="I395" i="19"/>
  <c r="I311" i="19"/>
  <c r="I299" i="19"/>
  <c r="I251" i="19"/>
  <c r="I371" i="19"/>
  <c r="I287" i="19"/>
  <c r="I407" i="19"/>
  <c r="I347" i="19"/>
  <c r="I335" i="19"/>
  <c r="I454" i="19"/>
  <c r="I436" i="19"/>
  <c r="I431" i="19"/>
  <c r="I418" i="19"/>
  <c r="I448" i="19"/>
  <c r="I406" i="19"/>
  <c r="I393" i="19"/>
  <c r="I321" i="19"/>
  <c r="I285" i="19"/>
  <c r="I357" i="19"/>
  <c r="I369" i="19"/>
  <c r="I249" i="19"/>
  <c r="I405" i="19"/>
  <c r="I381" i="19"/>
  <c r="I345" i="19"/>
  <c r="I309" i="19"/>
  <c r="I273" i="19"/>
  <c r="I429" i="19"/>
  <c r="I333" i="19"/>
  <c r="I297" i="19"/>
  <c r="I237" i="19"/>
  <c r="I478" i="19"/>
  <c r="I8" i="19"/>
  <c r="I152" i="19"/>
  <c r="I212" i="19"/>
  <c r="I248" i="19"/>
  <c r="I164" i="19"/>
  <c r="I92" i="19"/>
  <c r="I20" i="19"/>
  <c r="I176" i="19"/>
  <c r="I104" i="19"/>
  <c r="I32" i="19"/>
  <c r="I188" i="19"/>
  <c r="I116" i="19"/>
  <c r="I44" i="19"/>
  <c r="I200" i="19"/>
  <c r="I128" i="19"/>
  <c r="I56" i="19"/>
  <c r="I140" i="19"/>
  <c r="I68" i="19"/>
  <c r="I419" i="19"/>
  <c r="I443" i="19"/>
  <c r="I452" i="19"/>
  <c r="I488" i="19"/>
  <c r="I416" i="19"/>
  <c r="I487" i="19"/>
  <c r="I368" i="19"/>
  <c r="I425" i="19"/>
  <c r="I383" i="19"/>
  <c r="I428" i="19"/>
  <c r="I380" i="19"/>
  <c r="I332" i="19"/>
  <c r="I308" i="19"/>
  <c r="I284" i="19"/>
  <c r="I224" i="19"/>
  <c r="I356" i="19"/>
  <c r="I260" i="19"/>
  <c r="I476" i="19"/>
  <c r="I440" i="19"/>
  <c r="I392" i="19"/>
  <c r="I236" i="19"/>
  <c r="I464" i="19"/>
  <c r="I404" i="19"/>
  <c r="I344" i="19"/>
  <c r="I320" i="19"/>
  <c r="I296" i="19"/>
  <c r="I272" i="19"/>
  <c r="I472" i="19"/>
  <c r="I490" i="19"/>
  <c r="I467" i="19"/>
  <c r="I442" i="19"/>
  <c r="I412" i="19"/>
  <c r="I424" i="19"/>
  <c r="I475" i="19"/>
  <c r="I439" i="19"/>
  <c r="I403" i="19"/>
  <c r="I451" i="19"/>
  <c r="I349" i="19"/>
  <c r="I355" i="19"/>
  <c r="I463" i="19"/>
  <c r="I367" i="19"/>
  <c r="I427" i="19"/>
  <c r="I379" i="19"/>
  <c r="I415" i="19"/>
  <c r="I391" i="19"/>
  <c r="I343" i="19"/>
  <c r="I432" i="19"/>
  <c r="I408" i="19"/>
  <c r="I384" i="19"/>
  <c r="I460" i="19"/>
  <c r="I430" i="19"/>
  <c r="I596" i="19"/>
  <c r="I484" i="19"/>
  <c r="I450" i="19"/>
  <c r="I474" i="19"/>
  <c r="I426" i="19"/>
  <c r="I502" i="19"/>
  <c r="I438" i="19"/>
  <c r="I462" i="19"/>
  <c r="I414" i="19"/>
  <c r="I560" i="19"/>
  <c r="I559" i="19"/>
  <c r="I548" i="19"/>
  <c r="I500" i="19"/>
  <c r="I584" i="19"/>
  <c r="I524" i="19"/>
  <c r="I536" i="19"/>
  <c r="I610" i="19"/>
  <c r="I514" i="19"/>
  <c r="I608" i="19"/>
  <c r="I512" i="19"/>
  <c r="I572" i="19"/>
  <c r="I550" i="19"/>
  <c r="I437" i="19"/>
  <c r="I372" i="19"/>
  <c r="I289" i="19"/>
  <c r="I473" i="19"/>
  <c r="I449" i="19"/>
  <c r="I313" i="19"/>
  <c r="I396" i="19"/>
  <c r="I466" i="19"/>
  <c r="I444" i="19"/>
  <c r="I413" i="19"/>
  <c r="I325" i="19"/>
  <c r="I253" i="19"/>
  <c r="I301" i="19"/>
  <c r="I485" i="19"/>
  <c r="I337" i="19"/>
  <c r="I480" i="19"/>
  <c r="I461" i="19"/>
  <c r="I361" i="19"/>
  <c r="I348" i="19"/>
  <c r="I277" i="19"/>
  <c r="I420" i="19"/>
  <c r="I373" i="19"/>
  <c r="I360" i="19"/>
  <c r="I551" i="19"/>
  <c r="I503" i="19"/>
  <c r="I552" i="19"/>
  <c r="I588" i="19"/>
  <c r="I527" i="19"/>
  <c r="I528" i="19"/>
  <c r="I586" i="19"/>
  <c r="J211" i="19"/>
  <c r="I504" i="19"/>
  <c r="J164" i="19"/>
  <c r="I611" i="19"/>
  <c r="I496" i="19"/>
  <c r="I447" i="19"/>
  <c r="J499" i="19"/>
  <c r="J212" i="19"/>
  <c r="K492" i="19"/>
  <c r="I483" i="19"/>
  <c r="I435" i="19"/>
  <c r="J487" i="19"/>
  <c r="K444" i="19"/>
  <c r="J475" i="19"/>
  <c r="K396" i="19"/>
  <c r="I516" i="19"/>
  <c r="I600" i="19"/>
  <c r="I576" i="19"/>
  <c r="I515" i="19"/>
  <c r="I491" i="19"/>
  <c r="I459" i="19"/>
  <c r="J463" i="19"/>
  <c r="J163" i="19"/>
  <c r="K348" i="19"/>
  <c r="I599" i="19"/>
  <c r="I456" i="19"/>
  <c r="J451" i="19"/>
  <c r="J116" i="19"/>
  <c r="K300" i="19"/>
  <c r="I598" i="19"/>
  <c r="I574" i="19"/>
  <c r="I539" i="19"/>
  <c r="I455" i="19"/>
  <c r="I411" i="19"/>
  <c r="J439" i="19"/>
  <c r="J115" i="19"/>
  <c r="K252" i="19"/>
  <c r="I492" i="19"/>
  <c r="J427" i="19"/>
  <c r="J68" i="19"/>
  <c r="K204" i="19"/>
  <c r="I519" i="19"/>
  <c r="I495" i="19"/>
  <c r="I575" i="19"/>
  <c r="I538" i="19"/>
  <c r="I511" i="19"/>
  <c r="I471" i="19"/>
  <c r="I595" i="19"/>
  <c r="I571" i="19"/>
  <c r="I507" i="19"/>
  <c r="I468" i="19"/>
  <c r="I423" i="19"/>
  <c r="J415" i="19"/>
  <c r="J67" i="19"/>
  <c r="K203" i="19"/>
  <c r="J403" i="19"/>
  <c r="J20" i="19"/>
  <c r="K143" i="19"/>
  <c r="J356" i="19"/>
  <c r="J19" i="19"/>
  <c r="K132" i="19"/>
  <c r="J308" i="19"/>
  <c r="K588" i="19"/>
  <c r="K71" i="19"/>
  <c r="I612" i="19"/>
  <c r="I587" i="19"/>
  <c r="I526" i="19"/>
  <c r="I479" i="19"/>
  <c r="J511" i="19"/>
  <c r="J260" i="19"/>
  <c r="K540" i="19"/>
  <c r="K60" i="19"/>
  <c r="I614" i="19"/>
  <c r="K614" i="19"/>
  <c r="J614" i="19"/>
  <c r="I578" i="19"/>
  <c r="K578" i="19"/>
  <c r="J578" i="19"/>
  <c r="K422" i="19"/>
  <c r="J422" i="19"/>
  <c r="K350" i="19"/>
  <c r="J350" i="19"/>
  <c r="I350" i="19"/>
  <c r="K254" i="19"/>
  <c r="J254" i="19"/>
  <c r="I254" i="19"/>
  <c r="I522" i="19"/>
  <c r="K522" i="19"/>
  <c r="J522" i="19"/>
  <c r="I521" i="19"/>
  <c r="K521" i="19"/>
  <c r="J521" i="19"/>
  <c r="I535" i="19"/>
  <c r="K616" i="19"/>
  <c r="J616" i="19"/>
  <c r="K604" i="19"/>
  <c r="I604" i="19"/>
  <c r="J604" i="19"/>
  <c r="K592" i="19"/>
  <c r="J592" i="19"/>
  <c r="K580" i="19"/>
  <c r="J580" i="19"/>
  <c r="K568" i="19"/>
  <c r="J568" i="19"/>
  <c r="K556" i="19"/>
  <c r="J556" i="19"/>
  <c r="K544" i="19"/>
  <c r="I544" i="19"/>
  <c r="J544" i="19"/>
  <c r="K532" i="19"/>
  <c r="J532" i="19"/>
  <c r="I532" i="19"/>
  <c r="K615" i="19"/>
  <c r="J615" i="19"/>
  <c r="K603" i="19"/>
  <c r="I603" i="19"/>
  <c r="J603" i="19"/>
  <c r="K591" i="19"/>
  <c r="J591" i="19"/>
  <c r="K579" i="19"/>
  <c r="J579" i="19"/>
  <c r="K567" i="19"/>
  <c r="I567" i="19"/>
  <c r="J567" i="19"/>
  <c r="K555" i="19"/>
  <c r="J555" i="19"/>
  <c r="K543" i="19"/>
  <c r="I543" i="19"/>
  <c r="J543" i="19"/>
  <c r="K531" i="19"/>
  <c r="J531" i="19"/>
  <c r="K482" i="19"/>
  <c r="I482" i="19"/>
  <c r="J482" i="19"/>
  <c r="K374" i="19"/>
  <c r="J374" i="19"/>
  <c r="I374" i="19"/>
  <c r="K302" i="19"/>
  <c r="J302" i="19"/>
  <c r="I302" i="19"/>
  <c r="K182" i="19"/>
  <c r="J182" i="19"/>
  <c r="I182" i="19"/>
  <c r="K146" i="19"/>
  <c r="J146" i="19"/>
  <c r="I146" i="19"/>
  <c r="K134" i="19"/>
  <c r="J134" i="19"/>
  <c r="I134" i="19"/>
  <c r="K122" i="19"/>
  <c r="J122" i="19"/>
  <c r="I122" i="19"/>
  <c r="K110" i="19"/>
  <c r="J110" i="19"/>
  <c r="I110" i="19"/>
  <c r="K98" i="19"/>
  <c r="J98" i="19"/>
  <c r="I98" i="19"/>
  <c r="K86" i="19"/>
  <c r="J86" i="19"/>
  <c r="I86" i="19"/>
  <c r="K74" i="19"/>
  <c r="J74" i="19"/>
  <c r="I74" i="19"/>
  <c r="K62" i="19"/>
  <c r="J62" i="19"/>
  <c r="I62" i="19"/>
  <c r="K50" i="19"/>
  <c r="J50" i="19"/>
  <c r="I50" i="19"/>
  <c r="K38" i="19"/>
  <c r="J38" i="19"/>
  <c r="I38" i="19"/>
  <c r="K26" i="19"/>
  <c r="J26" i="19"/>
  <c r="I26" i="19"/>
  <c r="K14" i="19"/>
  <c r="J14" i="19"/>
  <c r="I14" i="19"/>
  <c r="I602" i="19"/>
  <c r="K602" i="19"/>
  <c r="J602" i="19"/>
  <c r="I590" i="19"/>
  <c r="K590" i="19"/>
  <c r="J590" i="19"/>
  <c r="I566" i="19"/>
  <c r="K566" i="19"/>
  <c r="J566" i="19"/>
  <c r="I554" i="19"/>
  <c r="K554" i="19"/>
  <c r="J554" i="19"/>
  <c r="I542" i="19"/>
  <c r="K542" i="19"/>
  <c r="J542" i="19"/>
  <c r="I530" i="19"/>
  <c r="K530" i="19"/>
  <c r="J530" i="19"/>
  <c r="K326" i="19"/>
  <c r="J326" i="19"/>
  <c r="I326" i="19"/>
  <c r="I517" i="19"/>
  <c r="J517" i="19"/>
  <c r="K517" i="19"/>
  <c r="I397" i="19"/>
  <c r="J397" i="19"/>
  <c r="K397" i="19"/>
  <c r="I506" i="19"/>
  <c r="K506" i="19"/>
  <c r="J506" i="19"/>
  <c r="K218" i="19"/>
  <c r="J218" i="19"/>
  <c r="I218" i="19"/>
  <c r="I421" i="19"/>
  <c r="J421" i="19"/>
  <c r="K421" i="19"/>
  <c r="K470" i="19"/>
  <c r="J470" i="19"/>
  <c r="I470" i="19"/>
  <c r="K410" i="19"/>
  <c r="J410" i="19"/>
  <c r="K194" i="19"/>
  <c r="J194" i="19"/>
  <c r="I194" i="19"/>
  <c r="K158" i="19"/>
  <c r="J158" i="19"/>
  <c r="I158" i="19"/>
  <c r="I613" i="19"/>
  <c r="J613" i="19"/>
  <c r="K613" i="19"/>
  <c r="I601" i="19"/>
  <c r="K601" i="19"/>
  <c r="J601" i="19"/>
  <c r="I589" i="19"/>
  <c r="J589" i="19"/>
  <c r="K589" i="19"/>
  <c r="I577" i="19"/>
  <c r="J577" i="19"/>
  <c r="K577" i="19"/>
  <c r="I565" i="19"/>
  <c r="J565" i="19"/>
  <c r="K565" i="19"/>
  <c r="I553" i="19"/>
  <c r="K553" i="19"/>
  <c r="J553" i="19"/>
  <c r="I541" i="19"/>
  <c r="J541" i="19"/>
  <c r="K541" i="19"/>
  <c r="I529" i="19"/>
  <c r="J529" i="19"/>
  <c r="K529" i="19"/>
  <c r="I469" i="19"/>
  <c r="J469" i="19"/>
  <c r="K469" i="19"/>
  <c r="K409" i="19"/>
  <c r="J409" i="19"/>
  <c r="J595" i="19"/>
  <c r="I580" i="19"/>
  <c r="I410" i="19"/>
  <c r="K458" i="19"/>
  <c r="J458" i="19"/>
  <c r="K386" i="19"/>
  <c r="J386" i="19"/>
  <c r="K314" i="19"/>
  <c r="J314" i="19"/>
  <c r="I314" i="19"/>
  <c r="K266" i="19"/>
  <c r="J266" i="19"/>
  <c r="I266" i="19"/>
  <c r="K170" i="19"/>
  <c r="J170" i="19"/>
  <c r="I170" i="19"/>
  <c r="I433" i="19"/>
  <c r="J433" i="19"/>
  <c r="K433" i="19"/>
  <c r="I422" i="19"/>
  <c r="I409" i="19"/>
  <c r="J571" i="19"/>
  <c r="K446" i="19"/>
  <c r="J446" i="19"/>
  <c r="K338" i="19"/>
  <c r="J338" i="19"/>
  <c r="I338" i="19"/>
  <c r="K290" i="19"/>
  <c r="J290" i="19"/>
  <c r="I290" i="19"/>
  <c r="I505" i="19"/>
  <c r="K505" i="19"/>
  <c r="J505" i="19"/>
  <c r="I457" i="19"/>
  <c r="K457" i="19"/>
  <c r="J457" i="19"/>
  <c r="J559" i="19"/>
  <c r="I518" i="19"/>
  <c r="K518" i="19"/>
  <c r="J518" i="19"/>
  <c r="K362" i="19"/>
  <c r="J362" i="19"/>
  <c r="I362" i="19"/>
  <c r="K278" i="19"/>
  <c r="J278" i="19"/>
  <c r="I278" i="19"/>
  <c r="I493" i="19"/>
  <c r="J493" i="19"/>
  <c r="K493" i="19"/>
  <c r="I445" i="19"/>
  <c r="J445" i="19"/>
  <c r="K445" i="19"/>
  <c r="K434" i="19"/>
  <c r="J434" i="19"/>
  <c r="K230" i="19"/>
  <c r="J230" i="19"/>
  <c r="I230" i="19"/>
  <c r="I481" i="19"/>
  <c r="J481" i="19"/>
  <c r="K481" i="19"/>
  <c r="I446" i="19"/>
  <c r="K2" i="19"/>
  <c r="K607" i="19"/>
  <c r="I607" i="19"/>
  <c r="K583" i="19"/>
  <c r="I583" i="19"/>
  <c r="K547" i="19"/>
  <c r="I547" i="19"/>
  <c r="K523" i="19"/>
  <c r="I523" i="19"/>
  <c r="J535" i="19"/>
  <c r="K494" i="19"/>
  <c r="J494" i="19"/>
  <c r="K398" i="19"/>
  <c r="J398" i="19"/>
  <c r="K206" i="19"/>
  <c r="J206" i="19"/>
  <c r="I206" i="19"/>
  <c r="I618" i="19"/>
  <c r="I606" i="19"/>
  <c r="K606" i="19"/>
  <c r="J606" i="19"/>
  <c r="I594" i="19"/>
  <c r="K594" i="19"/>
  <c r="J594" i="19"/>
  <c r="I582" i="19"/>
  <c r="K582" i="19"/>
  <c r="J582" i="19"/>
  <c r="I570" i="19"/>
  <c r="K570" i="19"/>
  <c r="J570" i="19"/>
  <c r="I558" i="19"/>
  <c r="K558" i="19"/>
  <c r="J558" i="19"/>
  <c r="I546" i="19"/>
  <c r="K546" i="19"/>
  <c r="J546" i="19"/>
  <c r="I534" i="19"/>
  <c r="K534" i="19"/>
  <c r="J534" i="19"/>
  <c r="I498" i="19"/>
  <c r="K498" i="19"/>
  <c r="J498" i="19"/>
  <c r="J523" i="19"/>
  <c r="K242" i="19"/>
  <c r="J242" i="19"/>
  <c r="I242" i="19"/>
  <c r="I510" i="19"/>
  <c r="K510" i="19"/>
  <c r="J510" i="19"/>
  <c r="I458" i="19"/>
  <c r="I617" i="19"/>
  <c r="I605" i="19"/>
  <c r="K605" i="19"/>
  <c r="J605" i="19"/>
  <c r="I593" i="19"/>
  <c r="K593" i="19"/>
  <c r="J593" i="19"/>
  <c r="I581" i="19"/>
  <c r="K581" i="19"/>
  <c r="J581" i="19"/>
  <c r="I569" i="19"/>
  <c r="K569" i="19"/>
  <c r="J569" i="19"/>
  <c r="I557" i="19"/>
  <c r="K557" i="19"/>
  <c r="J557" i="19"/>
  <c r="I545" i="19"/>
  <c r="K545" i="19"/>
  <c r="J545" i="19"/>
  <c r="I533" i="19"/>
  <c r="K533" i="19"/>
  <c r="J533" i="19"/>
  <c r="I509" i="19"/>
  <c r="K509" i="19"/>
  <c r="J509" i="19"/>
  <c r="K399" i="19"/>
  <c r="J399" i="19"/>
  <c r="K387" i="19"/>
  <c r="J387" i="19"/>
  <c r="K375" i="19"/>
  <c r="J375" i="19"/>
  <c r="K363" i="19"/>
  <c r="J363" i="19"/>
  <c r="K351" i="19"/>
  <c r="J351" i="19"/>
  <c r="K339" i="19"/>
  <c r="J339" i="19"/>
  <c r="K327" i="19"/>
  <c r="J327" i="19"/>
  <c r="K315" i="19"/>
  <c r="J315" i="19"/>
  <c r="K303" i="19"/>
  <c r="J303" i="19"/>
  <c r="K291" i="19"/>
  <c r="J291" i="19"/>
  <c r="K279" i="19"/>
  <c r="J279" i="19"/>
  <c r="K267" i="19"/>
  <c r="J267" i="19"/>
  <c r="K255" i="19"/>
  <c r="J255" i="19"/>
  <c r="K243" i="19"/>
  <c r="J243" i="19"/>
  <c r="K231" i="19"/>
  <c r="J231" i="19"/>
  <c r="K219" i="19"/>
  <c r="J219" i="19"/>
  <c r="K207" i="19"/>
  <c r="J207" i="19"/>
  <c r="K195" i="19"/>
  <c r="J195" i="19"/>
  <c r="K183" i="19"/>
  <c r="J183" i="19"/>
  <c r="K171" i="19"/>
  <c r="J171" i="19"/>
  <c r="K159" i="19"/>
  <c r="J159" i="19"/>
  <c r="K147" i="19"/>
  <c r="J147" i="19"/>
  <c r="K135" i="19"/>
  <c r="J135" i="19"/>
  <c r="K123" i="19"/>
  <c r="J123" i="19"/>
  <c r="K111" i="19"/>
  <c r="J111" i="19"/>
  <c r="K99" i="19"/>
  <c r="J99" i="19"/>
  <c r="K87" i="19"/>
  <c r="J87" i="19"/>
  <c r="K75" i="19"/>
  <c r="J75" i="19"/>
  <c r="K63" i="19"/>
  <c r="J63" i="19"/>
  <c r="K51" i="19"/>
  <c r="J51" i="19"/>
  <c r="K39" i="19"/>
  <c r="J39" i="19"/>
  <c r="K27" i="19"/>
  <c r="J27" i="19"/>
  <c r="K15" i="19"/>
  <c r="J15" i="19"/>
  <c r="K3" i="19"/>
  <c r="J3" i="19"/>
  <c r="J608" i="19"/>
  <c r="J596" i="19"/>
  <c r="J584" i="19"/>
  <c r="J572" i="19"/>
  <c r="J560" i="19"/>
  <c r="J548" i="19"/>
  <c r="J536" i="19"/>
  <c r="J524" i="19"/>
  <c r="J512" i="19"/>
  <c r="J500" i="19"/>
  <c r="J488" i="19"/>
  <c r="J476" i="19"/>
  <c r="J464" i="19"/>
  <c r="J452" i="19"/>
  <c r="J440" i="19"/>
  <c r="J428" i="19"/>
  <c r="J416" i="19"/>
  <c r="J404" i="19"/>
  <c r="J357" i="19"/>
  <c r="J309" i="19"/>
  <c r="J261" i="19"/>
  <c r="J213" i="19"/>
  <c r="J165" i="19"/>
  <c r="J117" i="19"/>
  <c r="J69" i="19"/>
  <c r="J21" i="19"/>
  <c r="K349" i="19"/>
  <c r="K301" i="19"/>
  <c r="K253" i="19"/>
  <c r="K205" i="19"/>
  <c r="K144" i="19"/>
  <c r="K72" i="19"/>
  <c r="I385" i="19"/>
  <c r="J385" i="19"/>
  <c r="J181" i="19"/>
  <c r="K181" i="19"/>
  <c r="J169" i="19"/>
  <c r="K169" i="19"/>
  <c r="J157" i="19"/>
  <c r="K157" i="19"/>
  <c r="J145" i="19"/>
  <c r="K145" i="19"/>
  <c r="J133" i="19"/>
  <c r="K133" i="19"/>
  <c r="J121" i="19"/>
  <c r="K121" i="19"/>
  <c r="J109" i="19"/>
  <c r="K109" i="19"/>
  <c r="J97" i="19"/>
  <c r="K97" i="19"/>
  <c r="J85" i="19"/>
  <c r="K85" i="19"/>
  <c r="J73" i="19"/>
  <c r="K73" i="19"/>
  <c r="J61" i="19"/>
  <c r="K61" i="19"/>
  <c r="J49" i="19"/>
  <c r="K49" i="19"/>
  <c r="J37" i="19"/>
  <c r="K37" i="19"/>
  <c r="J25" i="19"/>
  <c r="K25" i="19"/>
  <c r="J13" i="19"/>
  <c r="K13" i="19"/>
  <c r="J474" i="19"/>
  <c r="J462" i="19"/>
  <c r="J450" i="19"/>
  <c r="J438" i="19"/>
  <c r="J426" i="19"/>
  <c r="J414" i="19"/>
  <c r="J355" i="19"/>
  <c r="J307" i="19"/>
  <c r="J259" i="19"/>
  <c r="K587" i="19"/>
  <c r="K539" i="19"/>
  <c r="K491" i="19"/>
  <c r="K443" i="19"/>
  <c r="K395" i="19"/>
  <c r="K347" i="19"/>
  <c r="K299" i="19"/>
  <c r="K251" i="19"/>
  <c r="J485" i="19"/>
  <c r="J473" i="19"/>
  <c r="J461" i="19"/>
  <c r="J449" i="19"/>
  <c r="J437" i="19"/>
  <c r="J425" i="19"/>
  <c r="J413" i="19"/>
  <c r="J393" i="19"/>
  <c r="J345" i="19"/>
  <c r="J297" i="19"/>
  <c r="J249" i="19"/>
  <c r="J201" i="19"/>
  <c r="J153" i="19"/>
  <c r="J105" i="19"/>
  <c r="J57" i="19"/>
  <c r="J9" i="19"/>
  <c r="K385" i="19"/>
  <c r="K337" i="19"/>
  <c r="K289" i="19"/>
  <c r="K241" i="19"/>
  <c r="K193" i="19"/>
  <c r="K131" i="19"/>
  <c r="K59" i="19"/>
  <c r="J520" i="19"/>
  <c r="J496" i="19"/>
  <c r="J484" i="19"/>
  <c r="J472" i="19"/>
  <c r="J460" i="19"/>
  <c r="J448" i="19"/>
  <c r="J436" i="19"/>
  <c r="J424" i="19"/>
  <c r="J412" i="19"/>
  <c r="J392" i="19"/>
  <c r="J344" i="19"/>
  <c r="J296" i="19"/>
  <c r="J248" i="19"/>
  <c r="J200" i="19"/>
  <c r="J152" i="19"/>
  <c r="J104" i="19"/>
  <c r="J56" i="19"/>
  <c r="J8" i="19"/>
  <c r="K576" i="19"/>
  <c r="K528" i="19"/>
  <c r="K480" i="19"/>
  <c r="K432" i="19"/>
  <c r="K384" i="19"/>
  <c r="K336" i="19"/>
  <c r="K288" i="19"/>
  <c r="K240" i="19"/>
  <c r="K192" i="19"/>
  <c r="K120" i="19"/>
  <c r="K48" i="19"/>
  <c r="I564" i="19"/>
  <c r="J394" i="19"/>
  <c r="K394" i="19"/>
  <c r="J382" i="19"/>
  <c r="K382" i="19"/>
  <c r="J370" i="19"/>
  <c r="K370" i="19"/>
  <c r="J358" i="19"/>
  <c r="K358" i="19"/>
  <c r="J346" i="19"/>
  <c r="K346" i="19"/>
  <c r="J334" i="19"/>
  <c r="K334" i="19"/>
  <c r="J322" i="19"/>
  <c r="K322" i="19"/>
  <c r="J310" i="19"/>
  <c r="K310" i="19"/>
  <c r="J298" i="19"/>
  <c r="K298" i="19"/>
  <c r="J286" i="19"/>
  <c r="K286" i="19"/>
  <c r="J274" i="19"/>
  <c r="K274" i="19"/>
  <c r="J262" i="19"/>
  <c r="K262" i="19"/>
  <c r="J250" i="19"/>
  <c r="K250" i="19"/>
  <c r="J238" i="19"/>
  <c r="K238" i="19"/>
  <c r="J226" i="19"/>
  <c r="K226" i="19"/>
  <c r="J214" i="19"/>
  <c r="K214" i="19"/>
  <c r="J202" i="19"/>
  <c r="K202" i="19"/>
  <c r="J190" i="19"/>
  <c r="K190" i="19"/>
  <c r="J178" i="19"/>
  <c r="K178" i="19"/>
  <c r="J166" i="19"/>
  <c r="K166" i="19"/>
  <c r="J154" i="19"/>
  <c r="K154" i="19"/>
  <c r="J142" i="19"/>
  <c r="K142" i="19"/>
  <c r="J130" i="19"/>
  <c r="K130" i="19"/>
  <c r="J118" i="19"/>
  <c r="K118" i="19"/>
  <c r="J106" i="19"/>
  <c r="K106" i="19"/>
  <c r="J94" i="19"/>
  <c r="K94" i="19"/>
  <c r="J82" i="19"/>
  <c r="K82" i="19"/>
  <c r="J70" i="19"/>
  <c r="K70" i="19"/>
  <c r="J58" i="19"/>
  <c r="K58" i="19"/>
  <c r="J46" i="19"/>
  <c r="K46" i="19"/>
  <c r="J34" i="19"/>
  <c r="K34" i="19"/>
  <c r="J22" i="19"/>
  <c r="K22" i="19"/>
  <c r="J10" i="19"/>
  <c r="K10" i="19"/>
  <c r="J519" i="19"/>
  <c r="J507" i="19"/>
  <c r="J495" i="19"/>
  <c r="J483" i="19"/>
  <c r="J471" i="19"/>
  <c r="J459" i="19"/>
  <c r="J447" i="19"/>
  <c r="J435" i="19"/>
  <c r="J423" i="19"/>
  <c r="J411" i="19"/>
  <c r="J391" i="19"/>
  <c r="J343" i="19"/>
  <c r="J295" i="19"/>
  <c r="J247" i="19"/>
  <c r="J199" i="19"/>
  <c r="J151" i="19"/>
  <c r="J103" i="19"/>
  <c r="J55" i="19"/>
  <c r="J7" i="19"/>
  <c r="K575" i="19"/>
  <c r="K527" i="19"/>
  <c r="K479" i="19"/>
  <c r="K431" i="19"/>
  <c r="K383" i="19"/>
  <c r="K335" i="19"/>
  <c r="K287" i="19"/>
  <c r="K239" i="19"/>
  <c r="K191" i="19"/>
  <c r="K119" i="19"/>
  <c r="K47" i="19"/>
  <c r="I525" i="19"/>
  <c r="K525" i="19"/>
  <c r="I501" i="19"/>
  <c r="K501" i="19"/>
  <c r="I477" i="19"/>
  <c r="K477" i="19"/>
  <c r="I465" i="19"/>
  <c r="K465" i="19"/>
  <c r="I453" i="19"/>
  <c r="K453" i="19"/>
  <c r="I441" i="19"/>
  <c r="K441" i="19"/>
  <c r="J381" i="19"/>
  <c r="J333" i="19"/>
  <c r="J285" i="19"/>
  <c r="J237" i="19"/>
  <c r="J189" i="19"/>
  <c r="J141" i="19"/>
  <c r="J93" i="19"/>
  <c r="J45" i="19"/>
  <c r="K373" i="19"/>
  <c r="K325" i="19"/>
  <c r="K277" i="19"/>
  <c r="K229" i="19"/>
  <c r="K180" i="19"/>
  <c r="K108" i="19"/>
  <c r="K36" i="19"/>
  <c r="I563" i="19"/>
  <c r="I609" i="19"/>
  <c r="K609" i="19"/>
  <c r="I597" i="19"/>
  <c r="K597" i="19"/>
  <c r="I585" i="19"/>
  <c r="K585" i="19"/>
  <c r="I573" i="19"/>
  <c r="K573" i="19"/>
  <c r="I561" i="19"/>
  <c r="K561" i="19"/>
  <c r="I549" i="19"/>
  <c r="K549" i="19"/>
  <c r="I537" i="19"/>
  <c r="K537" i="19"/>
  <c r="I513" i="19"/>
  <c r="K513" i="19"/>
  <c r="I489" i="19"/>
  <c r="K489" i="19"/>
  <c r="I562" i="19"/>
  <c r="I540" i="19"/>
  <c r="I520" i="19"/>
  <c r="I499" i="19"/>
  <c r="J380" i="19"/>
  <c r="J332" i="19"/>
  <c r="J284" i="19"/>
  <c r="J236" i="19"/>
  <c r="J188" i="19"/>
  <c r="J140" i="19"/>
  <c r="J92" i="19"/>
  <c r="J44" i="19"/>
  <c r="K612" i="19"/>
  <c r="K564" i="19"/>
  <c r="K516" i="19"/>
  <c r="K468" i="19"/>
  <c r="K420" i="19"/>
  <c r="K372" i="19"/>
  <c r="K324" i="19"/>
  <c r="K276" i="19"/>
  <c r="K228" i="19"/>
  <c r="K179" i="19"/>
  <c r="K107" i="19"/>
  <c r="K35" i="19"/>
  <c r="J600" i="19"/>
  <c r="J552" i="19"/>
  <c r="J504" i="19"/>
  <c r="J456" i="19"/>
  <c r="J408" i="19"/>
  <c r="J379" i="19"/>
  <c r="J331" i="19"/>
  <c r="J283" i="19"/>
  <c r="J235" i="19"/>
  <c r="J187" i="19"/>
  <c r="J139" i="19"/>
  <c r="J91" i="19"/>
  <c r="J43" i="19"/>
  <c r="K611" i="19"/>
  <c r="K563" i="19"/>
  <c r="K515" i="19"/>
  <c r="K467" i="19"/>
  <c r="K419" i="19"/>
  <c r="K371" i="19"/>
  <c r="K323" i="19"/>
  <c r="K275" i="19"/>
  <c r="K227" i="19"/>
  <c r="K168" i="19"/>
  <c r="K96" i="19"/>
  <c r="K24" i="19"/>
  <c r="I486" i="19"/>
  <c r="K486" i="19"/>
  <c r="K402" i="19"/>
  <c r="J402" i="19"/>
  <c r="K390" i="19"/>
  <c r="J390" i="19"/>
  <c r="K378" i="19"/>
  <c r="J378" i="19"/>
  <c r="K366" i="19"/>
  <c r="J366" i="19"/>
  <c r="K354" i="19"/>
  <c r="J354" i="19"/>
  <c r="K342" i="19"/>
  <c r="J342" i="19"/>
  <c r="K330" i="19"/>
  <c r="J330" i="19"/>
  <c r="K318" i="19"/>
  <c r="J318" i="19"/>
  <c r="K306" i="19"/>
  <c r="J306" i="19"/>
  <c r="K294" i="19"/>
  <c r="J294" i="19"/>
  <c r="K282" i="19"/>
  <c r="J282" i="19"/>
  <c r="K270" i="19"/>
  <c r="J270" i="19"/>
  <c r="K258" i="19"/>
  <c r="J258" i="19"/>
  <c r="K246" i="19"/>
  <c r="J246" i="19"/>
  <c r="K234" i="19"/>
  <c r="J234" i="19"/>
  <c r="K222" i="19"/>
  <c r="J222" i="19"/>
  <c r="K210" i="19"/>
  <c r="J210" i="19"/>
  <c r="K198" i="19"/>
  <c r="J198" i="19"/>
  <c r="K186" i="19"/>
  <c r="J186" i="19"/>
  <c r="K174" i="19"/>
  <c r="J174" i="19"/>
  <c r="K162" i="19"/>
  <c r="J162" i="19"/>
  <c r="K150" i="19"/>
  <c r="J150" i="19"/>
  <c r="K138" i="19"/>
  <c r="J138" i="19"/>
  <c r="K126" i="19"/>
  <c r="J126" i="19"/>
  <c r="K114" i="19"/>
  <c r="J114" i="19"/>
  <c r="K102" i="19"/>
  <c r="J102" i="19"/>
  <c r="K90" i="19"/>
  <c r="J90" i="19"/>
  <c r="K78" i="19"/>
  <c r="J78" i="19"/>
  <c r="K66" i="19"/>
  <c r="J66" i="19"/>
  <c r="K54" i="19"/>
  <c r="J54" i="19"/>
  <c r="K42" i="19"/>
  <c r="J42" i="19"/>
  <c r="K30" i="19"/>
  <c r="J30" i="19"/>
  <c r="K18" i="19"/>
  <c r="J18" i="19"/>
  <c r="K6" i="19"/>
  <c r="J6" i="19"/>
  <c r="J599" i="19"/>
  <c r="J551" i="19"/>
  <c r="J503" i="19"/>
  <c r="J455" i="19"/>
  <c r="J407" i="19"/>
  <c r="J369" i="19"/>
  <c r="J321" i="19"/>
  <c r="J273" i="19"/>
  <c r="J225" i="19"/>
  <c r="J177" i="19"/>
  <c r="J129" i="19"/>
  <c r="J81" i="19"/>
  <c r="J33" i="19"/>
  <c r="K361" i="19"/>
  <c r="K313" i="19"/>
  <c r="K265" i="19"/>
  <c r="K217" i="19"/>
  <c r="K167" i="19"/>
  <c r="K95" i="19"/>
  <c r="K23" i="19"/>
  <c r="I497" i="19"/>
  <c r="K497" i="19"/>
  <c r="K401" i="19"/>
  <c r="J401" i="19"/>
  <c r="K389" i="19"/>
  <c r="J389" i="19"/>
  <c r="K377" i="19"/>
  <c r="J377" i="19"/>
  <c r="K365" i="19"/>
  <c r="J365" i="19"/>
  <c r="K353" i="19"/>
  <c r="J353" i="19"/>
  <c r="K341" i="19"/>
  <c r="J341" i="19"/>
  <c r="K329" i="19"/>
  <c r="J329" i="19"/>
  <c r="K317" i="19"/>
  <c r="J317" i="19"/>
  <c r="K305" i="19"/>
  <c r="J305" i="19"/>
  <c r="K293" i="19"/>
  <c r="J293" i="19"/>
  <c r="K281" i="19"/>
  <c r="J281" i="19"/>
  <c r="K269" i="19"/>
  <c r="J269" i="19"/>
  <c r="K257" i="19"/>
  <c r="J257" i="19"/>
  <c r="K245" i="19"/>
  <c r="J245" i="19"/>
  <c r="K233" i="19"/>
  <c r="J233" i="19"/>
  <c r="K221" i="19"/>
  <c r="J221" i="19"/>
  <c r="K209" i="19"/>
  <c r="J209" i="19"/>
  <c r="K197" i="19"/>
  <c r="J197" i="19"/>
  <c r="K185" i="19"/>
  <c r="J185" i="19"/>
  <c r="K173" i="19"/>
  <c r="J173" i="19"/>
  <c r="K161" i="19"/>
  <c r="J161" i="19"/>
  <c r="K149" i="19"/>
  <c r="J149" i="19"/>
  <c r="K137" i="19"/>
  <c r="J137" i="19"/>
  <c r="K125" i="19"/>
  <c r="J125" i="19"/>
  <c r="K113" i="19"/>
  <c r="J113" i="19"/>
  <c r="K101" i="19"/>
  <c r="J101" i="19"/>
  <c r="K89" i="19"/>
  <c r="J89" i="19"/>
  <c r="K77" i="19"/>
  <c r="J77" i="19"/>
  <c r="K65" i="19"/>
  <c r="J65" i="19"/>
  <c r="K53" i="19"/>
  <c r="J53" i="19"/>
  <c r="K41" i="19"/>
  <c r="J41" i="19"/>
  <c r="K29" i="19"/>
  <c r="J29" i="19"/>
  <c r="K17" i="19"/>
  <c r="J17" i="19"/>
  <c r="K5" i="19"/>
  <c r="J5" i="19"/>
  <c r="J610" i="19"/>
  <c r="J598" i="19"/>
  <c r="J586" i="19"/>
  <c r="J574" i="19"/>
  <c r="J562" i="19"/>
  <c r="J550" i="19"/>
  <c r="J538" i="19"/>
  <c r="J526" i="19"/>
  <c r="J514" i="19"/>
  <c r="J502" i="19"/>
  <c r="J490" i="19"/>
  <c r="J478" i="19"/>
  <c r="J466" i="19"/>
  <c r="J454" i="19"/>
  <c r="J442" i="19"/>
  <c r="J430" i="19"/>
  <c r="J418" i="19"/>
  <c r="J406" i="19"/>
  <c r="J368" i="19"/>
  <c r="J320" i="19"/>
  <c r="J272" i="19"/>
  <c r="J224" i="19"/>
  <c r="J176" i="19"/>
  <c r="J128" i="19"/>
  <c r="J80" i="19"/>
  <c r="J32" i="19"/>
  <c r="K360" i="19"/>
  <c r="K312" i="19"/>
  <c r="K264" i="19"/>
  <c r="K216" i="19"/>
  <c r="K156" i="19"/>
  <c r="K84" i="19"/>
  <c r="K12" i="19"/>
  <c r="I508" i="19"/>
  <c r="K508" i="19"/>
  <c r="K400" i="19"/>
  <c r="J400" i="19"/>
  <c r="K388" i="19"/>
  <c r="J388" i="19"/>
  <c r="K376" i="19"/>
  <c r="J376" i="19"/>
  <c r="K364" i="19"/>
  <c r="J364" i="19"/>
  <c r="K352" i="19"/>
  <c r="J352" i="19"/>
  <c r="K340" i="19"/>
  <c r="J340" i="19"/>
  <c r="K328" i="19"/>
  <c r="J328" i="19"/>
  <c r="K316" i="19"/>
  <c r="J316" i="19"/>
  <c r="K304" i="19"/>
  <c r="J304" i="19"/>
  <c r="K292" i="19"/>
  <c r="J292" i="19"/>
  <c r="K280" i="19"/>
  <c r="J280" i="19"/>
  <c r="K268" i="19"/>
  <c r="J268" i="19"/>
  <c r="K256" i="19"/>
  <c r="J256" i="19"/>
  <c r="K244" i="19"/>
  <c r="J244" i="19"/>
  <c r="K232" i="19"/>
  <c r="J232" i="19"/>
  <c r="K220" i="19"/>
  <c r="J220" i="19"/>
  <c r="K208" i="19"/>
  <c r="J208" i="19"/>
  <c r="K196" i="19"/>
  <c r="J196" i="19"/>
  <c r="K184" i="19"/>
  <c r="J184" i="19"/>
  <c r="K172" i="19"/>
  <c r="J172" i="19"/>
  <c r="K160" i="19"/>
  <c r="J160" i="19"/>
  <c r="K148" i="19"/>
  <c r="J148" i="19"/>
  <c r="K136" i="19"/>
  <c r="J136" i="19"/>
  <c r="K124" i="19"/>
  <c r="J124" i="19"/>
  <c r="K112" i="19"/>
  <c r="J112" i="19"/>
  <c r="K100" i="19"/>
  <c r="J100" i="19"/>
  <c r="K88" i="19"/>
  <c r="J88" i="19"/>
  <c r="K76" i="19"/>
  <c r="J76" i="19"/>
  <c r="K64" i="19"/>
  <c r="J64" i="19"/>
  <c r="K52" i="19"/>
  <c r="J52" i="19"/>
  <c r="K40" i="19"/>
  <c r="J40" i="19"/>
  <c r="K28" i="19"/>
  <c r="J28" i="19"/>
  <c r="K16" i="19"/>
  <c r="J16" i="19"/>
  <c r="K4" i="19"/>
  <c r="J4" i="19"/>
  <c r="J609" i="19"/>
  <c r="J597" i="19"/>
  <c r="J585" i="19"/>
  <c r="J573" i="19"/>
  <c r="J561" i="19"/>
  <c r="J549" i="19"/>
  <c r="J537" i="19"/>
  <c r="J525" i="19"/>
  <c r="J513" i="19"/>
  <c r="J501" i="19"/>
  <c r="J489" i="19"/>
  <c r="J477" i="19"/>
  <c r="J465" i="19"/>
  <c r="J453" i="19"/>
  <c r="J441" i="19"/>
  <c r="J429" i="19"/>
  <c r="J417" i="19"/>
  <c r="J405" i="19"/>
  <c r="J367" i="19"/>
  <c r="J319" i="19"/>
  <c r="J271" i="19"/>
  <c r="J223" i="19"/>
  <c r="J175" i="19"/>
  <c r="J127" i="19"/>
  <c r="J79" i="19"/>
  <c r="J31" i="19"/>
  <c r="K359" i="19"/>
  <c r="K311" i="19"/>
  <c r="K263" i="19"/>
  <c r="K215" i="19"/>
  <c r="K155" i="19"/>
  <c r="K83" i="19"/>
  <c r="K11" i="19"/>
  <c r="A492" i="27" l="1"/>
  <c r="A493" i="27"/>
  <c r="A494" i="27"/>
  <c r="A495" i="27"/>
  <c r="A496" i="27"/>
  <c r="A497" i="27"/>
  <c r="A498" i="27"/>
  <c r="A499" i="27"/>
  <c r="A500" i="27"/>
  <c r="A501" i="27"/>
  <c r="A502" i="27"/>
  <c r="A503" i="27"/>
  <c r="A504" i="27"/>
  <c r="A505" i="27"/>
  <c r="A506" i="27"/>
  <c r="A507" i="27"/>
  <c r="A508" i="27"/>
  <c r="A509" i="27"/>
  <c r="A510" i="27"/>
  <c r="A511" i="27"/>
  <c r="A512" i="27"/>
  <c r="A513" i="27"/>
  <c r="A514" i="27"/>
  <c r="A515" i="27"/>
  <c r="A516" i="27"/>
  <c r="A517" i="27"/>
  <c r="A518" i="27"/>
  <c r="A519" i="27"/>
  <c r="A520" i="27"/>
  <c r="A521" i="27"/>
  <c r="A522" i="27"/>
  <c r="A523" i="27"/>
  <c r="A524" i="27"/>
  <c r="A525" i="27"/>
  <c r="A526" i="27"/>
  <c r="A527" i="27"/>
  <c r="A528" i="27"/>
  <c r="A529" i="27"/>
  <c r="A530" i="27"/>
  <c r="A531" i="27"/>
  <c r="A532" i="27"/>
  <c r="A533" i="27"/>
  <c r="A534" i="27"/>
  <c r="A535" i="27"/>
  <c r="A536" i="27"/>
  <c r="A537" i="27"/>
  <c r="A538" i="27"/>
  <c r="A539" i="27"/>
  <c r="A540" i="27"/>
  <c r="A541" i="27"/>
  <c r="A542" i="27"/>
  <c r="A543" i="27"/>
  <c r="A544" i="27"/>
  <c r="A545" i="27"/>
  <c r="A546" i="27"/>
  <c r="A547" i="27"/>
  <c r="A548" i="27"/>
  <c r="A549" i="27"/>
  <c r="A550" i="27"/>
  <c r="A551" i="27"/>
  <c r="A552" i="27"/>
  <c r="A553" i="27"/>
  <c r="A554" i="27"/>
  <c r="A555" i="27"/>
  <c r="A556" i="27"/>
  <c r="A557" i="27"/>
  <c r="A558" i="27"/>
  <c r="A559" i="27"/>
  <c r="A560" i="27"/>
  <c r="A561" i="27"/>
  <c r="A562" i="27"/>
  <c r="A563" i="27"/>
  <c r="A564" i="27"/>
  <c r="A565" i="27"/>
  <c r="A566" i="27"/>
  <c r="A567" i="27"/>
  <c r="A568" i="27"/>
  <c r="A569" i="27"/>
  <c r="A570" i="27"/>
  <c r="A571" i="27"/>
  <c r="A572" i="27"/>
  <c r="A573" i="27"/>
  <c r="A574" i="27"/>
  <c r="A575" i="27"/>
  <c r="A576" i="27"/>
  <c r="A577" i="27"/>
  <c r="A578" i="27"/>
  <c r="A579" i="27"/>
  <c r="A580" i="27"/>
  <c r="A581" i="27"/>
  <c r="A582" i="27"/>
  <c r="A583" i="27"/>
  <c r="A584" i="27"/>
  <c r="A585" i="27"/>
  <c r="A586" i="27"/>
  <c r="A587" i="27"/>
  <c r="A588" i="27"/>
  <c r="A589" i="27"/>
  <c r="A590" i="27"/>
  <c r="A591" i="27"/>
  <c r="A592" i="27"/>
  <c r="A593" i="27"/>
  <c r="A594" i="27"/>
  <c r="A595" i="27"/>
  <c r="A596" i="27"/>
  <c r="A597" i="27"/>
  <c r="A598" i="27"/>
  <c r="A599" i="27"/>
  <c r="A600" i="27"/>
  <c r="A601" i="27"/>
  <c r="A602" i="27"/>
  <c r="A603" i="27"/>
  <c r="A604" i="27"/>
  <c r="A605" i="27"/>
  <c r="A606" i="27"/>
  <c r="A607" i="27"/>
  <c r="A608" i="27"/>
  <c r="A609" i="27"/>
  <c r="A610" i="27"/>
  <c r="A611" i="27"/>
  <c r="A612" i="27"/>
  <c r="A613" i="27"/>
  <c r="A614" i="27"/>
  <c r="A615" i="27"/>
  <c r="A616" i="27"/>
  <c r="A617" i="27"/>
  <c r="A618" i="27"/>
  <c r="D96" i="5" l="1"/>
  <c r="G34" i="5" s="1"/>
  <c r="D93" i="5"/>
  <c r="G33" i="5" s="1"/>
  <c r="G3" i="3"/>
  <c r="B582" i="27" l="1"/>
  <c r="D582" i="27"/>
  <c r="F582" i="27"/>
  <c r="B583" i="27"/>
  <c r="D583" i="27"/>
  <c r="E583" i="27"/>
  <c r="F583" i="27"/>
  <c r="B584" i="27"/>
  <c r="D584" i="27"/>
  <c r="E584" i="27"/>
  <c r="F584" i="27"/>
  <c r="B585" i="27"/>
  <c r="D585" i="27"/>
  <c r="E585" i="27"/>
  <c r="F585" i="27"/>
  <c r="B586" i="27"/>
  <c r="D586" i="27"/>
  <c r="E586" i="27"/>
  <c r="F586" i="27"/>
  <c r="B587" i="27"/>
  <c r="D587" i="27"/>
  <c r="E587" i="27"/>
  <c r="F587" i="27"/>
  <c r="B588" i="27"/>
  <c r="D588" i="27"/>
  <c r="E588" i="27"/>
  <c r="F588" i="27"/>
  <c r="B589" i="27"/>
  <c r="D589" i="27"/>
  <c r="E589" i="27"/>
  <c r="F589" i="27"/>
  <c r="B590" i="27"/>
  <c r="D590" i="27"/>
  <c r="E590" i="27"/>
  <c r="F590" i="27"/>
  <c r="B591" i="27"/>
  <c r="D591" i="27"/>
  <c r="E591" i="27"/>
  <c r="F591" i="27"/>
  <c r="B592" i="27"/>
  <c r="D592" i="27"/>
  <c r="E592" i="27"/>
  <c r="F592" i="27"/>
  <c r="B593" i="27"/>
  <c r="D593" i="27"/>
  <c r="E593" i="27"/>
  <c r="F593" i="27"/>
  <c r="B594" i="27"/>
  <c r="D594" i="27"/>
  <c r="E594" i="27"/>
  <c r="F594" i="27"/>
  <c r="B595" i="27"/>
  <c r="D595" i="27"/>
  <c r="E595" i="27"/>
  <c r="F595" i="27"/>
  <c r="B596" i="27"/>
  <c r="D596" i="27"/>
  <c r="E596" i="27"/>
  <c r="F596" i="27"/>
  <c r="B597" i="27"/>
  <c r="D597" i="27"/>
  <c r="E597" i="27"/>
  <c r="F597" i="27"/>
  <c r="B598" i="27"/>
  <c r="D598" i="27"/>
  <c r="E598" i="27"/>
  <c r="F598" i="27"/>
  <c r="B599" i="27"/>
  <c r="D599" i="27"/>
  <c r="E599" i="27"/>
  <c r="F599" i="27"/>
  <c r="B600" i="27"/>
  <c r="D600" i="27"/>
  <c r="E600" i="27"/>
  <c r="F600" i="27"/>
  <c r="B601" i="27"/>
  <c r="D601" i="27"/>
  <c r="E601" i="27"/>
  <c r="F601" i="27"/>
  <c r="B602" i="27"/>
  <c r="D602" i="27"/>
  <c r="E602" i="27"/>
  <c r="F602" i="27"/>
  <c r="B603" i="27"/>
  <c r="D603" i="27"/>
  <c r="E603" i="27"/>
  <c r="F603" i="27"/>
  <c r="B604" i="27"/>
  <c r="D604" i="27"/>
  <c r="E604" i="27"/>
  <c r="F604" i="27"/>
  <c r="B605" i="27"/>
  <c r="D605" i="27"/>
  <c r="E605" i="27"/>
  <c r="F605" i="27"/>
  <c r="B606" i="27"/>
  <c r="D606" i="27"/>
  <c r="E606" i="27"/>
  <c r="F606" i="27"/>
  <c r="B607" i="27"/>
  <c r="D607" i="27"/>
  <c r="E607" i="27"/>
  <c r="F607" i="27"/>
  <c r="B608" i="27"/>
  <c r="D608" i="27"/>
  <c r="E608" i="27"/>
  <c r="F608" i="27"/>
  <c r="B609" i="27"/>
  <c r="D609" i="27"/>
  <c r="E609" i="27"/>
  <c r="F609" i="27"/>
  <c r="B610" i="27"/>
  <c r="D610" i="27"/>
  <c r="E610" i="27"/>
  <c r="F610" i="27"/>
  <c r="B611" i="27"/>
  <c r="D611" i="27"/>
  <c r="E611" i="27"/>
  <c r="F611" i="27"/>
  <c r="B612" i="27"/>
  <c r="D612" i="27"/>
  <c r="E612" i="27"/>
  <c r="F612" i="27"/>
  <c r="B613" i="27"/>
  <c r="D613" i="27"/>
  <c r="E613" i="27"/>
  <c r="F613" i="27"/>
  <c r="B614" i="27"/>
  <c r="D614" i="27"/>
  <c r="E614" i="27"/>
  <c r="F614" i="27"/>
  <c r="B615" i="27"/>
  <c r="D615" i="27"/>
  <c r="E615" i="27"/>
  <c r="F615" i="27"/>
  <c r="B616" i="27"/>
  <c r="D616" i="27"/>
  <c r="E616" i="27"/>
  <c r="F616" i="27"/>
  <c r="D2" i="27"/>
  <c r="E2" i="27"/>
  <c r="F2" i="27"/>
  <c r="A476" i="27" l="1"/>
  <c r="A477" i="27"/>
  <c r="A478" i="27"/>
  <c r="E100" i="26" l="1"/>
  <c r="B100" i="26" s="1"/>
  <c r="E99" i="26"/>
  <c r="B99" i="26" s="1"/>
  <c r="E98" i="26"/>
  <c r="B98" i="26" s="1"/>
  <c r="E97" i="26"/>
  <c r="B97" i="26" s="1"/>
  <c r="E96" i="26"/>
  <c r="B96" i="26" s="1"/>
  <c r="E95" i="26"/>
  <c r="B95" i="26" s="1"/>
  <c r="E94" i="26"/>
  <c r="B94" i="26" s="1"/>
  <c r="E93" i="26"/>
  <c r="B93" i="26" s="1"/>
  <c r="E92" i="26"/>
  <c r="B92" i="26" s="1"/>
  <c r="E91" i="26"/>
  <c r="B91" i="26" s="1"/>
  <c r="E90" i="26"/>
  <c r="B90" i="26" s="1"/>
  <c r="E89" i="26"/>
  <c r="B89" i="26" s="1"/>
  <c r="E88" i="26"/>
  <c r="B88" i="26" s="1"/>
  <c r="E87" i="26"/>
  <c r="B87" i="26" s="1"/>
  <c r="E86" i="26"/>
  <c r="B86" i="26" s="1"/>
  <c r="E85" i="26"/>
  <c r="B85" i="26" s="1"/>
  <c r="E84" i="26"/>
  <c r="B84" i="26" s="1"/>
  <c r="E83" i="26"/>
  <c r="B83" i="26" s="1"/>
  <c r="E82" i="26"/>
  <c r="B82" i="26" s="1"/>
  <c r="E81" i="26"/>
  <c r="B81" i="26" s="1"/>
  <c r="E80" i="26"/>
  <c r="B80" i="26" s="1"/>
  <c r="E79" i="26"/>
  <c r="B79" i="26" s="1"/>
  <c r="E78" i="26"/>
  <c r="B78" i="26" s="1"/>
  <c r="E77" i="26"/>
  <c r="B77" i="26" s="1"/>
  <c r="E76" i="26"/>
  <c r="B76" i="26" s="1"/>
  <c r="E75" i="26"/>
  <c r="B75" i="26" s="1"/>
  <c r="E74" i="26"/>
  <c r="B74" i="26" s="1"/>
  <c r="E73" i="26"/>
  <c r="B73" i="26" s="1"/>
  <c r="E72" i="26"/>
  <c r="B72" i="26" s="1"/>
  <c r="E71" i="26"/>
  <c r="B71" i="26" s="1"/>
  <c r="E70" i="26"/>
  <c r="B70" i="26" s="1"/>
  <c r="E69" i="26"/>
  <c r="B69" i="26" s="1"/>
  <c r="E68" i="26"/>
  <c r="B68" i="26" s="1"/>
  <c r="E67" i="26"/>
  <c r="B67" i="26" s="1"/>
  <c r="E66" i="26"/>
  <c r="B66" i="26" s="1"/>
  <c r="E65" i="26"/>
  <c r="B65" i="26" s="1"/>
  <c r="E64" i="26"/>
  <c r="B64" i="26" s="1"/>
  <c r="E63" i="26"/>
  <c r="B63" i="26" s="1"/>
  <c r="E62" i="26"/>
  <c r="B62" i="26" s="1"/>
  <c r="E61" i="26"/>
  <c r="B61" i="26" s="1"/>
  <c r="E60" i="26"/>
  <c r="B60" i="26" s="1"/>
  <c r="E59" i="26"/>
  <c r="B59" i="26" s="1"/>
  <c r="E58" i="26"/>
  <c r="B58" i="26" s="1"/>
  <c r="E57" i="26"/>
  <c r="B57" i="26" s="1"/>
  <c r="E56" i="26"/>
  <c r="B56" i="26" s="1"/>
  <c r="E55" i="26"/>
  <c r="B55" i="26" s="1"/>
  <c r="E54" i="26"/>
  <c r="B54" i="26" s="1"/>
  <c r="E53" i="26"/>
  <c r="B53" i="26" s="1"/>
  <c r="E52" i="26"/>
  <c r="B52" i="26" s="1"/>
  <c r="E51" i="26"/>
  <c r="B51" i="26" s="1"/>
  <c r="E50" i="26"/>
  <c r="B50" i="26" s="1"/>
  <c r="E49" i="26"/>
  <c r="B49" i="26" s="1"/>
  <c r="E48" i="26"/>
  <c r="B48" i="26" s="1"/>
  <c r="E47" i="26"/>
  <c r="B47" i="26" s="1"/>
  <c r="E46" i="26"/>
  <c r="B46" i="26" s="1"/>
  <c r="E45" i="26"/>
  <c r="B45" i="26" s="1"/>
  <c r="E44" i="26"/>
  <c r="B44" i="26" s="1"/>
  <c r="E43" i="26"/>
  <c r="B43" i="26" s="1"/>
  <c r="E42" i="26"/>
  <c r="B42" i="26" s="1"/>
  <c r="E41" i="26"/>
  <c r="B41" i="26" s="1"/>
  <c r="E40" i="26"/>
  <c r="B40" i="26" s="1"/>
  <c r="E39" i="26"/>
  <c r="B39" i="26" s="1"/>
  <c r="E38" i="26"/>
  <c r="B38" i="26" s="1"/>
  <c r="E37" i="26"/>
  <c r="B37" i="26" s="1"/>
  <c r="E36" i="26"/>
  <c r="B36" i="26" s="1"/>
  <c r="E35" i="26"/>
  <c r="B35" i="26" s="1"/>
  <c r="E34" i="26"/>
  <c r="B34" i="26" s="1"/>
  <c r="E33" i="26"/>
  <c r="B33" i="26" s="1"/>
  <c r="E32" i="26"/>
  <c r="B32" i="26" s="1"/>
  <c r="E31" i="26"/>
  <c r="B31" i="26" s="1"/>
  <c r="E30" i="26"/>
  <c r="B30" i="26" s="1"/>
  <c r="E29" i="26"/>
  <c r="B29" i="26" s="1"/>
  <c r="E28" i="26"/>
  <c r="B28" i="26" s="1"/>
  <c r="E27" i="26"/>
  <c r="B27" i="26" s="1"/>
  <c r="E26" i="26"/>
  <c r="B26" i="26" s="1"/>
  <c r="E25" i="26"/>
  <c r="B25" i="26" s="1"/>
  <c r="E24" i="26"/>
  <c r="B24" i="26" s="1"/>
  <c r="E23" i="26"/>
  <c r="B23" i="26" s="1"/>
  <c r="E22" i="26"/>
  <c r="B22" i="26" s="1"/>
  <c r="E21" i="26"/>
  <c r="B21" i="26" s="1"/>
  <c r="E20" i="26"/>
  <c r="B20" i="26" s="1"/>
  <c r="E19" i="26"/>
  <c r="B19" i="26" s="1"/>
  <c r="E18" i="26"/>
  <c r="B18" i="26" s="1"/>
  <c r="E17" i="26"/>
  <c r="B17" i="26" s="1"/>
  <c r="E16" i="26"/>
  <c r="B16" i="26" s="1"/>
  <c r="E15" i="26"/>
  <c r="B15" i="26" s="1"/>
  <c r="E14" i="26"/>
  <c r="B14" i="26" s="1"/>
  <c r="E13" i="26"/>
  <c r="B13" i="26" s="1"/>
  <c r="E12" i="26"/>
  <c r="B12" i="26" s="1"/>
  <c r="E11" i="26"/>
  <c r="B11" i="26" s="1"/>
  <c r="E10" i="26"/>
  <c r="B10" i="26" s="1"/>
  <c r="E9" i="26"/>
  <c r="B9" i="26" s="1"/>
  <c r="E8" i="26"/>
  <c r="B8" i="26" s="1"/>
  <c r="E7" i="26"/>
  <c r="B7" i="26" s="1"/>
  <c r="E6" i="26"/>
  <c r="B6" i="26" s="1"/>
  <c r="E5" i="26"/>
  <c r="B5" i="26" s="1"/>
  <c r="E4" i="26"/>
  <c r="B4" i="26" s="1"/>
  <c r="E3" i="26"/>
  <c r="B3" i="26" s="1"/>
  <c r="E2" i="26"/>
  <c r="B2" i="26" s="1"/>
  <c r="A466" i="27" l="1"/>
  <c r="A432" i="27" l="1"/>
  <c r="I8" i="5" l="1"/>
  <c r="E87" i="5"/>
  <c r="E75" i="5"/>
  <c r="D90" i="5"/>
  <c r="G32" i="5" s="1"/>
  <c r="D87" i="5"/>
  <c r="G31" i="5" s="1"/>
  <c r="I10" i="5" s="1"/>
  <c r="B7" i="19" l="1"/>
  <c r="G8" i="24" l="1"/>
  <c r="G6" i="24"/>
  <c r="G3" i="24"/>
  <c r="G4" i="24"/>
  <c r="G2" i="24"/>
  <c r="G13" i="24"/>
  <c r="G12" i="24"/>
  <c r="G5" i="24"/>
  <c r="C5" i="24" s="1"/>
  <c r="G7" i="24"/>
  <c r="G15" i="24"/>
  <c r="G11" i="24"/>
  <c r="G18" i="24"/>
  <c r="G17" i="24"/>
  <c r="G10" i="24"/>
  <c r="G9" i="24"/>
  <c r="G16" i="24"/>
  <c r="G23" i="24"/>
  <c r="G14" i="24"/>
  <c r="G19" i="24"/>
  <c r="G21" i="24"/>
  <c r="G27" i="24"/>
  <c r="G28" i="24"/>
  <c r="G29" i="24"/>
  <c r="G30" i="24"/>
  <c r="G22" i="24"/>
  <c r="G25" i="24"/>
  <c r="G34" i="24"/>
  <c r="G24" i="24"/>
  <c r="G35" i="24"/>
  <c r="G33" i="24"/>
  <c r="G26" i="24"/>
  <c r="G20" i="24"/>
  <c r="G39" i="24"/>
  <c r="G31" i="24"/>
  <c r="G36" i="24"/>
  <c r="C36" i="24" l="1"/>
  <c r="C22" i="24"/>
  <c r="C20" i="24"/>
  <c r="C30" i="24"/>
  <c r="C26" i="24"/>
  <c r="C21" i="24"/>
  <c r="C4" i="24"/>
  <c r="C19" i="24"/>
  <c r="C25" i="24"/>
  <c r="C13" i="24"/>
  <c r="C29" i="24"/>
  <c r="C37" i="24"/>
  <c r="C28" i="24"/>
  <c r="C24" i="24"/>
  <c r="C39" i="24"/>
  <c r="C3" i="24"/>
  <c r="C14" i="24"/>
  <c r="C10" i="24"/>
  <c r="C16" i="24"/>
  <c r="C35" i="24"/>
  <c r="C12" i="24"/>
  <c r="C2" i="24"/>
  <c r="C6" i="24"/>
  <c r="C8" i="24"/>
  <c r="C11" i="24"/>
  <c r="C23" i="24"/>
  <c r="C27" i="24"/>
  <c r="C9" i="24"/>
  <c r="C31" i="24"/>
  <c r="C17" i="24"/>
  <c r="C33" i="24"/>
  <c r="C15" i="24"/>
  <c r="C7" i="24"/>
  <c r="C34" i="24"/>
  <c r="C18" i="24"/>
  <c r="E3" i="3"/>
  <c r="A354" i="27" l="1"/>
  <c r="A355" i="27"/>
  <c r="A356" i="27"/>
  <c r="A357" i="27"/>
  <c r="A358" i="27"/>
  <c r="A359" i="27"/>
  <c r="A360" i="27"/>
  <c r="A361" i="27"/>
  <c r="A362" i="27"/>
  <c r="A363" i="27"/>
  <c r="A364" i="27"/>
  <c r="A365" i="27"/>
  <c r="A366" i="27"/>
  <c r="A367" i="27"/>
  <c r="A368" i="27"/>
  <c r="A369" i="27"/>
  <c r="A370" i="27"/>
  <c r="A371" i="27"/>
  <c r="A372" i="27"/>
  <c r="A373" i="27"/>
  <c r="A374" i="27"/>
  <c r="A375" i="27"/>
  <c r="A376" i="27"/>
  <c r="A377" i="27"/>
  <c r="A378" i="27"/>
  <c r="A379" i="27"/>
  <c r="A380" i="27"/>
  <c r="A381" i="27"/>
  <c r="A382" i="27"/>
  <c r="A383" i="27"/>
  <c r="A384" i="27"/>
  <c r="A385" i="27"/>
  <c r="A386" i="27"/>
  <c r="A387" i="27"/>
  <c r="A388" i="27"/>
  <c r="A389" i="27"/>
  <c r="A390" i="27"/>
  <c r="A391" i="27"/>
  <c r="A392" i="27"/>
  <c r="A393" i="27"/>
  <c r="A394" i="27"/>
  <c r="A395" i="27"/>
  <c r="A396" i="27"/>
  <c r="A397" i="27"/>
  <c r="A398" i="27"/>
  <c r="A399" i="27"/>
  <c r="A400" i="27"/>
  <c r="A401" i="27"/>
  <c r="A402" i="27"/>
  <c r="A403" i="27"/>
  <c r="A404" i="27"/>
  <c r="A405" i="27"/>
  <c r="A406" i="27"/>
  <c r="A407" i="27"/>
  <c r="A408" i="27"/>
  <c r="A409" i="27"/>
  <c r="A410" i="27"/>
  <c r="A411" i="27"/>
  <c r="A412" i="27"/>
  <c r="A413" i="27"/>
  <c r="A414" i="27"/>
  <c r="A415" i="27"/>
  <c r="A416" i="27"/>
  <c r="A417" i="27"/>
  <c r="A418" i="27"/>
  <c r="A419" i="27"/>
  <c r="A420" i="27"/>
  <c r="A421" i="27"/>
  <c r="A422" i="27"/>
  <c r="A423" i="27"/>
  <c r="A424" i="27"/>
  <c r="A425" i="27"/>
  <c r="A426" i="27"/>
  <c r="A427" i="27"/>
  <c r="A428" i="27"/>
  <c r="A429" i="27"/>
  <c r="A430" i="27"/>
  <c r="A431" i="27"/>
  <c r="A433" i="27"/>
  <c r="A434" i="27"/>
  <c r="A435" i="27"/>
  <c r="A436" i="27"/>
  <c r="A437" i="27"/>
  <c r="A438" i="27"/>
  <c r="A439" i="27"/>
  <c r="A440" i="27"/>
  <c r="A441" i="27"/>
  <c r="A442" i="27"/>
  <c r="A443" i="27"/>
  <c r="A444" i="27"/>
  <c r="A445" i="27"/>
  <c r="A446" i="27"/>
  <c r="A447" i="27"/>
  <c r="A448" i="27"/>
  <c r="A449" i="27"/>
  <c r="A450" i="27"/>
  <c r="A451" i="27"/>
  <c r="A452" i="27"/>
  <c r="A454" i="27"/>
  <c r="A455" i="27"/>
  <c r="A456" i="27"/>
  <c r="A457" i="27"/>
  <c r="A458" i="27"/>
  <c r="A459" i="27"/>
  <c r="A460" i="27"/>
  <c r="A461" i="27"/>
  <c r="A462" i="27"/>
  <c r="A463" i="27"/>
  <c r="A464" i="27"/>
  <c r="A465" i="27"/>
  <c r="A467" i="27"/>
  <c r="A468" i="27"/>
  <c r="A469" i="27"/>
  <c r="A470" i="27"/>
  <c r="A471" i="27"/>
  <c r="A472" i="27"/>
  <c r="A473" i="27"/>
  <c r="A474" i="27"/>
  <c r="A475" i="27"/>
  <c r="A479" i="27"/>
  <c r="A480" i="27"/>
  <c r="A481" i="27"/>
  <c r="A482" i="27"/>
  <c r="A483" i="27"/>
  <c r="A484" i="27"/>
  <c r="A485" i="27"/>
  <c r="A486" i="27"/>
  <c r="A487" i="27"/>
  <c r="A488" i="27"/>
  <c r="A489" i="27"/>
  <c r="A490" i="27"/>
  <c r="A491" i="27"/>
  <c r="A353" i="27"/>
  <c r="D84" i="5" l="1"/>
  <c r="G30" i="5" s="1"/>
  <c r="I9" i="5" s="1"/>
  <c r="D81" i="5"/>
  <c r="D78" i="5"/>
  <c r="D75" i="5"/>
  <c r="A330" i="27" l="1"/>
  <c r="A304" i="27" l="1"/>
  <c r="A305" i="27"/>
  <c r="A295" i="27" l="1"/>
  <c r="A296" i="27"/>
  <c r="A297" i="27"/>
  <c r="A298" i="27"/>
  <c r="A299" i="27"/>
  <c r="A300" i="27"/>
  <c r="A301" i="27"/>
  <c r="A302" i="27"/>
  <c r="A303" i="27"/>
  <c r="A306" i="27"/>
  <c r="A307" i="27"/>
  <c r="A308" i="27"/>
  <c r="A309" i="27"/>
  <c r="A310" i="27"/>
  <c r="A311" i="27"/>
  <c r="A312" i="27"/>
  <c r="A313" i="27"/>
  <c r="A314" i="27"/>
  <c r="A315" i="27"/>
  <c r="A316" i="27"/>
  <c r="A317" i="27"/>
  <c r="A318" i="27"/>
  <c r="A319" i="27"/>
  <c r="A320" i="27"/>
  <c r="A321" i="27"/>
  <c r="A322" i="27"/>
  <c r="A323" i="27"/>
  <c r="A324" i="27"/>
  <c r="A325" i="27"/>
  <c r="A326" i="27"/>
  <c r="A327" i="27"/>
  <c r="A328" i="27"/>
  <c r="A329" i="27"/>
  <c r="A331" i="27"/>
  <c r="A332" i="27"/>
  <c r="A333" i="27"/>
  <c r="A334" i="27"/>
  <c r="A335" i="27"/>
  <c r="A336" i="27"/>
  <c r="A337" i="27"/>
  <c r="A338" i="27"/>
  <c r="A339" i="27"/>
  <c r="A340" i="27"/>
  <c r="A341" i="27"/>
  <c r="A342" i="27"/>
  <c r="A343" i="27"/>
  <c r="A344" i="27"/>
  <c r="A345" i="27"/>
  <c r="A346" i="27"/>
  <c r="A347" i="27"/>
  <c r="A348" i="27"/>
  <c r="A349" i="27"/>
  <c r="A350" i="27"/>
  <c r="A351" i="27"/>
  <c r="A352" i="27"/>
  <c r="G222" i="19" l="1"/>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E27" i="5" l="1"/>
  <c r="E39" i="5"/>
  <c r="E63" i="5"/>
  <c r="D72" i="5" l="1"/>
  <c r="D69" i="5"/>
  <c r="D66" i="5"/>
  <c r="T224" i="1" l="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R624" i="1" s="1"/>
  <c r="T625" i="1"/>
  <c r="R625" i="1" s="1"/>
  <c r="T626" i="1"/>
  <c r="R626" i="1" s="1"/>
  <c r="T627" i="1"/>
  <c r="R627" i="1" s="1"/>
  <c r="T628" i="1"/>
  <c r="R628" i="1" s="1"/>
  <c r="T629" i="1"/>
  <c r="R629" i="1" s="1"/>
  <c r="T630" i="1"/>
  <c r="R630" i="1" s="1"/>
  <c r="T631" i="1"/>
  <c r="R631" i="1" s="1"/>
  <c r="T632" i="1"/>
  <c r="R632" i="1" s="1"/>
  <c r="T633" i="1"/>
  <c r="R633" i="1" s="1"/>
  <c r="T634" i="1"/>
  <c r="R634" i="1" s="1"/>
  <c r="T635" i="1"/>
  <c r="R635" i="1" s="1"/>
  <c r="T636" i="1"/>
  <c r="R636" i="1" s="1"/>
  <c r="T637" i="1"/>
  <c r="R637" i="1" s="1"/>
  <c r="T638" i="1"/>
  <c r="R638" i="1" s="1"/>
  <c r="T639" i="1"/>
  <c r="R639" i="1" s="1"/>
  <c r="T640" i="1"/>
  <c r="R640" i="1" s="1"/>
  <c r="T641" i="1"/>
  <c r="R641" i="1" s="1"/>
  <c r="T642" i="1"/>
  <c r="R642" i="1" s="1"/>
  <c r="T643" i="1"/>
  <c r="R643" i="1" s="1"/>
  <c r="T644" i="1"/>
  <c r="R644" i="1" s="1"/>
  <c r="T645" i="1"/>
  <c r="R645" i="1" s="1"/>
  <c r="T646" i="1"/>
  <c r="R646" i="1" s="1"/>
  <c r="T647" i="1"/>
  <c r="R647" i="1" s="1"/>
  <c r="T648" i="1"/>
  <c r="R648" i="1" s="1"/>
  <c r="T649" i="1"/>
  <c r="R649" i="1" s="1"/>
  <c r="T650" i="1"/>
  <c r="R650" i="1" s="1"/>
  <c r="T651" i="1"/>
  <c r="R651" i="1" s="1"/>
  <c r="T652" i="1"/>
  <c r="R652" i="1" s="1"/>
  <c r="T653" i="1"/>
  <c r="R653" i="1" s="1"/>
  <c r="T654" i="1"/>
  <c r="R654" i="1" s="1"/>
  <c r="T655" i="1"/>
  <c r="R655" i="1" s="1"/>
  <c r="T656" i="1"/>
  <c r="R656" i="1" s="1"/>
  <c r="T657" i="1"/>
  <c r="R657" i="1" s="1"/>
  <c r="T658" i="1"/>
  <c r="R658" i="1" s="1"/>
  <c r="T659" i="1"/>
  <c r="R659" i="1" s="1"/>
  <c r="T660" i="1"/>
  <c r="R660" i="1" s="1"/>
  <c r="T661" i="1"/>
  <c r="R661" i="1" s="1"/>
  <c r="T662" i="1"/>
  <c r="R662" i="1" s="1"/>
  <c r="T663" i="1"/>
  <c r="R663" i="1" s="1"/>
  <c r="T664" i="1"/>
  <c r="R664" i="1" s="1"/>
  <c r="T665" i="1"/>
  <c r="R665" i="1" s="1"/>
  <c r="T666" i="1"/>
  <c r="R666" i="1" s="1"/>
  <c r="T667" i="1"/>
  <c r="R667" i="1" s="1"/>
  <c r="T668" i="1"/>
  <c r="R668" i="1" s="1"/>
  <c r="T669" i="1"/>
  <c r="R669" i="1" s="1"/>
  <c r="T670" i="1"/>
  <c r="R670" i="1" s="1"/>
  <c r="T671" i="1"/>
  <c r="R671" i="1" s="1"/>
  <c r="T672" i="1"/>
  <c r="R672" i="1" s="1"/>
  <c r="T673" i="1"/>
  <c r="R673" i="1" s="1"/>
  <c r="T674" i="1"/>
  <c r="R674" i="1" s="1"/>
  <c r="T675" i="1"/>
  <c r="R675" i="1" s="1"/>
  <c r="T676" i="1"/>
  <c r="R676" i="1" s="1"/>
  <c r="T677" i="1"/>
  <c r="R677" i="1" s="1"/>
  <c r="T678" i="1"/>
  <c r="R678" i="1" s="1"/>
  <c r="T679" i="1"/>
  <c r="R679" i="1" s="1"/>
  <c r="T680" i="1"/>
  <c r="R680" i="1" s="1"/>
  <c r="T681" i="1"/>
  <c r="R681" i="1" s="1"/>
  <c r="T682" i="1"/>
  <c r="R682" i="1" s="1"/>
  <c r="T683" i="1"/>
  <c r="R683" i="1" s="1"/>
  <c r="T684" i="1"/>
  <c r="R684" i="1" s="1"/>
  <c r="T685" i="1"/>
  <c r="R685" i="1" s="1"/>
  <c r="T686" i="1"/>
  <c r="R686" i="1" s="1"/>
  <c r="T687" i="1"/>
  <c r="R687" i="1" s="1"/>
  <c r="T688" i="1"/>
  <c r="R688" i="1" s="1"/>
  <c r="T689" i="1"/>
  <c r="R689" i="1" s="1"/>
  <c r="T690" i="1"/>
  <c r="R690" i="1" s="1"/>
  <c r="T691" i="1"/>
  <c r="R691" i="1" s="1"/>
  <c r="T692" i="1"/>
  <c r="R692" i="1" s="1"/>
  <c r="T693" i="1"/>
  <c r="R693" i="1" s="1"/>
  <c r="T694" i="1"/>
  <c r="R694" i="1" s="1"/>
  <c r="T695" i="1"/>
  <c r="R695" i="1" s="1"/>
  <c r="T696" i="1"/>
  <c r="R696" i="1" s="1"/>
  <c r="T697" i="1"/>
  <c r="R697" i="1" s="1"/>
  <c r="T698" i="1"/>
  <c r="R698" i="1" s="1"/>
  <c r="T699" i="1"/>
  <c r="R699" i="1" s="1"/>
  <c r="T700" i="1"/>
  <c r="R700" i="1" s="1"/>
  <c r="T701" i="1"/>
  <c r="R701" i="1" s="1"/>
  <c r="T702" i="1"/>
  <c r="R702" i="1" s="1"/>
  <c r="T703" i="1"/>
  <c r="R703" i="1" s="1"/>
  <c r="T704" i="1"/>
  <c r="R704" i="1" s="1"/>
  <c r="T705" i="1"/>
  <c r="R705" i="1" s="1"/>
  <c r="T706" i="1"/>
  <c r="R706" i="1" s="1"/>
  <c r="T707" i="1"/>
  <c r="R707" i="1" s="1"/>
  <c r="T708" i="1"/>
  <c r="R708" i="1" s="1"/>
  <c r="T709" i="1"/>
  <c r="R709" i="1" s="1"/>
  <c r="T710" i="1"/>
  <c r="R710" i="1" s="1"/>
  <c r="T711" i="1"/>
  <c r="R711" i="1" s="1"/>
  <c r="T712" i="1"/>
  <c r="R712" i="1" s="1"/>
  <c r="T713" i="1"/>
  <c r="R713" i="1" s="1"/>
  <c r="T714" i="1"/>
  <c r="R714" i="1" s="1"/>
  <c r="T715" i="1"/>
  <c r="R715" i="1" s="1"/>
  <c r="T716" i="1"/>
  <c r="R716" i="1" s="1"/>
  <c r="T717" i="1"/>
  <c r="R717" i="1" s="1"/>
  <c r="T718" i="1"/>
  <c r="R718" i="1" s="1"/>
  <c r="T719" i="1"/>
  <c r="R719" i="1" s="1"/>
  <c r="T720" i="1"/>
  <c r="R720" i="1" s="1"/>
  <c r="T721" i="1"/>
  <c r="R721" i="1" s="1"/>
  <c r="T722" i="1"/>
  <c r="R722" i="1" s="1"/>
  <c r="T723" i="1"/>
  <c r="R723" i="1" s="1"/>
  <c r="O242" i="1" l="1"/>
  <c r="R242" i="1" s="1"/>
  <c r="O243" i="1"/>
  <c r="R243" i="1" s="1"/>
  <c r="O244" i="1"/>
  <c r="R244" i="1" s="1"/>
  <c r="O245" i="1"/>
  <c r="R245" i="1" s="1"/>
  <c r="O246" i="1"/>
  <c r="R246" i="1" s="1"/>
  <c r="O247" i="1"/>
  <c r="R247" i="1" s="1"/>
  <c r="O248" i="1"/>
  <c r="R248" i="1" s="1"/>
  <c r="O249" i="1"/>
  <c r="R249" i="1" s="1"/>
  <c r="O250" i="1"/>
  <c r="R250" i="1" s="1"/>
  <c r="O251" i="1"/>
  <c r="R251" i="1" s="1"/>
  <c r="O252" i="1"/>
  <c r="R252" i="1" s="1"/>
  <c r="O253" i="1"/>
  <c r="R253" i="1" s="1"/>
  <c r="O254" i="1"/>
  <c r="R254" i="1" s="1"/>
  <c r="O255" i="1"/>
  <c r="R255" i="1" s="1"/>
  <c r="O256" i="1"/>
  <c r="R256" i="1" s="1"/>
  <c r="O257" i="1"/>
  <c r="R257" i="1" s="1"/>
  <c r="O258" i="1"/>
  <c r="R258" i="1" s="1"/>
  <c r="O259" i="1"/>
  <c r="R259" i="1" s="1"/>
  <c r="O260" i="1"/>
  <c r="R260" i="1" s="1"/>
  <c r="O261" i="1"/>
  <c r="R261" i="1" s="1"/>
  <c r="O262" i="1"/>
  <c r="R262" i="1" s="1"/>
  <c r="O263" i="1"/>
  <c r="R263" i="1" s="1"/>
  <c r="O264" i="1"/>
  <c r="R264" i="1" s="1"/>
  <c r="O265" i="1"/>
  <c r="R265" i="1" s="1"/>
  <c r="O266" i="1"/>
  <c r="R266" i="1" s="1"/>
  <c r="O267" i="1"/>
  <c r="R267" i="1" s="1"/>
  <c r="O268" i="1"/>
  <c r="R268" i="1" s="1"/>
  <c r="O269" i="1"/>
  <c r="R269" i="1" s="1"/>
  <c r="O270" i="1"/>
  <c r="R270" i="1" s="1"/>
  <c r="O271" i="1"/>
  <c r="R271" i="1" s="1"/>
  <c r="O272" i="1"/>
  <c r="R272" i="1" s="1"/>
  <c r="O273" i="1"/>
  <c r="R273" i="1" s="1"/>
  <c r="O274" i="1"/>
  <c r="R274" i="1" s="1"/>
  <c r="O275" i="1"/>
  <c r="R275" i="1" s="1"/>
  <c r="O276" i="1"/>
  <c r="R276" i="1" s="1"/>
  <c r="O277" i="1"/>
  <c r="R277" i="1" s="1"/>
  <c r="O278" i="1"/>
  <c r="R278" i="1" s="1"/>
  <c r="O279" i="1"/>
  <c r="R279" i="1" s="1"/>
  <c r="O280" i="1"/>
  <c r="R280" i="1" s="1"/>
  <c r="O281" i="1"/>
  <c r="R281" i="1" s="1"/>
  <c r="O282" i="1"/>
  <c r="R282" i="1" s="1"/>
  <c r="O283" i="1"/>
  <c r="R283" i="1" s="1"/>
  <c r="O284" i="1"/>
  <c r="R284" i="1" s="1"/>
  <c r="O285" i="1"/>
  <c r="R285" i="1" s="1"/>
  <c r="O286" i="1"/>
  <c r="R286" i="1" s="1"/>
  <c r="O287" i="1"/>
  <c r="R287" i="1" s="1"/>
  <c r="O288" i="1"/>
  <c r="R288" i="1" s="1"/>
  <c r="O289" i="1"/>
  <c r="R289" i="1" s="1"/>
  <c r="O290" i="1"/>
  <c r="R290" i="1" s="1"/>
  <c r="O291" i="1"/>
  <c r="R291" i="1" s="1"/>
  <c r="O292" i="1"/>
  <c r="R292" i="1" s="1"/>
  <c r="O293" i="1"/>
  <c r="R293" i="1" s="1"/>
  <c r="O294" i="1"/>
  <c r="R294" i="1" s="1"/>
  <c r="O295" i="1"/>
  <c r="R295" i="1" s="1"/>
  <c r="O296" i="1"/>
  <c r="R296" i="1" s="1"/>
  <c r="O297" i="1"/>
  <c r="R297" i="1" s="1"/>
  <c r="O298" i="1"/>
  <c r="R298" i="1" s="1"/>
  <c r="O299" i="1"/>
  <c r="R299" i="1" s="1"/>
  <c r="O300" i="1"/>
  <c r="R300" i="1" s="1"/>
  <c r="O301" i="1"/>
  <c r="R301" i="1" s="1"/>
  <c r="O302" i="1"/>
  <c r="R302" i="1" s="1"/>
  <c r="O303" i="1"/>
  <c r="R303" i="1" s="1"/>
  <c r="O304" i="1"/>
  <c r="R304" i="1" s="1"/>
  <c r="O305" i="1"/>
  <c r="R305" i="1" s="1"/>
  <c r="O306" i="1"/>
  <c r="R306" i="1" s="1"/>
  <c r="O307" i="1"/>
  <c r="R307" i="1" s="1"/>
  <c r="O308" i="1"/>
  <c r="R308" i="1" s="1"/>
  <c r="O309" i="1"/>
  <c r="R309" i="1" s="1"/>
  <c r="O310" i="1"/>
  <c r="R310" i="1" s="1"/>
  <c r="O311" i="1"/>
  <c r="R311" i="1" s="1"/>
  <c r="O312" i="1"/>
  <c r="R312" i="1" s="1"/>
  <c r="O313" i="1"/>
  <c r="R313" i="1" s="1"/>
  <c r="O314" i="1"/>
  <c r="R314" i="1" s="1"/>
  <c r="O315" i="1"/>
  <c r="R315" i="1" s="1"/>
  <c r="O316" i="1"/>
  <c r="R316" i="1" s="1"/>
  <c r="O317" i="1"/>
  <c r="R317" i="1" s="1"/>
  <c r="O318" i="1"/>
  <c r="R318" i="1" s="1"/>
  <c r="O319" i="1"/>
  <c r="R319" i="1" s="1"/>
  <c r="O320" i="1"/>
  <c r="R320" i="1" s="1"/>
  <c r="O321" i="1"/>
  <c r="R321" i="1" s="1"/>
  <c r="O322" i="1"/>
  <c r="R322" i="1" s="1"/>
  <c r="O323" i="1"/>
  <c r="R323" i="1" s="1"/>
  <c r="O324" i="1"/>
  <c r="R324" i="1" s="1"/>
  <c r="O325" i="1"/>
  <c r="R325" i="1" s="1"/>
  <c r="O326" i="1"/>
  <c r="R326" i="1" s="1"/>
  <c r="O327" i="1"/>
  <c r="R327" i="1" s="1"/>
  <c r="O328" i="1"/>
  <c r="R328" i="1" s="1"/>
  <c r="O329" i="1"/>
  <c r="R329" i="1" s="1"/>
  <c r="O330" i="1"/>
  <c r="R330" i="1" s="1"/>
  <c r="O331" i="1"/>
  <c r="R331" i="1" s="1"/>
  <c r="O332" i="1"/>
  <c r="R332" i="1" s="1"/>
  <c r="O333" i="1"/>
  <c r="R333" i="1" s="1"/>
  <c r="O334" i="1"/>
  <c r="R334" i="1" s="1"/>
  <c r="O335" i="1"/>
  <c r="R335" i="1" s="1"/>
  <c r="O336" i="1"/>
  <c r="R336" i="1" s="1"/>
  <c r="O337" i="1"/>
  <c r="R337" i="1" s="1"/>
  <c r="O338" i="1"/>
  <c r="R338" i="1" s="1"/>
  <c r="O339" i="1"/>
  <c r="R339" i="1" s="1"/>
  <c r="O340" i="1"/>
  <c r="R340" i="1" s="1"/>
  <c r="O341" i="1"/>
  <c r="R341" i="1" s="1"/>
  <c r="O342" i="1"/>
  <c r="R342" i="1" s="1"/>
  <c r="O343" i="1"/>
  <c r="R343" i="1" s="1"/>
  <c r="O344" i="1"/>
  <c r="R344" i="1" s="1"/>
  <c r="O345" i="1"/>
  <c r="R345" i="1" s="1"/>
  <c r="O346" i="1"/>
  <c r="R346" i="1" s="1"/>
  <c r="O347" i="1"/>
  <c r="R347" i="1" s="1"/>
  <c r="O348" i="1"/>
  <c r="R348" i="1" s="1"/>
  <c r="O349" i="1"/>
  <c r="R349" i="1" s="1"/>
  <c r="O350" i="1"/>
  <c r="R350" i="1" s="1"/>
  <c r="O351" i="1"/>
  <c r="R351" i="1" s="1"/>
  <c r="O352" i="1"/>
  <c r="R352" i="1" s="1"/>
  <c r="O353" i="1"/>
  <c r="R353" i="1" s="1"/>
  <c r="O354" i="1"/>
  <c r="R354" i="1" s="1"/>
  <c r="O355" i="1"/>
  <c r="R355" i="1" s="1"/>
  <c r="O356" i="1"/>
  <c r="R356" i="1" s="1"/>
  <c r="O357" i="1"/>
  <c r="R357" i="1" s="1"/>
  <c r="O358" i="1"/>
  <c r="R358" i="1" s="1"/>
  <c r="O359" i="1"/>
  <c r="R359" i="1" s="1"/>
  <c r="O360" i="1"/>
  <c r="R360" i="1" s="1"/>
  <c r="O361" i="1"/>
  <c r="R361" i="1" s="1"/>
  <c r="O362" i="1"/>
  <c r="R362" i="1" s="1"/>
  <c r="O363" i="1"/>
  <c r="R363" i="1" s="1"/>
  <c r="O364" i="1"/>
  <c r="R364" i="1" s="1"/>
  <c r="O365" i="1"/>
  <c r="R365" i="1" s="1"/>
  <c r="O366" i="1"/>
  <c r="R366" i="1" s="1"/>
  <c r="O367" i="1"/>
  <c r="R367" i="1" s="1"/>
  <c r="O368" i="1"/>
  <c r="R368" i="1" s="1"/>
  <c r="O369" i="1"/>
  <c r="R369" i="1" s="1"/>
  <c r="O370" i="1"/>
  <c r="R370" i="1" s="1"/>
  <c r="O371" i="1"/>
  <c r="R371" i="1" s="1"/>
  <c r="O372" i="1"/>
  <c r="R372" i="1" s="1"/>
  <c r="O373" i="1"/>
  <c r="R373" i="1" s="1"/>
  <c r="O374" i="1"/>
  <c r="R374" i="1" s="1"/>
  <c r="O375" i="1"/>
  <c r="R375" i="1" s="1"/>
  <c r="O376" i="1"/>
  <c r="R376" i="1" s="1"/>
  <c r="O377" i="1"/>
  <c r="R377" i="1" s="1"/>
  <c r="O378" i="1"/>
  <c r="R378" i="1" s="1"/>
  <c r="O379" i="1"/>
  <c r="R379" i="1" s="1"/>
  <c r="O380" i="1"/>
  <c r="R380" i="1" s="1"/>
  <c r="O381" i="1"/>
  <c r="R381" i="1" s="1"/>
  <c r="O382" i="1"/>
  <c r="R382" i="1" s="1"/>
  <c r="O383" i="1"/>
  <c r="R383" i="1" s="1"/>
  <c r="O384" i="1"/>
  <c r="R384" i="1" s="1"/>
  <c r="O385" i="1"/>
  <c r="R385" i="1" s="1"/>
  <c r="O386" i="1"/>
  <c r="R386" i="1" s="1"/>
  <c r="O387" i="1"/>
  <c r="R387" i="1" s="1"/>
  <c r="O388" i="1"/>
  <c r="R388" i="1" s="1"/>
  <c r="O389" i="1"/>
  <c r="R389" i="1" s="1"/>
  <c r="O390" i="1"/>
  <c r="R390" i="1" s="1"/>
  <c r="O391" i="1"/>
  <c r="R391" i="1" s="1"/>
  <c r="O392" i="1"/>
  <c r="R392" i="1" s="1"/>
  <c r="O393" i="1"/>
  <c r="R393" i="1" s="1"/>
  <c r="O394" i="1"/>
  <c r="R394" i="1" s="1"/>
  <c r="O395" i="1"/>
  <c r="R395" i="1" s="1"/>
  <c r="O396" i="1"/>
  <c r="R396" i="1" s="1"/>
  <c r="O397" i="1"/>
  <c r="R397" i="1" s="1"/>
  <c r="O398" i="1"/>
  <c r="R398" i="1" s="1"/>
  <c r="O399" i="1"/>
  <c r="R399" i="1" s="1"/>
  <c r="O400" i="1"/>
  <c r="R400" i="1" s="1"/>
  <c r="O401" i="1"/>
  <c r="R401" i="1" s="1"/>
  <c r="O402" i="1"/>
  <c r="R402" i="1" s="1"/>
  <c r="O403" i="1"/>
  <c r="R403" i="1" s="1"/>
  <c r="O404" i="1"/>
  <c r="R404" i="1" s="1"/>
  <c r="O405" i="1"/>
  <c r="R405" i="1" s="1"/>
  <c r="O406" i="1"/>
  <c r="R406" i="1" s="1"/>
  <c r="O407" i="1"/>
  <c r="R407" i="1" s="1"/>
  <c r="O408" i="1"/>
  <c r="R408" i="1" s="1"/>
  <c r="O409" i="1"/>
  <c r="R409" i="1" s="1"/>
  <c r="O410" i="1"/>
  <c r="R410" i="1" s="1"/>
  <c r="O411" i="1"/>
  <c r="R411" i="1" s="1"/>
  <c r="O412" i="1"/>
  <c r="R412" i="1" s="1"/>
  <c r="O413" i="1"/>
  <c r="R413" i="1" s="1"/>
  <c r="O414" i="1"/>
  <c r="R414" i="1" s="1"/>
  <c r="O415" i="1"/>
  <c r="R415" i="1" s="1"/>
  <c r="O416" i="1"/>
  <c r="R416" i="1" s="1"/>
  <c r="O417" i="1"/>
  <c r="R417" i="1" s="1"/>
  <c r="O418" i="1"/>
  <c r="R418" i="1" s="1"/>
  <c r="O419" i="1"/>
  <c r="R419" i="1" s="1"/>
  <c r="O420" i="1"/>
  <c r="R420" i="1" s="1"/>
  <c r="O421" i="1"/>
  <c r="R421" i="1" s="1"/>
  <c r="O422" i="1"/>
  <c r="R422" i="1" s="1"/>
  <c r="O423" i="1"/>
  <c r="R423" i="1" s="1"/>
  <c r="O424" i="1"/>
  <c r="R424" i="1" s="1"/>
  <c r="O425" i="1"/>
  <c r="R425" i="1" s="1"/>
  <c r="O426" i="1"/>
  <c r="R426" i="1" s="1"/>
  <c r="O427" i="1"/>
  <c r="R427" i="1" s="1"/>
  <c r="O428" i="1"/>
  <c r="R428" i="1" s="1"/>
  <c r="O429" i="1"/>
  <c r="R429" i="1" s="1"/>
  <c r="O430" i="1"/>
  <c r="R430" i="1" s="1"/>
  <c r="O431" i="1"/>
  <c r="R431" i="1" s="1"/>
  <c r="O432" i="1"/>
  <c r="R432" i="1" s="1"/>
  <c r="O433" i="1"/>
  <c r="R433" i="1" s="1"/>
  <c r="O434" i="1"/>
  <c r="R434" i="1" s="1"/>
  <c r="O435" i="1"/>
  <c r="R435" i="1" s="1"/>
  <c r="O436" i="1"/>
  <c r="R436" i="1" s="1"/>
  <c r="O437" i="1"/>
  <c r="R437" i="1" s="1"/>
  <c r="O438" i="1"/>
  <c r="R438" i="1" s="1"/>
  <c r="O439" i="1"/>
  <c r="R439" i="1" s="1"/>
  <c r="O440" i="1"/>
  <c r="R440" i="1" s="1"/>
  <c r="O441" i="1"/>
  <c r="R441" i="1" s="1"/>
  <c r="O442" i="1"/>
  <c r="R442" i="1" s="1"/>
  <c r="O443" i="1"/>
  <c r="R443" i="1" s="1"/>
  <c r="O444" i="1"/>
  <c r="R444" i="1" s="1"/>
  <c r="O445" i="1"/>
  <c r="R445" i="1" s="1"/>
  <c r="O446" i="1"/>
  <c r="R446" i="1" s="1"/>
  <c r="O447" i="1"/>
  <c r="R447" i="1" s="1"/>
  <c r="O448" i="1"/>
  <c r="R448" i="1" s="1"/>
  <c r="O449" i="1"/>
  <c r="R449" i="1" s="1"/>
  <c r="O450" i="1"/>
  <c r="R450" i="1" s="1"/>
  <c r="O451" i="1"/>
  <c r="R451" i="1" s="1"/>
  <c r="O452" i="1"/>
  <c r="R452" i="1" s="1"/>
  <c r="O453" i="1"/>
  <c r="R453" i="1" s="1"/>
  <c r="O454" i="1"/>
  <c r="R454" i="1" s="1"/>
  <c r="O455" i="1"/>
  <c r="R455" i="1" s="1"/>
  <c r="O456" i="1"/>
  <c r="R456" i="1" s="1"/>
  <c r="O457" i="1"/>
  <c r="R457" i="1" s="1"/>
  <c r="O458" i="1"/>
  <c r="R458" i="1" s="1"/>
  <c r="O459" i="1"/>
  <c r="R459" i="1" s="1"/>
  <c r="O460" i="1"/>
  <c r="R460" i="1" s="1"/>
  <c r="O461" i="1"/>
  <c r="R461" i="1" s="1"/>
  <c r="O462" i="1"/>
  <c r="R462" i="1" s="1"/>
  <c r="O463" i="1"/>
  <c r="R463" i="1" s="1"/>
  <c r="O464" i="1"/>
  <c r="R464" i="1" s="1"/>
  <c r="O465" i="1"/>
  <c r="R465" i="1" s="1"/>
  <c r="O466" i="1"/>
  <c r="R466" i="1" s="1"/>
  <c r="O467" i="1"/>
  <c r="R467" i="1" s="1"/>
  <c r="O468" i="1"/>
  <c r="R468" i="1" s="1"/>
  <c r="O469" i="1"/>
  <c r="R469" i="1" s="1"/>
  <c r="O470" i="1"/>
  <c r="R470" i="1" s="1"/>
  <c r="O471" i="1"/>
  <c r="R471" i="1" s="1"/>
  <c r="O472" i="1"/>
  <c r="R472" i="1" s="1"/>
  <c r="O473" i="1"/>
  <c r="R473" i="1" s="1"/>
  <c r="O474" i="1"/>
  <c r="R474" i="1" s="1"/>
  <c r="O475" i="1"/>
  <c r="R475" i="1" s="1"/>
  <c r="O476" i="1"/>
  <c r="R476" i="1" s="1"/>
  <c r="O477" i="1"/>
  <c r="R477" i="1" s="1"/>
  <c r="O478" i="1"/>
  <c r="R478" i="1" s="1"/>
  <c r="O479" i="1"/>
  <c r="R479" i="1" s="1"/>
  <c r="O480" i="1"/>
  <c r="R480" i="1" s="1"/>
  <c r="O481" i="1"/>
  <c r="R481" i="1" s="1"/>
  <c r="O482" i="1"/>
  <c r="R482" i="1" s="1"/>
  <c r="O483" i="1"/>
  <c r="R483" i="1" s="1"/>
  <c r="O484" i="1"/>
  <c r="R484" i="1" s="1"/>
  <c r="O485" i="1"/>
  <c r="R485" i="1" s="1"/>
  <c r="O486" i="1"/>
  <c r="R486" i="1" s="1"/>
  <c r="O487" i="1"/>
  <c r="R487" i="1" s="1"/>
  <c r="O488" i="1"/>
  <c r="R488" i="1" s="1"/>
  <c r="O489" i="1"/>
  <c r="R489" i="1" s="1"/>
  <c r="O490" i="1"/>
  <c r="R490" i="1" s="1"/>
  <c r="O491" i="1"/>
  <c r="R491" i="1" s="1"/>
  <c r="O492" i="1"/>
  <c r="R492" i="1" s="1"/>
  <c r="O493" i="1"/>
  <c r="R493" i="1" s="1"/>
  <c r="O494" i="1"/>
  <c r="R494" i="1" s="1"/>
  <c r="O495" i="1"/>
  <c r="R495" i="1" s="1"/>
  <c r="O496" i="1"/>
  <c r="R496" i="1" s="1"/>
  <c r="O497" i="1"/>
  <c r="R497" i="1" s="1"/>
  <c r="O498" i="1"/>
  <c r="R498" i="1" s="1"/>
  <c r="O499" i="1"/>
  <c r="R499" i="1" s="1"/>
  <c r="O500" i="1"/>
  <c r="R500" i="1" s="1"/>
  <c r="O501" i="1"/>
  <c r="R501" i="1" s="1"/>
  <c r="O502" i="1"/>
  <c r="R502" i="1" s="1"/>
  <c r="O503" i="1"/>
  <c r="R503" i="1" s="1"/>
  <c r="O504" i="1"/>
  <c r="R504" i="1" s="1"/>
  <c r="O505" i="1"/>
  <c r="R505" i="1" s="1"/>
  <c r="O506" i="1"/>
  <c r="R506" i="1" s="1"/>
  <c r="O507" i="1"/>
  <c r="R507" i="1" s="1"/>
  <c r="O508" i="1"/>
  <c r="R508" i="1" s="1"/>
  <c r="O509" i="1"/>
  <c r="R509" i="1" s="1"/>
  <c r="O510" i="1"/>
  <c r="R510" i="1" s="1"/>
  <c r="O511" i="1"/>
  <c r="R511" i="1" s="1"/>
  <c r="O512" i="1"/>
  <c r="R512" i="1" s="1"/>
  <c r="O513" i="1"/>
  <c r="R513" i="1" s="1"/>
  <c r="O514" i="1"/>
  <c r="R514" i="1" s="1"/>
  <c r="O515" i="1"/>
  <c r="R515" i="1" s="1"/>
  <c r="O516" i="1"/>
  <c r="R516" i="1" s="1"/>
  <c r="O517" i="1"/>
  <c r="R517" i="1" s="1"/>
  <c r="O518" i="1"/>
  <c r="R518" i="1" s="1"/>
  <c r="O519" i="1"/>
  <c r="R519" i="1" s="1"/>
  <c r="O520" i="1"/>
  <c r="R520" i="1" s="1"/>
  <c r="O521" i="1"/>
  <c r="R521" i="1" s="1"/>
  <c r="O522" i="1"/>
  <c r="R522" i="1" s="1"/>
  <c r="O523" i="1"/>
  <c r="R523" i="1" s="1"/>
  <c r="O524" i="1"/>
  <c r="R524" i="1" s="1"/>
  <c r="O525" i="1"/>
  <c r="R525" i="1" s="1"/>
  <c r="O526" i="1"/>
  <c r="R526" i="1" s="1"/>
  <c r="O527" i="1"/>
  <c r="R527" i="1" s="1"/>
  <c r="O528" i="1"/>
  <c r="R528" i="1" s="1"/>
  <c r="O529" i="1"/>
  <c r="R529" i="1" s="1"/>
  <c r="O530" i="1"/>
  <c r="R530" i="1" s="1"/>
  <c r="O531" i="1"/>
  <c r="R531" i="1" s="1"/>
  <c r="O532" i="1"/>
  <c r="R532" i="1" s="1"/>
  <c r="O533" i="1"/>
  <c r="R533" i="1" s="1"/>
  <c r="O534" i="1"/>
  <c r="R534" i="1" s="1"/>
  <c r="O535" i="1"/>
  <c r="R535" i="1" s="1"/>
  <c r="O536" i="1"/>
  <c r="R536" i="1" s="1"/>
  <c r="O537" i="1"/>
  <c r="R537" i="1" s="1"/>
  <c r="O538" i="1"/>
  <c r="R538" i="1" s="1"/>
  <c r="O539" i="1"/>
  <c r="R539" i="1" s="1"/>
  <c r="O540" i="1"/>
  <c r="R540" i="1" s="1"/>
  <c r="O541" i="1"/>
  <c r="R541" i="1" s="1"/>
  <c r="O542" i="1"/>
  <c r="R542" i="1" s="1"/>
  <c r="O543" i="1"/>
  <c r="R543" i="1" s="1"/>
  <c r="O544" i="1"/>
  <c r="R544" i="1" s="1"/>
  <c r="O545" i="1"/>
  <c r="R545" i="1" s="1"/>
  <c r="O546" i="1"/>
  <c r="R546" i="1" s="1"/>
  <c r="O547" i="1"/>
  <c r="R547" i="1" s="1"/>
  <c r="O548" i="1"/>
  <c r="R548" i="1" s="1"/>
  <c r="O549" i="1"/>
  <c r="R549" i="1" s="1"/>
  <c r="O550" i="1"/>
  <c r="R550" i="1" s="1"/>
  <c r="O551" i="1"/>
  <c r="R551" i="1" s="1"/>
  <c r="O552" i="1"/>
  <c r="R552" i="1" s="1"/>
  <c r="O553" i="1"/>
  <c r="R553" i="1" s="1"/>
  <c r="O554" i="1"/>
  <c r="R554" i="1" s="1"/>
  <c r="O555" i="1"/>
  <c r="R555" i="1" s="1"/>
  <c r="O556" i="1"/>
  <c r="R556" i="1" s="1"/>
  <c r="O557" i="1"/>
  <c r="R557" i="1" s="1"/>
  <c r="O558" i="1"/>
  <c r="R558" i="1" s="1"/>
  <c r="O559" i="1"/>
  <c r="R559" i="1" s="1"/>
  <c r="O560" i="1"/>
  <c r="R560" i="1" s="1"/>
  <c r="O561" i="1"/>
  <c r="R561" i="1" s="1"/>
  <c r="R562" i="1"/>
  <c r="O563" i="1"/>
  <c r="R563" i="1" s="1"/>
  <c r="O564" i="1"/>
  <c r="R564" i="1" s="1"/>
  <c r="O565" i="1"/>
  <c r="R565" i="1" s="1"/>
  <c r="O566" i="1"/>
  <c r="R566" i="1" s="1"/>
  <c r="O567" i="1"/>
  <c r="R567" i="1" s="1"/>
  <c r="O568" i="1"/>
  <c r="R568" i="1" s="1"/>
  <c r="O569" i="1"/>
  <c r="R569" i="1" s="1"/>
  <c r="O570" i="1"/>
  <c r="R570" i="1" s="1"/>
  <c r="O571" i="1"/>
  <c r="R571" i="1" s="1"/>
  <c r="O572" i="1"/>
  <c r="R572" i="1" s="1"/>
  <c r="O573" i="1"/>
  <c r="R573" i="1" s="1"/>
  <c r="O574" i="1"/>
  <c r="R574" i="1" s="1"/>
  <c r="O575" i="1"/>
  <c r="R575" i="1" s="1"/>
  <c r="O576" i="1"/>
  <c r="R576" i="1" s="1"/>
  <c r="O577" i="1"/>
  <c r="R577" i="1" s="1"/>
  <c r="O578" i="1"/>
  <c r="R578" i="1" s="1"/>
  <c r="O579" i="1"/>
  <c r="R579" i="1" s="1"/>
  <c r="O580" i="1"/>
  <c r="R580" i="1" s="1"/>
  <c r="O581" i="1"/>
  <c r="R581" i="1" s="1"/>
  <c r="O582" i="1"/>
  <c r="R582" i="1" s="1"/>
  <c r="O583" i="1"/>
  <c r="R583" i="1" s="1"/>
  <c r="O584" i="1"/>
  <c r="R584" i="1" s="1"/>
  <c r="O585" i="1"/>
  <c r="R585" i="1" s="1"/>
  <c r="O586" i="1"/>
  <c r="R586" i="1" s="1"/>
  <c r="O587" i="1"/>
  <c r="R587" i="1" s="1"/>
  <c r="O588" i="1"/>
  <c r="R588" i="1" s="1"/>
  <c r="O589" i="1"/>
  <c r="R589" i="1" s="1"/>
  <c r="O590" i="1"/>
  <c r="R590" i="1" s="1"/>
  <c r="O591" i="1"/>
  <c r="R591" i="1" s="1"/>
  <c r="O592" i="1"/>
  <c r="R592" i="1" s="1"/>
  <c r="O593" i="1"/>
  <c r="R593" i="1" s="1"/>
  <c r="O594" i="1"/>
  <c r="R594" i="1" s="1"/>
  <c r="O595" i="1"/>
  <c r="R595" i="1" s="1"/>
  <c r="O596" i="1"/>
  <c r="R596" i="1" s="1"/>
  <c r="O597" i="1"/>
  <c r="R597" i="1" s="1"/>
  <c r="O598" i="1"/>
  <c r="R598" i="1" s="1"/>
  <c r="O599" i="1"/>
  <c r="R599" i="1" s="1"/>
  <c r="O600" i="1"/>
  <c r="R600" i="1" s="1"/>
  <c r="O601" i="1"/>
  <c r="R601" i="1" s="1"/>
  <c r="O602" i="1"/>
  <c r="R602" i="1" s="1"/>
  <c r="O603" i="1"/>
  <c r="R603" i="1" s="1"/>
  <c r="O604" i="1"/>
  <c r="R604" i="1" s="1"/>
  <c r="O605" i="1"/>
  <c r="R605" i="1" s="1"/>
  <c r="O606" i="1"/>
  <c r="R606" i="1" s="1"/>
  <c r="O607" i="1"/>
  <c r="R607" i="1" s="1"/>
  <c r="O608" i="1"/>
  <c r="R608" i="1" s="1"/>
  <c r="O609" i="1"/>
  <c r="R609" i="1" s="1"/>
  <c r="O610" i="1"/>
  <c r="R610" i="1" s="1"/>
  <c r="O611" i="1"/>
  <c r="R611" i="1" s="1"/>
  <c r="O612" i="1"/>
  <c r="R612" i="1" s="1"/>
  <c r="O613" i="1"/>
  <c r="R613" i="1" s="1"/>
  <c r="O614" i="1"/>
  <c r="R614" i="1" s="1"/>
  <c r="O615" i="1"/>
  <c r="R615" i="1" s="1"/>
  <c r="O616" i="1"/>
  <c r="R616" i="1" s="1"/>
  <c r="O617" i="1"/>
  <c r="R617" i="1" s="1"/>
  <c r="O618" i="1"/>
  <c r="R618" i="1" s="1"/>
  <c r="O619" i="1"/>
  <c r="R619" i="1" s="1"/>
  <c r="O620" i="1"/>
  <c r="R620" i="1" s="1"/>
  <c r="O621" i="1"/>
  <c r="R621" i="1" s="1"/>
  <c r="O622" i="1"/>
  <c r="R622" i="1" s="1"/>
  <c r="R623" i="1"/>
  <c r="O241" i="1"/>
  <c r="R241" i="1" s="1"/>
  <c r="A225" i="27" l="1"/>
  <c r="A226" i="27"/>
  <c r="A227" i="27"/>
  <c r="A228" i="27"/>
  <c r="A229" i="27"/>
  <c r="A230" i="27"/>
  <c r="A231" i="27"/>
  <c r="A232" i="27"/>
  <c r="A233" i="27"/>
  <c r="A234" i="27"/>
  <c r="A235" i="27"/>
  <c r="A236" i="27"/>
  <c r="A237" i="27"/>
  <c r="A238" i="27"/>
  <c r="A239" i="27"/>
  <c r="A240" i="27"/>
  <c r="A241" i="27"/>
  <c r="A242" i="27"/>
  <c r="A243" i="27"/>
  <c r="A244" i="27"/>
  <c r="A245" i="27"/>
  <c r="A246" i="27"/>
  <c r="A247" i="27"/>
  <c r="A248" i="27"/>
  <c r="A249" i="27"/>
  <c r="A250" i="27"/>
  <c r="A251" i="27"/>
  <c r="A252" i="27"/>
  <c r="A253" i="27"/>
  <c r="A254" i="27"/>
  <c r="A255" i="27"/>
  <c r="A256" i="27"/>
  <c r="A257" i="27"/>
  <c r="A258" i="27"/>
  <c r="A259" i="27"/>
  <c r="A260" i="27"/>
  <c r="A261" i="27"/>
  <c r="A262" i="27"/>
  <c r="A263" i="27"/>
  <c r="A264" i="27"/>
  <c r="A265" i="27"/>
  <c r="A266" i="27"/>
  <c r="A267" i="27"/>
  <c r="A268" i="27"/>
  <c r="A269" i="27"/>
  <c r="A270" i="27"/>
  <c r="A271" i="27"/>
  <c r="A272" i="27"/>
  <c r="A273" i="27"/>
  <c r="A274" i="27"/>
  <c r="A275" i="27"/>
  <c r="A276" i="27"/>
  <c r="A277" i="27"/>
  <c r="A278" i="27"/>
  <c r="A279" i="27"/>
  <c r="A280" i="27"/>
  <c r="A281" i="27"/>
  <c r="A282" i="27"/>
  <c r="A283" i="27"/>
  <c r="A285" i="27"/>
  <c r="A286" i="27"/>
  <c r="A287" i="27"/>
  <c r="A289" i="27"/>
  <c r="A290" i="27"/>
  <c r="A291" i="27"/>
  <c r="A292" i="27"/>
  <c r="A293" i="27"/>
  <c r="A294" i="27"/>
  <c r="T222" i="1" l="1"/>
  <c r="T223" i="1"/>
  <c r="T220" i="1"/>
  <c r="T221" i="1"/>
  <c r="O224" i="1" l="1"/>
  <c r="R224" i="1" s="1"/>
  <c r="O225" i="1"/>
  <c r="R225" i="1" s="1"/>
  <c r="O226" i="1"/>
  <c r="R226" i="1" s="1"/>
  <c r="O227" i="1"/>
  <c r="R227" i="1" s="1"/>
  <c r="O228" i="1"/>
  <c r="R228" i="1" s="1"/>
  <c r="O229" i="1"/>
  <c r="R229" i="1" s="1"/>
  <c r="O230" i="1"/>
  <c r="R230" i="1" s="1"/>
  <c r="O231" i="1"/>
  <c r="R231" i="1" s="1"/>
  <c r="O232" i="1"/>
  <c r="R232" i="1" s="1"/>
  <c r="O233" i="1"/>
  <c r="R233" i="1" s="1"/>
  <c r="O234" i="1"/>
  <c r="R234" i="1" s="1"/>
  <c r="O235" i="1"/>
  <c r="R235" i="1" s="1"/>
  <c r="O236" i="1"/>
  <c r="R236" i="1" s="1"/>
  <c r="O237" i="1"/>
  <c r="R237" i="1" s="1"/>
  <c r="O238" i="1"/>
  <c r="R238" i="1" s="1"/>
  <c r="O239" i="1"/>
  <c r="R239" i="1" s="1"/>
  <c r="O240" i="1"/>
  <c r="R240" i="1" s="1"/>
  <c r="O223" i="1"/>
  <c r="R223" i="1" s="1"/>
  <c r="O222" i="1"/>
  <c r="R222" i="1" s="1"/>
  <c r="A221" i="27"/>
  <c r="A222" i="27"/>
  <c r="A223" i="27"/>
  <c r="A224" i="27"/>
  <c r="A220" i="27"/>
  <c r="D63" i="5" l="1"/>
  <c r="I6" i="3" l="1"/>
  <c r="D60" i="5"/>
  <c r="D57" i="5"/>
  <c r="B4" i="19" l="1"/>
  <c r="B5" i="19"/>
  <c r="B6" i="19"/>
  <c r="B8" i="19"/>
  <c r="B9" i="19"/>
  <c r="B10" i="19"/>
  <c r="B11" i="19"/>
  <c r="B12" i="19"/>
  <c r="B3" i="19"/>
  <c r="B13" i="19" l="1"/>
  <c r="C11" i="19" s="1"/>
  <c r="A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162" i="27"/>
  <c r="A163" i="27"/>
  <c r="A164" i="27"/>
  <c r="A165" i="27"/>
  <c r="A166" i="27"/>
  <c r="A167" i="27"/>
  <c r="A168" i="27"/>
  <c r="A169" i="27"/>
  <c r="A170" i="27"/>
  <c r="A171" i="27"/>
  <c r="A172" i="27"/>
  <c r="A173" i="27"/>
  <c r="A174" i="27"/>
  <c r="A175" i="27"/>
  <c r="A176" i="27"/>
  <c r="A177" i="27"/>
  <c r="A178" i="27"/>
  <c r="A179" i="27"/>
  <c r="A180" i="27"/>
  <c r="A181" i="27"/>
  <c r="A182" i="27"/>
  <c r="A183" i="27"/>
  <c r="A184" i="27"/>
  <c r="A185" i="27"/>
  <c r="A186" i="27"/>
  <c r="A187" i="27"/>
  <c r="A188" i="27"/>
  <c r="A189" i="27"/>
  <c r="A190" i="27"/>
  <c r="A191" i="27"/>
  <c r="A192" i="27"/>
  <c r="A193" i="27"/>
  <c r="A194" i="27"/>
  <c r="A195" i="27"/>
  <c r="A196" i="27"/>
  <c r="A197" i="27"/>
  <c r="A198" i="27"/>
  <c r="A199" i="27"/>
  <c r="A200" i="27"/>
  <c r="A201" i="27"/>
  <c r="A202" i="27"/>
  <c r="A203" i="27"/>
  <c r="A204" i="27"/>
  <c r="A205" i="27"/>
  <c r="A206" i="27"/>
  <c r="A207" i="27"/>
  <c r="A208" i="27"/>
  <c r="A209" i="27"/>
  <c r="A210" i="27"/>
  <c r="A211" i="27"/>
  <c r="A212" i="27"/>
  <c r="A213" i="27"/>
  <c r="A214" i="27"/>
  <c r="A215" i="27"/>
  <c r="A216" i="27"/>
  <c r="A217" i="27"/>
  <c r="A218" i="27"/>
  <c r="A219" i="27"/>
  <c r="A2" i="27"/>
  <c r="C12" i="19" l="1"/>
  <c r="C7" i="19"/>
  <c r="C9" i="19"/>
  <c r="C5" i="19"/>
  <c r="C4" i="19"/>
  <c r="C3" i="19"/>
  <c r="C10" i="19"/>
  <c r="C8" i="19"/>
  <c r="C6" i="19"/>
  <c r="D54" i="5"/>
  <c r="D51" i="5" l="1"/>
  <c r="G19" i="5" s="1"/>
  <c r="I7" i="5" s="1"/>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O140" i="1"/>
  <c r="A3" i="18" l="1"/>
  <c r="B3" i="27" s="1"/>
  <c r="A4" i="18"/>
  <c r="B4" i="27" s="1"/>
  <c r="A5" i="18"/>
  <c r="B5" i="27" s="1"/>
  <c r="A6" i="18"/>
  <c r="B6" i="27" s="1"/>
  <c r="A7" i="18"/>
  <c r="B7" i="27" s="1"/>
  <c r="A8" i="18"/>
  <c r="B8" i="27" s="1"/>
  <c r="A9" i="18"/>
  <c r="B9" i="27" s="1"/>
  <c r="A10" i="18"/>
  <c r="B10" i="27" s="1"/>
  <c r="A11" i="18"/>
  <c r="B11" i="27" s="1"/>
  <c r="A12" i="18"/>
  <c r="B12" i="27" s="1"/>
  <c r="A13" i="18"/>
  <c r="B13" i="27" s="1"/>
  <c r="A14" i="18"/>
  <c r="B14" i="27" s="1"/>
  <c r="A15" i="18"/>
  <c r="B15" i="27" s="1"/>
  <c r="A16" i="18"/>
  <c r="B16" i="27" s="1"/>
  <c r="A17" i="18"/>
  <c r="B17" i="27" s="1"/>
  <c r="A18" i="18"/>
  <c r="B18" i="27" s="1"/>
  <c r="A19" i="18"/>
  <c r="B19" i="27" s="1"/>
  <c r="A20" i="18"/>
  <c r="B20" i="27" s="1"/>
  <c r="A21" i="18"/>
  <c r="B21" i="27" s="1"/>
  <c r="A22" i="18"/>
  <c r="B22" i="27" s="1"/>
  <c r="A23" i="18"/>
  <c r="B23" i="27" s="1"/>
  <c r="A24" i="18"/>
  <c r="B24" i="27" s="1"/>
  <c r="A25" i="18"/>
  <c r="B25" i="27" s="1"/>
  <c r="A26" i="18"/>
  <c r="B26" i="27" s="1"/>
  <c r="A27" i="18"/>
  <c r="B27" i="27" s="1"/>
  <c r="A28" i="18"/>
  <c r="B28" i="27" s="1"/>
  <c r="A29" i="18"/>
  <c r="B29" i="27" s="1"/>
  <c r="A30" i="18"/>
  <c r="B30" i="27" s="1"/>
  <c r="A31" i="18"/>
  <c r="B31" i="27" s="1"/>
  <c r="A32" i="18"/>
  <c r="B32" i="27" s="1"/>
  <c r="A33" i="18"/>
  <c r="B33" i="27" s="1"/>
  <c r="A34" i="18"/>
  <c r="B34" i="27" s="1"/>
  <c r="A35" i="18"/>
  <c r="B35" i="27" s="1"/>
  <c r="A36" i="18"/>
  <c r="B36" i="27" s="1"/>
  <c r="A37" i="18"/>
  <c r="B37" i="27" s="1"/>
  <c r="A38" i="18"/>
  <c r="B38" i="27" s="1"/>
  <c r="A39" i="18"/>
  <c r="B39" i="27" s="1"/>
  <c r="A40" i="18"/>
  <c r="B40" i="27" s="1"/>
  <c r="A41" i="18"/>
  <c r="B41" i="27" s="1"/>
  <c r="A42" i="18"/>
  <c r="B42" i="27" s="1"/>
  <c r="A43" i="18"/>
  <c r="B43" i="27" s="1"/>
  <c r="A44" i="18"/>
  <c r="B44" i="27" s="1"/>
  <c r="A45" i="18"/>
  <c r="B45" i="27" s="1"/>
  <c r="A46" i="18"/>
  <c r="B46" i="27" s="1"/>
  <c r="A47" i="18"/>
  <c r="B47" i="27" s="1"/>
  <c r="A48" i="18"/>
  <c r="B48" i="27" s="1"/>
  <c r="A49" i="18"/>
  <c r="B49" i="27" s="1"/>
  <c r="A50" i="18"/>
  <c r="B50" i="27" s="1"/>
  <c r="A51" i="18"/>
  <c r="B51" i="27" s="1"/>
  <c r="A52" i="18"/>
  <c r="B52" i="27" s="1"/>
  <c r="A53" i="18"/>
  <c r="B53" i="27" s="1"/>
  <c r="A54" i="18"/>
  <c r="B54" i="27" s="1"/>
  <c r="A55" i="18"/>
  <c r="B55" i="27" s="1"/>
  <c r="A56" i="18"/>
  <c r="B56" i="27" s="1"/>
  <c r="A57" i="18"/>
  <c r="B57" i="27" s="1"/>
  <c r="A58" i="18"/>
  <c r="B58" i="27" s="1"/>
  <c r="A59" i="18"/>
  <c r="B59" i="27" s="1"/>
  <c r="A60" i="18"/>
  <c r="B60" i="27" s="1"/>
  <c r="A61" i="18"/>
  <c r="B61" i="27" s="1"/>
  <c r="A62" i="18"/>
  <c r="B62" i="27" s="1"/>
  <c r="A63" i="18"/>
  <c r="B63" i="27" s="1"/>
  <c r="A64" i="18"/>
  <c r="B64" i="27" s="1"/>
  <c r="A65" i="18"/>
  <c r="B65" i="27" s="1"/>
  <c r="A66" i="18"/>
  <c r="B66" i="27" s="1"/>
  <c r="A67" i="18"/>
  <c r="B67" i="27" s="1"/>
  <c r="A68" i="18"/>
  <c r="B68" i="27" s="1"/>
  <c r="A69" i="18"/>
  <c r="B69" i="27" s="1"/>
  <c r="A70" i="18"/>
  <c r="B70" i="27" s="1"/>
  <c r="A71" i="18"/>
  <c r="B71" i="27" s="1"/>
  <c r="A72" i="18"/>
  <c r="B72" i="27" s="1"/>
  <c r="A73" i="18"/>
  <c r="B73" i="27" s="1"/>
  <c r="A74" i="18"/>
  <c r="B74" i="27" s="1"/>
  <c r="A75" i="18"/>
  <c r="B75" i="27" s="1"/>
  <c r="A76" i="18"/>
  <c r="B76" i="27" s="1"/>
  <c r="A77" i="18"/>
  <c r="B77" i="27" s="1"/>
  <c r="A78" i="18"/>
  <c r="B78" i="27" s="1"/>
  <c r="A79" i="18"/>
  <c r="B79" i="27" s="1"/>
  <c r="A80" i="18"/>
  <c r="B80" i="27" s="1"/>
  <c r="A81" i="18"/>
  <c r="B81" i="27" s="1"/>
  <c r="A82" i="18"/>
  <c r="B82" i="27" s="1"/>
  <c r="A83" i="18"/>
  <c r="B83" i="27" s="1"/>
  <c r="A84" i="18"/>
  <c r="B84" i="27" s="1"/>
  <c r="A85" i="18"/>
  <c r="B85" i="27" s="1"/>
  <c r="A86" i="18"/>
  <c r="B86" i="27" s="1"/>
  <c r="A87" i="18"/>
  <c r="B87" i="27" s="1"/>
  <c r="A88" i="18"/>
  <c r="B88" i="27" s="1"/>
  <c r="A89" i="18"/>
  <c r="B89" i="27" s="1"/>
  <c r="A90" i="18"/>
  <c r="B90" i="27" s="1"/>
  <c r="A91" i="18"/>
  <c r="B91" i="27" s="1"/>
  <c r="A92" i="18"/>
  <c r="B92" i="27" s="1"/>
  <c r="A93" i="18"/>
  <c r="B93" i="27" s="1"/>
  <c r="A94" i="18"/>
  <c r="B94" i="27" s="1"/>
  <c r="A95" i="18"/>
  <c r="B95" i="27" s="1"/>
  <c r="A96" i="18"/>
  <c r="B96" i="27" s="1"/>
  <c r="A97" i="18"/>
  <c r="B97" i="27" s="1"/>
  <c r="A98" i="18"/>
  <c r="B98" i="27" s="1"/>
  <c r="A99" i="18"/>
  <c r="B99" i="27" s="1"/>
  <c r="A100" i="18"/>
  <c r="B100" i="27" s="1"/>
  <c r="A101" i="18"/>
  <c r="B101" i="27" s="1"/>
  <c r="A102" i="18"/>
  <c r="B102" i="27" s="1"/>
  <c r="A103" i="18"/>
  <c r="B103" i="27" s="1"/>
  <c r="A104" i="18"/>
  <c r="B104" i="27" s="1"/>
  <c r="A105" i="18"/>
  <c r="B105" i="27" s="1"/>
  <c r="A106" i="18"/>
  <c r="B106" i="27" s="1"/>
  <c r="A107" i="18"/>
  <c r="B107" i="27" s="1"/>
  <c r="A108" i="18"/>
  <c r="B108" i="27" s="1"/>
  <c r="A109" i="18"/>
  <c r="B109" i="27" s="1"/>
  <c r="A110" i="18"/>
  <c r="B110" i="27" s="1"/>
  <c r="A111" i="18"/>
  <c r="B111" i="27" s="1"/>
  <c r="A112" i="18"/>
  <c r="B112" i="27" s="1"/>
  <c r="A113" i="18"/>
  <c r="B113" i="27" s="1"/>
  <c r="A114" i="18"/>
  <c r="B114" i="27" s="1"/>
  <c r="A115" i="18"/>
  <c r="B115" i="27" s="1"/>
  <c r="A116" i="18"/>
  <c r="B116" i="27" s="1"/>
  <c r="A117" i="18"/>
  <c r="B117" i="27" s="1"/>
  <c r="A118" i="18"/>
  <c r="B118" i="27" s="1"/>
  <c r="A119" i="18"/>
  <c r="B119" i="27" s="1"/>
  <c r="A120" i="18"/>
  <c r="B120" i="27" s="1"/>
  <c r="A121" i="18"/>
  <c r="B121" i="27" s="1"/>
  <c r="A122" i="18"/>
  <c r="B122" i="27" s="1"/>
  <c r="A123" i="18"/>
  <c r="B123" i="27" s="1"/>
  <c r="A124" i="18"/>
  <c r="B124" i="27" s="1"/>
  <c r="A125" i="18"/>
  <c r="B125" i="27" s="1"/>
  <c r="A126" i="18"/>
  <c r="B126" i="27" s="1"/>
  <c r="A127" i="18"/>
  <c r="B127" i="27" s="1"/>
  <c r="A128" i="18"/>
  <c r="B128" i="27" s="1"/>
  <c r="A129" i="18"/>
  <c r="B129" i="27" s="1"/>
  <c r="A130" i="18"/>
  <c r="B130" i="27" s="1"/>
  <c r="A131" i="18"/>
  <c r="B131" i="27" s="1"/>
  <c r="A132" i="18"/>
  <c r="B132" i="27" s="1"/>
  <c r="A133" i="18"/>
  <c r="B133" i="27" s="1"/>
  <c r="A134" i="18"/>
  <c r="B134" i="27" s="1"/>
  <c r="A135" i="18"/>
  <c r="B135" i="27" s="1"/>
  <c r="A136" i="18"/>
  <c r="B136" i="27" s="1"/>
  <c r="A137" i="18"/>
  <c r="B137" i="27" s="1"/>
  <c r="A138" i="18"/>
  <c r="B138" i="27" s="1"/>
  <c r="A139" i="18"/>
  <c r="B139" i="27" s="1"/>
  <c r="A140" i="18"/>
  <c r="B140" i="27" s="1"/>
  <c r="A141" i="18"/>
  <c r="B141" i="27" s="1"/>
  <c r="A142" i="18"/>
  <c r="B142" i="27" s="1"/>
  <c r="A143" i="18"/>
  <c r="B143" i="27" s="1"/>
  <c r="A144" i="18"/>
  <c r="B144" i="27" s="1"/>
  <c r="A145" i="18"/>
  <c r="B145" i="27" s="1"/>
  <c r="A146" i="18"/>
  <c r="B146" i="27" s="1"/>
  <c r="A147" i="18"/>
  <c r="B147" i="27" s="1"/>
  <c r="A148" i="18"/>
  <c r="B148" i="27" s="1"/>
  <c r="A149" i="18"/>
  <c r="B149" i="27" s="1"/>
  <c r="A150" i="18"/>
  <c r="B150" i="27" s="1"/>
  <c r="A151" i="18"/>
  <c r="B151" i="27" s="1"/>
  <c r="A152" i="18"/>
  <c r="B152" i="27" s="1"/>
  <c r="A153" i="18"/>
  <c r="B153" i="27" s="1"/>
  <c r="A154" i="18"/>
  <c r="B154" i="27" s="1"/>
  <c r="A155" i="18"/>
  <c r="B155" i="27" s="1"/>
  <c r="A156" i="18"/>
  <c r="B156" i="27" s="1"/>
  <c r="A157" i="18"/>
  <c r="B157" i="27" s="1"/>
  <c r="A158" i="18"/>
  <c r="B158" i="27" s="1"/>
  <c r="A159" i="18"/>
  <c r="B159" i="27" s="1"/>
  <c r="A160" i="18"/>
  <c r="B160" i="27" s="1"/>
  <c r="A161" i="18"/>
  <c r="B161" i="27" s="1"/>
  <c r="A162" i="18"/>
  <c r="B162" i="27" s="1"/>
  <c r="A163" i="18"/>
  <c r="B163" i="27" s="1"/>
  <c r="A164" i="18"/>
  <c r="B164" i="27" s="1"/>
  <c r="A165" i="18"/>
  <c r="B165" i="27" s="1"/>
  <c r="A166" i="18"/>
  <c r="B166" i="27" s="1"/>
  <c r="A167" i="18"/>
  <c r="B167" i="27" s="1"/>
  <c r="A168" i="18"/>
  <c r="B168" i="27" s="1"/>
  <c r="A169" i="18"/>
  <c r="B169" i="27" s="1"/>
  <c r="A170" i="18"/>
  <c r="B170" i="27" s="1"/>
  <c r="A171" i="18"/>
  <c r="B171" i="27" s="1"/>
  <c r="A172" i="18"/>
  <c r="B172" i="27" s="1"/>
  <c r="A173" i="18"/>
  <c r="B173" i="27" s="1"/>
  <c r="A174" i="18"/>
  <c r="B174" i="27" s="1"/>
  <c r="A175" i="18"/>
  <c r="B175" i="27" s="1"/>
  <c r="A176" i="18"/>
  <c r="B176" i="27" s="1"/>
  <c r="A177" i="18"/>
  <c r="B177" i="27" s="1"/>
  <c r="A178" i="18"/>
  <c r="B178" i="27" s="1"/>
  <c r="A179" i="18"/>
  <c r="B179" i="27" s="1"/>
  <c r="A180" i="18"/>
  <c r="B180" i="27" s="1"/>
  <c r="A181" i="18"/>
  <c r="B181" i="27" s="1"/>
  <c r="A182" i="18"/>
  <c r="B182" i="27" s="1"/>
  <c r="A183" i="18"/>
  <c r="B183" i="27" s="1"/>
  <c r="A184" i="18"/>
  <c r="B184" i="27" s="1"/>
  <c r="A185" i="18"/>
  <c r="B185" i="27" s="1"/>
  <c r="A186" i="18"/>
  <c r="B186" i="27" s="1"/>
  <c r="A187" i="18"/>
  <c r="B187" i="27" s="1"/>
  <c r="A188" i="18"/>
  <c r="B188" i="27" s="1"/>
  <c r="A189" i="18"/>
  <c r="B189" i="27" s="1"/>
  <c r="A190" i="18"/>
  <c r="B190" i="27" s="1"/>
  <c r="A191" i="18"/>
  <c r="B191" i="27" s="1"/>
  <c r="A192" i="18"/>
  <c r="B192" i="27" s="1"/>
  <c r="A193" i="18"/>
  <c r="B193" i="27" s="1"/>
  <c r="A194" i="18"/>
  <c r="B194" i="27" s="1"/>
  <c r="A195" i="18"/>
  <c r="B195" i="27" s="1"/>
  <c r="A196" i="18"/>
  <c r="B196" i="27" s="1"/>
  <c r="A197" i="18"/>
  <c r="B197" i="27" s="1"/>
  <c r="A198" i="18"/>
  <c r="B198" i="27" s="1"/>
  <c r="A199" i="18"/>
  <c r="B199" i="27" s="1"/>
  <c r="A200" i="18"/>
  <c r="B200" i="27" s="1"/>
  <c r="A201" i="18"/>
  <c r="B201" i="27" s="1"/>
  <c r="A202" i="18"/>
  <c r="B202" i="27" s="1"/>
  <c r="A203" i="18"/>
  <c r="B203" i="27" s="1"/>
  <c r="A204" i="18"/>
  <c r="B204" i="27" s="1"/>
  <c r="A205" i="18"/>
  <c r="B205" i="27" s="1"/>
  <c r="A206" i="18"/>
  <c r="B206" i="27" s="1"/>
  <c r="A207" i="18"/>
  <c r="B207" i="27" s="1"/>
  <c r="A208" i="18"/>
  <c r="B208" i="27" s="1"/>
  <c r="A209" i="18"/>
  <c r="B209" i="27" s="1"/>
  <c r="A210" i="18"/>
  <c r="B210" i="27" s="1"/>
  <c r="A211" i="18"/>
  <c r="B211" i="27" s="1"/>
  <c r="A212" i="18"/>
  <c r="B212" i="27" s="1"/>
  <c r="A213" i="18"/>
  <c r="B213" i="27" s="1"/>
  <c r="A214" i="18"/>
  <c r="B214" i="27" s="1"/>
  <c r="A215" i="18"/>
  <c r="B215" i="27" s="1"/>
  <c r="A216" i="18"/>
  <c r="B216" i="27" s="1"/>
  <c r="A217" i="18"/>
  <c r="B217" i="27" s="1"/>
  <c r="A218" i="18"/>
  <c r="B218" i="27" s="1"/>
  <c r="A219" i="18"/>
  <c r="B219" i="27" s="1"/>
  <c r="A220" i="18"/>
  <c r="B220" i="27" s="1"/>
  <c r="A221" i="18"/>
  <c r="B221" i="27" s="1"/>
  <c r="A2" i="18"/>
  <c r="G208" i="19" l="1"/>
  <c r="G178" i="19"/>
  <c r="G218" i="19"/>
  <c r="G200" i="19"/>
  <c r="G182" i="19"/>
  <c r="G164" i="19"/>
  <c r="G152" i="19"/>
  <c r="G134" i="19"/>
  <c r="G122" i="19"/>
  <c r="G110" i="19"/>
  <c r="G98" i="19"/>
  <c r="G80" i="19"/>
  <c r="G68" i="19"/>
  <c r="G56" i="19"/>
  <c r="G44" i="19"/>
  <c r="G32" i="19"/>
  <c r="G26" i="19"/>
  <c r="G14" i="19"/>
  <c r="G211" i="19"/>
  <c r="G199" i="19"/>
  <c r="G193" i="19"/>
  <c r="G187" i="19"/>
  <c r="G169" i="19"/>
  <c r="G163" i="19"/>
  <c r="G157" i="19"/>
  <c r="G151" i="19"/>
  <c r="G145" i="19"/>
  <c r="G139" i="19"/>
  <c r="G133" i="19"/>
  <c r="G127" i="19"/>
  <c r="G121" i="19"/>
  <c r="G115" i="19"/>
  <c r="G109" i="19"/>
  <c r="G103" i="19"/>
  <c r="G97" i="19"/>
  <c r="G91" i="19"/>
  <c r="G85" i="19"/>
  <c r="G79" i="19"/>
  <c r="G73" i="19"/>
  <c r="G67" i="19"/>
  <c r="G61" i="19"/>
  <c r="G55" i="19"/>
  <c r="G49" i="19"/>
  <c r="G43" i="19"/>
  <c r="G37" i="19"/>
  <c r="G31" i="19"/>
  <c r="G25" i="19"/>
  <c r="G19" i="19"/>
  <c r="G13" i="19"/>
  <c r="G7" i="19"/>
  <c r="G220" i="19"/>
  <c r="G190" i="19"/>
  <c r="G166" i="19"/>
  <c r="G212" i="19"/>
  <c r="G194" i="19"/>
  <c r="G176" i="19"/>
  <c r="G158" i="19"/>
  <c r="G146" i="19"/>
  <c r="G128" i="19"/>
  <c r="G116" i="19"/>
  <c r="G104" i="19"/>
  <c r="G86" i="19"/>
  <c r="G74" i="19"/>
  <c r="G62" i="19"/>
  <c r="G38" i="19"/>
  <c r="G20" i="19"/>
  <c r="G217" i="19"/>
  <c r="G175" i="19"/>
  <c r="G2" i="19"/>
  <c r="B2" i="27"/>
  <c r="G216" i="19"/>
  <c r="G210" i="19"/>
  <c r="G204" i="19"/>
  <c r="G198" i="19"/>
  <c r="G192" i="19"/>
  <c r="G186" i="19"/>
  <c r="G180" i="19"/>
  <c r="G174" i="19"/>
  <c r="G168" i="19"/>
  <c r="G162" i="19"/>
  <c r="G156" i="19"/>
  <c r="G150" i="19"/>
  <c r="G144" i="19"/>
  <c r="G138" i="19"/>
  <c r="G132" i="19"/>
  <c r="G126" i="19"/>
  <c r="G120" i="19"/>
  <c r="G114" i="19"/>
  <c r="G108" i="19"/>
  <c r="G102" i="19"/>
  <c r="G96" i="19"/>
  <c r="G90" i="19"/>
  <c r="G84" i="19"/>
  <c r="G78" i="19"/>
  <c r="G72" i="19"/>
  <c r="G66" i="19"/>
  <c r="G60" i="19"/>
  <c r="G54" i="19"/>
  <c r="G48" i="19"/>
  <c r="G42" i="19"/>
  <c r="G36" i="19"/>
  <c r="G30" i="19"/>
  <c r="G24" i="19"/>
  <c r="G18" i="19"/>
  <c r="G12" i="19"/>
  <c r="G6" i="19"/>
  <c r="G214" i="19"/>
  <c r="G160" i="19"/>
  <c r="G206" i="19"/>
  <c r="G188" i="19"/>
  <c r="G170" i="19"/>
  <c r="G140" i="19"/>
  <c r="G92" i="19"/>
  <c r="G50" i="19"/>
  <c r="G8" i="19"/>
  <c r="G205" i="19"/>
  <c r="G181" i="19"/>
  <c r="G221" i="19"/>
  <c r="G215" i="19"/>
  <c r="G209" i="19"/>
  <c r="G203" i="19"/>
  <c r="G197" i="19"/>
  <c r="G191" i="19"/>
  <c r="G185" i="19"/>
  <c r="G179" i="19"/>
  <c r="G173" i="19"/>
  <c r="G167" i="19"/>
  <c r="G161" i="19"/>
  <c r="G155" i="19"/>
  <c r="G149" i="19"/>
  <c r="G143" i="19"/>
  <c r="G137" i="19"/>
  <c r="G131" i="19"/>
  <c r="G125" i="19"/>
  <c r="G119" i="19"/>
  <c r="G113" i="19"/>
  <c r="G107" i="19"/>
  <c r="G101" i="19"/>
  <c r="G95" i="19"/>
  <c r="G89" i="19"/>
  <c r="G83" i="19"/>
  <c r="G77" i="19"/>
  <c r="G71" i="19"/>
  <c r="G65" i="19"/>
  <c r="G59" i="19"/>
  <c r="G53" i="19"/>
  <c r="G47" i="19"/>
  <c r="G41" i="19"/>
  <c r="G35" i="19"/>
  <c r="G29" i="19"/>
  <c r="G23" i="19"/>
  <c r="G17" i="19"/>
  <c r="G11" i="19"/>
  <c r="G5" i="19"/>
  <c r="G202" i="19"/>
  <c r="G196" i="19"/>
  <c r="G184" i="19"/>
  <c r="G172" i="19"/>
  <c r="G154" i="19"/>
  <c r="G148" i="19"/>
  <c r="G142" i="19"/>
  <c r="G136" i="19"/>
  <c r="G130" i="19"/>
  <c r="G124" i="19"/>
  <c r="G118" i="19"/>
  <c r="G112" i="19"/>
  <c r="G106" i="19"/>
  <c r="G100" i="19"/>
  <c r="G94" i="19"/>
  <c r="G88" i="19"/>
  <c r="G82" i="19"/>
  <c r="G76" i="19"/>
  <c r="G70" i="19"/>
  <c r="G64" i="19"/>
  <c r="G58" i="19"/>
  <c r="G52" i="19"/>
  <c r="G46" i="19"/>
  <c r="G40" i="19"/>
  <c r="G34" i="19"/>
  <c r="G28" i="19"/>
  <c r="G22" i="19"/>
  <c r="G16" i="19"/>
  <c r="G10" i="19"/>
  <c r="G4" i="19"/>
  <c r="G219" i="19"/>
  <c r="G213" i="19"/>
  <c r="G207" i="19"/>
  <c r="G201" i="19"/>
  <c r="G195" i="19"/>
  <c r="G189" i="19"/>
  <c r="G183" i="19"/>
  <c r="G177" i="19"/>
  <c r="G171" i="19"/>
  <c r="G165" i="19"/>
  <c r="G159" i="19"/>
  <c r="G153" i="19"/>
  <c r="G147" i="19"/>
  <c r="G141" i="19"/>
  <c r="G135" i="19"/>
  <c r="G129" i="19"/>
  <c r="G123" i="19"/>
  <c r="G117" i="19"/>
  <c r="G111" i="19"/>
  <c r="G105" i="19"/>
  <c r="G99" i="19"/>
  <c r="G93" i="19"/>
  <c r="G87" i="19"/>
  <c r="G81" i="19"/>
  <c r="G75" i="19"/>
  <c r="G69" i="19"/>
  <c r="G63" i="19"/>
  <c r="G57" i="19"/>
  <c r="G51" i="19"/>
  <c r="G45" i="19"/>
  <c r="G39" i="19"/>
  <c r="G33" i="19"/>
  <c r="G27" i="19"/>
  <c r="G21" i="19"/>
  <c r="G15" i="19"/>
  <c r="G9" i="19"/>
  <c r="G3" i="19"/>
  <c r="D48" i="5"/>
  <c r="G18" i="5" s="1"/>
  <c r="D45" i="5"/>
  <c r="G17" i="5" s="1"/>
  <c r="D42" i="5"/>
  <c r="G16" i="5" s="1"/>
  <c r="D39" i="5"/>
  <c r="G15" i="5" s="1"/>
  <c r="D36" i="5"/>
  <c r="G14" i="5" s="1"/>
  <c r="D33" i="5"/>
  <c r="G13" i="5" s="1"/>
  <c r="D30" i="5"/>
  <c r="G12" i="5" s="1"/>
  <c r="D27" i="5"/>
  <c r="G11" i="5" s="1"/>
  <c r="D24" i="5"/>
  <c r="G10" i="5" s="1"/>
  <c r="D21" i="5"/>
  <c r="G9" i="5" s="1"/>
  <c r="D18" i="5"/>
  <c r="G8" i="5" s="1"/>
  <c r="D15" i="5"/>
  <c r="G7" i="5" s="1"/>
  <c r="D12" i="5"/>
  <c r="G6" i="5" s="1"/>
  <c r="D9" i="5"/>
  <c r="G5" i="5" s="1"/>
  <c r="D6" i="5"/>
  <c r="G4" i="5" s="1"/>
  <c r="D3" i="5"/>
  <c r="G3" i="5" s="1"/>
  <c r="I6" i="5" l="1"/>
  <c r="I3" i="5"/>
  <c r="I4" i="5"/>
  <c r="I5" i="5"/>
  <c r="O121" i="1"/>
  <c r="O122" i="1"/>
  <c r="I13" i="3" l="1"/>
  <c r="I12" i="3"/>
  <c r="C12" i="3"/>
  <c r="I11" i="3"/>
  <c r="C11" i="3"/>
  <c r="J10" i="3"/>
  <c r="I10" i="3"/>
  <c r="C10" i="3"/>
  <c r="J9" i="3"/>
  <c r="I9" i="3"/>
  <c r="C9" i="3"/>
  <c r="J8" i="3"/>
  <c r="I8" i="3"/>
  <c r="G8" i="3"/>
  <c r="C8" i="3"/>
  <c r="M7" i="3"/>
  <c r="J7" i="3"/>
  <c r="I7" i="3"/>
  <c r="G7" i="3"/>
  <c r="C7" i="3"/>
  <c r="M6" i="3"/>
  <c r="K6" i="3"/>
  <c r="J6" i="3"/>
  <c r="G6" i="3"/>
  <c r="D6" i="3"/>
  <c r="C6" i="3"/>
  <c r="M5" i="3"/>
  <c r="L5" i="3"/>
  <c r="K5" i="3"/>
  <c r="J5" i="3"/>
  <c r="I5" i="3"/>
  <c r="G5" i="3"/>
  <c r="E5" i="3"/>
  <c r="D5" i="3"/>
  <c r="C5" i="3"/>
  <c r="M4" i="3"/>
  <c r="L4" i="3"/>
  <c r="K4" i="3"/>
  <c r="J4" i="3"/>
  <c r="I4" i="3"/>
  <c r="H4" i="3"/>
  <c r="G4" i="3"/>
  <c r="F4" i="3"/>
  <c r="E4" i="3"/>
  <c r="D4" i="3"/>
  <c r="C4" i="3"/>
  <c r="M3" i="3"/>
  <c r="L3" i="3"/>
  <c r="K3" i="3"/>
  <c r="J3" i="3"/>
  <c r="I3" i="3"/>
  <c r="H3" i="3"/>
  <c r="F3" i="3"/>
  <c r="C3" i="3"/>
  <c r="M2" i="3"/>
  <c r="L2" i="3"/>
  <c r="K2" i="3"/>
  <c r="J2" i="3"/>
  <c r="I2" i="3"/>
  <c r="H2" i="3"/>
  <c r="G2" i="3"/>
  <c r="F2" i="3"/>
  <c r="E2" i="3"/>
  <c r="D2" i="3"/>
  <c r="C2" i="3"/>
  <c r="O14" i="2"/>
  <c r="M14" i="2"/>
  <c r="K14" i="2"/>
  <c r="J14" i="2"/>
  <c r="I14" i="2"/>
  <c r="H14" i="2"/>
  <c r="G14" i="2"/>
  <c r="F14" i="2"/>
  <c r="E14" i="2"/>
  <c r="D14" i="2"/>
  <c r="C14" i="2"/>
  <c r="B14" i="2"/>
  <c r="A14" i="2"/>
  <c r="O221" i="1"/>
  <c r="O220" i="1"/>
  <c r="T219" i="1"/>
  <c r="O219" i="1"/>
  <c r="T218" i="1"/>
  <c r="O218" i="1"/>
  <c r="T217" i="1"/>
  <c r="O217" i="1"/>
  <c r="T216" i="1"/>
  <c r="O216" i="1"/>
  <c r="T215" i="1"/>
  <c r="O215" i="1"/>
  <c r="T214" i="1"/>
  <c r="O214" i="1"/>
  <c r="T213" i="1"/>
  <c r="O213" i="1"/>
  <c r="T212" i="1"/>
  <c r="O212" i="1"/>
  <c r="T211" i="1"/>
  <c r="O211" i="1"/>
  <c r="T210" i="1"/>
  <c r="O210" i="1"/>
  <c r="T209" i="1"/>
  <c r="O209" i="1"/>
  <c r="T208" i="1"/>
  <c r="O208" i="1"/>
  <c r="T207" i="1"/>
  <c r="O207" i="1"/>
  <c r="T206" i="1"/>
  <c r="O206" i="1"/>
  <c r="T205" i="1"/>
  <c r="O205" i="1"/>
  <c r="T204" i="1"/>
  <c r="O204" i="1"/>
  <c r="T203" i="1"/>
  <c r="O203" i="1"/>
  <c r="T202" i="1"/>
  <c r="O202" i="1"/>
  <c r="T201" i="1"/>
  <c r="O201" i="1"/>
  <c r="T200" i="1"/>
  <c r="O200" i="1"/>
  <c r="T199" i="1"/>
  <c r="O199" i="1"/>
  <c r="T198" i="1"/>
  <c r="O198" i="1"/>
  <c r="T197" i="1"/>
  <c r="O197" i="1"/>
  <c r="T196" i="1"/>
  <c r="O196" i="1"/>
  <c r="T195" i="1"/>
  <c r="O195" i="1"/>
  <c r="T194" i="1"/>
  <c r="O194" i="1"/>
  <c r="T193" i="1"/>
  <c r="O193" i="1"/>
  <c r="T192" i="1"/>
  <c r="O192" i="1"/>
  <c r="T191" i="1"/>
  <c r="O191" i="1"/>
  <c r="T190" i="1"/>
  <c r="O190" i="1"/>
  <c r="T189" i="1"/>
  <c r="O189" i="1"/>
  <c r="T188" i="1"/>
  <c r="O188" i="1"/>
  <c r="T187" i="1"/>
  <c r="O187" i="1"/>
  <c r="T186" i="1"/>
  <c r="O186" i="1"/>
  <c r="T185" i="1"/>
  <c r="O185" i="1"/>
  <c r="T184" i="1"/>
  <c r="O184" i="1"/>
  <c r="T183" i="1"/>
  <c r="O183" i="1"/>
  <c r="T182" i="1"/>
  <c r="O182" i="1"/>
  <c r="T181" i="1"/>
  <c r="O181" i="1"/>
  <c r="T180" i="1"/>
  <c r="O180" i="1"/>
  <c r="T179" i="1"/>
  <c r="O179" i="1"/>
  <c r="T178" i="1"/>
  <c r="O178" i="1"/>
  <c r="T177" i="1"/>
  <c r="O177" i="1"/>
  <c r="T176" i="1"/>
  <c r="O176" i="1"/>
  <c r="T175" i="1"/>
  <c r="O175" i="1"/>
  <c r="T174" i="1"/>
  <c r="O174" i="1"/>
  <c r="T173" i="1"/>
  <c r="O173" i="1"/>
  <c r="T172" i="1"/>
  <c r="O172" i="1"/>
  <c r="T171" i="1"/>
  <c r="O171" i="1"/>
  <c r="T170" i="1"/>
  <c r="O170" i="1"/>
  <c r="T169" i="1"/>
  <c r="O169" i="1"/>
  <c r="T168" i="1"/>
  <c r="O168" i="1"/>
  <c r="T167" i="1"/>
  <c r="O167" i="1"/>
  <c r="T166" i="1"/>
  <c r="O166" i="1"/>
  <c r="T165" i="1"/>
  <c r="O165" i="1"/>
  <c r="T164" i="1"/>
  <c r="O164" i="1"/>
  <c r="T163" i="1"/>
  <c r="O163" i="1"/>
  <c r="T162" i="1"/>
  <c r="O162" i="1"/>
  <c r="T161" i="1"/>
  <c r="O161" i="1"/>
  <c r="T160" i="1"/>
  <c r="O160" i="1"/>
  <c r="T159" i="1"/>
  <c r="O159" i="1"/>
  <c r="T158" i="1"/>
  <c r="O158" i="1"/>
  <c r="T157" i="1"/>
  <c r="O157" i="1"/>
  <c r="T156" i="1"/>
  <c r="O156" i="1"/>
  <c r="T155" i="1"/>
  <c r="O155" i="1"/>
  <c r="T154" i="1"/>
  <c r="O154" i="1"/>
  <c r="T153" i="1"/>
  <c r="O153" i="1"/>
  <c r="T152" i="1"/>
  <c r="O152" i="1"/>
  <c r="T151" i="1"/>
  <c r="O151" i="1"/>
  <c r="T150" i="1"/>
  <c r="O150" i="1"/>
  <c r="T149" i="1"/>
  <c r="O149" i="1"/>
  <c r="T148" i="1"/>
  <c r="O148" i="1"/>
  <c r="T147" i="1"/>
  <c r="O147" i="1"/>
  <c r="T146" i="1"/>
  <c r="O146" i="1"/>
  <c r="T145" i="1"/>
  <c r="O145" i="1"/>
  <c r="T144" i="1"/>
  <c r="O144" i="1"/>
  <c r="T143" i="1"/>
  <c r="O143" i="1"/>
  <c r="T142" i="1"/>
  <c r="O142" i="1"/>
  <c r="T141" i="1"/>
  <c r="O141" i="1"/>
  <c r="T140" i="1"/>
  <c r="R140" i="1" s="1"/>
  <c r="T139" i="1"/>
  <c r="O139" i="1"/>
  <c r="T138" i="1"/>
  <c r="O138" i="1"/>
  <c r="T137" i="1"/>
  <c r="O137" i="1"/>
  <c r="T136" i="1"/>
  <c r="O136" i="1"/>
  <c r="T135" i="1"/>
  <c r="O135" i="1"/>
  <c r="T134" i="1"/>
  <c r="O134" i="1"/>
  <c r="T133" i="1"/>
  <c r="O133" i="1"/>
  <c r="T132" i="1"/>
  <c r="O132" i="1"/>
  <c r="T131" i="1"/>
  <c r="O131" i="1"/>
  <c r="T130" i="1"/>
  <c r="O130" i="1"/>
  <c r="T129" i="1"/>
  <c r="O129" i="1"/>
  <c r="T128" i="1"/>
  <c r="O128" i="1"/>
  <c r="T127" i="1"/>
  <c r="O127" i="1"/>
  <c r="T126" i="1"/>
  <c r="O126" i="1"/>
  <c r="T125" i="1"/>
  <c r="O125" i="1"/>
  <c r="T124" i="1"/>
  <c r="O124" i="1"/>
  <c r="T123" i="1"/>
  <c r="O123" i="1"/>
  <c r="T122" i="1"/>
  <c r="R122" i="1" s="1"/>
  <c r="T121" i="1"/>
  <c r="R121" i="1" s="1"/>
  <c r="T120" i="1"/>
  <c r="O120" i="1"/>
  <c r="T119" i="1"/>
  <c r="O119" i="1"/>
  <c r="T118" i="1"/>
  <c r="O118" i="1"/>
  <c r="T117" i="1"/>
  <c r="O117" i="1"/>
  <c r="T116" i="1"/>
  <c r="O116" i="1"/>
  <c r="T115" i="1"/>
  <c r="O115" i="1"/>
  <c r="T114" i="1"/>
  <c r="O114" i="1"/>
  <c r="T113" i="1"/>
  <c r="O113" i="1"/>
  <c r="T112" i="1"/>
  <c r="O112" i="1"/>
  <c r="T111" i="1"/>
  <c r="O111" i="1"/>
  <c r="T110" i="1"/>
  <c r="O110" i="1"/>
  <c r="T109" i="1"/>
  <c r="O109" i="1"/>
  <c r="T108" i="1"/>
  <c r="O108" i="1"/>
  <c r="T107" i="1"/>
  <c r="O107" i="1"/>
  <c r="T106" i="1"/>
  <c r="O106" i="1"/>
  <c r="T105" i="1"/>
  <c r="O105" i="1"/>
  <c r="T104" i="1"/>
  <c r="O104" i="1"/>
  <c r="T103" i="1"/>
  <c r="O103" i="1"/>
  <c r="T102" i="1"/>
  <c r="O102" i="1"/>
  <c r="T101" i="1"/>
  <c r="O101" i="1"/>
  <c r="T100" i="1"/>
  <c r="O100" i="1"/>
  <c r="T99" i="1"/>
  <c r="O99" i="1"/>
  <c r="T98" i="1"/>
  <c r="O98" i="1"/>
  <c r="T97" i="1"/>
  <c r="O97" i="1"/>
  <c r="T96" i="1"/>
  <c r="O96" i="1"/>
  <c r="T95" i="1"/>
  <c r="O95" i="1"/>
  <c r="T94" i="1"/>
  <c r="O94" i="1"/>
  <c r="T93" i="1"/>
  <c r="O93" i="1"/>
  <c r="T92" i="1"/>
  <c r="O92" i="1"/>
  <c r="T91" i="1"/>
  <c r="O91" i="1"/>
  <c r="T90" i="1"/>
  <c r="O90" i="1"/>
  <c r="T89" i="1"/>
  <c r="O89" i="1"/>
  <c r="T88" i="1"/>
  <c r="O88" i="1"/>
  <c r="T87" i="1"/>
  <c r="O87" i="1"/>
  <c r="T86" i="1"/>
  <c r="O86" i="1"/>
  <c r="T85" i="1"/>
  <c r="O85" i="1"/>
  <c r="T84" i="1"/>
  <c r="O84" i="1"/>
  <c r="T83" i="1"/>
  <c r="O83" i="1"/>
  <c r="T82" i="1"/>
  <c r="O82" i="1"/>
  <c r="T81" i="1"/>
  <c r="O81" i="1"/>
  <c r="T80" i="1"/>
  <c r="O80" i="1"/>
  <c r="T79" i="1"/>
  <c r="O79" i="1"/>
  <c r="T78" i="1"/>
  <c r="O78" i="1"/>
  <c r="T77" i="1"/>
  <c r="O77" i="1"/>
  <c r="T76" i="1"/>
  <c r="O76" i="1"/>
  <c r="T75" i="1"/>
  <c r="O75" i="1"/>
  <c r="T74" i="1"/>
  <c r="O74" i="1"/>
  <c r="T73" i="1"/>
  <c r="O73" i="1"/>
  <c r="T72" i="1"/>
  <c r="O72" i="1"/>
  <c r="T71" i="1"/>
  <c r="O71" i="1"/>
  <c r="T70" i="1"/>
  <c r="O70" i="1"/>
  <c r="T69" i="1"/>
  <c r="O69" i="1"/>
  <c r="T68" i="1"/>
  <c r="O68" i="1"/>
  <c r="T67" i="1"/>
  <c r="O67" i="1"/>
  <c r="T66" i="1"/>
  <c r="O66" i="1"/>
  <c r="T65" i="1"/>
  <c r="O65" i="1"/>
  <c r="T64" i="1"/>
  <c r="O64" i="1"/>
  <c r="T63" i="1"/>
  <c r="O63" i="1"/>
  <c r="T62" i="1"/>
  <c r="O62" i="1"/>
  <c r="T61" i="1"/>
  <c r="O61" i="1"/>
  <c r="T60" i="1"/>
  <c r="O60" i="1"/>
  <c r="T59" i="1"/>
  <c r="O59" i="1"/>
  <c r="T58" i="1"/>
  <c r="O58" i="1"/>
  <c r="T57" i="1"/>
  <c r="O57" i="1"/>
  <c r="T56" i="1"/>
  <c r="O56" i="1"/>
  <c r="T55" i="1"/>
  <c r="O55" i="1"/>
  <c r="T54" i="1"/>
  <c r="O54" i="1"/>
  <c r="T53" i="1"/>
  <c r="O53" i="1"/>
  <c r="T52" i="1"/>
  <c r="O52" i="1"/>
  <c r="T51" i="1"/>
  <c r="O51" i="1"/>
  <c r="T50" i="1"/>
  <c r="O50" i="1"/>
  <c r="T49" i="1"/>
  <c r="O49" i="1"/>
  <c r="T48" i="1"/>
  <c r="O48" i="1"/>
  <c r="T47" i="1"/>
  <c r="O47" i="1"/>
  <c r="T46" i="1"/>
  <c r="O46" i="1"/>
  <c r="T45" i="1"/>
  <c r="O45" i="1"/>
  <c r="T44" i="1"/>
  <c r="O44" i="1"/>
  <c r="T43" i="1"/>
  <c r="O43" i="1"/>
  <c r="T42" i="1"/>
  <c r="O42" i="1"/>
  <c r="T41" i="1"/>
  <c r="O41" i="1"/>
  <c r="T40" i="1"/>
  <c r="O40" i="1"/>
  <c r="T39" i="1"/>
  <c r="O39" i="1"/>
  <c r="T38" i="1"/>
  <c r="O38" i="1"/>
  <c r="T37" i="1"/>
  <c r="O37" i="1"/>
  <c r="T36" i="1"/>
  <c r="O36" i="1"/>
  <c r="T35" i="1"/>
  <c r="O35" i="1"/>
  <c r="T34" i="1"/>
  <c r="O34" i="1"/>
  <c r="T33" i="1"/>
  <c r="O33" i="1"/>
  <c r="T32" i="1"/>
  <c r="O32" i="1"/>
  <c r="T31" i="1"/>
  <c r="O31" i="1"/>
  <c r="T30" i="1"/>
  <c r="O30" i="1"/>
  <c r="T29" i="1"/>
  <c r="O29" i="1"/>
  <c r="T28" i="1"/>
  <c r="O28" i="1"/>
  <c r="T27" i="1"/>
  <c r="O27" i="1"/>
  <c r="T26" i="1"/>
  <c r="O26" i="1"/>
  <c r="T25" i="1"/>
  <c r="O25" i="1"/>
  <c r="T24" i="1"/>
  <c r="O24" i="1"/>
  <c r="T23" i="1"/>
  <c r="O23" i="1"/>
  <c r="T22" i="1"/>
  <c r="O22" i="1"/>
  <c r="T21" i="1"/>
  <c r="O21" i="1"/>
  <c r="T20" i="1"/>
  <c r="O20" i="1"/>
  <c r="T19" i="1"/>
  <c r="O19" i="1"/>
  <c r="T18" i="1"/>
  <c r="O18" i="1"/>
  <c r="T17" i="1"/>
  <c r="O17" i="1"/>
  <c r="T16" i="1"/>
  <c r="O16" i="1"/>
  <c r="T15" i="1"/>
  <c r="O15" i="1"/>
  <c r="T14" i="1"/>
  <c r="O14" i="1"/>
  <c r="T13" i="1"/>
  <c r="O13" i="1"/>
  <c r="T12" i="1"/>
  <c r="O12" i="1"/>
  <c r="T11" i="1"/>
  <c r="O11" i="1"/>
  <c r="T10" i="1"/>
  <c r="O10" i="1"/>
  <c r="T9" i="1"/>
  <c r="O9" i="1"/>
  <c r="T8" i="1"/>
  <c r="O8" i="1"/>
  <c r="T7" i="1"/>
  <c r="O7" i="1"/>
  <c r="T6" i="1"/>
  <c r="O6" i="1"/>
  <c r="T5" i="1"/>
  <c r="O5" i="1"/>
  <c r="T4" i="1"/>
  <c r="O4" i="1"/>
  <c r="T3" i="1"/>
  <c r="O3" i="1"/>
  <c r="T2" i="1"/>
  <c r="O2" i="1"/>
  <c r="M4" i="5" l="1"/>
  <c r="N4" i="5" s="1"/>
  <c r="C16" i="3"/>
  <c r="S3" i="3" s="1"/>
  <c r="R142" i="1"/>
  <c r="R144" i="1"/>
  <c r="R146" i="1"/>
  <c r="R148" i="1"/>
  <c r="R150" i="1"/>
  <c r="R152" i="1"/>
  <c r="R154" i="1"/>
  <c r="R124" i="1"/>
  <c r="R126" i="1"/>
  <c r="R128" i="1"/>
  <c r="R130" i="1"/>
  <c r="R132" i="1"/>
  <c r="R134" i="1"/>
  <c r="R136" i="1"/>
  <c r="R138" i="1"/>
  <c r="R141" i="1"/>
  <c r="R143" i="1"/>
  <c r="R145" i="1"/>
  <c r="R147" i="1"/>
  <c r="R149" i="1"/>
  <c r="R151" i="1"/>
  <c r="R153" i="1"/>
  <c r="R155" i="1"/>
  <c r="R164" i="1"/>
  <c r="R125" i="1"/>
  <c r="R129" i="1"/>
  <c r="R133" i="1"/>
  <c r="R139" i="1"/>
  <c r="R123" i="1"/>
  <c r="R127" i="1"/>
  <c r="R131" i="1"/>
  <c r="R135" i="1"/>
  <c r="R137" i="1"/>
  <c r="R34" i="1"/>
  <c r="R4" i="1"/>
  <c r="R8" i="1"/>
  <c r="R12" i="1"/>
  <c r="R16" i="1"/>
  <c r="R20" i="1"/>
  <c r="R24" i="1"/>
  <c r="R28" i="1"/>
  <c r="R32" i="1"/>
  <c r="R2" i="1"/>
  <c r="R6" i="1"/>
  <c r="R10" i="1"/>
  <c r="R14" i="1"/>
  <c r="R18" i="1"/>
  <c r="R22" i="1"/>
  <c r="R26" i="1"/>
  <c r="R30" i="1"/>
  <c r="R3" i="1"/>
  <c r="R5" i="1"/>
  <c r="R7" i="1"/>
  <c r="R36" i="1"/>
  <c r="R38" i="1"/>
  <c r="R40" i="1"/>
  <c r="R42" i="1"/>
  <c r="R44" i="1"/>
  <c r="R46" i="1"/>
  <c r="R48" i="1"/>
  <c r="R50" i="1"/>
  <c r="R52" i="1"/>
  <c r="R54" i="1"/>
  <c r="R56" i="1"/>
  <c r="R58" i="1"/>
  <c r="R60" i="1"/>
  <c r="R62" i="1"/>
  <c r="R64" i="1"/>
  <c r="R66" i="1"/>
  <c r="R68" i="1"/>
  <c r="R70" i="1"/>
  <c r="R72" i="1"/>
  <c r="R74" i="1"/>
  <c r="R76" i="1"/>
  <c r="R78" i="1"/>
  <c r="R80" i="1"/>
  <c r="R82" i="1"/>
  <c r="R84" i="1"/>
  <c r="R86" i="1"/>
  <c r="R88" i="1"/>
  <c r="R90" i="1"/>
  <c r="R92" i="1"/>
  <c r="R94" i="1"/>
  <c r="R96" i="1"/>
  <c r="R98" i="1"/>
  <c r="R100" i="1"/>
  <c r="R102" i="1"/>
  <c r="R104" i="1"/>
  <c r="R106" i="1"/>
  <c r="R108" i="1"/>
  <c r="R110" i="1"/>
  <c r="R112" i="1"/>
  <c r="R114" i="1"/>
  <c r="R116" i="1"/>
  <c r="R118" i="1"/>
  <c r="R120" i="1"/>
  <c r="R165" i="1"/>
  <c r="R167" i="1"/>
  <c r="R169" i="1"/>
  <c r="R171" i="1"/>
  <c r="R173" i="1"/>
  <c r="R175" i="1"/>
  <c r="R177" i="1"/>
  <c r="R179" i="1"/>
  <c r="R181" i="1"/>
  <c r="R183" i="1"/>
  <c r="R185" i="1"/>
  <c r="R187" i="1"/>
  <c r="R189" i="1"/>
  <c r="R191" i="1"/>
  <c r="R193" i="1"/>
  <c r="R195" i="1"/>
  <c r="R197" i="1"/>
  <c r="R199" i="1"/>
  <c r="R201" i="1"/>
  <c r="R203" i="1"/>
  <c r="R205" i="1"/>
  <c r="R207" i="1"/>
  <c r="R209" i="1"/>
  <c r="R211" i="1"/>
  <c r="R213" i="1"/>
  <c r="R215" i="1"/>
  <c r="R217" i="1"/>
  <c r="R219" i="1"/>
  <c r="R221" i="1"/>
  <c r="R9" i="1"/>
  <c r="R11" i="1"/>
  <c r="R13" i="1"/>
  <c r="R15" i="1"/>
  <c r="R17" i="1"/>
  <c r="R19" i="1"/>
  <c r="R21" i="1"/>
  <c r="R23" i="1"/>
  <c r="R25" i="1"/>
  <c r="R27" i="1"/>
  <c r="R29" i="1"/>
  <c r="R31" i="1"/>
  <c r="R33" i="1"/>
  <c r="R35" i="1"/>
  <c r="R37" i="1"/>
  <c r="R39" i="1"/>
  <c r="R41" i="1"/>
  <c r="R43" i="1"/>
  <c r="R45" i="1"/>
  <c r="R47" i="1"/>
  <c r="R49" i="1"/>
  <c r="R51" i="1"/>
  <c r="R53" i="1"/>
  <c r="R55" i="1"/>
  <c r="R57" i="1"/>
  <c r="R59" i="1"/>
  <c r="R61" i="1"/>
  <c r="R63" i="1"/>
  <c r="R65" i="1"/>
  <c r="R67" i="1"/>
  <c r="R69" i="1"/>
  <c r="R71" i="1"/>
  <c r="R73" i="1"/>
  <c r="R75" i="1"/>
  <c r="R77" i="1"/>
  <c r="R79" i="1"/>
  <c r="R81" i="1"/>
  <c r="R83" i="1"/>
  <c r="R85" i="1"/>
  <c r="R87" i="1"/>
  <c r="R89" i="1"/>
  <c r="R91" i="1"/>
  <c r="R93" i="1"/>
  <c r="R95" i="1"/>
  <c r="R97" i="1"/>
  <c r="R99" i="1"/>
  <c r="R101" i="1"/>
  <c r="R103" i="1"/>
  <c r="R105" i="1"/>
  <c r="R107" i="1"/>
  <c r="R109" i="1"/>
  <c r="R111" i="1"/>
  <c r="R113" i="1"/>
  <c r="R115" i="1"/>
  <c r="R117" i="1"/>
  <c r="R119" i="1"/>
  <c r="R156" i="1"/>
  <c r="R166" i="1"/>
  <c r="R168" i="1"/>
  <c r="R170" i="1"/>
  <c r="R172" i="1"/>
  <c r="R174" i="1"/>
  <c r="R176" i="1"/>
  <c r="R178" i="1"/>
  <c r="R180" i="1"/>
  <c r="R182" i="1"/>
  <c r="R184" i="1"/>
  <c r="R186" i="1"/>
  <c r="R188" i="1"/>
  <c r="R190" i="1"/>
  <c r="R192" i="1"/>
  <c r="R194" i="1"/>
  <c r="R196" i="1"/>
  <c r="R198" i="1"/>
  <c r="R200" i="1"/>
  <c r="R202" i="1"/>
  <c r="R204" i="1"/>
  <c r="R206" i="1"/>
  <c r="R208" i="1"/>
  <c r="R210" i="1"/>
  <c r="R212" i="1"/>
  <c r="R214" i="1"/>
  <c r="R216" i="1"/>
  <c r="R218" i="1"/>
  <c r="R220" i="1"/>
  <c r="R163" i="1"/>
  <c r="R162" i="1"/>
  <c r="R161" i="1"/>
  <c r="R160" i="1"/>
  <c r="R159" i="1"/>
  <c r="R158" i="1"/>
  <c r="R157" i="1"/>
  <c r="M16" i="3"/>
  <c r="AC6" i="3" s="1"/>
  <c r="H16" i="3"/>
  <c r="X4" i="3" s="1"/>
  <c r="G16" i="3"/>
  <c r="F16" i="3"/>
  <c r="V4" i="3" s="1"/>
  <c r="L16" i="3"/>
  <c r="AB4" i="3" s="1"/>
  <c r="K16" i="3"/>
  <c r="AA4" i="3" s="1"/>
  <c r="J16" i="3"/>
  <c r="Z4" i="3" s="1"/>
  <c r="I16" i="3"/>
  <c r="Y6" i="3" s="1"/>
  <c r="E16" i="3"/>
  <c r="U5" i="3" s="1"/>
  <c r="D16" i="3"/>
  <c r="T5" i="3" s="1"/>
  <c r="M11" i="5"/>
  <c r="N11" i="5" s="1"/>
  <c r="M7" i="5"/>
  <c r="N7" i="5" s="1"/>
  <c r="M15" i="5"/>
  <c r="N15" i="5" s="1"/>
  <c r="M5" i="5"/>
  <c r="N5" i="5" s="1"/>
  <c r="M13" i="5"/>
  <c r="N13" i="5" s="1"/>
  <c r="M9" i="5"/>
  <c r="N9" i="5" s="1"/>
  <c r="M16" i="5"/>
  <c r="N16" i="5" s="1"/>
  <c r="M6" i="5"/>
  <c r="N6" i="5" s="1"/>
  <c r="M8" i="5"/>
  <c r="N8" i="5" s="1"/>
  <c r="M10" i="5"/>
  <c r="N10" i="5" s="1"/>
  <c r="M12" i="5"/>
  <c r="N12" i="5" s="1"/>
  <c r="M14" i="5"/>
  <c r="N14" i="5" s="1"/>
  <c r="O4" i="5" l="1"/>
  <c r="M20" i="5"/>
  <c r="N20" i="5" s="1"/>
  <c r="S12" i="3"/>
  <c r="S4" i="3"/>
  <c r="S5" i="3"/>
  <c r="AA5" i="3"/>
  <c r="Y11" i="3"/>
  <c r="Y7" i="3"/>
  <c r="Y10" i="3"/>
  <c r="U3" i="3"/>
  <c r="AB5" i="3"/>
  <c r="AB3" i="3"/>
  <c r="AA3" i="3"/>
  <c r="AA6" i="3"/>
  <c r="Z8" i="3"/>
  <c r="Z5" i="3"/>
  <c r="Z9" i="3"/>
  <c r="Z3" i="3"/>
  <c r="Z7" i="3"/>
  <c r="Z6" i="3"/>
  <c r="Z10" i="3"/>
  <c r="Y4" i="3"/>
  <c r="Y5" i="3"/>
  <c r="Y3" i="3"/>
  <c r="Y13" i="3"/>
  <c r="Y12" i="3"/>
  <c r="Y14" i="3"/>
  <c r="Y8" i="3"/>
  <c r="Y9" i="3"/>
  <c r="X3" i="3"/>
  <c r="W3" i="3"/>
  <c r="W8" i="3"/>
  <c r="W7" i="3"/>
  <c r="W4" i="3"/>
  <c r="W6" i="3"/>
  <c r="W5" i="3"/>
  <c r="V3" i="3"/>
  <c r="U4" i="3"/>
  <c r="T3" i="3"/>
  <c r="T6" i="3"/>
  <c r="T4" i="3"/>
  <c r="S10" i="3"/>
  <c r="S11" i="3"/>
  <c r="S9" i="3"/>
  <c r="S7" i="3"/>
  <c r="S6" i="3"/>
  <c r="S8" i="3"/>
  <c r="AC4" i="3"/>
  <c r="AC5" i="3"/>
  <c r="AC3" i="3"/>
  <c r="AC7" i="3"/>
  <c r="M42" i="5"/>
  <c r="N42" i="5" s="1"/>
  <c r="M40" i="5"/>
  <c r="N40" i="5" s="1"/>
  <c r="M38" i="5"/>
  <c r="N38" i="5" s="1"/>
  <c r="M36" i="5"/>
  <c r="N36" i="5" s="1"/>
  <c r="M34" i="5"/>
  <c r="N34" i="5" s="1"/>
  <c r="M32" i="5"/>
  <c r="N32" i="5" s="1"/>
  <c r="M30" i="5"/>
  <c r="N30" i="5" s="1"/>
  <c r="M28" i="5"/>
  <c r="N28" i="5" s="1"/>
  <c r="M26" i="5"/>
  <c r="N26" i="5" s="1"/>
  <c r="M24" i="5"/>
  <c r="N24" i="5" s="1"/>
  <c r="M22" i="5"/>
  <c r="N22" i="5" s="1"/>
  <c r="M41" i="5"/>
  <c r="N41" i="5" s="1"/>
  <c r="M39" i="5"/>
  <c r="N39" i="5" s="1"/>
  <c r="M37" i="5"/>
  <c r="N37" i="5" s="1"/>
  <c r="M35" i="5"/>
  <c r="N35" i="5" s="1"/>
  <c r="M33" i="5"/>
  <c r="N33" i="5" s="1"/>
  <c r="M31" i="5"/>
  <c r="N31" i="5" s="1"/>
  <c r="M29" i="5"/>
  <c r="N29" i="5" s="1"/>
  <c r="M27" i="5"/>
  <c r="N27" i="5" s="1"/>
  <c r="M25" i="5"/>
  <c r="N25" i="5" s="1"/>
  <c r="M23" i="5"/>
  <c r="N23" i="5" s="1"/>
  <c r="M21" i="5"/>
  <c r="N21" i="5" s="1"/>
  <c r="O20" i="5" l="1"/>
</calcChain>
</file>

<file path=xl/sharedStrings.xml><?xml version="1.0" encoding="utf-8"?>
<sst xmlns="http://schemas.openxmlformats.org/spreadsheetml/2006/main" count="12324" uniqueCount="2082">
  <si>
    <t>מספר סידורי</t>
  </si>
  <si>
    <t>ת.ז</t>
  </si>
  <si>
    <t>שלב</t>
  </si>
  <si>
    <t>סוג פגיעה</t>
  </si>
  <si>
    <t>אופי הפגיעה</t>
  </si>
  <si>
    <t>תדירות הפגיעה</t>
  </si>
  <si>
    <t>סוג מתקן</t>
  </si>
  <si>
    <t>שיטת טיפול</t>
  </si>
  <si>
    <t>דחיפות טיפול</t>
  </si>
  <si>
    <t>מועד הפגיעה</t>
  </si>
  <si>
    <t>קבלה</t>
  </si>
  <si>
    <t>סימולציה</t>
  </si>
  <si>
    <t>סימון</t>
  </si>
  <si>
    <t>מרשם</t>
  </si>
  <si>
    <t>תכנון</t>
  </si>
  <si>
    <t>בקרת איכות</t>
  </si>
  <si>
    <t>לפני טיפול</t>
  </si>
  <si>
    <t>מהלך טיפול</t>
  </si>
  <si>
    <t>מעקב</t>
  </si>
  <si>
    <t>אחר</t>
  </si>
  <si>
    <t>מקרה בטיחות</t>
  </si>
  <si>
    <t>כמעט נפגע</t>
  </si>
  <si>
    <t>נפגע</t>
  </si>
  <si>
    <t>ללא נפגעים</t>
  </si>
  <si>
    <t>נפגע יחיד</t>
  </si>
  <si>
    <t>נפגעים מרובים</t>
  </si>
  <si>
    <t>חד פעמי</t>
  </si>
  <si>
    <t>רב פעמי</t>
  </si>
  <si>
    <t>תקלה טכנית</t>
  </si>
  <si>
    <t>טעות אנוש</t>
  </si>
  <si>
    <t>תרבות עבודה</t>
  </si>
  <si>
    <t>תקשורת</t>
  </si>
  <si>
    <t>נהל עבודה</t>
  </si>
  <si>
    <t>מאיץ1/מאיץ2</t>
  </si>
  <si>
    <t>מאיץ3</t>
  </si>
  <si>
    <t>מאיץ4/מאיץ5</t>
  </si>
  <si>
    <t>טיפול מגע</t>
  </si>
  <si>
    <t>טיפול תוך ניתוחי</t>
  </si>
  <si>
    <t>פלאק</t>
  </si>
  <si>
    <t>ברכיתרפיה</t>
  </si>
  <si>
    <t>חדר אחות</t>
  </si>
  <si>
    <t>חדר רופא</t>
  </si>
  <si>
    <t>אזור קבלה ומסדרון</t>
  </si>
  <si>
    <t>3D</t>
  </si>
  <si>
    <t>IMRT</t>
  </si>
  <si>
    <t>SBRT</t>
  </si>
  <si>
    <t>SRS\SRT</t>
  </si>
  <si>
    <t>TSET</t>
  </si>
  <si>
    <t>סימון קליני</t>
  </si>
  <si>
    <t>תיק דחוף</t>
  </si>
  <si>
    <t>תיק מהיר</t>
  </si>
  <si>
    <t>תיק רגיל</t>
  </si>
  <si>
    <t>פרמטרים תומכים</t>
  </si>
  <si>
    <t>ללא</t>
  </si>
  <si>
    <t>פרמטר יחיד</t>
  </si>
  <si>
    <t>יותר מפרמטר אחד</t>
  </si>
  <si>
    <t>מסקנות</t>
  </si>
  <si>
    <t>ללא שינוי</t>
  </si>
  <si>
    <t>חידוד נהל קיים</t>
  </si>
  <si>
    <t>שינוי נוהל קיים</t>
  </si>
  <si>
    <t>כתיבת נהל חדש</t>
  </si>
  <si>
    <t>המשך חקירת ארוע</t>
  </si>
  <si>
    <t>חומרת מקרה</t>
  </si>
  <si>
    <t>לא ישים</t>
  </si>
  <si>
    <t>Reception</t>
  </si>
  <si>
    <t>Simulation</t>
  </si>
  <si>
    <t>Countouring</t>
  </si>
  <si>
    <t>Prescription</t>
  </si>
  <si>
    <t>Planning</t>
  </si>
  <si>
    <t>Quality Check</t>
  </si>
  <si>
    <t>Before Tx</t>
  </si>
  <si>
    <t>During Tx</t>
  </si>
  <si>
    <t>Follow up</t>
  </si>
  <si>
    <t>Other</t>
  </si>
  <si>
    <t>Unsafe condition</t>
  </si>
  <si>
    <t>Near miss</t>
  </si>
  <si>
    <t>Happened to patinet</t>
  </si>
  <si>
    <t>No injury</t>
  </si>
  <si>
    <t>Injury of single patient</t>
  </si>
  <si>
    <t>Multiple patients injured</t>
  </si>
  <si>
    <t>One time event</t>
  </si>
  <si>
    <t>Repeated event</t>
  </si>
  <si>
    <t>Technical error</t>
  </si>
  <si>
    <t>Human error</t>
  </si>
  <si>
    <t>Work culture</t>
  </si>
  <si>
    <t>Communication</t>
  </si>
  <si>
    <t>Work proccedure</t>
  </si>
  <si>
    <t>Linac 1 or 2</t>
  </si>
  <si>
    <t>Linac 3</t>
  </si>
  <si>
    <t>Linac 4 or 5</t>
  </si>
  <si>
    <t>Contact Tx</t>
  </si>
  <si>
    <t>Intraoperative Tx</t>
  </si>
  <si>
    <t>Plaque</t>
  </si>
  <si>
    <t>Brachytherapy</t>
  </si>
  <si>
    <t>Nurses Area</t>
  </si>
  <si>
    <t>Physician area</t>
  </si>
  <si>
    <t>None</t>
  </si>
  <si>
    <t xml:space="preserve">Recption and corridors </t>
  </si>
  <si>
    <t>Clinical setup</t>
  </si>
  <si>
    <t>Emergent Tx</t>
  </si>
  <si>
    <t>Urgent Tx (1-3 days)</t>
  </si>
  <si>
    <t>Routine Tx</t>
  </si>
  <si>
    <t>Single factor</t>
  </si>
  <si>
    <t>Multiple factors</t>
  </si>
  <si>
    <t>No change</t>
  </si>
  <si>
    <t>Clarification/ reinforcement of policy</t>
  </si>
  <si>
    <t>Change in existing policy</t>
  </si>
  <si>
    <t>Write new policy</t>
  </si>
  <si>
    <t>Continue investigation</t>
  </si>
  <si>
    <t>NA</t>
  </si>
  <si>
    <t>פגיעה עקרית</t>
  </si>
  <si>
    <t>מנהלי</t>
  </si>
  <si>
    <t>נהל חדש</t>
  </si>
  <si>
    <t>חומרה דוזימטרית</t>
  </si>
  <si>
    <t>חומרה רפואית</t>
  </si>
  <si>
    <t>לא נפגע</t>
  </si>
  <si>
    <t>תופעת לוואי חולפת ללא התערבות רפואית</t>
  </si>
  <si>
    <t>תופעת לוואי חולפת עם התערבות רפואית</t>
  </si>
  <si>
    <t>תופעת לוואי חולפת משמעותית</t>
  </si>
  <si>
    <t>נכות קבועה קלה</t>
  </si>
  <si>
    <t>נכות קבועה קשה</t>
  </si>
  <si>
    <t>אירוע מסכן חיים</t>
  </si>
  <si>
    <t>מוות מוקדם</t>
  </si>
  <si>
    <t>לא רלוונטי</t>
  </si>
  <si>
    <t>ערך</t>
  </si>
  <si>
    <t>מועד פגיעה</t>
  </si>
  <si>
    <t>עבודת בוקר</t>
  </si>
  <si>
    <t>עבודת ערב</t>
  </si>
  <si>
    <t>מועד דיווח</t>
  </si>
  <si>
    <t>date</t>
  </si>
  <si>
    <t>#of reports</t>
  </si>
  <si>
    <t>חומרה כוללת</t>
  </si>
  <si>
    <t>שכיחות</t>
  </si>
  <si>
    <t>product</t>
  </si>
  <si>
    <t>1Q15</t>
  </si>
  <si>
    <t>2Q15</t>
  </si>
  <si>
    <t>3Q15</t>
  </si>
  <si>
    <t>4Q15</t>
  </si>
  <si>
    <t>1Q16</t>
  </si>
  <si>
    <t>2Q16</t>
  </si>
  <si>
    <t>3Q16</t>
  </si>
  <si>
    <t>4Q16</t>
  </si>
  <si>
    <t>1Q17</t>
  </si>
  <si>
    <t>2Q17</t>
  </si>
  <si>
    <t>3Q17</t>
  </si>
  <si>
    <t>4Q17</t>
  </si>
  <si>
    <t>1Q18</t>
  </si>
  <si>
    <t>חומרת דיווח מלא</t>
  </si>
  <si>
    <t>חומרה כוללת מלא</t>
  </si>
  <si>
    <t>TBI</t>
  </si>
  <si>
    <t>תקציר מקרה</t>
  </si>
  <si>
    <t>טיפול ברכי ברונכוס, קטטר נחתך - היה קצר מדי ולא ניתן לטפל</t>
  </si>
  <si>
    <t>תכנון ברונכוס ללא תיאום עם פיזיקה</t>
  </si>
  <si>
    <t>תיאום בין קמליון לאריה</t>
  </si>
  <si>
    <t>מרשם לא ברור</t>
  </si>
  <si>
    <t>הוקרן פעמיים שדה של קונטקט</t>
  </si>
  <si>
    <t>אי עמידה בזמנים, העברת התיק לחישוב התבצעה באיחור</t>
  </si>
  <si>
    <t xml:space="preserve">תכנון טיפול ללא שיבוץ של מועד ומאיץ </t>
  </si>
  <si>
    <t xml:space="preserve">אי עמידה בזמנים, הגעת התיק לחישוב קרוב מדי למועד הטיפול, SBRT </t>
  </si>
  <si>
    <t>אי עמידה בזמנים, הגעת התיק לחישוב קרוב מדי למועד הטיפול, פרוסטטה</t>
  </si>
  <si>
    <t>אי שיבוץ מועד ומאיץ, הגעת המטופל (ילד) ללא תיק מתוכנן.</t>
  </si>
  <si>
    <t>תקלה MLC, טיפול לא הושלם.</t>
  </si>
  <si>
    <t xml:space="preserve">סימון שגוי שהוביל לתכנון שגוי, צד לא נכון (שמאל במקום ימין), </t>
  </si>
  <si>
    <t>המתנה ארוכה לתחילת טיפול, מחסור בציוד, לא היה קיים מגנט לקוצב לב ודפיברילטור לצורך טיפול.</t>
  </si>
  <si>
    <t>מחסור במידע בקבלת החולה, מחסור במסמכים ואישור של קוצבים, מטופל הורד מהשולחן</t>
  </si>
  <si>
    <t>סריקה CT לא איכותית, סריקה של 5 מ"מ ברזולוציה לא טובה</t>
  </si>
  <si>
    <t>הכנסת SU עם סיבוב מיטה</t>
  </si>
  <si>
    <t>טיפול קונטקט שגוי, הכנת פרטים במכשיר שגויה לא בהתאם למרשם הרופא</t>
  </si>
  <si>
    <t>2Q18</t>
  </si>
  <si>
    <t>3Q18</t>
  </si>
  <si>
    <t>4Q18</t>
  </si>
  <si>
    <t>1Q19</t>
  </si>
  <si>
    <t>2Q19</t>
  </si>
  <si>
    <t>מניעת פגיעה במיטה, הורדת מטופלת לאחר שנבדק אם ניתן לטפל בשדה PA</t>
  </si>
  <si>
    <t>אי עמידה בזמנים, תיק פליאציה לא מוכן</t>
  </si>
  <si>
    <t>רישום לא תקין של אזור הטיפול, צד נגדי</t>
  </si>
  <si>
    <t>טיפול לפני סיום הצילומים והזזות</t>
  </si>
  <si>
    <t>דוח רבעוני, אי יכולת לעמוד בזמנים</t>
  </si>
  <si>
    <t>ברכיתרפיה, הבדל בזמן הטיפול, תזוזת המטופלת/קרבת המתקן למטופלת</t>
  </si>
  <si>
    <t>קונטקט, טיפול לא נרשם, קבלת מנה נוספת</t>
  </si>
  <si>
    <t>סגירת דלת לפני יציאת כל אנשי הצוות</t>
  </si>
  <si>
    <t xml:space="preserve">רישום מרכז לא ברור בסימולציה </t>
  </si>
  <si>
    <t>מרשם לא תקין</t>
  </si>
  <si>
    <t>קוצב לב, היעדר תיעוד</t>
  </si>
  <si>
    <t>גלאי הברכי תעד קרינה ללא קרינה בפועל</t>
  </si>
  <si>
    <t>אינטרלוק ב-FIF</t>
  </si>
  <si>
    <t>רישום אביזר לא נכון, טיפול נכון</t>
  </si>
  <si>
    <t>תחילת טיפול ללא צילום, 2 טיפולים ראשונים</t>
  </si>
  <si>
    <t>היעדר תיעוד ורישום למרכזי הטיפול</t>
  </si>
  <si>
    <t>אי עמידה בזמנים, תיק לא מוכן</t>
  </si>
  <si>
    <t>היעדר העברת מידע על שינוי מרכז</t>
  </si>
  <si>
    <t>אי עמידה בזמנים, טיפול לא מוכן</t>
  </si>
  <si>
    <t>היעדר מגן שיניים, סימולציה חוזרת, טיפול חדש לאחר קבלת מספר טיפולים</t>
  </si>
  <si>
    <t>היעדר מתן הוראות נשימה</t>
  </si>
  <si>
    <t>טיפול בתוכנית של אדם אחר, סידור לקוי של מספר תכניות.</t>
  </si>
  <si>
    <t>מתן שתי תכניות בו זמנית למרות הצורך בפיצולן</t>
  </si>
  <si>
    <t>רישום לקוי, היעדר תיעוד במערכת ה-ARIA</t>
  </si>
  <si>
    <t>חפיפה בין השדות,</t>
  </si>
  <si>
    <t>מתן טיפול בהיעדר מרשם, מתן טיפול עם מנה גבוהה מהרצוי</t>
  </si>
  <si>
    <t>טיפול חוזר עם היעדר מרשם עדכני</t>
  </si>
  <si>
    <t>תיק ללא אישורים מספקים</t>
  </si>
  <si>
    <t>מתן טיפול באופן שגוי - טיפול Gating עם גבולות הפוכים.</t>
  </si>
  <si>
    <t xml:space="preserve">תכנון מספר פרקציות שגוי. </t>
  </si>
  <si>
    <t>שגיאת Care Path מנעה מהתיק להגיע לתכנון</t>
  </si>
  <si>
    <t>סימון מוגזם. חתך בודד מרוחק של PTV נשאר לאחר מחיקה של רופא ונשאר לחישוב.</t>
  </si>
  <si>
    <t>תיק לא מוכן.</t>
  </si>
  <si>
    <t>רישום לקוי בקמליון. למרות הבחנה לצד ימין, נרשם פרוטוקול קרינה לשמאל וכן הסכמה לטיפול לשמאל.</t>
  </si>
  <si>
    <t>חבלה פיזית בעין ימין ממעקה במלתחות.</t>
  </si>
  <si>
    <t>תיק ללא אישורים מספקים.</t>
  </si>
  <si>
    <t>מתן טיפול באופן שגוי - TBI ללא בולוס (מילר) ב PA.</t>
  </si>
  <si>
    <t>מתן טיפול באופן שגוי - טיפול לא שימוש במנג'טה, התגלה בפרקציה 7.</t>
  </si>
  <si>
    <t>מתן טיפול באופן שגוי - מטופלת קבלה טיפול SBRT ללא Align-RT</t>
  </si>
  <si>
    <t xml:space="preserve">מטופלת נשכחה בחדר המאיץ </t>
  </si>
  <si>
    <t>שגיאת care path. שימוש ב care path של 3D ולא פליאציה. תיק לא היה מוכן בזמן</t>
  </si>
  <si>
    <t>מסקנות ישיבה</t>
  </si>
  <si>
    <t>תכנון שגוי - תוכנן על CT ישן.</t>
  </si>
  <si>
    <t>מטופל הגיע לא במועד- מטופל SBRT הגיע יום אחרי לטיפול</t>
  </si>
  <si>
    <t>פיזיקאי יהי נוכח ב TBI</t>
  </si>
  <si>
    <t>דימה יבדוק אם אפשר להוסיף לשם של הסריקה באריה נתונים כגון תאריך.</t>
  </si>
  <si>
    <t>דימה וענת ינסו להתאים תמונות SETUP לתצוגה באריה</t>
  </si>
  <si>
    <t>נייצר דו"ח טיפולים שיינתן למטופל בטיפול הראשון</t>
  </si>
  <si>
    <t>רענון הנוהל</t>
  </si>
  <si>
    <t>יש להוסיף patient alert ע"י הפיזיקאי המתכנן</t>
  </si>
  <si>
    <t xml:space="preserve">העברת מידע- סימון עניים ועצבי ריאה הועברו באופן שגוי מbrain lab לeclipse  </t>
  </si>
  <si>
    <t>מרשם שגוי - הגבלות לא מתאים לFSR</t>
  </si>
  <si>
    <t xml:space="preserve">מתן טיפול באופן שגוי - מטופלת קבלה טיפול FSR ללא Exact Track </t>
  </si>
  <si>
    <t>שגיאה בזיהוי מטופל - סריקה של מטופל של לימפומה צוואר. כאשר הסריקה נמשכה לאריה התגלה שבוצעה סריקה על שם המטופל הקודם</t>
  </si>
  <si>
    <t>לא ניתן לוודא מרכז טיפול - לא ניתן היה לצלם את שדה הטיפול ולא ניתן היה לראות את המטרה בארק דינאמי.</t>
  </si>
  <si>
    <t>מתן טיפול באופן שגוי - סימון קליני אלקטרונים חושב למנה של 2.5Gy במקום למנה של 2Gy הבדל של מנה אסולוטית 2.5% לכל הטיפול.</t>
  </si>
  <si>
    <t>העברת מידע- מטופל הורד מהמחלקה לצורך קבלת טיפול. הצוות המטפל לא ידע שהועבר הוראה לא לטפל עד קבלת פטולוגיה.</t>
  </si>
  <si>
    <t>מרשם שגוי - שם המרשם FSR Brain נרשם לאיזור טיפול D10.</t>
  </si>
  <si>
    <t>מרשם שגוי - צד מרשם שגוי Lt Pelvic Node במקום Rt.</t>
  </si>
  <si>
    <t>מתן טיפול באופן שגוי - סימון קליני פוטונים חושב למנה של 2Gy במקום למנה של 4Gy הבדל של מנה אסולוטית 50% לפרקציה. קיבלה השלמה לשארית הטיפול.</t>
  </si>
  <si>
    <t>כמעט ניתן טיפול שגוי - למטופל 4 מוקדים SBRT הניתנים 2 בשבוע. ע"פ תכנון יקבל 2 מוקדים בכל פרקציה לסרוגין. קיבל שיבוץ רגיל כך שבין טיפולים לכל מוקד יכול לעבור כשבוע לפני מתן הטיפול הבא.</t>
  </si>
  <si>
    <t>כמעט סימון שגוי - בבדיקת מקרה SBRT לתחילת השבוע נתגלו בעיות בסימון ומרשם של המקרה. בוצע חישוב חדש.</t>
  </si>
  <si>
    <t>יש לבדוק תוכנית בפיזיקה ולא לחתום על מנה עודפת. יש צורך לכתוב נוהל RTT QA + CHECKLIST</t>
  </si>
  <si>
    <t>יש לגלות אחריות אישית - חידוד נוהל קיים.</t>
  </si>
  <si>
    <t>סריקת CT לא תקינה - מטופל שוכב על הבטן, נסרק עם מאפיינים של שכיבה על הגב</t>
  </si>
  <si>
    <t>יש לבדוק את כל הפרמטרים לפני סריקת המטופל. חידוד נוהל קיים</t>
  </si>
  <si>
    <t>יש לוודא בסימולציה שהשדה והסימונים על אותה סריקה. שינוי שיטה של קביעת מרכז.</t>
  </si>
  <si>
    <t>תיעוד לא תקין - הוזנו נתונים של מטופל אחר לקמליון עבור טיפול קונטקט.</t>
  </si>
  <si>
    <t>ענת תבדוק את פרטי המקרה מול הרנטגנאים. חידוד נוהל קיים.</t>
  </si>
  <si>
    <t>יש לכתוב מרשם לכל תוכנית. חידוד נוהל.</t>
  </si>
  <si>
    <t>מתן טיפול באופן שגוי -  בטיפול הראשון גם הטיפול וגם הבוסט עלו - הצוות התבקש לחתום על daily dose כפול וניתן וטיפול כפול.</t>
  </si>
  <si>
    <t>ה- Tolerance WB אינו רלוונטי לרמות הדיוק בהם אנו עובדים היום והוא שונה בהתאם.</t>
  </si>
  <si>
    <t>כל רופא המבצע SRS צריך לבדוק את התכניות בעין ביקורתית ולבצע בדיקה לסימונים של הרופא הנוסף.</t>
  </si>
  <si>
    <t>מתן טיפול באופן שגוי - זיהוי שגוי של מטופלת ברכיתרפיה. קיבלה טיפול חלקי עם תכנית של מטופלת אחרת</t>
  </si>
  <si>
    <t>parameter</t>
  </si>
  <si>
    <t>frequency</t>
  </si>
  <si>
    <t>total</t>
  </si>
  <si>
    <t>key word</t>
  </si>
  <si>
    <t>#</t>
  </si>
  <si>
    <t>search val</t>
  </si>
  <si>
    <t>מתן טיפול באופן שגוי  -  טיפול שד לפראקציה לשבוע קבלה טיפול יום אחרי יום</t>
  </si>
  <si>
    <t>מתן טיפול ללא בקרת איכות - תיק SBRT טופל ללא אנליזה של המדידה וללא RTT QA</t>
  </si>
  <si>
    <t xml:space="preserve">עיכוב במתן טיפול - מטופל סיים סימולציה ב12:45 תכנון טיפול הסתיים לקראת 15:30 </t>
  </si>
  <si>
    <t xml:space="preserve">תכנון שגוי - בטיפול פרק ירך ימין gantry ירד לPA מהכיוון לא נכון  </t>
  </si>
  <si>
    <t>תיעוד לא תקין - מרשם לסימון קליני נכתב על ת.ז. עם ספרת ביקורת כאשר הטיפול ניתן בת.ז. ללא סיפרת ביקורת ועל קורס ישן</t>
  </si>
  <si>
    <t xml:space="preserve">תכנון שגוי - reference point' setup fields and tolerance tables שגויים </t>
  </si>
  <si>
    <t xml:space="preserve">כמעט ניתן טיפול שגוי - תכנון טיפול לD4-D5 במקום L4-L5 - התגלה לפני מתן טיפול </t>
  </si>
  <si>
    <t>תקשורת לקויה - אינפרמציה חלקית שעברה לצוות המאיץ.  לא היה ברור שצריך לטפל גם באצטבולום</t>
  </si>
  <si>
    <t>3Q19</t>
  </si>
  <si>
    <t>4Q19</t>
  </si>
  <si>
    <t>כמעט ניתן טיפול שגוי - בטיפול SRT בפרקציה 17 מתוך 31 התקבלה תזוזה גדולה בשדה הרביעי של הטיפול עקב בורג שהשתחרר. שלושת השדות הקודמים נבדקו והיו טובים.</t>
  </si>
  <si>
    <t>יש לציין במרשם במפורש את טכניקת הטיפול באחריות הרופא המטפל. כל שינוי מותנה באישור הרופא המטפל.</t>
  </si>
  <si>
    <t>באחריות הרופא המטפל להתאים את המרשם להגבלות. באחריות QA לבדוק שההגבלות תואמות את הטיפול.</t>
  </si>
  <si>
    <t>הוחלט על צמצום הטיפולים הכוללים ARC למאיץ3. להוסיף שדה מוצא בזווית ההתחלה וכן, לשלוח PTV.</t>
  </si>
  <si>
    <t>מתן טיפול שלא על פי הפרוטוקול - מטופל ירד מהמחלקה ללא זימון קיבל אישור טיפול מרופא. בדיעבד לא היה צריך לקבל טיפול.</t>
  </si>
  <si>
    <t>בישיבה הוחלט לפתח נוהל בירור למטופלים שאינם שייכים לרופא התורן. יש לתעד היטב בקמליון את המרשם וההחלטות הרפואיות עבור כל מטופל.</t>
  </si>
  <si>
    <t>יש לבצע "פסק זמן" לפני מתן הטיפול ולבצע וידוא המנה. יש להיעזר רנטגנאים לבדיקת ה- MU.</t>
  </si>
  <si>
    <t>אין לתת טיפול ללא מרשם כתוב וללא הסכמה לטיפול. באחריות הרופא המטפל להקפיד לתעד מרשם באריה בהתאם למרשם של מכשיר הקונטאקט (Sensus).</t>
  </si>
  <si>
    <t>תיעוד לא תקין - המטופל הוחתם על טופס הסכמה לטיפול ללא פירוט של סוג הקרינה הצד ואיזור הטיפול.</t>
  </si>
  <si>
    <t>תיעוד לא תקין - אי שליחת זרעי זהב ע"י פיזיקה. למטופל זרע זהב אחד במקום 3.</t>
  </si>
  <si>
    <t>אי עמידה בזמנים - תיק לא שוחרר בזמן לטיפול. המטופלת המתינה.</t>
  </si>
  <si>
    <t>אי עמידה בזמנים - תיק לא שוחרר בזמן לטיפול. המטופל המתין.</t>
  </si>
  <si>
    <t xml:space="preserve">כמעט סימון שגוי -  שד עם IMN + אקסילה - היה ספק בסימון - רופא בחיר שנה הסימון לסימון חדש </t>
  </si>
  <si>
    <t>כמעט סימון שגוי - עמוד שדרה שגיעת סימון</t>
  </si>
  <si>
    <t>העברת מיידע בין הסקטורים הינה קריטית למתן טיפול איכותי. בכל החלטה רפואית של דחייה, הקדמה או שינוי טיפול יש לתעד ב patient alert וקמליון. לידע את זימון תורים, RTTQA ואם צריך אז גם את פיזיקה.</t>
  </si>
  <si>
    <t>החלטה על המשך טיפול בידי הרופא המטפל.</t>
  </si>
  <si>
    <t>פרוטוקול אפשרי הינו; סריקה כפולה עם ובלי בולוס, מיקום מדוייק של הבולוס על המטופלת ובכך לאפשר למערת לזהות את פני שטח המכילים את הבולוס.</t>
  </si>
  <si>
    <t xml:space="preserve">כתיבת מרשם הינה הוראה פורמלית של רופא לשאר הצוות למתן טיפול לאיבר מסוים וספציפי. על כן, למניעת אי הבנות וטעויות זיהוי, שם המרשם חייב לתאר את אזור הטיפול המדויק. </t>
  </si>
  <si>
    <t xml:space="preserve">בסימונים קליניים חשוב לבצע בדיקה של בדיקה בלתי תלויה של הפרמטרים של החישוב ולהיעזר רנטגנאים שבמכונה ואו בפיזיקאי נוסף. חשוב לתעד את אופן החישוב על מנת למנוע שגיאות חישוב שנעשות בראש בלבד. </t>
  </si>
  <si>
    <t>במקרים כאלה יש לשבץ טיפול בכל יום על מנת לטפל באופן המשכי. דובר החשיבות של תקשורת יעילה בין הצוותים. בפרט על כך שפיזיקאים צריכים לתעד וליידע את RTTQA ותורים על כך שלמטופל יש מספר מוקדים שמקבלים טיפול בזמנים שונים.</t>
  </si>
  <si>
    <r>
      <t>בישיבה דובר על הצורך בישיבות סימון ועל הצורך לשפר את ישיבות בקרת איכות (</t>
    </r>
    <r>
      <rPr>
        <sz val="11"/>
        <color theme="1"/>
        <rFont val="Calibri"/>
        <family val="2"/>
      </rPr>
      <t>QA</t>
    </r>
    <r>
      <rPr>
        <sz val="11"/>
        <color theme="1"/>
        <rFont val="Arial"/>
        <family val="2"/>
        <scheme val="minor"/>
      </rPr>
      <t>) באופן כללי ע"י הקצאת משאבי זמן מוגדרים היטב לצורך הישיבה.</t>
    </r>
  </si>
  <si>
    <t>תיק ללא אישורים מספקים - תיק הגיע לישיבת QA ללא חתימת רופא בכיר. ב- Care path שינו סטטוס ל- Cancel בחלק החתימה, ע"י מתמחה.</t>
  </si>
  <si>
    <r>
      <t xml:space="preserve">מסלול עבודה תקין תלוי באופן משמעותי על ביצוע נכון של ה- </t>
    </r>
    <r>
      <rPr>
        <sz val="11"/>
        <color theme="1"/>
        <rFont val="Calibri"/>
        <family val="2"/>
      </rPr>
      <t>Care Path</t>
    </r>
    <r>
      <rPr>
        <sz val="11"/>
        <color theme="1"/>
        <rFont val="Arial"/>
        <family val="2"/>
        <scheme val="minor"/>
      </rPr>
      <t xml:space="preserve">. כל שינוי ב </t>
    </r>
    <r>
      <rPr>
        <sz val="11"/>
        <color theme="1"/>
        <rFont val="Calibri"/>
        <family val="2"/>
      </rPr>
      <t>Care Path</t>
    </r>
    <r>
      <rPr>
        <sz val="11"/>
        <color theme="1"/>
        <rFont val="Arial"/>
        <family val="2"/>
        <scheme val="minor"/>
      </rPr>
      <t xml:space="preserve"> יכול לתקוע את התהליך. בעת סגירה של ה- Care Path יש להקפיד לא ללחוץ על ביטול Cancel בטעות.</t>
    </r>
  </si>
  <si>
    <t>יש להקפיד על כתיבה נכונה של המתכנן וכן שתהליך בקרת האיכות יהיה קפדני לשם מניעה של טעויות צד טיפול.</t>
  </si>
  <si>
    <t>בעקבות האירוע התכנסה ישיבה מיוחדת לדון באירוע בתאריך 3/11/2019. נכתב דו"ח אירוע אשר נשלח למשרד הבריאות וניהול סיכונים. נוהל עבודה חדש לברכיתרפיה נכתב וצריך לעבור לשלב של אישור ויישום.</t>
  </si>
  <si>
    <t>מתן טיפול ללא בקרת איכות - תיק SBRT טופל ללא QA. ה- Care path שונה כדי שיוכל לקבל טיפול.</t>
  </si>
  <si>
    <t xml:space="preserve">כמעט סימון שגוי - שינוי בסימון ברגע האחרון לאחר סיום תכנון הטיפול. </t>
  </si>
  <si>
    <t xml:space="preserve">תיעוד לא תקין - עקומת הנשימה של המטופלת הוכנסה לתעודת זהות עם שגיאה. המטופלת הגיעה לקבלת טיפול אך לא היה חיבור בין הסריקה לבין הנשימה.  </t>
  </si>
  <si>
    <t>מתן טיפול באופן שגוי - טופלה ללא בולוס עקב תכנון לקוי.</t>
  </si>
  <si>
    <t>יש להוסיף הערה ב- Setup Note וגם ב- Patient Alert. יש להסתכל גם על מרשמים בישיבות QA. יש לעדכן את כלל הצוות על פרוטוקולים חדשים. אם יש הערות מיוחדות במרשם על הרופא לוודא עם הפיזיקאי שהוא מודע לשינויים.</t>
  </si>
  <si>
    <t>חשוב מאד לסיים מטופל על כל הפרטים בטרם עוברים למטופל הבא. אין להחליף צוותים לפני סיום טיפול במטופל. אם המצב מחייב החלפה יש לבצע החלפה מסודרת. יש לבצע פסק זמן ולעבור על פרטי המטופל עם הצוות המחליף</t>
  </si>
  <si>
    <t>ע"פ הנהלים טיפולי SBRT,SRS לא יכולים להתחיל טיפול ללא השלמת תהליך בקרת איכות. יש להקפיד על הנוהל.</t>
  </si>
  <si>
    <t>נכון להיום הנושא של מטופלים דחופים נידון בוועדת איכות מיוחדת לשם גיבוש נוהל עבודה חדש בטוח ושלם.</t>
  </si>
  <si>
    <t>בטיפולים בעל צד יש לבצע צילום באמצעות KV-MV ושדות המוצע יהיו 0 ו- 270 מעלות. בצילום שדה טיפול, בפרט בשדה 180E יש להגיע לזוית ורק אז להוסיף את הצילום.</t>
  </si>
  <si>
    <t>הערכה דוזימטרית מוערכת כ- 8% שגיאה. יש לשקול לרכוש הולדר מתאים לפרוצדורה.</t>
  </si>
  <si>
    <t>תיעוד לא תקין - קיימת אי התאמה בין המרשם בקמליון (3Gyx15) לבין הסימולציה בקונטאקט והמרשם באריה (3Gyx5). המינון הנכון למחלה הינו (3Gyx15) כפי שהיה כתוב בקמליון.</t>
  </si>
  <si>
    <t>תכנון שגוי - מטופלת קיבלה 18 טיפולים במאיץ 4 באנרגיה 18MV למרות החלטה גורפת נגד השימוש באנרגיה זו למאיצים 4,5.</t>
  </si>
  <si>
    <t>תקשורת לקויה – טיפול לסימולציה + סימון קליני. הצוות לא היה מודע לקיומה של הסימולציה. הסימולציה לא התאימה לחיבור של השדות והיה צריך לסרוק מכיוון הרגליים. המטופל נשלח לסימולציה חוזרת.</t>
  </si>
  <si>
    <t xml:space="preserve">בישיבה דובר על הצורך לקבוע את גודל הסריקה מראש ולהשתמש בסרגלים של המיטה וכן לקבוע הנחיה לסימולציה באילו תנאים יש לסרוק Feet First.
</t>
  </si>
  <si>
    <t>בישיבה דובר על כך שיש לרשום את הפרמטרים של מתקני הקיבוע ב Setup Notes לכל הטיפולים. הזווית הסטנדרטית הינה 10 מעלות ולכן לאחר טיפול לא שיגרתי יש להחזיר את הציוד למצב הסטנדרטי למניעת שגיאות בטיפולים העוקבים.</t>
  </si>
  <si>
    <t>הנוהל הקיים מציין שבכל תיקי הטיפול ביחידה משמיטים את סיפרת הביקורת. בוועדת האיכות בנושא של תיקי טיפול דחופים, יש להתייחס גם לסימונים קליניים ולאמץ נוהל עבודה ברור לביצוע הפעולה.</t>
  </si>
  <si>
    <t>cells including key</t>
  </si>
  <si>
    <t># entries</t>
  </si>
  <si>
    <t xml:space="preserve">מתן טיפול באופן שגוי - בעת צילום שדה PA הגנטרי ירד מצד שמאל במקום צד ימין  וכמעט פגע למטופלת </t>
  </si>
  <si>
    <t>צילום KV-MV הינו מועדף בטיפולים צדיים. שדות המוצא יהיו 0 ו- 270.</t>
  </si>
  <si>
    <t>סריקה לא תקינה - סריקה קצרה, הנפח של הגידול מגיע לקצה הסריקה</t>
  </si>
  <si>
    <t>סריקה לא תקינה - סריקה קצרה, הנפח מגיע לקצה הסריקה</t>
  </si>
  <si>
    <t>סריקה לא תקינה - לא מאפשר לתכנן שדות פלנריים</t>
  </si>
  <si>
    <t>סריקה חוזרת - מטופלת לבית חזה עשתה סימולציה חוזרת לאחר שלא יכלה לבצע נשימה עמוקה. קיבלה טיפול באלקטרונים לאחר סימולציה חוזרת. מברור המקרה, המטופלת פיתחה דלקת ריאות ולכן לא יכלה לבצע נשימה עמוקה.</t>
  </si>
  <si>
    <t>1Q20</t>
  </si>
  <si>
    <t>על הפיזיקאי המתכנן להקפיד על ההגבלות במהלך התכנון.</t>
  </si>
  <si>
    <t>יש לבחון את נהל הקבלה עבור מאושפזים וטיפולים פליאטיביים. כל מטופל מתקבל אך ורק באמצעות הפניה כתובה.</t>
  </si>
  <si>
    <t xml:space="preserve">בישיבה הוחלט על שליחת תזכורת אל הצוות לגבי תיקים אשר צריכים להתחיל טיפול (באחריות גלית). בנוסף, הוחלט על דחיה של התחלת מועד טיפול בשעות או ביום אם התיק לא מוכן לבקרת איכות לפני השעה 12 בצהרים ביום שלפני הטיפול.
</t>
  </si>
  <si>
    <t>יש לבצע בדיקה של מתקן הקיבוע אם קיימת תזוזה גדולה מהנורמל. יש להתייעץ עם רנטגנאי מנוסה במקרה ולא מסתדר.</t>
  </si>
  <si>
    <t>אי עמידה בזמנים - תיק לא שוחרר בזמן לטיפול. המטופלת המתינה. התיק שוחרר ללא מדידות. בססיה לא היה פיזיקאי אשר יכול לבצע חתימה שניה.</t>
  </si>
  <si>
    <t>למטופל יש רק זרע זהב אחד. שליחת זרעי זהב לצורך מיקום המטופל חסר משמעות אם אין לפחות 3 זרעים. נכון להיום אנו מבצעים CBCT לכל מטופל אשר מייתר את מיקום הפרוסטטה לפי זרעי הזהב.</t>
  </si>
  <si>
    <t>כמעט מתן טיפול ללא בקרת איכות - בפרקציה שניה לטיפול SBRT הוחלף הטיפול מטיפול דינאמי לטיפול VMAT. המטופלת הורדה מהשולחן כיוון שלא בוצעה מדידה לתכנית.</t>
  </si>
  <si>
    <t>תיקי SBRT לא יגיעו לטיפול לפני RTTQA מסודר. RTTQA מסודר יעשה לאחר השלמת כל המשימות הקודמות בלבד. התאמה של Care Path לטיפולי SBRT/SRS.</t>
  </si>
  <si>
    <t>תיעוד לא תקין - מטופל הפנה את תשומת הלב של הצוות במהלך הטיפול השלישי לקוצב הלב שלו ושאל אם צריך לבצע ECG. לא היה תיעוד לקיום הקוצב בתכנון הטיפול.</t>
  </si>
  <si>
    <t>זימון תור לא מספק - טיפול SBRT הוגדר כפליאציה עם תור קצר. הסריקה לא הועברה לאריה לאחר ביצוע הסריקה.</t>
  </si>
  <si>
    <t>הערות</t>
  </si>
  <si>
    <t>שלב: זימון תורים</t>
  </si>
  <si>
    <t>טופס ההסכמה בנוסף להיותו מסמך אשר מתעד את הטיפול, הינו טופס משפטי בו המטופל מצהיר שהוא מוכן לקבלת טיפול קרינה ואתר מסוים וספציפי. על כן קיימת חובה לתאר באופן המדויק ביותר את אזור הטיפול.</t>
  </si>
  <si>
    <t>בישיבה קודמת הוחלט על תזכור של הצוות לגבי תיקים אשר צריכים להתחיל טיפול. תהליך זה מבוצע החל 06/2020. מועד הדיווח 12/2019.</t>
  </si>
  <si>
    <t>כריענון לצוות המתכנן נאמר שהליך בדיקה של הסימונים חייבת להיות מופנית ראשית לרופא המתכנן ואין להתייעץ עם רופא אחר לפני כן.</t>
  </si>
  <si>
    <t xml:space="preserve">מתן טיפול באופן שגוי - עקב תקלה טכנית בטיפול שד לא נרשמו 45 MU ראשונים  מתוך 310 MU לטיפול הזה.  הוחלט על מתן השדה כולו כך שהמנה נתנה פעמיים </t>
  </si>
  <si>
    <t>שוני במנה אבסולוטית מהמרשם קטן מ- 5% לכל איבר</t>
  </si>
  <si>
    <t>שוני במנה אבסולוטית מהמרשם בין 5% ל- 10% לכל איבר</t>
  </si>
  <si>
    <t>שוני במנה אבסולוטית מהמרשם בין 10% ל- 25% לכל איבר</t>
  </si>
  <si>
    <t>שוני במנה אבסולוטית מהמרשם בין 25% ל- 100% לכל איבר</t>
  </si>
  <si>
    <t>מחישוב השגיאה במנה עולה, שהשוני במנה האבסולוטית מהמרשם קטן מ- 5% לכל האיבר. מסקנות; ללא שינוי.</t>
  </si>
  <si>
    <t xml:space="preserve">תקשורת לקויה - מטופל, הגיע והתיק לא היה מוכן. התורים שלv בוטלו, ולא נבנה care path חדש. </t>
  </si>
  <si>
    <t>הקמת מייל ייעודי לזימון תורים שבו ניתן יהיה לתקשר דחיות ושינויים תכנוניים. בנוסף, יעשה שימוש במייל של הפיזיקה physics1@clalit.org.il לצורך העברת הודעות על שינויים במועדים של מטופלים. נוהל עבודה ייכתב ע"י צוות איכות.</t>
  </si>
  <si>
    <t>מתן טיפול באופן שגוי - השכבה שגויה של המטופל.  תזוזה עד 2 ס"מ בבטן.</t>
  </si>
  <si>
    <t xml:space="preserve">מטרת הטיפול היא להקרין את השרשת הלימפטית לאחר ביצוע  השתלה במטופל. בהקרנה זו משפרים את הסיכויים של הגוף לקבל את השתל. 
1. השרשת הלימפטית מוקרנת ברובה בכל מקרה והמטרה מושגת על ע"י הטיפול המשולב.
2. המשמעות של החיבור בין אזורי הטיפול גם הוא זניח; אם נוצרת נקודה חמה\קרה מדובר בעד 4Gy במקום 2Gy (לפרקציה) באזור יחסית צר. 
עבור מטופלים באזור הבטן, יש צורך בהכנה מקדימה של עוגנים (Fiducial Markers)  שניתן לשייך לשתי הסריקות ולבצע התאמה בינהם.
</t>
  </si>
  <si>
    <t>סריקה לא תקינה - עיוותים בסריקת CT במכשיר GE. כנראה עקב תנועה לא יציבה של מיטת המכשיר.</t>
  </si>
  <si>
    <t>מתן טיפול באופן שגוי - בטיפול הראשון לשד עם ובלי בולוס, המטופלת קיבלה טיפול ללא בולוס על התכנית של הבולוס.</t>
  </si>
  <si>
    <t>תיעוד לא תקין - בסימולציה של SBRT לא שונה האונקולוג הראשי וה- Care Path לא שוייך לרופא הנכון.</t>
  </si>
  <si>
    <t>תיעוד לא תקין - מקרה של SRS תוכנן ללא מרשם כתוב. היתה רק הודעת Whatsapp.</t>
  </si>
  <si>
    <t>מתן טיפול באופן שגוי - שגיאה בכיול מנה לאנרגיה 18MV עבור מאיצים 4 ו- 5.</t>
  </si>
  <si>
    <t>בפיזיקה נעשה מעקב על ביצוע תכנונים חוזרים והסיבה לביצועם. בכל שינוי במועד תכנון  ב- Care Path יש לידע את הפיזיקה. הועלתה הצעה להשמיש את המייל של physics1@clalit.org.il ובמקביל יש להגדיר מייל לתאום תורים לצורכי עדכונים על שינויים. השימוש במייל הינו במקום שימוש במדיה טלפונית בה לא ניתן לציין שמות מטופלים.</t>
  </si>
  <si>
    <t>מתן טיפול באופן שגוי - סימון קליני למנה של 3Gy x 2 = 6Gy תוכנן וטופל ב- 6Gy לפרקציה. קיבל פרקציה אחת בלבד.</t>
  </si>
  <si>
    <t>בעיית קישור בין עקומת הנשימה לסריקה יכול היה להימנע באמצעות הזנה במחשב הסימולציה והמחשב ה- RPM ברצף ובדיקה שניה של רנטגנאי נוסף. מרשם מהווה תיעוד רשמי של תכנית הטיפול. תיעוד של אמצעי קיבוע והנחיות נשימה הינן חיוניות לצורך תכנון טיפול נכון.</t>
  </si>
  <si>
    <t>יש להקפיד להתאים את המרשמים לכל מקרה ומקרה. להקפיד לשאול את הרופא בכל תהיה ושאלה לפני ביצוע התכנון. אין לשחרר תיקים עם מרשמים שאינם תקינים.</t>
  </si>
  <si>
    <t>הועלתה אפשרות להוסיף ב- Care Path עוד קוביה של בדיקה של קמליון לאחר כתיבת מרשם, או, להוסיף את זה כבדיקה ב- checklist של המרשם.</t>
  </si>
  <si>
    <t>אי עמידה בזמנים -  תיק TBI חד פעמי לא היה מוכן בזמן. תכנון בוצע כשהמטופל ממתין לטיפול. ה- Care Path לא היה סגור ולא הגיע לפיזיקה לתכנון.</t>
  </si>
  <si>
    <t>case presentation</t>
  </si>
  <si>
    <t xml:space="preserve">תיעוד לא תקין - חוסר התאמה בין הצד המתועד במרשם ושם התכנית לבין צד הטיפול. המטופל קיבל טיפול לצד הנכון, אך עבר את כל השלבים כולל כל הטיפולים. המקרה התגלה אחרי 3 חדשים. </t>
  </si>
  <si>
    <t>תיעוד לא תקין - קיימת סתירה בין שם התכנית והמרשם לאיזור המטופל. בתכנית והמרשם כתוב L2-L4 וטופל ל- L3-L5. המקרה נתגלה חודשיים אחרי הטיפול.</t>
  </si>
  <si>
    <t>מתן טיפול באופן שגוי - מטופל TBI קיבל טיפול ללא בולוס (ספוילר).</t>
  </si>
  <si>
    <r>
      <t xml:space="preserve">לאירוע אין משמעות קלינית והעור בטיפול כולו קיבל מנה של </t>
    </r>
    <r>
      <rPr>
        <sz val="11"/>
        <color theme="1"/>
        <rFont val="Calibri"/>
        <family val="2"/>
      </rPr>
      <t>11.7Gy</t>
    </r>
    <r>
      <rPr>
        <sz val="11"/>
        <color theme="1"/>
        <rFont val="Arial"/>
        <family val="2"/>
        <scheme val="minor"/>
      </rPr>
      <t xml:space="preserve"> במקום </t>
    </r>
    <r>
      <rPr>
        <sz val="11"/>
        <color theme="1"/>
        <rFont val="Calibri"/>
        <family val="2"/>
      </rPr>
      <t>12Gy</t>
    </r>
    <r>
      <rPr>
        <sz val="11"/>
        <color theme="1"/>
        <rFont val="Arial"/>
        <family val="2"/>
        <scheme val="minor"/>
      </rPr>
      <t xml:space="preserve"> המהווים תת מנה של 2.5% לעור עבור הטיפול כולו</t>
    </r>
    <r>
      <rPr>
        <sz val="11"/>
        <color rgb="FF000000"/>
        <rFont val="Arial"/>
        <family val="2"/>
        <scheme val="minor"/>
      </rPr>
      <t xml:space="preserve">. </t>
    </r>
    <r>
      <rPr>
        <sz val="11"/>
        <color theme="1"/>
        <rFont val="Arial"/>
        <family val="2"/>
        <scheme val="minor"/>
      </rPr>
      <t>יש להקפיד הקפדה ייתרה בפרוצדורות מיוחדות ובפרוצדורות אשר נעשות בתדירות נמוכה</t>
    </r>
    <r>
      <rPr>
        <sz val="11"/>
        <color rgb="FF000000"/>
        <rFont val="Arial"/>
        <family val="2"/>
        <scheme val="minor"/>
      </rPr>
      <t>.</t>
    </r>
  </si>
  <si>
    <r>
      <t>האפשרות להקרין באנרגיה זו נסגרה עבור המאיצים</t>
    </r>
    <r>
      <rPr>
        <sz val="11"/>
        <color rgb="FF000000"/>
        <rFont val="Arial"/>
        <family val="2"/>
        <scheme val="minor"/>
      </rPr>
      <t xml:space="preserve"> 4 ו- 5.</t>
    </r>
  </si>
  <si>
    <t>תיעוד לא תקין - שם המרשם Retroperitoneal + Med עבור טיפול ב- Rt Lung.</t>
  </si>
  <si>
    <t>סימון שגוי - סימון שלא לפי פרוטוקול וגם מרשם ללא הגבלות וצד.</t>
  </si>
  <si>
    <t>סריקה לא תקינה - במתקן שד נקבעו זויות שונות בין ימין לשמאל. סריקה שגויה בוצעה ב- 13/8/2020</t>
  </si>
  <si>
    <t>תיעוד לא תקין - רישום בקמליון ל- 4Gy x 5 בפועל קיבל 8Gy x 1.</t>
  </si>
  <si>
    <t xml:space="preserve">תקשורת לקויה -  מטופלת הגיעה לסימון קליני עם אבן אישית. הייתה סריקה וניתן היה לתכנן מראש. ה Care Path היה של סימון קליני האבן לא הוכנה מראש והתיק לא הגיע לפיזיקה לתכנון. </t>
  </si>
  <si>
    <t>יש להגדיר היטב את גודלי הסריקה והפרוטוקולים במהלך ישיבת הבוקר בסימולציה.</t>
  </si>
  <si>
    <t>כללי ההתנהלות מול המטופלים וגם אנשי צוות אחרים הינן שאנו כצוות מגבים אחד את השני ומשתדלים לא להטיל אשמה. במקרים של טעות עלינו להביע צער ולמלא דו"ח למידה. במקרים שבהם יתכנו בעיות בסריקה של מטופלים על הרופא להיות נוכח בסימולציה לצורך ביצוע הסריקה. במקרים של סריקה חוזרת יש להעביר הנחיה כתובה על מהות הסריקה והסיבות לכך.</t>
  </si>
  <si>
    <t>מתן טיפול באופן שגוי - בטיפול 12/27 התגלה שלמטופלת קיים Vaclock לקיבוע של הידיים. לא  היה תעוד ב setup notes.</t>
  </si>
  <si>
    <t>תיעוד לא תקין - מרשם לפרוטוקול מחקרי ללא רישום מלא של ההגבלות לטיפול.</t>
  </si>
  <si>
    <t>תקשורת לקויה - מקרה ברכיתרפיה לברונכוס הגיע לטיפול ללא תאום מראש. עקב כך הופסקו טיפולי קונטאקט.</t>
  </si>
  <si>
    <t>צוות הסימולציה והרופאים מתבקשים לשים לב ולהתריע על סריקות שאינן טובות ולבצע החלטה לגבי ההמשך. במקרה זה ניתן היה לחזור על הסריקה עם הסימולטור השני.</t>
  </si>
  <si>
    <t>יש להוריד פרקציה מהתכנית ללא בולוס ולהוסיף פרקציה לתכנית הבולוס ולטפל ע"פ התכנון. על הצוות לשמור על ערנות ולבחור את התכנית הנכונה לטיפול. בתכנון הטיפול יש לשייך את התכניות ב Plan Scheduling כך שרק התכנית הנכונה תפתח לטיפול.</t>
  </si>
  <si>
    <t>זימון תורים צריך לוודא שהרופא אליו הופנה הינו הרופא הנכון. במקרים של מטופלים דחופים תבוצע בדיקת שיוך ע"י הרנטגנאים בסימולציה. יש צורך לבטל רופאים שאינם קיימים יותר במערכת.</t>
  </si>
  <si>
    <t>חל איסור לבצע תכנונים על בסיס הוראה מילולית. ישיבה של רופאים צריכה להתקיים ולדון באופן ביצוע תכנונים של SRS. רק הרופאים של הרדיותרפיה (רדיותרפיטים) רשאים לכתוב מרשמי קרינה. על כן אין לד"ר קנר הרשאה לחתום על מרשמים. הרופאים של היחידה צריכים להיות אקטיביים ומעורבים באופן התכנון של תיקי SRS.</t>
  </si>
  <si>
    <t>מתן טיפול באופן שגוי - בשיחה עם המטופל נאמר שקיבל טיפול לאגן ימין בפועל קיבל טיפול לצד שמאל. לא נמצא טופס הסכמה בקמליון.</t>
  </si>
  <si>
    <t>שוני במנה אבסולוטית מהמרשם שווה או גדול מ- 100% לכל איבר</t>
  </si>
  <si>
    <t>סימון שגוי - סימון שלא לפי פרוטוקול עבור שד + בלוטות וסופרה.</t>
  </si>
  <si>
    <t>תיעוד לא תקין - חוסר התאמה בין הצד המתואר במרשם ובטופס ההסכמה לבין צד הטיפול ושם התכנית. שתי תכניות משולבות עם SBRT, לא ברור עם הטיפול מתקבל במקביל או המשכי.</t>
  </si>
  <si>
    <t>תיעוד לא תקין - חוסר התאמה בין הצד המתועד במרשם והצד בשם של התכנית. שם התכנית שונתה לצד הנכון.</t>
  </si>
  <si>
    <t>תכנון שגוי - תוכנית cw הגיע לQA ללא תוכנית עם בולוס</t>
  </si>
  <si>
    <t>מתן טיפול באופן שגוי - בטיפול TBI שדה PA ניתן טיפול במרחק 960 ס"מ במקום 966 ס"מ עקב שגיאה בחישוב גובה המיטה. השגיאה עבור פרקציה 4% תת מנה. ו0.4% לטיפול כולו.</t>
  </si>
  <si>
    <t>תוסף משימה לבקרת איכות לבדיקת קיום קוצב. נכון להיום בנוהל הקיים יש לבצע ניתור בשלושת הטיפולים הראשונים. נוהל עבודה חדש בנושא קוצבי לב הובא למנהלי היחידה לצורך דיון ואשרור.</t>
  </si>
  <si>
    <t>הוגדר מייל לשימוש הצוות לצורך שינויים בזימון תורים. המקרים בהם יש להשתמש במייל הינן: שינוי מספר מאיץ, ביצוע סימולציה חוזרת, שינוי מספר פרקציות ושינוי או ביטול מועד תחילת טיפול. המייל: BL2030421@clalit.org.il</t>
  </si>
  <si>
    <t>לא יעשה שימוש בקובץ חישוב ללא בדיקת הקובץ לשימוש קליני (Commissioning) באופן מסודר. מקרה זה דווח למשרד הבריאות וניהול סיכונים.</t>
  </si>
  <si>
    <r>
      <t>תכנון שגוי - בהשכבה של מטופלת שד זוית הגנטרי בתכנון היתה נמוכה מדי (ML 65</t>
    </r>
    <r>
      <rPr>
        <vertAlign val="superscript"/>
        <sz val="11"/>
        <color theme="1"/>
        <rFont val="Arial"/>
        <family val="2"/>
        <scheme val="minor"/>
      </rPr>
      <t>o</t>
    </r>
    <r>
      <rPr>
        <sz val="11"/>
        <color theme="1"/>
        <rFont val="Arial"/>
        <family val="2"/>
        <scheme val="minor"/>
      </rPr>
      <t>).</t>
    </r>
  </si>
  <si>
    <r>
      <t>יש לשים לב בתכנוני שד לא לעבור את זווית 60</t>
    </r>
    <r>
      <rPr>
        <vertAlign val="superscript"/>
        <sz val="11"/>
        <color theme="1"/>
        <rFont val="Arial"/>
        <family val="2"/>
        <scheme val="minor"/>
      </rPr>
      <t>o</t>
    </r>
    <r>
      <rPr>
        <sz val="11"/>
        <color theme="1"/>
        <rFont val="Arial"/>
        <family val="2"/>
        <charset val="177"/>
        <scheme val="minor"/>
      </rPr>
      <t xml:space="preserve"> או 300</t>
    </r>
    <r>
      <rPr>
        <vertAlign val="superscript"/>
        <sz val="11"/>
        <color theme="1"/>
        <rFont val="Arial"/>
        <family val="2"/>
        <scheme val="minor"/>
      </rPr>
      <t>o</t>
    </r>
    <r>
      <rPr>
        <sz val="11"/>
        <color theme="1"/>
        <rFont val="Arial"/>
        <family val="2"/>
        <charset val="177"/>
        <scheme val="minor"/>
      </rPr>
      <t xml:space="preserve"> ללא בדיקת הזווית במאיץ (Dry-Run).</t>
    </r>
  </si>
  <si>
    <t>בסימון קליני יש לוודא במאיץ את המנה היומית ואת המנה הכללית. אין להשכיב את המטופל לפני שיש מרשם כתוב באריה.</t>
  </si>
  <si>
    <r>
      <t xml:space="preserve">על כלל התיקים לעבור QA עד הצהריים יום עבודה לפני הטיפול. אם לא ייחתם יחתום הרופא התורן. אם התיק אינו מוכן לאישור יש לשקול דחייה של התיק. עבור </t>
    </r>
    <r>
      <rPr>
        <sz val="11"/>
        <color theme="1"/>
        <rFont val="Calibri"/>
        <family val="2"/>
      </rPr>
      <t>TBI</t>
    </r>
    <r>
      <rPr>
        <sz val="11"/>
        <color theme="1"/>
        <rFont val="Arial"/>
        <family val="2"/>
      </rPr>
      <t xml:space="preserve"> שאינו ניתן לדחייה, יש לסיים תכנון באופן מיידי ולשחרר יום לפני הטיפול. רצוי לשחרר את התיק לפיזיקה עוד ביום הסימולציה.</t>
    </r>
  </si>
  <si>
    <t>השלבים בהם ניתן היה לעלות על הטעות הינן: תכנון פיזיקה, חתימת רופא, QA, חתימה שניה של פיזיקאי, RTTQA וכל יום במהלך הטיפול. יש להקפיד על ראיה ביקורתית של תכנונים וטיפולים על ידי כלל הצוות.</t>
  </si>
  <si>
    <t>אי עמידה בזמנים - מטופל SBRT עם 2   מוקדים הגיע לחישוב לאחר ששהה בתכנון למעלה משבועיים לטיפול לאותו היום.</t>
  </si>
  <si>
    <t>תקשורת לקויה - מטופל לא הגיע לטיפול כיון שלא ידעו יש צורך להביא אותו.</t>
  </si>
  <si>
    <t>תיעוד לא תקין - מטופל עם קוצב הגיע לטיפול דחוף. לא היה ידוע על הקוצב והתכנון נעשה עם אנרגיה גבוהה.</t>
  </si>
  <si>
    <t xml:space="preserve">בתאריך  התקיימה הדרכה בנושא סימון שד לרופאים. </t>
  </si>
  <si>
    <t>תקשורת לקויה - מטופל הגיע לטיפול מתוך ידיעה שיקבל טיפול לריאה ימין בפועל היה צריך לקבל טיפול לצד שמאל + מיצר.</t>
  </si>
  <si>
    <t>מתן טיפול באופן שגוי - מטופל קיבל 4 טיפולים לשלפוחית מלאה כאשר התכנון היה לשלפוחית ריקה.</t>
  </si>
  <si>
    <t>2Q20</t>
  </si>
  <si>
    <t>3Q20</t>
  </si>
  <si>
    <t>4Q20</t>
  </si>
  <si>
    <t>Jan</t>
  </si>
  <si>
    <t>Feb</t>
  </si>
  <si>
    <t>Mar</t>
  </si>
  <si>
    <t>Apr</t>
  </si>
  <si>
    <t>May</t>
  </si>
  <si>
    <t>Jun</t>
  </si>
  <si>
    <t>Jul</t>
  </si>
  <si>
    <t>Aug</t>
  </si>
  <si>
    <t>Sep</t>
  </si>
  <si>
    <t>Oct</t>
  </si>
  <si>
    <t>Nov</t>
  </si>
  <si>
    <t>Dec</t>
  </si>
  <si>
    <t xml:space="preserve">תיעוד לא תקין - בתכנון SBRT לעמוד שדרה נכתב מרשם ללא הגבלות לאיברים בסיכון.  </t>
  </si>
  <si>
    <t>מטופל קבל 5 טיפולים</t>
  </si>
  <si>
    <t>סימון שגוי - תיק לא עבר ישיבת QA עקב דימון שיגוי. המטופלת קבלה 5 טיפולים מבלי נעשה תיקון</t>
  </si>
  <si>
    <t>צריך לנסות למדוד</t>
  </si>
  <si>
    <t>מתן טיפול באופן שגוי - המטופל קבל 3 טיפולים SBRT ללא שימוש ב vaclock. היה פער בinterfield בין התכנון וטיפול .</t>
  </si>
  <si>
    <t xml:space="preserve">תיעוד לא תקין - המטופלת קבלה 2 טיפולים ללא תאוד בקמליון.  תוקן בדיעבד. </t>
  </si>
  <si>
    <t>חישוב שגוי</t>
  </si>
  <si>
    <t>חפיפה בין השדות</t>
  </si>
  <si>
    <t>מתן טיפול בהיעדר מרשם</t>
  </si>
  <si>
    <t>היעדר תיעוד</t>
  </si>
  <si>
    <t>אי עמידה בזמנים</t>
  </si>
  <si>
    <t>סריקה ארוכה</t>
  </si>
  <si>
    <t>שגיאה בזיהוי מטופל</t>
  </si>
  <si>
    <t>מתן טיפול באופן שגוי</t>
  </si>
  <si>
    <t>תכנון שלא על פי פרוטוקול</t>
  </si>
  <si>
    <t>שם מרשם שגוי</t>
  </si>
  <si>
    <t>סימון שגוי</t>
  </si>
  <si>
    <t>תקשורת לקויה</t>
  </si>
  <si>
    <t xml:space="preserve">תיעוד לא תקין </t>
  </si>
  <si>
    <t>פגיעה במתקן</t>
  </si>
  <si>
    <t>סריקה לא תקינה</t>
  </si>
  <si>
    <t xml:space="preserve">תיק לא חתום </t>
  </si>
  <si>
    <t>זימון תור לא מספק</t>
  </si>
  <si>
    <t>כמעט מתן טיפול ללא בקרת איכות</t>
  </si>
  <si>
    <t>סריקה חוזרת</t>
  </si>
  <si>
    <t xml:space="preserve">כמעט סימון שגוי </t>
  </si>
  <si>
    <t xml:space="preserve">מתן טיפול ללא בקרת איכות </t>
  </si>
  <si>
    <t xml:space="preserve">כמעט ניתן טיפול שגוי </t>
  </si>
  <si>
    <t xml:space="preserve">תכנון שגוי </t>
  </si>
  <si>
    <t>מתן טיפול באופן שגוי - מטופלת שכבה על מתכן שד בזווית 12.5 מעלות במקום 10 מעלות.</t>
  </si>
  <si>
    <t xml:space="preserve">מתן טיפול באופן שגוי -במהלך טיפול צלינדר, הצלינדר יצא ממקומו. </t>
  </si>
  <si>
    <t>עיכוב במתן טיפול</t>
  </si>
  <si>
    <t xml:space="preserve">שם תכנית שגויה </t>
  </si>
  <si>
    <t xml:space="preserve">שימוש שגוי באמצעי קיבוע </t>
  </si>
  <si>
    <t xml:space="preserve">אמצעי קיבוע פגום </t>
  </si>
  <si>
    <t>העברת מידע</t>
  </si>
  <si>
    <t>מתן טיפול ללא מרשם</t>
  </si>
  <si>
    <t xml:space="preserve">מתן טיפול שלא על פי הפרוטוקול </t>
  </si>
  <si>
    <t xml:space="preserve">לא ניתן לוודא מרכז טיפול </t>
  </si>
  <si>
    <t>מרשם שגוי</t>
  </si>
  <si>
    <t>שגיאת care path</t>
  </si>
  <si>
    <t xml:space="preserve">שינוי הוראות טיפול </t>
  </si>
  <si>
    <t xml:space="preserve">תיק לא מוכן </t>
  </si>
  <si>
    <t>חוסר עקביות בהשכבת מטופלים</t>
  </si>
  <si>
    <t>הגעה מוקדמת של מטופלת</t>
  </si>
  <si>
    <t>העברת מידע בקרת איכות</t>
  </si>
  <si>
    <t>היעדר מעקב צילומים</t>
  </si>
  <si>
    <t>מטופל לא פעל לפי הוראות הרופא</t>
  </si>
  <si>
    <t>שינוי תוכנית</t>
  </si>
  <si>
    <t>טיפול לא נרשם באריה</t>
  </si>
  <si>
    <t>שגיאה טכנית</t>
  </si>
  <si>
    <t>מיקום לא ניתן לשחזור</t>
  </si>
  <si>
    <t>היעדר מרשם</t>
  </si>
  <si>
    <t xml:space="preserve">מתן טיפול באופן שגוי - ראש המאיץ 10 מעלות  יותר גבוה ממה תוכנן </t>
  </si>
  <si>
    <t>כל תיק תכנון קרינה מכיל שלוש חתימות שונות Reviewed חתום ע"י רופא, Planning Approve ע"י פיזיקאי מתכנן ו- Treatment Approve ע"י רנטגנאי QA. חתימות אלו הינן חלק מתיעוד הטיפול עבור תכנון ללא נייר ומאפשר לברר מי תכנן את התיק ואישר את מתן הטיפול עבור כל בירור עתידי. לכן יש לבצע חתימה מסודרת באריה.</t>
  </si>
  <si>
    <t>יש להקפיד על שם התכנית שתשקף את המרשם ואת הטיפול.</t>
  </si>
  <si>
    <t>עבור פרוטוקולים קליניים ישנן דרישות מיוחדות הכוללת את צורת הסימון ושמות מוגדרים לאיברים המסומנים וכן הגבלות מיוחדות לאיברים אלו. בהעדר סימון מתאים והגבלות מתאימות המקרה לא יוכל להיכלל במחקר ויוחרג. בטיפולים בעלי צד כמו טיפולי ריאות אין להניח שהצד שתוכנן הינו הצד הרצוי. על כן, חייבים לציין במרשם, באיבר המסומן ובשם התכנית את צד הטיפול לצורך מניעה של טיפול לצד שגוי.</t>
  </si>
  <si>
    <t>עבודה שלא לפי פרוטוקול - לאחר סימולציה לא נסגרה המשימה בcarepath. המקרה הגיע באיחור לחישוב</t>
  </si>
  <si>
    <t>תיעוד לא תקין - מטופלת עם 2 מספרי זהות באריה.אחת מתעותות הזהות קיימת בקמליון עבור מטופל אחר.  באריה ת.ז אחת הכילה סריקה והשניה נתוני נשימה</t>
  </si>
  <si>
    <t>יש להקפיד על בדיקה של אמצעי הקיבוע בטרם השימוש בו. יש להתאים את הפרמטרים לכל מטופל ולא להניח שהמתקן מכוון. מתקני שד חדשים הוזמנו לכל המאיצים והסימולציה.</t>
  </si>
  <si>
    <t xml:space="preserve">בוצע שינוי בנוהל העבודה. </t>
  </si>
  <si>
    <t>תיעוד לא תקין- נכתב מרשם באריה ללא הוספת מרשם קמליון.</t>
  </si>
  <si>
    <t>כמעט מתן טיפול באופן שגוי - מטופלת עברה סימולציה לשד + ריאה ימין+דמאל. בתאריך 9/2/21 הוחלט לא לטפל ריאות. למרות זאת לא היה שינוי בתכנון.</t>
  </si>
  <si>
    <t>אי עמידה בזמנים - המטופל המתין לטיפול 5.5 שעות</t>
  </si>
  <si>
    <t>מתן טיפול באופן שגוי - על 15/3 התקבלה הודעה מהמאיץ שמטופלת קבלה  באותו היום(3/3/21) את הפרקציה האחרון של הטיפול והפרקציה הראשון של הבוסט. השגיאה 'הדוזימטרית הכוללת לטיפול של כ3%</t>
  </si>
  <si>
    <t xml:space="preserve">כמעט מתן טיפול באופן שגוי- מטופלת הוזמנה לטיפול ביום רביעי כאשר נתבקש על יד הרופא שתתחיל על יום ראשון, 5 ימים רצוף. </t>
  </si>
  <si>
    <t>כמעט שגיאה במתן טיפול תרופתי - מטופלת קבלה מרשם לcalciless על בסיס בדיקות דם ישנות</t>
  </si>
  <si>
    <t>תיעוד לא תקין - מסמכים של מטופל אחד סרוק בתיק של מטופל שני</t>
  </si>
  <si>
    <t>מתן טיפול שלא על פי הפרוטוקול - מטופל לא הצליח להכנס לתווח הDIBH .  בשיחה עם פיזיקאית הומלץ להוריד המטופל בתאום עם הרופא לתכנן מחדש.  למרות הנחיה המטופל קבל טיפול.</t>
  </si>
  <si>
    <t xml:space="preserve">תיעוד לא תקין - למטופל נפתחו 2 קורסים עבור 2 מוקדי טיפול.  פוטציאל לטעות תיכנון. </t>
  </si>
  <si>
    <t>תיעוד לא תקין - carepath  שגוי של מומחה ולא מתמחה.  הגיע לפיזיקה לפני שהמומחה ראה המקרה.</t>
  </si>
  <si>
    <t>תקשורת לקויה - מקרה SBRT הוקדם מתאריך 30/3 ל18/3 סימולציה נעשתה על 7/3/21</t>
  </si>
  <si>
    <t>סימון שגוי- שד שמאל BH ללא ציור הלב</t>
  </si>
  <si>
    <t xml:space="preserve">תיק ללא אישורים מספקים - תיק הגיע לישיבת QA ללא חתימת רופא בכיר. </t>
  </si>
  <si>
    <t>יש להקפיד על שימוש ב- Care Path מתאים. המרשם צריך להיכתב מראש ולפני השכבת המטופל על מיטת הטיפול. תווסף משימה ב Care Path לאבן אישית.</t>
  </si>
  <si>
    <t>יש להקפיד על רישום ברור בקמליון בחלק של ה- note עם יש Vaclock. יש להסתכל על התמונות מהסימולציה שמופיעות בקמליון.</t>
  </si>
  <si>
    <t>הנחיות מיוחדות צריכות להיכתב באופן מפורש וברור. ישנה חשיבות לכתיבה והתאמה של הערכים במרשם.</t>
  </si>
  <si>
    <t>שימוש בחדר הברכי יידרש בתאום עם ענת ג'רופי ומראש. החדר משמש גם לברכי גניקולוגי, ראש צוואר, ריאות, טיפולי קונטאקט, הכנסה של ג'ל לפרוסטטות וטיפולי אלפא DaRT. מייל יישלח לפיזיקה ולדיויד לאחר תיאום החדר.</t>
  </si>
  <si>
    <t>ביקורת במהלך טיפול</t>
  </si>
  <si>
    <t>יש לבדוק תקשורת פנימית וחיצונית אונקו.</t>
  </si>
  <si>
    <t>חבלה במלתחות. דיווח נפגע.</t>
  </si>
  <si>
    <t>חבלה גופנית</t>
  </si>
  <si>
    <t>חבלה גופנית - מטופל נחבל במלתחות בדרכו לטיפול. המטופל פונה למיון.</t>
  </si>
  <si>
    <t>כמעט ניתן טיפול שגוי - מטופל הגיע לטיפול עם בולוס אישי. הבולוס לא היה מוכן ולא היתה הערת setup.</t>
  </si>
  <si>
    <t>יש להשלים את ה- Care Path לכל טיפול. חייבת להיות חתימה של רופא ושני פיזיקאים באישור התכנית (נכון לברכי בלבד). יש להימנע מקורסים מיותרים בתכנון.</t>
  </si>
  <si>
    <t>יש להקפיד לתעד את צד הטיפול בקמליון ובאריה בצורה נכונה. יש להעתיק את מרשם הקמליון לאריה ולוודא נכונות ע"י כל הצוותים. אם מתקיימת אי התאמה יש לפנות לרופא המטפל לתיקון הטעות במרשם ולוודא ביצוע. בטיפולים היברידיים (למשל SBRT + טיפול קונבנציונאלי) יש לתעד את כוונת התכנון והטיפול.</t>
  </si>
  <si>
    <t>יש להקפיד לתעד את צד הטיפול בקמליון ובאריה בצורה נכונה. יש להעתיק את מרשם הקמליון לאריה ולוודא נכונות ע"י כל הצוותים. אם מתקיימת אי התאמה יש לפנות לרופא המטפל לתיקון הטעות במרשם ולוודא ביצוע.</t>
  </si>
  <si>
    <t>ע"פ ההנחיה תיקי תכנון צריכים להיות מוכנים לפחות יום לפני הטיפול עד שעת הצהריים.</t>
  </si>
  <si>
    <t>שגיאה בזיהוי מטופל - שגיאה בזיהוי של המטופל גרם לסריקה שגויה של אזור הטיפול.  אזור הטיפול נסרק  שוב</t>
  </si>
  <si>
    <t>יש להקפיד על ביצוע נוהל זיהוי מטופל.</t>
  </si>
  <si>
    <t>יש להקפיד על ביצוע בדיקה מקדימה (Dry Run). ביצוע בדיקה מעמיקה בטיפולים מורכבים על ידי פיזיקאי בכיר כולל בדיקת החישוב עצמו. ליווי של פיזיקאי בכיר ומנוסה לתכנון של פיזיקאי פחות מנוסה.</t>
  </si>
  <si>
    <t>פגיעה במתקן - בזמן CBCT מלא הגנטרי פגע במתקן CIVCO.  המיטה הייתה במרכז.</t>
  </si>
  <si>
    <t>יש לבדוק בחדר לפני ביצוע CBCT גם במצב של Couch Center.</t>
  </si>
  <si>
    <t>מתן טיפול באופן שגוי - שני טיפולים ראשונים ללא שימוש של vaclock and bionix.</t>
  </si>
  <si>
    <t>יש לצלם בשלב הסימולציה את כל אמצעי הקיבוע ולתעד בקמליון. רנטגנאי בקרת איכות יתעד ב Setup Notes את הפרמטרים ואמצעי הקיבוע לצורך הטיפול.</t>
  </si>
  <si>
    <t>מתן טיפול באופן שגוי - עקב  תקלה טכנית במאיץ, נרשמו 38MU ב- arc הראשון. לאחר מכן ניתנו עוד 199MU כלומר, בפועל ניתנו 38+199MU. לאחר חזרת התקלה והחלפת המאיץ, ה- arc הראשון ניתן פעם נוספת (סה"כ 440MU). ה- Arc השני לא ניתן עקב מנה עודפת.ההבדל במנה הכוללת לטיפול &gt; 5%</t>
  </si>
  <si>
    <t>במעבר מאיץ יש לסגור את התיק בצורה נכונה ולא דרך ה Service. לאחר הטיפול יש לוודא (בערך חצי שעה אחרי) שה- MU שהתקבלו אכן נרשמו במערכת.</t>
  </si>
  <si>
    <t>מתן טיפול שלא על פי הפרוטוקול -  שימוש Vaclock של מטופל שונה עם שם זהה.</t>
  </si>
  <si>
    <t>יש להמנע ככל הניתן לא לשבץ מטופלים עם שמות זהים באותו המאיץ. יש לבדוק תעודת זהות גם של ה- Vaclock.</t>
  </si>
  <si>
    <t>מתן טיפול באופן שגוי - מטופל עם בולוס אישי בתוך המסיכה. במרשם צויין בולוס 0.5cm בכל טיפול. הבולוס אבד ולא ידוע כמה טיפולים קיבל ללא בולוס כיוון שאין התראה לחתימה על בולוס. קיבל 24 פרקציות עד כתיבת הדו"ח.</t>
  </si>
  <si>
    <t>שגיאה בזיהוי מטופל - מטופלת קיבלה זימון וטופס 17 לסימולציה על שם מטופלת אחרת.</t>
  </si>
  <si>
    <t>שגיאה בזיהוי.</t>
  </si>
  <si>
    <t>מתן טיפול באופן שגוי - מטופל קונטקט קיבל 2 טיפולים במנה שגויה במקום 5Gy קיבל 1.6Gy לפרקציה. המטופל קיבל השלמה לשארית הטיפולים.</t>
  </si>
  <si>
    <t>תקשורת לקויה - מטופלת שד ידעה על 16 טיפולים + בוסט כאשר בפועל תוכננה ל- 25 טיפולים +בוסט. בנוסף, תיעוד לא עקבי בין קמליון לאריה.</t>
  </si>
  <si>
    <t>מיקום לא ניתן לשחזור - מיקום של BB מתחת למנג'טה כך שקיימת אי וודאות בגודל ההזזות למטופל.</t>
  </si>
  <si>
    <t>תיעוד לא תקין  -  עקב רישום שגוי של הזזות, בוצעו שתי סריקות CBCT. בנוסף, עקב תקשורת לקויה בין הצוותים המידע לא הועבר הלאה ובוצעו שתי סריקות CBCT גם בפרציה הבאה.</t>
  </si>
  <si>
    <t>זימון תור לא מספק - מטופלת לא קיבלה תורים לאחות קרינה לכן לא קיבלה טיפול לפצע יכל היה לגרום לסיבוכים.</t>
  </si>
  <si>
    <t>זימון תור לא מספק - מטופלת לא קיבלה תורים לאחות קרינה לכן לא קיבלה טיפול נכון לאיזון כאבים.</t>
  </si>
  <si>
    <t>תיעוד לא תקין - במהלך הטיפול השני נתגלה ששם התכנית Rt Lung עבור טיפול לצד שמאל. השגיאה הינה בשם התכנית ולא בתכנון.</t>
  </si>
  <si>
    <t>זימון תור לא מספק - למטופל לא נפתח ביקור רופא לפני זימון לסימולציה.</t>
  </si>
  <si>
    <t>תיעוד לא תקין - מטופלת הציגה אישור מקרדיולוג שאינו מפורט מספיק לצורך מתן הטיפול. בנוסף, לא היה תיעוד על קיום קוצב לב.</t>
  </si>
  <si>
    <t>זימון תור לא מספק - מטופלת הגיע לסוף ההקרנות ללא ביקור אצל אחות. לא קיבלה טיפול מתאים לפצע.</t>
  </si>
  <si>
    <t>תיעוד לא תקין -  מטופל SRT מנה של 5Gy x 5, בקמליון כתוב 3 פעמים בשבוע. באריה 5 פעמים בשבוע.  המטופל קבל 5 פעמים בשבוע.</t>
  </si>
  <si>
    <t>תיעוד לא תקין - אי התאמה בין המנה שרשומה בקמליון  18Gy x 1 לבין המרשם באריה 20Gy x 1.</t>
  </si>
  <si>
    <t>סריקה לא תקינה- סימון נגמר בחתך האחרון של הCT. הרופא אישר את התוכנית.</t>
  </si>
  <si>
    <t>סריקה לא תקינה - מקרה SBRT בכבד עם סריקה חלקית של הכבד למרות הנחיה של הרופא לביצוע הסריקה.</t>
  </si>
  <si>
    <t>רופאים יוודאו התאמה בין המרשמים בקמליון ובאריה. בשלב אישור התכנית יעדכן הרופא את הקמליון אם קיים צורך. פיזיקאי מתכנן יפתח את המרשם המלא באריה ויבדוק גם שהתדירות תואמת את הטיפול.</t>
  </si>
  <si>
    <t xml:space="preserve"> ישנו תהליך חדש בו מגדירים את גבולות הסריקה. תתבצע בחינה של היישום.</t>
  </si>
  <si>
    <t>ישנו תהליך חדש בו מגדירים את גבולות הסריקה. תתבצע בחינה של היישום.</t>
  </si>
  <si>
    <t>לא יקבלו הוראות בע"פ. כל מרשם באריה יהיה מלווה במרשם קמליון תואם. יהיה העתק של המרשם מהקמליון במרשם אריה. אי ביצוע ההנחיה תעצור את תכנון התיק והטיפול ידחה בהתאם.דחיית טיפולים תעשה ע"י הרופא המטפל. במידה ויהיה סירוב לדחות את התיק ידווח המקרה לד"ר אלון.</t>
  </si>
  <si>
    <t>יבוצע זיהו מטופל ע"פ נוהל זיהוי מטופל. בשני אמצעים שונים. זיהוי המטופל יעשה גם ע"י הרנטגנאי שבקונסולה. חל איסור להעלות מטופל על בסיס מדבקות בלבד.</t>
  </si>
  <si>
    <t>חוסר זמינות של רופאים לקבלת מטופלים דחופים ואישור התכנונים שלהם.</t>
  </si>
  <si>
    <t>כמעט ניתן טיפול שגוי - מטופלת הגיעה לסימולציה עם הכנה להזרקת חומר ניגוד. לשאלת הרופא על רגישות ליוד נאמר שסובלת מאסטמה. המטופלת עברה סימולציה ללא חומר ניגוד.</t>
  </si>
  <si>
    <t>זימון תור לא מספק - מטופל לא קיבל זימון לאחות/רופא במהלך הטיפולים. נכנס לאחות רק לאחר 12 טיפולים מתוך 20. המטופל הביע אי שביעות רצון מהטיפול.</t>
  </si>
  <si>
    <t xml:space="preserve">המרשם של הקמליון צריך להתאים למנה של ה- PTV. </t>
  </si>
  <si>
    <t>יש לבצע מעקב על QFlow עבור מטופלים דחופים</t>
  </si>
  <si>
    <t>רופא בכיר צריך לוודא רגישויות של מטופלים לחומר ניגוד וכן לאשר את ההזרקה.</t>
  </si>
  <si>
    <t>באחריות משה לבדוק תהליך זימון תורים וביצוע מעקב.</t>
  </si>
  <si>
    <t>ביצוע הדרכה של כלל הצוות; פיזיקאים, רופאים, רנטגנאים, אחיות ומזכירות על נוהל זיהוי מטופל. כולל החתמת הצוות על ביצוע ההדרכה.</t>
  </si>
  <si>
    <t>היעדר מרשם - העדר מרשם לבוסט שד. חוסר התאמה בין קמליון לאריה. המטופלת שאלה על הבוסט בתום הטיפול אחרון לשד. עבר את כל הבקרות.</t>
  </si>
  <si>
    <t xml:space="preserve">רישום לקוי - מרשם קמליון נכתב למנה של 54Gy למוח. לאחר תכנון פוצל הטיפול לשני נפחים ל- 36Gy+18Gy=54Gy. האם יש צורך לפצל גם את המרשם של הקמליון כאשר המנה הכוללת זהה. </t>
  </si>
  <si>
    <t xml:space="preserve">רישום לקוי - מרשם אריה נכתב במקור למנה של 50Gy למפשאה ואגן ימין עם סמוליציה נוספת לאחר 40Gy ויתכנות לתוספת מנה של 10Gy . לאחר התוספת התקבלה דרישה למרשם של 60Gy במקום 50Gy+10Gy. בפועל טופל על 50Gy+10Gy. האם יש צורך לפצל גם את המרשם של הקמליון כאשר המנה הכוללת זהה. </t>
  </si>
  <si>
    <t>היעדר מרשם - העדר מרשם לבוסט שד. חוסר התאמה בין קמליון לאריה. התגלה בשלב בקרת איכות רנטגנאים (RTTQA).</t>
  </si>
  <si>
    <t>סריקה לא תקינה - ביצוע סריקה ארוכה עבור שני מוקדים מרוחקים. ללא הקפדה על עקרון ALARA.</t>
  </si>
  <si>
    <t>זיהוי שגוי</t>
  </si>
  <si>
    <t>תיעוד לא תקין- נכתב מרשם באריה ללא הוספת מרשם קמליון. רופא סירב להוסיף את המרשם לאריה. בנוסף, היתה אי התאמה בין המרשמים. הרופא תיקן את הקמליון אך לא את האריה.</t>
  </si>
  <si>
    <t>רישום לקוי - שכתוב מרשם שלא לצורך בקמליון. בקמליון נכתב 20x2.75Gy=55Gy. נדרש לשנות ל- 2.75Gyx(14+6)=38.5Gy+16.5Gy=55Gy. עבור תכנית + בוסט.</t>
  </si>
  <si>
    <t>תקשורת לקויה - מטופל המתין למעלה משעה וחצי כיוון שלא הוכנס ל- Qflow לביקורת רופא.</t>
  </si>
  <si>
    <t>תיעוד לא תקין - מטופלת הפנתה את תשומת הלב של הצוות במהלך הטיפול הרביעי לקוצב הלב שלה. היה תיעוד לקיום הקוצב בקבלה בלבד.</t>
  </si>
  <si>
    <t>תיעוד לא תקין - מטופל עם קוצב הגיע לטיפול. לא היה ידוע על הקוצב.</t>
  </si>
  <si>
    <t>תקשורת לקויה - מטופל נשלח לסימולציה חוזרת ע"י רופא לפני טיפול עקב שבר. המידע לא הועבר לצוות המטפל, תורים, פיזיקה, QA.</t>
  </si>
  <si>
    <t>סריקה לא תקינה - ביצוע סריקה עם רקטום מלא.</t>
  </si>
  <si>
    <t>תקשורת לקויה - מטופלת הגיעה לטיפול. התיק לא היה מוכן ו- care path לא התקדם. הסימולציה נעשתה בתאריך 5/1/21 יום הטיפול 25/1/21.</t>
  </si>
  <si>
    <t>מתן טיפול שלא על פי הפרוטוקול - מטופלת קיבלה טיפול ללא קסלודה</t>
  </si>
  <si>
    <t xml:space="preserve">מתן טיפול באופן שגוי - מטופל קיבל 5 טיפולים עם בולוס כאשר היה צריך לקבל לסירוגין עם ובלי בולוס. </t>
  </si>
  <si>
    <t>מתן טיפול שלא על פי הפרוטוקול  - תיק לא עבר QA איבר בריא לא סומן , וגם לא ניתנה הגבלה לאיבר. התיק תוכנן מחדש ביום הטיפול וניתן ללא מדידות. מקרה SBRT</t>
  </si>
  <si>
    <t xml:space="preserve">מרשם שגוי-חוסר התאמה בין קמיליון ואריה - מוקד צווארי התווסף למרשם בקמליון לאחר תחילת הטיפולים </t>
  </si>
  <si>
    <t xml:space="preserve">העברת מידע - חתום ע"י רופא כplanning approved במקום reviewed. עקב כך, לא עבר delta shift לטיפול. עבר בקרת איכות פיזיקאי  ורנטגנאי ללא תיקון. </t>
  </si>
  <si>
    <t>תכנון שגוי - מטופלת לזרוע ימין עם הזזת מיטה גדולה. גנטרי ירד מצד לא נכון, כמאט פגע במטופלת</t>
  </si>
  <si>
    <t>תקשורת לקויה - מרשם כתוב לטיפול עם פוטונים לבד, ומקרה צריך אלקטרונים. עבר מאיצים עד שעל מאיץ מתאים</t>
  </si>
  <si>
    <t>1Q21</t>
  </si>
  <si>
    <t>2Q21</t>
  </si>
  <si>
    <t>3Q21</t>
  </si>
  <si>
    <t>4Q21</t>
  </si>
  <si>
    <t>לא ישוחרר מטופל מסימולציה לפני שרופא ראה ואישר את הסריקה.</t>
  </si>
  <si>
    <t>רופא יתעד בקמליון טיפולים נוספים.</t>
  </si>
  <si>
    <t xml:space="preserve">באחריות רופא ליידע את הפיזיקה על תכנון לא סטנדרטי. </t>
  </si>
  <si>
    <t>כאשר תכנית אינה עוברת QA יש לשייך את Update Care Path לרופא והפיזיקאי באחריות הפיזיקה לעדכן. כמו כן יש לידע את הרופא על מהות השינויים באחריות רופא ה QA וכן לתעד אותם בהערות של ה Update Care Path. יש לרכז רשימת הגבלות לאיברים בסיכון של היחידה ולא להשתמש בטבלאות אחרות.</t>
  </si>
  <si>
    <t>תתקיים ישיבת רופאים לקביעת קריטריונים לכתיבת מרשם. רצויה נוכחות של פיזיקאי ראשי בישיבה.</t>
  </si>
  <si>
    <t>הפיזיקאי המתכנן ישלח Delta Shift בתום התכנון לפני חתימה שניה של פיזיקאי. פיזיקאי המבצע חתימה שניה יוודא קיום הזזות.</t>
  </si>
  <si>
    <t>יש להקפיד לבדוק כיווני גנטרי בשלב התכנון ובקרות האיכות. בעת פגיעה של גנטרי יש לידע גם את הפיזיקה בדבר האירוע.</t>
  </si>
  <si>
    <t>בתכנון דחוף עם אלקטרונים יש לוודא זמינות של מאיץ 2 שאין SRS\SBRT באותו הזמן. אם לא זמין יש לתכנן למאיצים 4\5.</t>
  </si>
  <si>
    <t>זימון תור לא מספק - מטופלת הגיעה לטיפול קרינה ללא תור לטיפול כימו.</t>
  </si>
  <si>
    <t>יש לבקש ולתעד טיפול כימי במהלך הקבלה הרפואית.</t>
  </si>
  <si>
    <t>יש לתאם ישיבת רופאים לקביעה ותאום על אופן כתיבת מרשם בקמליון. נוכחות פיזיקאי ראשי רצויה בישיבה. יש לתאם שינויים בקמליון בהתאם להחלטות הישיבה.</t>
  </si>
  <si>
    <t>תאריך ישיבת QI</t>
  </si>
  <si>
    <t>העברת מידע - מקרה שלא עבר QA ויש update care path המידע לא הועבר למאיץ או לרופא המטפל. המטופלת הגיעה לטיפול ונעשה RTT QA במאיץ וקיבלה טיפול ללא תיקון התכנית בהתאם להמלצות QA.</t>
  </si>
  <si>
    <t>תקשורת לקויה - שינויים מרובים בתאריך  הטיפול + בזמני הטיפול למטופל. שינוי נעשה ב- ATD ולא באריה. קבל תזכורת למועד טיפול שגוי</t>
  </si>
  <si>
    <t xml:space="preserve">תקשורת לקויה - מטפלת לטיפול דחוף המתינה לטיפול. לא דווח לאיזה מאיץ לתכנן וכן המאיץ לא עודכן על הטיפול. </t>
  </si>
  <si>
    <t>אי עמידה בזמנים - ,תיק הגיע לפיזיקה אחרי דחיה עם יומיים חישוב ל- SBRT.</t>
  </si>
  <si>
    <t>עיכוב במתן טיפול- מוזמן לקבלה ב- 14:00 וסימולציה ב- 15:00. סיום הקבלה לפי קמליון בשעה 16:22. בדו"ח נאמר 17:15 וסימולציה בשעה 18:00 עבור טיפול ח"פ.</t>
  </si>
  <si>
    <t>כמעט ניתן טיפול שגוי - בוצע תכנון על סריקה ישנה. התוכנית אושרה והועברה לטיפול במאיץ. נעצר לפני מתן הטיפול.</t>
  </si>
  <si>
    <t>העברת מידע - מטופלת הגיעה לסימולציה ללא טופס 17 ונשלחה הביתה. המידע לא הועבר לסימולציה.</t>
  </si>
  <si>
    <t>עיכוב במתן טיפול- מוזמן לקבלה ב- 14:00 וסימולציה ב- 15:30. סיום הקבלה בשעה 17:00 וסימולציה בשעה 17:15.</t>
  </si>
  <si>
    <t xml:space="preserve">העברת מידע - מקרה שלא עבר QA ויש update care path המידע לא הועבר לרופא או לפיזיקאי המטפל לצורך תיקון התכנון. </t>
  </si>
  <si>
    <t>יש להקפיד על ההנחיות הכתובות במרשם. בבקרות האיכות (חתימה שניה, חתימת רופא, QA, RTTQ) יש לקרוא ולבדוק את ההנחיות הכתובות במרשם.</t>
  </si>
  <si>
    <t>הקפדה על כתיבת מרשם וכן לתקשר שינויים טיפוליים עם הצוות והמטופל.</t>
  </si>
  <si>
    <t>הנחיות הרופא לאופן הסריקה צריך להיעשות תוך הקפדה על עקרון As Low As Reasonably Achievable (ALARA) . כלומר, לא להקרין נפחים מיותרים וכן, גודל חתכים סבירים.</t>
  </si>
  <si>
    <t>יש להקפיד במיוחד על זיהוי נכון של המטופלים וכן משנה זהירות בהזנה של נתונים לתיק המטופל.</t>
  </si>
  <si>
    <t xml:space="preserve">להקפיד על תקשורת מלאה בין הסקטורים. אם מבחינים שיש מטופל שממתין ללא צורך, יש לברר את הסיבה ולהביא פתרון. </t>
  </si>
  <si>
    <t>סריקה לא תקינה -CT לאגן, הסריקה כללה את כל הגוף מהצוואר עד אמצע הירכיים.</t>
  </si>
  <si>
    <t>תיעוד קוצב הינו מחייב בעת כתיבת המרשם בקמליון. יש לתעד גם באריה. הנחיות מלאות לאופן הכתיבה יינתנו בהמשך.</t>
  </si>
  <si>
    <t>באחריות מבצע השינוי לדווח לגורמים הרלבנטיים.</t>
  </si>
  <si>
    <t>תכנון שגוי - גנטרי ירד ללא אקסטנסיה, סיבוב מיטה מסוכן,(כמעט פגע המטופל)  תיק מוכן ברגע האחרון</t>
  </si>
  <si>
    <t>יש להקפיד על תקשורת בין סקטורים על שינויים במועדי תכנון. על מבצע השינוי ליידע את המזכירות. המזכירות תיידע את זימון תורים ו- RTTQA לגבי השינויים. RTTQA תיידע את הפיזיקה והמאיצים לפי הצורך התכנוני. בטיפולים דחופים בקצ"תים לעיתים יש צורך בקביעה של מאיץ לתכנון. יש לקבוע רנטגנאי תורן בכל קצ"ת.</t>
  </si>
  <si>
    <t>בעת דחיה של מועד טיפול למטופל יש לתת לפחות 3 ימי עבודה לפיזיקה לשם תכנון התיק ועל מנת שלא יפגע באיכות התכנון.</t>
  </si>
  <si>
    <t>מטופלים שאינם מגיעים בזמן לטיפול יתקבלו לטיפול ולא ידחו. מועד הטיפול יהיה לאחר שהמטופלים שבתור יקבלו את הטיפול שלהם בזמן ותהיה רגיעה במאיץ.</t>
  </si>
  <si>
    <t>במהלך סריקות שד יש לבצע גם BH (עצירת נשימה) וגם FB (נשימה חופשית). אם המטופלת אינה מסוגלת לבצע עצירת נשימה כמו שצריך יש ליידע את הרופא ולבקש שייתכנן על ה- FB</t>
  </si>
  <si>
    <t xml:space="preserve">בעת סריקה של CT, יש לשנות את השם של הסריקה במקום CT_1 לתאריך הסריקה למניעה של שימוש בסריקות ישנות. </t>
  </si>
  <si>
    <t>שליחה של מטופל הביתה (דחית הטיפול) תעשה באישור רופא בלבד.</t>
  </si>
  <si>
    <t>בישיבת QA יש לייצר דו"ח בקרת איכות אשר יכלול את המקרים שנידונו, עבר/לא עבר ומה הם השינויים הדרושים. עבור כל שינוי בתכנון יש ליצור קשר עם הרופא המתכנן וליידע אותו יש ליידע גם פיזיקאי בעת הצורך. הדו"ח יועבר ל RTTQA. נוכחות RTTQA רצויה במהלך הישיבות. בנוסף, צריך לשנות את ה Care Path שישויך לפיזיקה, באחריות דימה לבצע.</t>
  </si>
  <si>
    <t>בוטלו האנרגיות הלא רלוונטיות בבחירת שדות הטיפול.</t>
  </si>
  <si>
    <t>יש להקפיד על כתיבה וחתימה על מרשמים ע"י רופא בכיר. יש לבדוק שאין הרשאות למתמחים לחתום.</t>
  </si>
  <si>
    <t>תכנון שגוי - תוכנית וסריקה נעשו על קורס ישן.</t>
  </si>
  <si>
    <t>יש להקפיד על פתיחת קורס חדש וסגירה של קורס ישן. יתכנו תוכניות ישנות שהמטופל לא קיבל על קורסים ישנים.</t>
  </si>
  <si>
    <t>בשלב התכנון יש להקפיד על Extended, בחתימה שניה ובקרת איכות להקפיד על בדיקה של Extended.</t>
  </si>
  <si>
    <t>כמעט חפיפה בין השדות</t>
  </si>
  <si>
    <t>שגיאה בזיהוי מטופל - החלפת סיפרה בתועדת זהות של מטופל.</t>
  </si>
  <si>
    <t>תקשורת לקויה - 4 מקרים שההסכמה לטיפול לא נלקחה מחדר רופא לסריקה בקמליון למשך למעלה משבוע.</t>
  </si>
  <si>
    <t>מתן טיפול שלא על פי הפרוטוקול - מקרה של SBRT טופל ללא vaclock  לכל 3 הטיפולים.</t>
  </si>
  <si>
    <t>תיעוד לא תקין - עבור אותה מטופלת קיבלה 2 מספרי זהות  באריה - טעות במספר זהות.</t>
  </si>
  <si>
    <t>תיעוד לא תקין - עבור אותה מטופלת קיבלה 2 מספרי זהות  באריה - בלי ועם במספר ביקורת.</t>
  </si>
  <si>
    <t>העברת מידע - 16 טפסי הסכמה חתומים מתאריך 26/12/21 עד 9/1/22 טרם הועברו למזכירות לצורך סריקה לתיק המטופלים.</t>
  </si>
  <si>
    <t>סריקה לא תקינה - GBM  נסרק עם מסיכה קצרה.</t>
  </si>
  <si>
    <t>שגיאת care path -  יש בעיה עם update care path  שמאפשר טיפול ללא תיקון של התוכנית.</t>
  </si>
  <si>
    <t>סריקה לא תקינה - בוצעה סריקה על מתקן שד שאינו מאוזן. נדרשה סימולציה חוזרת.</t>
  </si>
  <si>
    <t>סריקה לא תקינה - סימולציה שאינה מותאמת נכון אין מספק מרחק בתחתית הסריקה ומרחק גדול בחלק העליון שלה.</t>
  </si>
  <si>
    <t>סריקה לא תקינה - שימוש לא נכון באמצעי קיבוע. אי שימוש ב- SEMAR.</t>
  </si>
  <si>
    <t>סריקה לא תקינה - סימולציה שאינה מותאמת נכון . הסריקה עם מרחק גדול בחלק העליון שלה.</t>
  </si>
  <si>
    <t>סריקה לא תקינה - סריקה ארוכה ללא צורך.</t>
  </si>
  <si>
    <t>סריקה לא תקינה - מטופלת הושכבה עקום. נדרשה סימולציה חוזרת.</t>
  </si>
  <si>
    <t>תכנון שגוי -  ציור ושדות סומנו על CT ישן (מלפני חצי שנה).</t>
  </si>
  <si>
    <t>מתן טיפול שלא על פי הפרוטוקול -  מטופלת לקרינה פליאטיבית קבלה טיפול באותו יום למרות שהכוונה היתה לטיפול ביום אחר.</t>
  </si>
  <si>
    <t>העברת מידע - בהחלטה רפואית שונתה תוכנית  לטיפול ללא ספייסר. המדע לא הועבר למטופל על ידי הרופא המטפל.</t>
  </si>
  <si>
    <t>תיעוד לא תקין - נפתח ביקור ללא נוכחות במקום ביקור עם נוכחות. לכן לא ניתן  היה לבצע קבלה באופן מלא.</t>
  </si>
  <si>
    <t>העברת מידע - מספר מקרים לא הועברה סריקה לאריה מהסימולטור באותו יום.</t>
  </si>
  <si>
    <t>סריקה לא תקינה - במהלך סימולציה עם BH, ניתן לראות שהנשימה אינה עמוקה מספיק.</t>
  </si>
  <si>
    <t>יש להקפיד על לקיחת הטפסים על בסיס יומי.</t>
  </si>
  <si>
    <t>להקפיד על צילום המטופלים, תיבדק אפשרות לרכוש מצלמת WEB אשר תעביר את הצילומים לאריה. יעשה סקר ספרות על קיבועים והבליעה שלהם. תכתב מדיניות בנושא קיבועים ותתקיים ישיבה בנושא.</t>
  </si>
  <si>
    <t>בקבלה של מטופל חוזר יש להסתכל על התכניות הקודמות ולא רק על התיאור בקמליון.</t>
  </si>
  <si>
    <t>תינתן הדרכה למזכירות על עבודה באריה. ממשק בין קמליון לאריה עדיין בעבודה. כשיהיה פרטי המטופלים יועברו ללא הקלדה ידנית.</t>
  </si>
  <si>
    <t>יוצאו הנחיות לכתיבת מרשם</t>
  </si>
  <si>
    <t>יש לוודא קבלה מסודרת של כל המטופלים במזכירות.</t>
  </si>
  <si>
    <t>להקפיד על עבודה לפי פרוטוקול. ירועננו הפרוטוקולים של הסיטי ותתקיים ישיבה בנושא. קיימת בעיה בקמליון רנטגנאים לא רואים את ההנחיות של הרופאים.</t>
  </si>
  <si>
    <t>Update care path יושייך גם לפיזיקה.</t>
  </si>
  <si>
    <t>במהלך ייבוא של סריקה מה- CT ישונו שמות הסריקות לתאריך הסריקה.</t>
  </si>
  <si>
    <t>סימון שגוי- לאחר תיכנון טיפולת נתגלה שהיה צריך לתכנן על נשימה חופשית ולא  BH. בסימון החדש היו הפרשים גדולים בסימון</t>
  </si>
  <si>
    <t>סריקה לא תקינה - מבדיקה לפני תכנון ניתן לראות כי המטופלת שוכבת ברוטציה על מתקן השד דבר אשר יקשה מאוד של שחזור ההשכבה בטיפול. כתוצאה מכך מנח הידיים אינו סימטרי כפי שניתן לראות.</t>
  </si>
  <si>
    <t xml:space="preserve">תיק ללא אישורים מספקים - מטופל הגיעה לסימולציה מתוכננת. בפועל קבל 2 סימולציות + טיפול עם טופס 17 אחד בלבד במקום 3. </t>
  </si>
  <si>
    <t>מרשם שגוי - לתכנון דופן חזה ימין, שויך מרשם של שד+ SIB</t>
  </si>
  <si>
    <t>מתן טיפול שלא על פי הפרוטוקול - מטופלת קבלה טיפול ללא חתימות של רופא ופיזיקאי נוסף(חתימה שניה)</t>
  </si>
  <si>
    <t>תקשורת לקויה -  מטופלת הגיעה לטיפול  ברכי ברונכוס. ניתן אישור לפרוצדורה על ידי מנהל היחידה אך המידע לא אבר לרנטגנאים.</t>
  </si>
  <si>
    <t>מתן טיפול באופן שגוי - מטופל קבל הטיפול הראשון ללא vaclock.  לא היה תעוד מספק בset up notes</t>
  </si>
  <si>
    <t>סריקה לא תקינה - מטופל נסרק עם רקטום מלא.</t>
  </si>
  <si>
    <t>סריקה לא תקינה - נסריקה לSBRT אגן עם ידיים בשדה</t>
  </si>
  <si>
    <t>סריקה לא תקינה - ארטפקטים בסריקה בסימולטור GE</t>
  </si>
  <si>
    <t>העברת מידע - תיק דחוף נתקע בשלב של קביעת תור כיוון שבצהריים אין רנטגנאי תורים</t>
  </si>
  <si>
    <t xml:space="preserve"> מתן טיפול באופן שגוי - שינוי עובי הבולוס במהלך הטיפול.</t>
  </si>
  <si>
    <t>הכנסת מטופל ללא תאום</t>
  </si>
  <si>
    <t>תכנון טיפול על קורס ישן</t>
  </si>
  <si>
    <t>סריקת לא תקינה - CT ראש צוואר עם ארטיפקטים ללא תיקון SEMAR. כאשר נתגלה לא ניתן היה לשחזר את  הסריקה עם SEMAR כיוון שהסריקה כבר נמחקה מה- Toshiba.</t>
  </si>
  <si>
    <t>תיעוד לא תקין - היעדר תיעוד במערכת ה-ARIA</t>
  </si>
  <si>
    <t>שגיאה בזיהוי מטופל - סריקה למטופלת אחת על מספר זיהוי של מטופל אחר</t>
  </si>
  <si>
    <t>שגיאת Care Path- שימוש ב care path של IMRT ולא SRS.</t>
  </si>
  <si>
    <t>%</t>
  </si>
  <si>
    <t>יש למשוך מטופלים מהאריה באופן אוטומטי ולא להזין ידנית. בימים אלו נעשית בדיקה של משיכת מטופלים ישירות מ- RIS.
יש לבצע וידוא של פרטי המטופל לפני ביצוע סריקה.
אין להחליף צוותים לפני סיום הטיפול במטופל. אם חייבים לצאת לפני, אז יש לבצע "פסק זמן" בו הצוות הראשון מתדרך את הצוות השני ועובר על פרטי המקרה בצורה מלאה; פרטי המטופל, פרטי הטיפול, גודל הסריקה, אמצעי הקיבוע ולאן להעביר את המטופל בסיום הטיפול.</t>
  </si>
  <si>
    <t>שגיאה בזיהוי מטופל - מטופל נסרק תחת שם של מטופל אחר.  בוצעה סריקה נוספת תחת השם הנכון.</t>
  </si>
  <si>
    <t>שגיאה בזיהוי מטופל - מטופלת הגיעה לביקורת אחות עם מדבקות של מטופל אחר.</t>
  </si>
  <si>
    <t>שגיאה בזיהוי מטופל - נתונים של מטופל אחר נסרקו לתיק הקמליון של המטופל.</t>
  </si>
  <si>
    <t>שגיאה בזיהוי מטופל - סריקה של מטופל שוייכה לתיק של מטופל אחר.</t>
  </si>
  <si>
    <t>תכנון שגוי - לא ניתן היה לטפל בשדה PA עבור מטופלת עקב גובה המיטה. הטיפול לא הושלם.</t>
  </si>
  <si>
    <t>שיוך המטופלים יהיו לרופא שקיבל אותם והוא יתכנן את המקרה. עבור מטופלים אשר מתקבלים וגם עוברים סימולציה באותו היום, במשרד יוסיפו "קבלה+ סימולציה".</t>
  </si>
  <si>
    <t>עבור שינוי בתכנית טיפול, יהיה באחריות הרופא המטפל ליידע את המטופל על אופי השינוי. עבור שינוי במועד טיפול ברגע האחרון, יהיה הרופא אחראי ליידע את המטופל. אחרת ניתן לבקש ממזכירות לתאם עם המטופל את השינוי.</t>
  </si>
  <si>
    <t>יבוצע ריענון הנוהל.</t>
  </si>
  <si>
    <t>יש לפעול לפי נוהל העבודה בסימולציה ונהל זיהוי מטופל. אין להזין פרטים ללא וידוא של פרטי המטופל. בפרט יש לוודא שהמטופל ששוכב על המיטה תואם את המטופל שפתוח בעמדת הסריקה (טושיבה) ובאריה.</t>
  </si>
  <si>
    <t>אופן הסימון של הבוסט בטיפולי שד ייבדק מול ספרות עדכנית.</t>
  </si>
  <si>
    <t>במהלך השכבת המטופל יש להקפיד על כל הפרטים ובפרט לשים לב לפרמטרים של הקיבועים ולצורת השכיבה עליהם.</t>
  </si>
  <si>
    <t>אורך הסריקה בהחלטת הרופא. בעמוד שדרה, נדרשת נקודת מוצא לשם ספירה נכונה של החוליות.</t>
  </si>
  <si>
    <t> המקרה נסרק (רנטגנאים), סומן (רופא) ותוכנן (פיזיקאי) למרות שהסריקה אינה איכותית. יש להקפיד בכל שלב על תשומת לב למקרה ולבחון בעין ביקורתית את התכנון. אם משהו לא נראה טוב יש להתייעץ ואף לעצור את המשך התכנון אם צריך.</t>
  </si>
  <si>
    <t>במקרים מורכבים יש צורך בתקשורת ישירה בין הצוותים. על הרופא להציג את המקרה והדרישות המיוחדות מהפיזיקאי המתכנן. על הפיזיקאי המתכנן נדרש לבקש הבהרות מהרופא עבור כל סוגיה לא פתורה. </t>
  </si>
  <si>
    <t>יש להקפיד בכל שלב על תשומת לב למקרה ולבחון בעין ביקורתית את התכנון. אם משהו לא נראה טוב יש להתייעץ ואף לעצור את המשך התכנון אם צריך.</t>
  </si>
  <si>
    <t>אי עמידה בזמנים - מטופלת דחופה המתינה כ 4.5 שעות עד טיפול.</t>
  </si>
  <si>
    <t>סריקה לא תקינה - עבור טיפול SBRT, המטופל נסרק ללא מיטה.</t>
  </si>
  <si>
    <t>זימון תור לא מספק - המטופלת קיבלה טיפול ב 9:20 וביקורת רופא ב 13:30. בפועל הועברה ב QFLOW  אחרונה בתור והמתינה כשעתיים לקבלת רופא.</t>
  </si>
  <si>
    <t>תקשורת לקויה - התיק נדחה בחודש, הצוות הרלוונטי לא קיבל עדכון על השינוי.</t>
  </si>
  <si>
    <t>סריקה חוזרת -המטופל היה צריך להסרק עם שלפוחית מלאה ורקטום מרוקן. נסרק שלוש פעמים כאשר הרקטום אינו מתרוקן. הרופא קבע סימולציה חוזרת עם חוקן.</t>
  </si>
  <si>
    <t>העברת מידע - המטופל הוזמן לביקור רופא ב 14:15 עם תור למאיץ ב- 18:20. בפועל המאיץ קרא למטופל לפני הביקור לרופא ולא הוחזר ב Qflow לרופא. המטופל המתין הרבה זמן.</t>
  </si>
  <si>
    <t>תיק ללא אישורים מספקים - אותו רופא חתם גם על התכנון וגם על בקרת האיכות.</t>
  </si>
  <si>
    <t>סימון שגוי - סימון לא עקבי מקשה על ביצוע חישוב ועמידה בהגבלות.</t>
  </si>
  <si>
    <t>חבלה גופנית - מטופלת דחופה שברה את יד ימין לאחר סימולציה ולפני הטיפול.</t>
  </si>
  <si>
    <t>תכנון שגוי - תכנית טיפול תוכננה בקצב מנה נמוך 60 MU/min.</t>
  </si>
  <si>
    <t>תכנון שגוי - כל ה- setup fields נוצרו עם סיבוב מיטה של 270. חתימה שניה לא עצר את התיק.</t>
  </si>
  <si>
    <t>היעדר תיעוד - טיפול במאיץ לא נרשם בקמליון גם לאחר שיחה בין הרופא לרנטגנאי במאיץ.</t>
  </si>
  <si>
    <t>תקשורת לקויה - מטופל המתין זמן ממושך כיוון שהוכנס ליומן לא נכון ב Qflow.</t>
  </si>
  <si>
    <t>יבוצעו ההדרכות הבאות: לרופאים על התחייבויות וקודים. לרנטגנאים על סריקה מרובת מוקדים למטופלים מקופות זרות.</t>
  </si>
  <si>
    <t>תתקיים ישיבה על נוהל עבודה של ברכיתרפיה.</t>
  </si>
  <si>
    <t>יתקיים דיון על הדרישות והאינפורמציה הרצויה לצורך תכנון הניתנות מהסימולציה.</t>
  </si>
  <si>
    <t>תבוצע בדיקה של דרישות סימולציה לכל תחום מול הרופא הרלבנטי. בנוסף, רופא יידרש לאשר סימולציות לפני הורדת המטופל.</t>
  </si>
  <si>
    <t>יתקיים דיון על הדרישות והאינפורמציה הרצויה לצורך תכנון הניתנות מהסימולציה. רופא יציין לצורך הסימולציה אם המקרה יתוכנן כפליאציה או ב- SBRT.</t>
  </si>
  <si>
    <t>במסגרת פרוייקט סטנדרטיזציה של המרשמים יאוחדו המרשמים של שד ובית חזה.</t>
  </si>
  <si>
    <t>כל טיפולי ברכיתרפיה לברונכוס הוקפאו עד הודעה חדשה של מנהל היחידה ד"ר לימון.</t>
  </si>
  <si>
    <t>הוצאה הנחייה לא לבצע סימולציות ב GE עד תיקון איכות התמונה. יקבעו נהלי בדיקות איכות לסימולטורים.</t>
  </si>
  <si>
    <t>לא נקבלה החלטה בנושא של קביעת מאיץ לדחופים. ה- Care Path של המקרים הדחופים לא יכול להכיל רכיב זימון תור שעוצר את זרימת התכנון ועל כן צריך להימצא במקביל למסלול.</t>
  </si>
  <si>
    <t>סריקה לא תקינה - ילדה קיבלה סריקה חוזרת כיוון שהסריקה הראשונה לא היתה ארוכה מספיק.</t>
  </si>
  <si>
    <t>תיעוד לא תקין - שגיאה בהזנה של ת.ז. במקום 32325923 נכתב 3232593 (חסרה הסיפרה 2).</t>
  </si>
  <si>
    <t>שגיאה בתהליך תכנון</t>
  </si>
  <si>
    <t>שגיאה בתהליך תכנון - קיבל טיפול באלקטרונים בטרילוג'י. לא ניתן לראות מנות בתכנית (היתה תכנית עם מנות מחושבת למאיץ אחר כדי להדגים כיסוי, בסטטוס rejected).</t>
  </si>
  <si>
    <t>מתבצע תהליך איחד יחידות. בתהליך זה יהיה מסלול אוטומטי של זימונים (למשל מאיץ + רופא). לא ניתן להחליף את סדר הפעולות. יתבצע בימים הקרובים.</t>
  </si>
  <si>
    <t>ניתן להמשיך לתכנן למאיץ 3 ללא איזודוזות.</t>
  </si>
  <si>
    <t>במהלך שינויים בתכנון יש ליידע את הצוות הרלבנטי ואת המטופל. יבוצעו ישיבות QA בפיזיקה בנוכחות פיזיקאי ו- RTTQA.</t>
  </si>
  <si>
    <t>פרוייקט ממשקים בין תכנות נמצע בעבודה. יתקיימו הדרכות צוות המזכירות על אריה. תבוצע בדיקה מדוע ה Care Path אינו תואם.</t>
  </si>
  <si>
    <t>לא היתה בקרה נוספת. יש לבצע Time out. סימון קליני צריך להתבצע ע"י רופא + רנטגנאי/פיזיקאי במהלך קבלת המטופל אצל הרופא. הרנטגנאי צריך לעבור ביחד עם הפיזיקאי במאיץ על התכנית. כולל קריאה קפדנית של המרשם.</t>
  </si>
  <si>
    <t>תכנון שגוי - למטופלת מרשם למנה כוללת של 6Gy בשתי פרקציות. בפועל המטופלת קיבלה את המנה הכוללת 6Gy בפרקציה אחת. המקרה דווח כאירוע לניהול סיכונים ומשרד הבריאות.</t>
  </si>
  <si>
    <t>תכנון שגוי - מטופלת הורדה מהשולחן עקב כמעט פגיעה של הגנטרי במטופלת והמיטה.</t>
  </si>
  <si>
    <t>זימון תור לא מספק - ריבוי התחלות טיפול לאחר השבתת מאיץ.</t>
  </si>
  <si>
    <t>מתן טיפול שלא על פי הפרוטוקול - מטופלת הושכבה באמצעות KV-KV כאשר בהוראת הרופא נתבקשו לבצע CBCT.</t>
  </si>
  <si>
    <t>שגיאה טכנית - בתום טיפול לא ניתן היה להכנס לחדר המאיץ ולהוריד את המטופלת מהמיטה עקב תקיעה של הדלת. לא ניתן היה לפתוח את הדלת גם באמצעות פתיחת החירום.</t>
  </si>
  <si>
    <t>חוסר תשומת לב</t>
  </si>
  <si>
    <t>חוסר תשומת לב - במהלך הטיפול השלישי נתגלה ממצא חדש בצילום CBCT. בדיעבד ממצא זה היה גם בשני הטיפולים הקודמים. המטופל נשלח לסימולציה חוזרת.</t>
  </si>
  <si>
    <t>שימוש לא נאות באמצעי קיבוע</t>
  </si>
  <si>
    <t>יש לבצע בדיקה של נהלי דימות במכון.</t>
  </si>
  <si>
    <t>אי עמידה בזמנים - מטופל דחוף ממתין הרבה זמן . (מ 15:00 עד 19:45). Carepath לא עבר ולא נכתב מרשם.</t>
  </si>
  <si>
    <t>יש לכתוב נהל דחופים עם הרופאים.</t>
  </si>
  <si>
    <t xml:space="preserve">שגיאה בזיהוי מטופל - מספר זהות שגוי עם מספר נוסף באמצע. </t>
  </si>
  <si>
    <t>29/5/22</t>
  </si>
  <si>
    <t>שגיאה בתהליך תכנון - מטופל תוכנן למאיץ שגוי.</t>
  </si>
  <si>
    <t xml:space="preserve">שגיאת care path -  תכנון דחוף לא הגיע לפיזיקה עקב care path   שגוי. לא נשלחה הודעה בדחופים. </t>
  </si>
  <si>
    <t>העברת מידע - מטופל נשלח לביתו למרות בקשה לקבלו באופן מיידי.</t>
  </si>
  <si>
    <t>תקשורת לקויה - המטופלת לא הופיע ברשימה של ה- ATD ולכן, לא הוצגה בישיבת הבוקר. בנוסף, הרופא לא נקרא לסימולציה לסימון, למרות בקשה מפורשת.</t>
  </si>
  <si>
    <t>זימון תור לא מספק - מטופל עבר קבלה בתאריך 2/5/2022 אך לא קיבל זימון לסימולציה בזמן סביר. נתגלה בתאריך 29/5/2022.</t>
  </si>
  <si>
    <t>סריקה לא תקינה - סריקת 4D לא תקינה. עקומת הנשימה אינה טובה וכן שחזור הפאזות אינו טוב.</t>
  </si>
  <si>
    <t>לא ניתן לבצע נשימה עמוקה</t>
  </si>
  <si>
    <t>1Q22</t>
  </si>
  <si>
    <t>2Q22</t>
  </si>
  <si>
    <t>3Q22</t>
  </si>
  <si>
    <t>4Q22</t>
  </si>
  <si>
    <t>מתן טיפול באופן שגוי - מטופלת קיבלה 4 טיפולים ללא Vaclock.</t>
  </si>
  <si>
    <t>תכנון שגוי - עבור טיפול ב Extended SSD נעשה פיצול של שדות טיפול לשתי תכניות שונות. המטופלת קיבלה במקום 2Gy לשדה 4Gy לכל שדה למשך 1.5 פרקציות מתוך 5 פרקציות. הטיפול הופסק.</t>
  </si>
  <si>
    <t>מתן טיפול באופן שגוי - מטופל קבל טיפול אחד עם מסיכה ישנה.</t>
  </si>
  <si>
    <t>עדכון CP באחריות רנטגנאים.</t>
  </si>
  <si>
    <t>הנחיות לסימולציה בקמליון נמצע בעבודה.</t>
  </si>
  <si>
    <t>טעות אנוש אין הנחיות מיוחדות.</t>
  </si>
  <si>
    <t>ממשקים של קמליון, ATD ואריה נמצאים בעבודה. מטרת הממשק לסנכרן את העברת המידע בצורה אוטומטית ככל הניתן בין המערכות.</t>
  </si>
  <si>
    <t>במקרה של ילדים בהרדמה יש לקרוא לרופא לבדיקת הסריקה לפני הורדת המטופל. יש לבדוק שיחת איזה מידע צריכים לקבל במעבר משניידר (גודל הסריקה הדרושה).</t>
  </si>
  <si>
    <t>יש להנחות את הפיזיקאים עבור מקרי דופלקס להוריד את מרכז הטיפול (עבור מרכז משותף). פיזיקאי יעריך אם טיפול צפוי להיות ארוך מדי לצורך BH. רופא יבצע הערכת יכולת של מטופל לביצוע נשימה עמוקה במהלך הקבלה של המטופלת.</t>
  </si>
  <si>
    <t>יש לבחון כיצד ליעל את אופן זרימת המטופלים לאחר טיפולים במאיץ.</t>
  </si>
  <si>
    <t>להוציא דף הנחיות ל CNS לרנטגנאים. ההנחיות יכללו קיבועים ואופן ההשכבה של המטופל. יש להקפיד שסימולציות וטיפולים יבוצעו באותם תנאים.</t>
  </si>
  <si>
    <t xml:space="preserve">תבוצע הדרכת חירום לפתיחת מאיצים. תתקיים פגישה עם אב הבית בכדי לסדר את עניין ההחזקה של המאיצים. יש למנות אחראי במכון אשר יתאם ויעקוב אחר על קיום הבדיקות התקופתיות. </t>
  </si>
  <si>
    <t>הרופא המטפל ראה את ה CBCT אך הניח שמדובר בדלקת ולא גידול. המקרה יוצג לרופאים וישלח כדו"ח אירוע ליחידת ניהול סיכונים. ע"פ הנחיות של ASTRO ל- SBRT הטיפול צריך להתקיים עד שבועיים אחרי הסימולציה. במקרה זה משך הזמן היה חודש.</t>
  </si>
  <si>
    <t>משתדלים לייתר את השימוש בואקלוק. לא יעשה שימוש בואקלוק עבור טיפולים באיזור הבטן והאגן.</t>
  </si>
  <si>
    <t>רופא ואחות יבצעו הערכת יכולת של מטופל לביצוע נשימה עמוקה במהלך הקבלה של המטופלת. אם הוחלט לטפל בנשימה חופשית אז יש לתעד בקמליון. בנוסף, אם בוצעה סריקה גם של BH והוחלט לא לטפל, לא תשלח הסריקה לאריה.</t>
  </si>
  <si>
    <t>יש להקפיד לתעד את הקיבועים בסימולציה. רכישת מצלמה בתהליך.</t>
  </si>
  <si>
    <t>במהלך סימולציה חוזרת של מטופל חדש יש להשמיד את המסיכה הישנה ולציין את המסיכה החדשה. יש לתעד בקמליון. עבור מטופלים שכבר בטיפול יש להקפיד על תיעוד.</t>
  </si>
  <si>
    <t>מטופל קיבל 3 מוקדים יום אחרי יום במקום לסרוגין.</t>
  </si>
  <si>
    <t>ייכתב נוהל בנושא פיצול תוכניות. תיכנונים לחתימת רופא יגיעו כשהם מוכנים בכל ההיבטים. ממתמחים ילוו באופן מלא. דו"ח נשלח למשרד הבריאות.</t>
  </si>
  <si>
    <t>יש להנחות פיזיקאים להקפיד לשנות מאיץ עם שדות מוכנים מראש. עבור מקרי פרוסטטה בהקשר של הכנת המטופלים, הם יקבלו הנחיות שתיה חוקן בהודעת טקסט קצרה.</t>
  </si>
  <si>
    <t>להעביר בקשות גם באמצעות המייל של המזכירות וגם בעל פה.</t>
  </si>
  <si>
    <t xml:space="preserve">יקבע אחראי סימולציה אשר חלק מתפקידיו יהיה לוודא את איכות התכנון. פירוט המלא של התפקיד ייכתב בנוהל עבודה. </t>
  </si>
  <si>
    <t>שגיאה בזיהוי מטופל - שגיאה ברישום תעודת זהות למטופל באריה כתוב 2239380 במקום 22393808</t>
  </si>
  <si>
    <t>מתן טיפול באופן שגוי - מטופל קיבל טיפול עם בולוס ב AP במקום בולוס ב AP וב- PA</t>
  </si>
  <si>
    <t>מתן טיפול באופן שגוי - המטופל קיבל טיפול ראשון עם מסיכה ישנה.</t>
  </si>
  <si>
    <t>תיאור המקרה</t>
  </si>
  <si>
    <t>סריקה לא תקינה - המטופלת לא הושכבה במנח מאוזן יותר מ 4.5 מעלות ROLL.
ההגבלה במאיץ היא 3 מעלות. זוהי גם הגבלה אשר מביאה את המטופל להרגשה של חוסר יציבות בשכיבה ואפשרות של תזוזה.</t>
  </si>
  <si>
    <t>תקשורת לקויה - למטופל יש נפרוסטומים ושקית שתן. למרות זאת נתנו הנחיות למילוי השלפוחית.</t>
  </si>
  <si>
    <t>העברת מידע - תכנון לא היה מוכן כיוון שלא סגרו את הקוביה של הסימולציה ב- Care Path.</t>
  </si>
  <si>
    <t>צוות חסר</t>
  </si>
  <si>
    <t>תקשורת לקויה - מטופל תוכנן למאיץ אחר כיוון שגודל השדה גדול מדי. הצוות הרלבנטי לא יודע בדבר השינוי ולא הותאמו התורים.</t>
  </si>
  <si>
    <t>סריקה לא תקינה - מטופלת נסרקה בסימולציה כאשר היא מסובבת.</t>
  </si>
  <si>
    <t>סריקה לא תקינה - מטופל נסרק בתנוחה לא אפקית.</t>
  </si>
  <si>
    <t>עקב שינויים בתכנות רופא לא עדכן את המטופל באופי השינוי. יש לעדכן מטופלים על שינויי תכנון - באחריות הרופא המטפל.</t>
  </si>
  <si>
    <t xml:space="preserve">הנחיות לסימולציה בקמליון נמצע בעבודה. רופא נתן הוראות סוטרות בקמליון ללא מילוי בישיבת סימוליה עם מילוי. </t>
  </si>
  <si>
    <t>נכחו בישיבה: וייס לימון משה ענת דימה אמינה מרינה אורחת: יהודית קליינמן</t>
  </si>
  <si>
    <t>נוכחים</t>
  </si>
  <si>
    <t>עומס יתר</t>
  </si>
  <si>
    <t>סריקה לא תקינה - מיקום הסנטר אינו תואם טיפול לשד + בלוטות.</t>
  </si>
  <si>
    <t>מטופל זומן לרופא ללא שהיה צורך. המטופל התקבל אצל הרופא ונבדק על מנת שלא ירגיש שהגיע ללא תכלית.</t>
  </si>
  <si>
    <t>עבודת הפיזיקה תתבצע עם טמפלט מסודר למרבית התכנונים.</t>
  </si>
  <si>
    <t>תקבע מדיניות של SBRT הפרקצוינה תצוין גם בקמליון וגם באריה.</t>
  </si>
  <si>
    <t>עומס יתר - עומס יתר על רופא במהלך הססיה; סימולציה מהבוקר, 5 קבלות, סימון קליני, מטופל דחוף ושתי מסיכות SRS.</t>
  </si>
  <si>
    <t>סריקה לא תקינה - סריקה לא מספיק ארוכה.</t>
  </si>
  <si>
    <t>תקשורת לקויה - מטופל SRS הגיע לסימולציה לא היה תיעוד מספק. לא נשלח מייל ולא הופיע ב ATD. כן היה זימון באריה.</t>
  </si>
  <si>
    <t>לא שמים בולוס ב PA</t>
  </si>
  <si>
    <t>יש לתעד בקמליון ולזרוק את המסיכה הישנה.</t>
  </si>
  <si>
    <t>רן, תמרה, דרור, ענת, דימה, גלית, משה</t>
  </si>
  <si>
    <t>מ 15:00 - 16:00 יהיו 2 סלוטים ל מסיכות SRS.</t>
  </si>
  <si>
    <t>תקשורת לקויה - מטופלת לא ראתה אחות עד הטיפול האחרון. היו תורים אך המטופלת לא נקראה לאחות.</t>
  </si>
  <si>
    <t>מטופלים צריכים לעבור בין תחנות באמצעות QFLOW ולא באמצעות המדבקות.</t>
  </si>
  <si>
    <t>יש להקפיד על פרוטוקול סימולציה. תהיה הרחבה של הנחיות לסימולציה.</t>
  </si>
  <si>
    <t>אין הנחיות מיוחדות</t>
  </si>
  <si>
    <t>אחיות יעבדו עם QFLOW בקבלת מטופלים.</t>
  </si>
  <si>
    <t>תקשורת לקויה - המטופל ידע על 5 פרקציות כאשר בפועל היה צריך לקבל 20 פרקציות.</t>
  </si>
  <si>
    <t>תקשורת בין מטפלים. רנטגנאים יידעו את המזכירות להכניס הערה ב QFLOW.</t>
  </si>
  <si>
    <t>יחודדו נוהל זיהוי מטופל. יכתב דו"ח ארוע.</t>
  </si>
  <si>
    <t>תקשורת לקויה - המטופלת קיבלה הדרכה על SBRT ל 5 פרקציות. היא ידעה על 30 טיפולים (מכתב סיכום מתאריך 20/6/22). נעשה שינוי ללא ידוע של המטופלת ל 15 פרקציות (מכתב סיכום מתאריך 20/7/22).</t>
  </si>
  <si>
    <t>לשקול לעבוד באמצעות עמוד בית באריה. בסיום משמרת יש לבדוק את שארית הסימולציות עם נסגרו.</t>
  </si>
  <si>
    <t>צוות חסר - במהלך טיפול בברכיתרפיה האחות יצאה לפני תום הטיפול.</t>
  </si>
  <si>
    <t>בכל טיפול בברכיתרפיה הצוות המטפל יישאר עד תום הטיפול. תתבצע קבלה מסודרת לכל מקרה ברכי הכוללת קבלה סיעודית. המטופלים יזומנו לקבלה לפני יום הביצוע.</t>
  </si>
  <si>
    <t>יש ליידע זימון תורים בכל שינוי מאיץ או מועד טיפול. כמו כן על זימון תורים ליידע שינויי מועד טיפול לצוות המתכנן.</t>
  </si>
  <si>
    <t>המטופלת לא יכלה לישר את היד באופן שניתן יהיה לסרוק אותה ללא הטיה. כאשר סורקים מטופל על הרנטגאי לתעד מצבים בו יש קושי בהשכבת המטופל. תיבדק אפשרות של הוספת הערות בקמליון.</t>
  </si>
  <si>
    <t>כאשר סורקים מטופל על הרנטגאי לתעד מצבים בו יש קושי בהשכבת המטופל. תיבדק אפשרות של הוספת הערות בקמליון.</t>
  </si>
  <si>
    <t>סריקה</t>
  </si>
  <si>
    <t xml:space="preserve">תקשורת לקויה - המטופלת המתינה זמן רב לסימולציה כיוון שהאחיות לא קיבלו את המטופלת בזמן ולא שיחררו לסימולציה. </t>
  </si>
  <si>
    <t>רופא צריך להתקשר למטופל כאשר נעשים שינויים בתכנון.</t>
  </si>
  <si>
    <t>תקשורת לקויה - מקרה לאחר חתימה, הוחזר לרופא פעם נוספת ללא הסבר.</t>
  </si>
  <si>
    <t xml:space="preserve">יש להקפיד על תקשורת נאותה בין מטפלים. פיזיקאי ירשום הערה על מהות השינויים שביצע. </t>
  </si>
  <si>
    <t xml:space="preserve">מתן טיפול באופן שגוי - מטופלת קיבלה 5 טיפולים לאחר ניקור עם שינוי מורפולוגי מהותי. </t>
  </si>
  <si>
    <t>רופא ראה ואישר המשך טיפולים. בישיבה הוחלט שהיתה טעות בשיקול דעת רפואי.</t>
  </si>
  <si>
    <t>סריקה לא תקינה - המטופלת נסרקה סריקה חוזרת עם שלפוחית ריקה. תבוצע סימולציה נוספת. המטופלת תקבל 5 פרקציות עם סמולציה זו עד תכנון הסימולציה החדשה.</t>
  </si>
  <si>
    <t>לא הועברה הנחיה למילוי שלפוחית ולכן לא בוצע. על הרנטגנאי לשים לב ולשאול אם חסרים הנחיות.</t>
  </si>
  <si>
    <t>שגיאה בזיהוי - נלקח דם ממטופל עם מדבקה של מטופל אחר.</t>
  </si>
  <si>
    <t>תקשורת לקויה - המטופלת המתינה זמן רב לפני הטיפול בהמתנה לאחות.</t>
  </si>
  <si>
    <t>תקשורת לקויה - מטופל לקרינה דחופה נשלח לביתו. המידע על כך לא הועבר לסימולציה ולכן שלחו אותו לצורך קביעת תור בהמשך ע"י זימון תורים. היה תור ב QFLOW לטיפול.</t>
  </si>
  <si>
    <t>Laterality Incorrect</t>
  </si>
  <si>
    <t>Anatomical site (excluding laterality) incorrect</t>
  </si>
  <si>
    <t>Patient or patient information incorrect</t>
  </si>
  <si>
    <t>Prescription dose, fractionation incorrect and/or calculation error</t>
  </si>
  <si>
    <t>Patient position, setup position or shift incorrect</t>
  </si>
  <si>
    <t>Target or OARs incorrect</t>
  </si>
  <si>
    <t>Planning margin incorrect</t>
  </si>
  <si>
    <t>Tratment undeliverable: plan (dosimetrically acceptable) but not physically deliverable</t>
  </si>
  <si>
    <t>Treatment undeliverable: staff unavailable (excluding patient factors)</t>
  </si>
  <si>
    <t>Treatment undeliverable: hardward/software unavailable</t>
  </si>
  <si>
    <t>Imaging Failure to perform per instructions</t>
  </si>
  <si>
    <t>Hardware/software error</t>
  </si>
  <si>
    <t>Unintended beam attenuation</t>
  </si>
  <si>
    <t>Clinical information that  could impact decision making insufficient</t>
  </si>
  <si>
    <t>Access to care issue</t>
  </si>
  <si>
    <t>Patient inconvenience or delay</t>
  </si>
  <si>
    <t>Coordination of combined modality care inadequate</t>
  </si>
  <si>
    <t>Scheduling error regarding radiation therapy</t>
  </si>
  <si>
    <t>Fall, patient injury or medical condition</t>
  </si>
  <si>
    <t>new taxonomy English</t>
  </si>
  <si>
    <t>תקציר מקרה חדש</t>
  </si>
  <si>
    <t>צד לא נכון</t>
  </si>
  <si>
    <t>מקום אנטומי (חוץ מצד) לא נכון</t>
  </si>
  <si>
    <t>מטופל לא נכון או מידע של מטופל לא נכון</t>
  </si>
  <si>
    <t>מקום המוטופל, מקום התנוחה או הזזה לא נכון</t>
  </si>
  <si>
    <t>מטרה או איברים בסיכון לא נכון</t>
  </si>
  <si>
    <t>שולי תכנון לא נכון</t>
  </si>
  <si>
    <t>Treatment accessories incorrect, missing, mislabeled or damaged</t>
  </si>
  <si>
    <t>אביזר טיפול שגוי, חסר, לא נכון, לא מסומן נכוןת או  ניזק</t>
  </si>
  <si>
    <t>Treatment plan isodose distribution unacceptable</t>
  </si>
  <si>
    <t>תוכנית טיפול איזודוסות בלתי קביל</t>
  </si>
  <si>
    <t>לא יכול לתת תוכנית טיפול: דוזימתריה בסדר אבל בךתי אפשרי פיזי</t>
  </si>
  <si>
    <t>לא יכול לתת תוכנית טיפול צוות לא זמין - חוץ מגורמי המטופל</t>
  </si>
  <si>
    <t>לא יכול לתת תוכנית טיפול חמרה/תכנה</t>
  </si>
  <si>
    <t>הדמיה יותר מדי/ לא מספיק</t>
  </si>
  <si>
    <t>הדמיה כשלון לעשות לפי הנחיות</t>
  </si>
  <si>
    <t>טעות בחמרה או תכנה</t>
  </si>
  <si>
    <t>המטעת קרן לא מכוון</t>
  </si>
  <si>
    <t>לא מספיק מידע קליני שיכול להשפיע החלטה טיפולי</t>
  </si>
  <si>
    <t>בעיות בגישה לטיפול</t>
  </si>
  <si>
    <t>אי-נוחות או דחיה למטופל</t>
  </si>
  <si>
    <t>תאום טיפול מודליות משולבת לא מספיק</t>
  </si>
  <si>
    <t>טעות בקביעת תור לקרינה</t>
  </si>
  <si>
    <t>נפילה, נזק למטופל או ביעה רפואי</t>
  </si>
  <si>
    <t>Crossover</t>
  </si>
  <si>
    <t>הטופלת נשכחה בחדר המאיץ</t>
  </si>
  <si>
    <t>Imaging Excess/Inadequate</t>
  </si>
  <si>
    <t xml:space="preserve">שגיאה בזיהוי מטופםל: </t>
  </si>
  <si>
    <t>מתן טיפול בהיעדר מרשם:</t>
  </si>
  <si>
    <t xml:space="preserve">  מרשם לא תקין</t>
  </si>
  <si>
    <t xml:space="preserve"> טיפול  ללא מרשם באריה</t>
  </si>
  <si>
    <t xml:space="preserve"> היעדר מרשם:</t>
  </si>
  <si>
    <t xml:space="preserve"> מרשם לא ברור</t>
  </si>
  <si>
    <t>חישוב שגוי:</t>
  </si>
  <si>
    <t>שינוי הוראות טיפול</t>
  </si>
  <si>
    <t xml:space="preserve"> לא ניתן  לןןדא מרכז טיפול</t>
  </si>
  <si>
    <t>תיעוד לא תקין</t>
  </si>
  <si>
    <t>היעדר תיעוד:</t>
  </si>
  <si>
    <t>שינוי תוכנית:</t>
  </si>
  <si>
    <t xml:space="preserve">  תכנון שלא על פי פרוטוקול</t>
  </si>
  <si>
    <t>תכנון שגוי:</t>
  </si>
  <si>
    <t>חפיפה בין השדות:</t>
  </si>
  <si>
    <t>מתן טיפול באופן שיגוי:</t>
  </si>
  <si>
    <t>הוסר עדביות בהשכבת מטופלים</t>
  </si>
  <si>
    <t>תיק ללא אישורים מפסיקים</t>
  </si>
  <si>
    <t xml:space="preserve">העברת מידע בקרת איכות  </t>
  </si>
  <si>
    <t>הגעה מוקדמת של המטופלת</t>
  </si>
  <si>
    <t xml:space="preserve">המטופל לא פעל לפי הוראות רופא: : </t>
  </si>
  <si>
    <t>תיק לא מוכן</t>
  </si>
  <si>
    <t>תכנוון טיפול ללא שיבוץ של מועד ומאיץ:</t>
  </si>
  <si>
    <t>שגית care path</t>
  </si>
  <si>
    <t xml:space="preserve">אי עמידה בזמנים: </t>
  </si>
  <si>
    <t xml:space="preserve"> סגירת דלת לפני יציאת כל  אנשי הצוות</t>
  </si>
  <si>
    <t>היעדר מעקב צילומים:</t>
  </si>
  <si>
    <t xml:space="preserve"> מתן טיפול שלא על פי פרוטוקול</t>
  </si>
  <si>
    <t>אמצע קיבוע פגום</t>
  </si>
  <si>
    <t>שימוש שגוי באמצעי קיבוע</t>
  </si>
  <si>
    <t>כמעט ניתן טיפול שגוי</t>
  </si>
  <si>
    <t>כמעט סימון שגוי</t>
  </si>
  <si>
    <t>שם תוכנית שגויה</t>
  </si>
  <si>
    <t>מתן טיפול ללא בקרת איכות</t>
  </si>
  <si>
    <t>כמעט  מתן טיפול ללא בקרת איכות</t>
  </si>
  <si>
    <t>זימון תורים לא מספיק</t>
  </si>
  <si>
    <t>תיק לא חתום</t>
  </si>
  <si>
    <t>ביקורת במהלך הטיפול</t>
  </si>
  <si>
    <t>כמעט חפיפה בין שדות</t>
  </si>
  <si>
    <t>שגיאה במהלך תכנון</t>
  </si>
  <si>
    <t>מיקום לא ניתן לשחזור:</t>
  </si>
  <si>
    <t>חסר תשומת לב</t>
  </si>
  <si>
    <t>שימוש לו נוח באמצעי קיבוע</t>
  </si>
  <si>
    <t>עומס יותר</t>
  </si>
  <si>
    <t xml:space="preserve">תקשורת לקויה - חוסר בהירות לגבי הרופא המטפל עקב רישום  כפול. </t>
  </si>
  <si>
    <t>רן, תמרה, דרור, ענת, דימה, גלית, משה, מרינה</t>
  </si>
  <si>
    <t>יש לעדכן את הווטסאפ וכן יש לתעד בקשה לטיפול באותו היום בשלב הקבלה.</t>
  </si>
  <si>
    <t>במקרה ואין אופוטרופוס יש לכנס 3 רופאים לצורך החתמה על הסכמה מדעת.</t>
  </si>
  <si>
    <t>לשים לב במהלך הסריקה</t>
  </si>
  <si>
    <t>מינון מרשם, פרקצונציה לא נכון ו/או טעות בחישוב</t>
  </si>
  <si>
    <t>תקשורת לקויה - תכנית טיפול שונתה מ 3Gy x 10 ל- 3Gy x 5 ו- 5Gy x 2. המידע לא הועבר למאיץ ול- RTTQA. בנוסף, הייתה אי הבנה לגבי התכנון החדש אם הוא יינתן בהמשך לפרקציות שהתקבלו או במקומם. בפועל תוכננו 7 פרקציות לטיפול במקום 5.</t>
  </si>
  <si>
    <t>תקשורת לקויה - מטופל נדרש לקבל קרינה דחופה הגיע ללא אפוטרופוס (PS4). לכן לא ניתן היה לחתום על הסכמה לטיפול והמטופל הוחזר למחלקה.</t>
  </si>
  <si>
    <t>סריקה לא תקינה - סריקה ללא localizer. בסריקת ה- 4D לא ניתן למצוא את המרקרים למיקום המרכז.</t>
  </si>
  <si>
    <t>עומס יתר - עומס יתר על רופא מתמחה במהלך יום העבודה; נדרש לבצע בו זמנית 2 קבלות במרפאה, לבדוק את בדיקות הדם של מטופלי הקרינה ושתי קבלות לסימולציה.</t>
  </si>
  <si>
    <t xml:space="preserve">אי עמידה בזמנים - סימולציה נקבעה כחודש לאחר הקבלה ללא הצדקה. במכתב נתבקשו תאריכי טיפול ספציפיים. </t>
  </si>
  <si>
    <t>עיכוב במתן טיפול - מטופל מאושפז עם cord compression קיבל טיפולים בחמישי ושישי ונשכח ביום ראשון. קיבל את שארית הטיפול החל מיום שני.</t>
  </si>
  <si>
    <t>עומס יתר - לסימולציה הוזמנו 14 מקרים לבוקר. בתום המשמרת נשארו 3 מקרים לתכנון. אחה"צ הוזמנו 6 מסיכות SRS. סיום עבודה ב 20:00.</t>
  </si>
  <si>
    <t>יוקם צוות תיאום (חמ"ל) אשר מטרתו להעביר את האינפורמציה הרלבנטית על שינויים בתכנון של מטופלים אל הצוותים הרלבנטיים. הצוות יכלול רנטגנאים ומזכירות. תקשורת בין מטפלים. הרופא המטפל ישוחח עם המתכנן והחמ"ל באופן ישיר על שינוי ומהות השינוי.</t>
  </si>
  <si>
    <t>ייבדק אופן השיבוץ של המתמחים. מטופלים דחופים יוזמנו לפחות שעתיים לפני מועד הטיפול.</t>
  </si>
  <si>
    <t>כל שינוי Care Path יש להעביר את מהות השינוי לחמ"ל.</t>
  </si>
  <si>
    <t>מתן טיפול באופן שגוי - טיפול ראשון של TLI בוצע במאיץ 4. בשדות הטיפול לא עבר ה MLC בין המאיצים ונעשה תיקון כשהמטופלת על השולחן. בנוסף, נעשה שימוש באנרגיה שלא מתוחזקת במאיץ זה (מדוע לא בוטלה האנרגיה הזאת). במדידה לאחר הטיפול נמדדו 12% מנה עודפת לשדות אלו (טיפול ראשון מ- 10).</t>
  </si>
  <si>
    <t>אי עמידה בזמנים - תכנון TSI לא היה מוכן ונעשה בלחץ כאשר המטופל ממתין לטיפול. לא היתה חתימת רופא בתכנון.</t>
  </si>
  <si>
    <t>TSI/TLI</t>
  </si>
  <si>
    <t>מתן טיפול באופן שגוי - מתן טיפול באלקטרונים למוקד שגוי. לא היה צילום והנגע נעלם, לכן קיבל טיפול בנגע קיים. נגע זה קיבל כבר את כל הטיפול.</t>
  </si>
  <si>
    <t>מתן טיפול באופן שגוי - מטופל קיבל שתי פרקציות ללא Vaclock לקיבוע תנוחת ידיים.</t>
  </si>
  <si>
    <t>רן, תמרה, דרור, ענת, דימה,אמינה, מרינה פרידלין, רות דדוש, יוני, מרינה</t>
  </si>
  <si>
    <t>היה חוסר בתיעוד פנימי. יש לכתוב פתק או מייל למזכירות, וכן להוסיף לרשימה של הדחופים.</t>
  </si>
  <si>
    <t>תיעוד לא תקין - עבור מטופל SBRT ריאה נכתב בהנחיות לסימולציה צד ימין בפרוטוקול הקרינה (קמליון) נכתב צד שמאל.</t>
  </si>
  <si>
    <t>היעדר תיעוד - מטופל הגיעה לסימולציה ולא היו הנחיות סריקה של רופא.</t>
  </si>
  <si>
    <t>תכנון שגוי - מטופלת לאחר הפסקת טיפול קיבלה המשך טיפולים על סימולציה ישנה. המטופלת קיבלה 6 טיפולים בסריקה זו.</t>
  </si>
  <si>
    <t xml:space="preserve">צוות חסר - מטופל ברכיתרפיה לשון ירד לטיפול שני בשעות הצהריים ולא היה רנטגנאי שיודע לטפל בברכי במכון. </t>
  </si>
  <si>
    <t>תכנון שגוי - מטופל תוכנן עם שדות לטרליים כאשר הרגל השניה נמצאת בשדה הקרינה.</t>
  </si>
  <si>
    <t>משימות</t>
  </si>
  <si>
    <t>אחראי ביצוע</t>
  </si>
  <si>
    <t>מועד ביצוע</t>
  </si>
  <si>
    <t>ד"ר לימון</t>
  </si>
  <si>
    <t>1, הקמת  צוות תיאום        2.  ריעיון צוות הרופאים על הנושא</t>
  </si>
  <si>
    <t>ריענון הצוות - רופאים, מזכירות, רנטגנאים</t>
  </si>
  <si>
    <t>תואם בין מזכירות ורנטגנאים</t>
  </si>
  <si>
    <t>ריענון צוות הרופאים</t>
  </si>
  <si>
    <t xml:space="preserve">ד"ר לימון </t>
  </si>
  <si>
    <t>יש ליצר תהליך ברור לגבי כל שינויים בcare path</t>
  </si>
  <si>
    <t>ענת</t>
  </si>
  <si>
    <t xml:space="preserve">ריענון לרופאים </t>
  </si>
  <si>
    <t>ד" לימון וענת</t>
  </si>
  <si>
    <t xml:space="preserve">                     משה                  ד"ר לימון    </t>
  </si>
  <si>
    <t>תקשורת לקויה - מטופל עם קוצב לב. היה בילבול רב באשר לאופן הטיפול, הניטור והשימוש במגנט. בנוסף, המטופל הוא מטופל ערב עם צוות מתחלף.</t>
  </si>
  <si>
    <t>רן, דרור, ענת, תמרה</t>
  </si>
  <si>
    <t>יש לרענן את הצוות להקפדה על הוספת מסמך לאריה.</t>
  </si>
  <si>
    <t>שינוע מתכונן יוקדם לשעה 7:30 על מנת למנוע עיכובים מיותרים. תקשות של מקרים חריגים יש להערך מראש ולידע את הצוות מבעוד מועד.</t>
  </si>
  <si>
    <t>יש לחדד את אופן בדיקת תכנית ובדיקה של שדות התכנון (פיזיקאים ורופאים).</t>
  </si>
  <si>
    <t>לא יהיה אישור תכנית למטופל ללא מכתב קוצב. על רופא ופיזיקאי לעמוד על קיום מכתב מקרדיולוג. מקרה ללא  מכתב לא יעבור QA. יש לעדכן מכתב קוצב בקמליון. יש לרענן את נוהל הקוצב.</t>
  </si>
  <si>
    <t>יש לידע את מנהל היחידה ד"ר לימון על כל סימולציה נוספת מעבר ל 9 סימולציות יומיות. מנהל אדמיניסטרטיבי משה יפרח יקבל בקשות לתוספת של סימולציות.</t>
  </si>
  <si>
    <t>יש לבצע Time-Out. יש להקפיד על בקרת איכות בכל תכנון. תיכתב רשימת תיוג להעברת מאיץ. בעת העלאת מטופל יש לעבור על כלל השדות לווידוא של MLC.</t>
  </si>
  <si>
    <t xml:space="preserve">לא יתוכנן מקרה ללא מרשם חתום ע"י רופא מומחה. במקרה שזה קורה יש לידע את מנהל היחידה ד"ר לימון. </t>
  </si>
  <si>
    <t xml:space="preserve">יש ליישם נוהל סימולציה גם לסימונים קליניים. </t>
  </si>
  <si>
    <t>יש לצלם כל סימולציה ולתעד בקמליון את כל הקיבועים. מוצע לרכוש מצלמה לצורך התיעוד. יבוצע תיעוד של RTTQA להמצאות Vaclock. צוות המאיץ יבצע בדיקה בסימולציה להמצאות Vaclock.</t>
  </si>
  <si>
    <t>בבדיקה מחודשת. המטופלת בקשה לדחות את מועד תחילת הטיפול.</t>
  </si>
  <si>
    <t xml:space="preserve">על אחות לתעד ביצוע הזרקות בטופס הסכמה להזרקת חומר ניגוד. הטופס מועבר אל הסימולציה להחתמה ע"י רופא. לאחר הסימולציה הטופס נסרק לקמליון לתיעוד. </t>
  </si>
  <si>
    <t>ריענון לרנגנאים על מדיניות קיימת</t>
  </si>
  <si>
    <t>רענון נוהל החתמה על הזרקה</t>
  </si>
  <si>
    <t>מרינה</t>
  </si>
  <si>
    <t>ליצר תהליך העברת מידע עבור מאושפזים בין הרנטגנאים למזכירות</t>
  </si>
  <si>
    <t>א. ד"ר ווייס וענת
ב. דימה וענת
ג. ד"ר ווייס, ענת ודימה
ד. ענת</t>
  </si>
  <si>
    <t>א. ליצר טופס עבור time out 
ב. ריענון נוהל קרת איכוות
ג. ליצר check list להעברת מאיצים
ד. לוודאי שיש MLC עם צילומי שדות במקרים ספציפיים</t>
  </si>
  <si>
    <t>להנחות צוות רופאים ורנטגנאים על יישום נוהל סימולציה גם לסימונים קליניים</t>
  </si>
  <si>
    <t>יש לכתוב בקמליון את כל הפרטים פרט כשיש סימולציה קודמת. יש לצלם תמונות ולצרף. נרכשה מצלמה לסימולציה. בטיפול רכישת טאבלט ותכנה לצורך צילומים בסימולציה.</t>
  </si>
  <si>
    <t>א. ריענון פיזיקאים
ב. ריענון רופאים</t>
  </si>
  <si>
    <t>א. דימה
ב. ד"ר לימון</t>
  </si>
  <si>
    <t>רענן רופאים</t>
  </si>
  <si>
    <t>א. רענן רופאים
ב. רענן פיזיקאים</t>
  </si>
  <si>
    <t>א. ד"ר לימון
ב, דימה</t>
  </si>
  <si>
    <t>על הרופא המטפל לבחון את מצבו של המטופל ולהחליט האם מסוגל לבצע טיפולים מורכבים וארוכים.</t>
  </si>
  <si>
    <t>א. צוות QI
ב. ד"ר ווייס, דימה, משה
ג. ד"ר ווייס עם טום מקמליון</t>
  </si>
  <si>
    <t>רענן מדיניות צוות סימולציה</t>
  </si>
  <si>
    <t>עיכוב במתן טיפול - מטופל דחוף המתין זמן רב לסריקה ותכנון. המטופל המתין משעה 10:00 עד כ- 18:00 ולבסוף קיבל טיפול יום אחרי. העיקוב בתכנון נוצר עקב חוסר מידע רפואי עבור טיפול קודם שקיבל בהדסה וכן חוסר הסכמת המשפחה לטיפול.</t>
  </si>
  <si>
    <t>שגיאה בזיהוי מטופל - למטופלת היו שני מספרי זיהוי במערכת אשר גרם לעיכוב בתהליך סריקת המטופלת. המטופלת היתה כאובה.</t>
  </si>
  <si>
    <t>העברת מידע - מטופלת לאחר סימולציה חוזרת. התכנית הועתקה לסימולציה החדשה ונחתמה ללא אישור הרופא. הרופא לא עודכן לגבי הסטטוס של הטיפול. האם יש צורך בחתימה מחודשת של רופא ובאיזה אופן יש לעדכן את הרופא המטפל?</t>
  </si>
  <si>
    <t>תקשורת לקויה - מטופל נקרא למאיץ ותיק לא היה מוכן לאחר סימולציה חוזרת. היתה הודעה ב Pt. Alert  אשר נכתב יום לפני הטיפול. הרופא המטפל חתם על התכנית בבוקר הטיפול כאשר המטופל מוזמן לשעה 8:40.</t>
  </si>
  <si>
    <t>שגיאה בזיהוי מטופל - עקב הכנסה שגויה ידנית של פרטי מטופל לטושיבה, נוצר מטופל בעל פרטים מזהים שגויים ולא ניתן היה לשייך את הסריקה למטופל הקיים באריה.</t>
  </si>
  <si>
    <t xml:space="preserve">נשלח בתאריך </t>
  </si>
  <si>
    <t>סידור</t>
  </si>
  <si>
    <t>ד"ר לימון 
משה
ענת</t>
  </si>
  <si>
    <t>משה
ענת</t>
  </si>
  <si>
    <t>המטופל היה צריך לקבל טיפול מהיר אך לא דחוף. לרענן את נוהל מטופלים דחופים. ניתן להחזיר מטופל מאושפז למחלקה ולא לתת לו להמתין זמן ממושך.</t>
  </si>
  <si>
    <t>יש להזין מטופלים לטושיבה מתוך האריה.</t>
  </si>
  <si>
    <t>יש להודיע לצוות באופן ישיר לאחר שינויים בתכנית. מוצע לכתב נהל אשר מבסס את ההתקשרות בין הצוותים לאחר שינויים בתכנון. תתואם בפגישה בנושא סימולציות ראש צוואר.</t>
  </si>
  <si>
    <t xml:space="preserve">בסימולציה לא יהיה שינויים דמוגרפיים של מטופלים. יבוצע מיפוי של כל השמות הפיקטיביים באריה. </t>
  </si>
  <si>
    <t>ענת, דרור, תמרה, דימה, לירון, גלית ורן</t>
  </si>
  <si>
    <t xml:space="preserve">יש לבצע חישוב חדש עבור שינויים. רופא יעביר סימונים לסימולציה חדשה ויתכנן עליה.  </t>
  </si>
  <si>
    <t>שנה</t>
  </si>
  <si>
    <t>ממוצע דיווחים לרבעון</t>
  </si>
  <si>
    <t>העברת מידע - מטופל לא קיבל זימון למועד תחילת הטיפולים ולכן לא הגיעה לטיפול הראשון.</t>
  </si>
  <si>
    <t>תיעוד לא תקין - למטופל לא שוייך רופא מטפל באריה.</t>
  </si>
  <si>
    <t>מתן טיפול באופן שגוי - מטופל לסימון קליני חד פעמי, קיבל רבע טיפול באנרגיה של אלקטרונים שאינה נתמכת יותר (20MeV). המטופל קיבל 5.5% יותר ממנת המרשם (8.44Gy במקום 8Gy).</t>
  </si>
  <si>
    <t>סריקה לא תקינה - חוסר תשומת לב לאיכות הסריקה. למטופל היתה פעילות בטנית במהלך הסריקה. לא בוצעה סריקה חוזרת.</t>
  </si>
  <si>
    <t>רענן צוות סימולציה</t>
  </si>
  <si>
    <t>רענן צוות רופאים</t>
  </si>
  <si>
    <t xml:space="preserve">רענן צוות פיזיקה </t>
  </si>
  <si>
    <t>דימה</t>
  </si>
  <si>
    <t>א. לכתוב נוהל עבודה לגבי תקשורת בין הצוותים
ב. פגישה לגבי סימולציה ראש צוואר</t>
  </si>
  <si>
    <t>רן</t>
  </si>
  <si>
    <t>לבדוק כל השמות הפיקטיביים באריה</t>
  </si>
  <si>
    <t>לשים לב להנחיות הרופא בקמליון ובטופס הסימולציה לרענון את הנוהל רנטגנאים ופיזיקאים.</t>
  </si>
  <si>
    <t xml:space="preserve">לאחר תכנון מחודש יש להחתים רופא מחדש גם אם לא קיים שינוי מהותי במנות. </t>
  </si>
  <si>
    <t>תיעוד לא תקין - מטופל הוכנס לאריה עם שם פרטי שגוי.</t>
  </si>
  <si>
    <t>סריקה לא תקינה - מטופלת עם מותחנים בשד נסרקה ללא Semar</t>
  </si>
  <si>
    <t>חוסר תשומת לב - מטופלת הועברה לאחר הדרכת אחות לסימולציה ללא ונפלון.</t>
  </si>
  <si>
    <t>תיעוד לא תקין -מטופל הגיע לסימולציה לסריקה + חומר ניגוד. למטופל כליה אחת. הסריקה בוצעה ללא חומר ניגוד.</t>
  </si>
  <si>
    <t>א. ד"ר ווייס, משה,דימה, ענת' מרינה
ב. ד"ר קורמן, ענת, לירון, דימה</t>
  </si>
  <si>
    <t>היעדר תיעוד -למטופלת לא היתה הסכמה סרוקה בקמליון</t>
  </si>
  <si>
    <t>רענון צוות סימולציה</t>
  </si>
  <si>
    <t xml:space="preserve">ענת </t>
  </si>
  <si>
    <t xml:space="preserve">מתן טיפול באופן שגוי - מטופלת קבלה 5 פרקציות מתוך 8 פרקציות של הבוסט לאזור שגוי (צלקת תחתונה). לטיפול הכולל 33 primary + boost. השגיאה במנה עבור הטיפול הכולל הינה 15%. המקרה דווח כאירוע. </t>
  </si>
  <si>
    <t>מתן טיפול באופן שגוי - CBCT חלקי, לא ניתן לבצע התאמה מלאה עבור המטופל לצורך מיקום הגידול במאיץ.</t>
  </si>
  <si>
    <t>יש לסמן את הצלקת הרלבנטית בלבד.</t>
  </si>
  <si>
    <t>משה</t>
  </si>
  <si>
    <t>דימה ומשה</t>
  </si>
  <si>
    <t>א. לוודאי שמזכירות יודעים ושמים המטופלים באריה ביום הקבלהת כולל שם רופא בכיר הנכון ועושים את זה</t>
  </si>
  <si>
    <t>א. רענן צוות רופאים, פיזיקאים ורנטגנים
ב.לכתוב תבלה אנרגיות מאושר בכל מאיץ ולשלוח לכל הצוות מעורב בסימוני קליני - רופאים, פיזיקאים, רנטגנאים. -
ג. לשים התבלה בכל חדר רופא כל מאיץ וכל חדר פיזיקה
ד. ללמד צוות רופאים המעורב בקונטקט על שימוש בUS להחליט על אנרגיה</t>
  </si>
  <si>
    <t>רענן  רופאים ורנטגנאים עם דוגמאות</t>
  </si>
  <si>
    <t>ריענן צוות אחות</t>
  </si>
  <si>
    <t>א. רענן אחיות
ב. החלטה לגבי פיזיקאי ביישיבת סימולציה</t>
  </si>
  <si>
    <t>א. מרינה
ב. דימה</t>
  </si>
  <si>
    <t>לבתוב פרוטוקול SETUP CBCT</t>
  </si>
  <si>
    <t xml:space="preserve">דימה וענת </t>
  </si>
  <si>
    <t>סימולטור</t>
  </si>
  <si>
    <t>מכשירי טיפול</t>
  </si>
  <si>
    <t>מכון קרינה - אחר</t>
  </si>
  <si>
    <t>מילון מושגים</t>
  </si>
  <si>
    <t>Text</t>
  </si>
  <si>
    <t xml:space="preserve">Laterality incorrect </t>
  </si>
  <si>
    <t>Patient incorrect</t>
  </si>
  <si>
    <t>Patient position, setup point, treatment isocenter, or shift change incorrect</t>
  </si>
  <si>
    <t>Treatment accessories: incorrect, missing, mislabeled, misused or damaged</t>
  </si>
  <si>
    <t>Prescription, dose, fractionation incorrect or not matching physician intent</t>
  </si>
  <si>
    <t>Dose calculation error</t>
  </si>
  <si>
    <t>Target or OAR contours incorrect or omitted</t>
  </si>
  <si>
    <t>Planning margins incorrect</t>
  </si>
  <si>
    <t>Treatment undeliverable: plan (dosimetrically acceptable) but not physically deliverable</t>
  </si>
  <si>
    <t xml:space="preserve">Treatment undeliverable: staff unavailable (excluding patient factors) </t>
  </si>
  <si>
    <t>Treatment undeliverable: hardware/software unavailable</t>
  </si>
  <si>
    <t>Hardware/software malfunction or product improvement/enhancement</t>
  </si>
  <si>
    <t xml:space="preserve">Imaging: excess, inadequate, or not matching physician intent </t>
  </si>
  <si>
    <t>Access to timely care issue (insurance, transportation, etc.)</t>
  </si>
  <si>
    <t>Decision-making suboptimal or made on clinical information which is insufficient or incorrect</t>
  </si>
  <si>
    <t>Coordination with other health care providers inadequate</t>
  </si>
  <si>
    <t>Delay/issue in workflow or error in RT scheduling</t>
  </si>
  <si>
    <t xml:space="preserve">Fall, patient injury, or acute medical event </t>
  </si>
  <si>
    <t>שגיאה בהשכבת מטופל</t>
  </si>
  <si>
    <t>אביזר טיפול שגוי,חסר, לא נכון, לא מסומן נכון או תקול</t>
  </si>
  <si>
    <t>מתן טיפול בהיעדר מרשם - קבלת פרקציה 1 נוספת עקב הפסקת טיפולים ללא מרשם</t>
  </si>
  <si>
    <t>מתן טיפול בהיעדר מרשם - מטופל TSI הגיע לטיפול. לא היה מרשם והרופא לא היה זמין.</t>
  </si>
  <si>
    <t>מתן טיפול בהיעדר מרשם - מטופל קיבל שלושה טיפולי מגע (Contact) מתוך ארבעה טיפולים ללא מרשם כתוב.</t>
  </si>
  <si>
    <t>מתן טיפול בהיעדר מרשם - טיפול ברכיתרפיה ללא מרשם באריה.</t>
  </si>
  <si>
    <t>מתן טיפול בהיעדר מרשם - תיק תוכנן ללא מרשם בקמליון</t>
  </si>
  <si>
    <t>מתן טיפול בהיעדר מרשם - מטופלת קיבלה טיפול אינטראופרטיבי (IORT) ללא מרשם באריה.</t>
  </si>
  <si>
    <t>שגיאה במינון מרשם, במנה יומית ו/או חישוב שלא ע"פ פרוטוקול</t>
  </si>
  <si>
    <t xml:space="preserve">שגיאה בסימון, סימון חסר של מטרון ואיברים בסיכון </t>
  </si>
  <si>
    <t>שגיאת תכנון טיפול</t>
  </si>
  <si>
    <t>הערכת תכנית טיפול שאינה עומדת בדרישות</t>
  </si>
  <si>
    <t>א. ריענן רופאים
ב. ריענן רנטגנאים בסימולטור</t>
  </si>
  <si>
    <t>א. ד"ר לימון
ב, ענת</t>
  </si>
  <si>
    <t xml:space="preserve">תבוצע המשך בדיקה בנושא לבירור הסיבה לאי שליחת הזימון למטופל. </t>
  </si>
  <si>
    <t>יבוצע שינו בקבלת מטופלים ליחידה. בשיני מזכירות היחידה יזינו באריה את הרופא המטפל ולא הרנטגאית של זימון תורים.</t>
  </si>
  <si>
    <t>יש לרענן את הצוות לאנרגיות המותרות לשימוש. בנוסף, רשימה אנרגיות מותרות תהיה זמינה לכל מאיץ. קיימת הנחיה להימנע מסימונים קליניים ככל הניתן. במקרה שכן מחליטים לעשות סימון קליני, הרופא המטפל יזמן פיזיקאי לצורך תכנון הסימון במשרד הרופא לפני העברת המטופל למאיץ לצורך מתן טיפול. במקרים של סימולציה וטיפול באמצעות קונטאקט יש הרופא מתבקש לבצע הערכת עומק הטיפול בהמצעות מערכת האולטרסאונד של המכשיר. המקרה דווח כנפגע.</t>
  </si>
  <si>
    <t>בשלב הסימולציה יש לשים לב לאיכות הסריקה לפני שחרור המטופל. בשלב הסימון גם הרופא המטפל יודא שהסריקה איכותית בטרם ישחרר את המקרה לתכנון, ואם יש צורך לזמן את המטופל לסימולציה חוזרת יעשה זאת.</t>
  </si>
  <si>
    <t>קיים תהליך מחשובי לממשק את הקמליון והאריה. יש לקדם את התהליך באחריות דימה ברגילובסקי.</t>
  </si>
  <si>
    <t>ניתן לבצע שחזור חוזר עד כשבועיים מיום הסימולציה. רופא יוסיף הוראה לסימולציה לביצוע SEMAR וגם ניתן להחליט על פי SCOUT אם צריך או לא.</t>
  </si>
  <si>
    <t>אחות תשים לב לבקשות הרופא בקמליון ותתעד לסימולציה כל דרישה ובקשה שאיננה שיגרתית לתהליך.</t>
  </si>
  <si>
    <t>אחות תשתתף בישיבות הסימולציה ותתעד כל דרישה ובקשה שאיננה שיגרתית. דימה ברגילובסקי יהיה נוכח במספר ישיבות על מנת לבחון את התרומה והתפקיד של הפיזיקאי בישיבות אלו.</t>
  </si>
  <si>
    <t>בשלב מיקום המטופל עם CBCT, אם רואים שיש יותר מדי הזזות והטיות, יש לעצור ולבצע מיקום חוזר של המטופל. יכתב פרוטוקול SETUP עבור CBCT.</t>
  </si>
  <si>
    <t>מזכירה תוודא שטופס ההסכמה סרוקה. אם לא, יאותר טופס ההסכה של המטופל או שהמטופל יוחתם מחדש על טופס.</t>
  </si>
  <si>
    <t>עיכוב במתן טיפול - מטופל מאושפז המתין לטיפול כשעה כיוון שבישיבת QA הוחלט על שינוי התכנית.</t>
  </si>
  <si>
    <t>מתן טיפול בהיעדר מרשם - שלושה מטופלים של קונטאקט קיבלו טיפולים ללא מרשם כתוב באריה (5469847, 4187735,30019)</t>
  </si>
  <si>
    <t>target completion date</t>
  </si>
  <si>
    <t>א. דר לימון, דימה, ענת
ב. דימה
ג. ד"ר ווייס, דימה, וענת
ד. דימה וצוות רופאים מעורבים בקונטקט</t>
  </si>
  <si>
    <t>א. ענת
ב. ד"ר לימון
ג. דימה להכין דוגמאות</t>
  </si>
  <si>
    <t>יש לקדם את הממשק של הקמליון ואריה.</t>
  </si>
  <si>
    <t>רא. ענן צוות רופאים להסתכל על סריקה מתי שאפשר אחרי סימולציה ולבקש SEMAR לפי הצורך מהצוות רנטגנאים בסימולציה
ב. רענן צווטת  סימולציה להסתכל למתחת בסריקה להלשתמשמ בsemar</t>
  </si>
  <si>
    <t>א. ד"ר לימון
ב. ענת</t>
  </si>
  <si>
    <t>לבדוק התקיפות שההסכמה לא סרוק בקמליון</t>
  </si>
  <si>
    <t>7.2.23</t>
  </si>
  <si>
    <t>עיכוב במתן טיפול - מטופלת ח"פ המתינה זמן ממושך לטיפול. המטופלת הגיעה בשעה 10:30 למכון; הסימולציה הסתיימה ב 13:48 והמטופלת קיבלה טיפול ב 17:00. שתי סיבות עקריות לעיקוב הן: 
1. מטופלת נשלחה לסימולציה לפני קבלת רופא. המטופלת נשלחה חזרה לרופא. 
2. הרופא הראשי באריה לא שונה לרופא האחראי באותו היום ועל כן לא הופיע בבית של הרופא האחראי.</t>
  </si>
  <si>
    <t>עומס יתר - מטופל הגיע באיחור של שעתיים לביצוע קבלה וסימולציה. עקב האיחור נוצר לחץ בסימולציה.</t>
  </si>
  <si>
    <t>דרור, תמרה, ענת, דימה, אמינה, יוני, רן</t>
  </si>
  <si>
    <t>אם תכנית לא מאושרת יש לבדוק איפה התיק בתהליך וליידע את איש הצוות הרלבנטי. RTTQA תשתתף בישיבת QA ביום שלישי.</t>
  </si>
  <si>
    <t>יכתב תהליך מסודר להכנסת מרשמים לטיפולי קונטאקט</t>
  </si>
  <si>
    <t>לשים לב להנחיות הרופא בטופס הסימולציה.</t>
  </si>
  <si>
    <t>לא ניתן לבצע תוכנית טיפול</t>
  </si>
  <si>
    <t>החלטה שגויה</t>
  </si>
  <si>
    <t>לבדוק דרך תקשורת צלנדרים - כל ברכי</t>
  </si>
  <si>
    <t>א. לכל ישיבת QA עם יש שינוי בתוכנית עם מטופל בטיפול יש ליידע RTT QA מיד
ב. הרנטגנאי בRTT QA להשתתף בישיבת QA ביום שלישי לפחות</t>
  </si>
  <si>
    <t>לכתוב מדיניות לכל סימוני קליני כולל קונטקט</t>
  </si>
  <si>
    <t>ד"ר ווייס, דימה, וענת</t>
  </si>
  <si>
    <t>תזכורת לרנגנאים לשים לב להורעות בdocuments</t>
  </si>
  <si>
    <t>יפתח יומן למתמחה עם שתי קבלות לצורך מטופלים עם קבלה + סימולציה. השייוך יהיה לרופא הבכיר התורן. ב Emergency CP יש לשנות Contouring ל Emergency Contouring.  לשים לב לשופא אחראי על מקרים דחופים בסימולתורנכון בsummary ומופיע מכון בcarepathg</t>
  </si>
  <si>
    <t>א. לפתוח יומן רופא תורן בוקר(מתמחה) 
ב. לתקן emergency carepath   -    לשנות שם contouring   ל emergency contouring 
 ג. רענן צוות זימון תורים</t>
  </si>
  <si>
    <t>א. לעדכן צוות סימולציה לדבר עם רופא היום
ב. לדבר עם הרופאים לגבי אותו נושא</t>
  </si>
  <si>
    <t>תכנון שגוי - שדה בוסט עם wedge היה invalid כיוון שלא היה לו מספיק זמן.</t>
  </si>
  <si>
    <t>תיעוד לא תקין - שגיאה בהזנה של ת.ז. לאריה. במקום 460105 נכתב 460150.</t>
  </si>
  <si>
    <t>תיקשורת לקויה - מטופלת הגיעה לטיפול כשהתיק לא מוכן. הרופא אמר לה לבוא במידה ולא מתקשרים אליה.</t>
  </si>
  <si>
    <t>תקשורת לקויה - מטופלת הוזמנה לסימון קליני לא היה מרשם לטיפול. למטופלת היה קוצב בעבר ולא נעשה בירור בנושא. המטופלת נשלחה לביתה ע"י רופא לפני התור שלה. חוסר התקשורת בין הצוות המטפל למטופלת הורגש, ונוצר תסכול.</t>
  </si>
  <si>
    <t>דרור, תמרה, ענת, דימה, פניג, מרינה, גלית, רן</t>
  </si>
  <si>
    <t>רופא ופיזיקאי צריכים ליידע את המזכירות לגבי שינויי מועד טיפול על מנת שיתקשרו למטופל.</t>
  </si>
  <si>
    <t>סריקה לא תקינה - מטופל עבר סימולציה חוזרת למפשעה עקב שינוי מורפולוגי של הגידול. הסריקה בוצעה כשהפין אינו מוסט לצד הנגדי ונכנס לשדה הטיפול.</t>
  </si>
  <si>
    <t>מתן טיפול באופן שגוי - מטופל קיבל טיפול בתכנית של מטופל אחר.</t>
  </si>
  <si>
    <t>דו"ח חיצוני</t>
  </si>
  <si>
    <t>נ"ס+ משה"ב</t>
  </si>
  <si>
    <t>תקשורת לקויה - מטופל נשלח לביתו לאחר קבלה רפואית וסיעודית ללא סימולציה. נקבע תור חדש לסימולציה.</t>
  </si>
  <si>
    <t>תיעוד לא תקין -בישיבת סימולציה הרופא כתב את ההנחיות בכתב יד. הרנטגנאים הבינו שמדובר בתכנון לכליה כאשר המקרה הוא לריאה. לכן המטופל הוכן לסימולציה באופן שגוי.</t>
  </si>
  <si>
    <t>שגיאה חמורה</t>
  </si>
  <si>
    <t>שגיאה מינורית/ ללא שגיאה</t>
  </si>
  <si>
    <t>לבדוק התראה על שדות invalid</t>
  </si>
  <si>
    <t>עדכון על מצב</t>
  </si>
  <si>
    <t>שיחה להחליט על זה</t>
  </si>
  <si>
    <t>דימה
ד:ר ווייס</t>
  </si>
  <si>
    <t>א. מטופלים חוזרים צריך לראות הרופא  המטפל המקורי
ב. לסנות מסלול לעדכן זימון תורים</t>
  </si>
  <si>
    <t>א. ד"ר לימון
 ב. ד"ר ווייס וענת ? משה</t>
  </si>
  <si>
    <t>להזקיר לרופאים למלא הטופםס סימולציה עם פרטים כאלה</t>
  </si>
  <si>
    <t>תהליך לעדכן מטופלים על שינויים בתאריכים</t>
  </si>
  <si>
    <t>ד"ר ווייס, ענת, משה</t>
  </si>
  <si>
    <t>סריקה לא תקינה - סריקה קצרה יש 1.4 ס"מ בלבד מתחת לשד.</t>
  </si>
  <si>
    <t>אי עמידה בזמנים - מטופלת עברה סימולציה ב 13/3/23. ה care path לא נסגר עד ה 9/4/23.</t>
  </si>
  <si>
    <t>אי עמידה בזמנים - מטופלת עברה סימולציה ב 22/2/2023. ה care path לא נסגר עד ה 14/4/2023.</t>
  </si>
  <si>
    <t>אי עמידה בזמנים -  תיק TBI חד פעמי לא היה מוכן בזמן.</t>
  </si>
  <si>
    <t>לבנות תהליך תקשורת לברכיתרפיה</t>
  </si>
  <si>
    <t>ד"ר ווייס, מרינה, משה, ענת</t>
  </si>
  <si>
    <t>לכתוב פרוצידורה</t>
  </si>
  <si>
    <t>ד:ר ווייס ודימה</t>
  </si>
  <si>
    <t>ד"ר לימון ירענן את אופן הכנסה של מטופלים חדשים וחוזרים לאריה.</t>
  </si>
  <si>
    <t>דרור תמרה ענת גלית דימה רות יוני אמינה פניג מרינה רן</t>
  </si>
  <si>
    <t xml:space="preserve">עיכוב במתן טיפול - סימולציה לצלידר גניקולוגי נעשתה בתאריך 30/1/2023 כאשר הטיפול הראשון היה מיועד לתאריך 1/2/2023. המטופלת הגיעה לטיפול אך המקרה לא היה מוכן. </t>
  </si>
  <si>
    <t>תהליך קבלת מטופלות ייבדק ע"י רנטגנאית ראשית</t>
  </si>
  <si>
    <t xml:space="preserve">מתן טיפול באופן שגוי - נעשה טיפול HDR עם miami applicator. טיפול באפליקטור זה חדש עבורינו. במקרה זה דם  נכנס לתוך המתקן והועבר לשאר הערוצים באמצעות המקור. </t>
  </si>
  <si>
    <t>קיים צורך לתאם הדרכה לשימוש באפליקטור. לכל פרוצדורה חדשה יש לבצע תהליך למידה מקדים טרם השימוש במתקן.</t>
  </si>
  <si>
    <t>סריקה לא תקינה - מטופלת נסרקה בסימולציה עם סימון צלקת לא מספיק  הרופא כתב שיקראו לו לסריקה אך הנחיה זו לא בוצעה.</t>
  </si>
  <si>
    <t>במקרה של איחור של מטופל יש להתייעץ עם הרופא התורן לצורך קבלת החלטה מתי לקבל את המטופל.</t>
  </si>
  <si>
    <t>א. ענת
ב. ד"ר לימון</t>
  </si>
  <si>
    <t>תבדק אפשרות לייצר התראה על שדות invalid באריה.</t>
  </si>
  <si>
    <t>עבור טיפולים לא שגרתיים (TBI, TLI) יש לשקול בנית מסלול זרימה פרטני לפרוצדורות אלו.</t>
  </si>
  <si>
    <t>מטופלים חוזרים שקיבלו טיפול בעבר, ישובצו חזרה אל הרופא המטפל המקורי. יש לידע זימון תורים לגבי שינויים בתכנית טיפול.</t>
  </si>
  <si>
    <t>יש למלא הנחיות מלאות לסימולציה בטופס סימולציה באריה.</t>
  </si>
  <si>
    <t>להקפיד על הנחיות הסריקה לפי הפרוטוקול. יש לוודא שהפרוטוקול מציין את המרווח המתאים לסריקה.</t>
  </si>
  <si>
    <t>מתן טיפול באופן שגוי -מטופל ראש צוואר קיבל 16 טיפולים מתוך 35 טיפולים עם בולוס במקום לא נכון. לפי הערכה דוזימטרית ראשונית קיים פער של כ- 9% תת מנה לעור.</t>
  </si>
  <si>
    <t>לחדד נוהל זיהוי מטופל עם כל השכבה</t>
  </si>
  <si>
    <t>אחות לוודאי שהמטופל מבין שיש לו תור לCT אחרי קבלה סיודי</t>
  </si>
  <si>
    <t>לחדד נוהל קיים לרופאים</t>
  </si>
  <si>
    <t>א. לוודאי אורך הסריקה לתכנן
ב. לבדוק מה כתוב לספר פרוטוקולים לסימולציה</t>
  </si>
  <si>
    <t>א. דימה
ב. ד"ר ווייס וענת</t>
  </si>
  <si>
    <t>לעדכן רנטגנאי בסימולטור</t>
  </si>
  <si>
    <t>א. לחדד נוהל קיים
ב. לכתוב נוהל על offline review
ג. רענן נוהל שקיים</t>
  </si>
  <si>
    <t>א. ענת לרנטגנאי בסימולטור
ב. ד"ר ווייס
ג. ענת</t>
  </si>
  <si>
    <t>לחדד נוהל קיים</t>
  </si>
  <si>
    <t>א. 9.5.23
ב.
ג.17.5.23</t>
  </si>
  <si>
    <t>א.
ב. 17.5.23</t>
  </si>
  <si>
    <t>9.5.23</t>
  </si>
  <si>
    <t>אירנה
ענת</t>
  </si>
  <si>
    <t>17.5.23</t>
  </si>
  <si>
    <t>א.
ב.7.2.23</t>
  </si>
  <si>
    <t>א.
ב. 9.5.23</t>
  </si>
  <si>
    <t>א. 9.5.23
ב.</t>
  </si>
  <si>
    <t>תכנון שגוי - מטופל פרוסטטה SBRT תוכנן למאיץ לא נכון.</t>
  </si>
  <si>
    <t>תכנון שגוי - תוכנן למאיץ לא נכון.</t>
  </si>
  <si>
    <t>כמעט ניתן טיפול שגוי - שגיאת חישוב מנה בסימון קליני. הטעות תוקנה בזמן אמת ולא היתה פגיעה.</t>
  </si>
  <si>
    <t>מתן טיפול באופן שגוי - הוקרן פעמיים שדה של קונטקט</t>
  </si>
  <si>
    <t xml:space="preserve">מתן טיפול באופן שגוי - העברת מידע בקרת איכות, אמצעי קיבוע, פרקציה 2 טופלה ללא VACLOCK </t>
  </si>
  <si>
    <t>תקשורת לקויה - מרשם לא ברור, תכנון לא לפי כוונת הרופא</t>
  </si>
  <si>
    <t>תקשורת לקויה - מרשם לא ברור</t>
  </si>
  <si>
    <t>תכנון שגוי</t>
  </si>
  <si>
    <t>תכנון שגוי - חישוב שגוי אלקטרונים</t>
  </si>
  <si>
    <t>תכנון שגוי - קרינה פליאטיבית לשד עם בולוס תוכנן ללא בולוס. עבר את כל בקרות האיכות וקיבלה טיפול אחד ללא בולוס.</t>
  </si>
  <si>
    <t>תכנון שגוי - תוכנן אגן באנרגיה 18x למאיצים 4/5. טופלה רק לבלוטות עד תיקון התוכנית ליום המחרת.</t>
  </si>
  <si>
    <t>סריקה לא תקינה - סריקה ארוכה, צילום מרובה של CT</t>
  </si>
  <si>
    <t>היעדר צילומים</t>
  </si>
  <si>
    <t>היעדר צילומים - היעדר מעקב צילומים, תזוזת מרכז בטיפול 6</t>
  </si>
  <si>
    <t>תיעוד לא תקין - שם מרשם שגוי. עמוד שדרה לטיפול ב C4-C6, שם המרשם ל C3-C4.</t>
  </si>
  <si>
    <t>תיעוד לא תקין - שם מרשם שגוי. מרשם לריאה ימין תוכנן לריאה שמאל.</t>
  </si>
  <si>
    <t>תיעוד לא תקין - שם מרשם שגוי. מרשם לראש צוואר טיפול בזרוע שמאל</t>
  </si>
  <si>
    <t>תיעוד לא תקין - מרשם לא תקין, סימונים לא רלוונטים למרשם</t>
  </si>
  <si>
    <t>תיעוד לא תקין - מרשם לא תקין</t>
  </si>
  <si>
    <t xml:space="preserve">תיעוד לא תקין - מרשם לא תקין </t>
  </si>
  <si>
    <t>תיעוד לא תקין - מרשם ברכי ובוסט בתוך note של מרשם אגן</t>
  </si>
  <si>
    <t>תיעוד לא תקין - עבור המטופלת נכתב מרשם לפרוסטטה עם בלוטות. מהטופלת קיבלה טיפול לשלפוחית.</t>
  </si>
  <si>
    <t>תיעוד לא תקין - חוסר התאמה בין רישום בקמליון לבין המכתב שהופק ממנו</t>
  </si>
  <si>
    <t>תיעוד לא תקין -  שם המרשם בקמליון ללא צד. הטיפול SBRT לצד ימין.</t>
  </si>
  <si>
    <t xml:space="preserve">תיעוד לא תקין - מטופל הגיע ולא היה מרשם כתוב. הרופא נתן הוראות בעל פה. </t>
  </si>
  <si>
    <t>תיעוד לא תקין - בפרוטוקול של הקמליון המנה 24Gy חד פעמי. במרשם של אריה ה- PTV ל- 24Gy וה- GTV ל-  29Gy. מה צריך להיות כתוב ואיך?</t>
  </si>
  <si>
    <t>תיעוד לא תקין - בפרוטוקול של הקמליון המנה 7Gyx5=35Gy. במרשם של אריה ה- PTV ל- 7Gyx5=35Gy וה- GTV ל-  7.5Gyx5=37.5Gy. מה צריך להיות כתוב ואיך?</t>
  </si>
  <si>
    <t>תיעוד לא תקין - אי התאמה בתדירות הטיפול בין מרשם אריה לקמליון. המטופל היה צריך לקבל 5 טיפולים בשבוע. המטופל ידע על 3 פעמים בשבוע. המטופל סירב להגיע יום אחרי יום.</t>
  </si>
  <si>
    <t>תיעוד לא תקין - מרשם חתום ע"י מתמחה ולא רופא בכיר.</t>
  </si>
  <si>
    <t>תיעוד לא תקין - מטופלת קבלה ברכיתרפיה 3 פעמים ללא חתימת רופא על המרשם.</t>
  </si>
  <si>
    <t>תיעוד לא תקין -  נפתחה למטופלת בקמליון ביקור ללא נוכחות במקום ביקור רופא - עקב כך נוצרו מספר בעיות עם הקבלה.</t>
  </si>
  <si>
    <t>תיעוד לא תקין - חוסר התאמה בין רשום בקמליון לתוכניות שד עם SIB לבין מרשם אריה. הבוסט אינו רשום כראוי.</t>
  </si>
  <si>
    <t xml:space="preserve">תיעוד לא תקין - 1 מ4 מרשים לא היה חתום ועל כן לא תוכנן. הרופא לא נשאל על המרשם הרביעי ולכן היה צורך לתכנן מחדש על מנת להוסיף את המוקד הנוסף. הטיפול נדחה עקב כך. </t>
  </si>
  <si>
    <t>תיעוד לא תקין - מרשם נכתב על קורס ישן עם טיפול קודם.</t>
  </si>
  <si>
    <t>אי ביצוע הנחיה (צוות)</t>
  </si>
  <si>
    <t>אי ביצוע הנחיה (מטופלים)</t>
  </si>
  <si>
    <t>אי ביצוע הנחיה (מטופלים) - מטופל לא פעל לפי הוראות הרופא, לא הלך למרפאת קוצבים לאחר טיפול עם קוצב</t>
  </si>
  <si>
    <t>אי ביצוע הנחיה (צוות) - מטופלת עברה סימולציה חוזרת כיוון שלא קראו לרופא לסמן מיקום. הרופא ביקש שיקראו לו לסימון בטופס סימולציה באריה וכן דיבר עם הצוות באופן ישיר.</t>
  </si>
  <si>
    <t>אי ביצוע הנחיה (מטופלים) - חוסר יכולת לבצע הנחיות רופא. המטופלת להצליחה לבצע נשימה עמוקה. תוכנן מחדש על נשימה חופשית.</t>
  </si>
  <si>
    <t>אי ביצוע הנחיה (מטופלים) - חוסר יכולת לבצע הנחיות רופא. המטופל תוכנן לקבלת SBRT ריאה. המטופל לא היה מסוגל להחזיק ידיים למעלה.</t>
  </si>
  <si>
    <t xml:space="preserve">תקשורת לקויה - שינוי תוכנית, כשל אינפורמציה, </t>
  </si>
  <si>
    <t>סימון שגוי - בסימון המקורי סימון יותר מ3 חוליות. בקשה לרופא לבדוק התיק שוב לאחר בדיקה תוקן הסימון ונשלח לחישוב חוזר.</t>
  </si>
  <si>
    <t>תקשורת לקויה – בעקבות שינוי תכנית טיפול אשר בוצע ברגע האחרון וחוסר תקשורת בין הצוותים, המטופלת הורדה מהשולחן.</t>
  </si>
  <si>
    <t>עבודה שלא על פי הנוהל</t>
  </si>
  <si>
    <t>עבודה שלא על פי הנוהל - סגירת דלת לפני יציאת כל אנשי הצוות</t>
  </si>
  <si>
    <t xml:space="preserve">עבודה שלא על פי הנוהל - מטופלת נשכחה בחדר המאיץ </t>
  </si>
  <si>
    <t>חוסר תשומת לב - התוכנית התקבלה לחתימה שניה ובה נצפתה בעייה בסימולצייה שעלולה לפגום במיקום הסימון של הגידול (GTV) ובנפח הכולל וכן בהתאמת המיקום במאיץ.</t>
  </si>
  <si>
    <t>תקשורת לקויה - מטופל היגיע ל5 פרקציות מתוך 10. לא ידע שיש לו עוד 5 טיפולים</t>
  </si>
  <si>
    <t>אי ביצוע הנחיה (מטופלים) - הגעה מוקדמת של מטופלת, הרופא המטפל ביקש לתת טיפול</t>
  </si>
  <si>
    <t xml:space="preserve">עבודה שלא על פי הנוהל - תכנון טיפול ללא שיבוץ של מועד ומאיץ </t>
  </si>
  <si>
    <t>תיעוד לא תקין - שגיאה בשם התכנית לצד שמאל במקום לצד ימין התגלה בפרקציה חמישית</t>
  </si>
  <si>
    <t>מתן טיפול שלא על פי הפרוטוקול</t>
  </si>
  <si>
    <t>עבודה שלא על פי הנוהל - למטופל יש קוצב לב, אין להשתמש באנרגיות גבוהות</t>
  </si>
  <si>
    <t>עבודה שלא על פי הנוהל - סימון נעשה על BH עם עקומת נשימה לא תקינה.</t>
  </si>
  <si>
    <t>עבודה שלא על פי הנוהל - מטופל לא הוחתם על הסכמה לסימולציה עם חומר ניגוד ולכן לא הוכן לביצוע הזרקה. עבר סימולציה רגילה.</t>
  </si>
  <si>
    <t>עבודה שלא על פי הנוהל - תכנון טיפול על קורס ישן באותו איזור</t>
  </si>
  <si>
    <t>בעיות קיבוע</t>
  </si>
  <si>
    <t>בעיות קיבוע - מקרה Craniospinal Irradiation עם השכבה על CIVCO, VACLOCK AND BIONIX. ההשכבה  אינה נוחה ובטוחה למטופל.</t>
  </si>
  <si>
    <t>בעיות קיבוע - סימולציה חוזרת, מיקום לא ניתן לשחזור</t>
  </si>
  <si>
    <t>בעיות קיבוע - רנטגנאים נתבקשו לבצע AlignRT לטיפול עם ובלי בולוס. לא ניתן לבצע באופן חזרתי ללא פרוטוקול מתאים.</t>
  </si>
  <si>
    <t>בעיות קיבוע - מטופל הושכב על גבי vaclock בזוית 8 מעלות  מאהציר את האופקי וגרם לשגיאה בין המנה המתוכננת למנה בטיפול</t>
  </si>
  <si>
    <t>אי עמידה בזמנים - אין מועד תחילת טיפול</t>
  </si>
  <si>
    <t>אי עמידה בזמנים - טיפול TLI עם 4 מוקדים לא היה מוכן לטיפול ב 7 בבוקר. QA נעשה כשהמטופל ממתין בחוץ.</t>
  </si>
  <si>
    <t>בעיות קיבוע - אמצעי קיבוע פגום. לא ניתן היה להשכיב מטופל על מיטת SRS בסימוליצה עקב שינוי במתקן.</t>
  </si>
  <si>
    <t>בעיות קיבוע - אמצעי קיבוע פגום. מסיכה פתוחה של SRS התפרקה ההרכבה על המטופלת.</t>
  </si>
  <si>
    <t>תקשורת לקויה - מטופל לקרינה + כימו לא נכנס לביקורת רופא ואחות במהלך הטיפולים. לא קיבל תורים לאחות/רופא</t>
  </si>
  <si>
    <t>בעיות קיבוע - חוסר עקביות בהשכבת מטופלים.</t>
  </si>
  <si>
    <t>כמעט ניתן טיפול שגוי - אי התאמה בין שם מרשם באריה ואזור הטיפול. עקב כך כמעט ניתן טיפול חופף. קיימת גם אי התאמה בשם התכנית בין אריה לקמליון.</t>
  </si>
  <si>
    <t>עבודה שלא על פי הנוהל - בישיבת QA נראה היה שאין חתימה של רופא על התיק. המקרה כנראה אושר בתחנת RayStation.</t>
  </si>
  <si>
    <t>כמעט שגיאה בזיהוי מטופל</t>
  </si>
  <si>
    <t>היעדר תיעוד - מטופלת קיבלה טיפול SRS ל- AVM במנה של 24Gy חד פעמי. היא קיבלה טיפול בתאריך 24/5/23 והודיעה על היותה בהריון בתאריך 28/5/23. לא קיים ביחידה נוהל המסדיר בדיקת הריון למטופלות.</t>
  </si>
  <si>
    <t>תכנון שגוי - מטופל לא קיבל תוספת אלקטרונים לאיבר המין במהלך כל סדרת הטיפולים. היה קיים מרשם מתאים.</t>
  </si>
  <si>
    <t>תמרה, דרור, ענת, רן, יוני, רות</t>
  </si>
  <si>
    <t>העברת מידע - מטופל פליאטיבי על כיסא גלגלים עם רגישות ליוד. לא ביצע חוקן כיוון שלא ידע איך. הצוות לא ידע על הרגישות ליוד והוכן חומר חדש על בסיס בריום.</t>
  </si>
  <si>
    <t>יקודם מהלך קליטה של מטופלים בטרם קבלה רפואית.</t>
  </si>
  <si>
    <t>במקרה של תוספת סימון קליני RTTQA צריך להוסיף תעוד לרנטגנאים במאיץ. במקרה והיתה החלטה מקדימה על שינוי, יש לתעד ולפעול ע"י מחיקה/שינוי של המרשם.</t>
  </si>
  <si>
    <t>תקשורת לקויה - הכנסת מטופל ללא תאום מראש. הוכנסה סימולציה של SRS ללא תאום וזמינות הצוות.</t>
  </si>
  <si>
    <t>תיעוד לא תקין - לא ניתן לוודא מרכז טיפול. לא היה תיעוד לגבי קעקוע מתכנון קודם. היה קושי בהשכבה ראשונית.</t>
  </si>
  <si>
    <t>א. דימה
ב. ענת</t>
  </si>
  <si>
    <t>לכתוב נוהל לגבי סימוני קליני</t>
  </si>
  <si>
    <t>ד:ר ווייס</t>
  </si>
  <si>
    <t>ד"ר ווייס</t>
  </si>
  <si>
    <t>א. רענן ב בקרת אחכות
ב. רענן רופאים</t>
  </si>
  <si>
    <t>מילון מונחים</t>
  </si>
  <si>
    <t>כמעט פגיעה במתקן</t>
  </si>
  <si>
    <t>שגיאת Care Path</t>
  </si>
  <si>
    <t xml:space="preserve">שגיאה טכנית </t>
  </si>
  <si>
    <t>אי התאמה של מרכז טיפול. מרכז הטיפול אינו תואם הן באריה והן בקמליון. לא נמצאו קואורדינטות הטיפול במערכת הלייזר.</t>
  </si>
  <si>
    <t>שדה קרינה פתוח לצד שני, הזזת מרכז ללא תיעוד</t>
  </si>
  <si>
    <t>תמרה, דרור, ענת, רן, אמינה, גלית</t>
  </si>
  <si>
    <t>תיק לתכנון בוטל ללא שהמידע עבר לצוות המתכנן. בנוסף, אורך הסריקה היתה מוגזמת.</t>
  </si>
  <si>
    <t>יוקם צוות תיאום (חמ"ל) אשר מטרתו להעביר את האינפורמציה הרלבנטית על שינויים בתכנון של מטופלים אל הצוותים הרלבנטיים.</t>
  </si>
  <si>
    <t>יבוצע זיהו מטופל לאחר כל פתיחה וסגירה של מטופל במאיץ. המקרה דווח כארוע למשרד הבריאות.</t>
  </si>
  <si>
    <t>לתקשר את הצורך בביצוע סריקת CT ביום הקבלה לאחות סיעודית.</t>
  </si>
  <si>
    <t>כל ההוראות יכתבו בטופס סימולציה באריה עבור תיקים רגילים (לא דחופים).</t>
  </si>
  <si>
    <t>בהחריות הרנטגנאי בסימולצה לוודא סגירת ה Care path.</t>
  </si>
  <si>
    <t xml:space="preserve">חידוד נהלים, יש  לתעד בולוס גם באמצעות צילום. רופא מטפל יבדוק Offline review לפחות פעם בשבוע. על הרנטגנאי המטפל לתת תשומת לב לצילום של ה- CBCT ולוודא שהכל תקין. </t>
  </si>
  <si>
    <t>הרופא המטפל ידאג לסגירת התיק בזמן. רענון הנוהל ע"י ד"ר לימון. יפתח Care Path לכל טיפול כולל TBI/TSI</t>
  </si>
  <si>
    <t xml:space="preserve">רופא לא שוייך ל Care Path לכן לא הגיעה לסימון לרופא המטפל. </t>
  </si>
  <si>
    <t>כמעט שגיאה בזיהוי מטופל - הוכנס Care Path של מטופל אחר עם שם משפחה זהה ות.ז. כמעט זהה. הסריקה בוצעה והוכנסה למטופל המופיע באריה.</t>
  </si>
  <si>
    <t>יש לשים לב, בכל הזנה של נתונים למחשב יש צורך לזהות את פרטי המטופל מחדש. במהלך הסימולציה יש לוודא שוב שהמטופל הנכון הועלה לצורך סריקה.</t>
  </si>
  <si>
    <t>תתקיים בדיקה של הנוהל ברנטגן. תשקל החלטה לגבי כתיבת נוהל מתאים. יקודם מהלך קליטה של מטופלים בטרם קבלה רפואית ליחידה.</t>
  </si>
  <si>
    <t>תכנון שגוי - בתוכנית TSI של היום השני שמות השדות היו זהות לשמות של היום הראשון. בשם התוכנית לא צוין עם התוכנית היא לכיוון הAP או PA.  המטופלת כמעט קבלה את הטיפול הראשון שוב.</t>
  </si>
  <si>
    <t xml:space="preserve">תקשורת לקויה - ביום של החלפת מקור בברכיתרפיה, תואמו מטופלות לקבלת טיפולים. </t>
  </si>
  <si>
    <t>הודעה על החלפת מקור תשלח אל המזכירות וזימון תורים. ימי החלפת מקור יהיה בימי חמישי ולא ימי שני כפי שהיה עד היום. יש להמתין לאישור משרד הגנת הסביבה לפני מתן טיפולים לאחר החלפת מקור.</t>
  </si>
  <si>
    <t>העברת מידע - מטופלת בקשה לדחות את מועד הסימולציה עקב סבב נוסף של כימו. הסימולציה המקורית בוטלה ונכתבה הערה, אך לא תואמה סימולציה חדשה.</t>
  </si>
  <si>
    <t>בת של מטופל ביקשה לבצע חוקן לאבא שלה. האב היה עצמאי וביקש עזרה.  אחות המתאמת אמרה לבת שיעזרו לו אך המידע לא עבר לצוות המטפל לצורך ביצוע.</t>
  </si>
  <si>
    <t>מטופל לפרוסטטה SBRT לשתי פרקציות, הורד מהשולחן לאחר שלא שלחו זרעי זהב במהלך שחרור התיק.</t>
  </si>
  <si>
    <t>יש להקפיד על העברת זרעים ולעבור בקפידה על רשימת התיוג (Check List). רנטגנאי QA יבדוק אם נשלחו הנפחים הרצויים לצורך מתן טיפול.</t>
  </si>
  <si>
    <t>יש לשים לב בבקרות האיכות של הפיזיקאים ושל הרנטגנאים לוודא את נכונות המאיץ המטפל.</t>
  </si>
  <si>
    <t>א. רענן רופאים
ב. רענן רנטגנאים</t>
  </si>
  <si>
    <t>א. פיזיקה להודיעה כל צוותים שצריף לדעת על החלפת מקור
ב. לסדר החלפת מקור לימי ה' במקום יום ב'
ג. פיזיקה לוודאי קבלת האישורים לפני מתחילים לטפל</t>
  </si>
  <si>
    <t>א., ב. ג. - דימה</t>
  </si>
  <si>
    <t>א. מרינה</t>
  </si>
  <si>
    <t>א. לבנות דרך תקשורת לעדכן כל הצוות שצריך לדעת על כל שינויים בתוכנית</t>
  </si>
  <si>
    <t>א. לרענן פיזיקאים
ב. לעדכן  RTTQA</t>
  </si>
  <si>
    <t xml:space="preserve">א. דימה
ב. ענת </t>
  </si>
  <si>
    <t>אחות ראשית תכתוב הנחיה מתאימה להעברת המידע מאחות הקבלה עבור בקשות מיוחדות למטופלים.</t>
  </si>
  <si>
    <t>כתיבה נוהל חדש</t>
  </si>
  <si>
    <t>א. דימה ולעדכן ד"ר ווייס עם המצב
ב. ד"ר ווייס</t>
  </si>
  <si>
    <t>Taxonomy</t>
  </si>
  <si>
    <t>א. לבדוק נוהל בהדמיות
ב. לכתוב נוהל חדש</t>
  </si>
  <si>
    <t>א. ד"ר ווייס
ב.  ד"ר ווייס</t>
  </si>
  <si>
    <t>ד"ר ווייס ומרינה</t>
  </si>
  <si>
    <t>לבדוק מצר העברת מידע לתור חדש אחרי בטילת תור</t>
  </si>
  <si>
    <t>מטופל עם קוצב לב. לא היה תיעוד במרשם באריה. היה מכתב מקרדיולוג וכן נכתב בקמליון (במכתב מרופא).</t>
  </si>
  <si>
    <t>עקב שינוי מורפולוגי של איזור הטיפול, בוצעה סימולציה חוזרת. למרות זאת המטופל המשיך לקבל את התכנית המקורית בהנחית הרופא המטפל.</t>
  </si>
  <si>
    <t>יש לקבל מרשם בזמן לצורך תכנון. פיזיקאי לא יחתום חתימה שניה לפני שבדק את כל פרטי התיק ומילא את רשימת התיוג לחתימה שניה. רנטגנאי במאיץ לא יסגור את RTTQA אלא אם בדק את כל התכנית וביצע QA מלא.</t>
  </si>
  <si>
    <t>חוסר התאמה בין צורת הבולוס בתכנון לבין צורת הבולוס בטיפול. הרופאה ביקשה במרשם להתאים את הבולוס לפיטמה בלבד. לאחר בדיקה הותאם הבולוס כפי שמופיע בתכנית.</t>
  </si>
  <si>
    <t>יש להקריא בקול את פרטי הטיפול. יש לוודא קשב של רנטגנאי המאיץ וחשיבה ביקורתית. יש להדריך רנטגנאים חדשים על אופן ביצוע חישובים במאיץ. כתיבת נוהל סימון קליני.</t>
  </si>
  <si>
    <t>תמרה, דרור, דימה, ענת, אירנה, מרינה, גלית</t>
  </si>
  <si>
    <t>יש לעדכן מכתב קוצב בקמליון במרשם ב Aria. יש לרענן את נוהל הקוצב.</t>
  </si>
  <si>
    <t>הוכנס Care Path של מטופל עם ת.ז. 546860 במקום 546680. הסריקה בוצעה והוכנסה למטופל המופיע ב Aria.</t>
  </si>
  <si>
    <t>אי התאמה בין הנחיות לסימולציה לבין הביצוע בפועל. בטופס סימולציה נרשם שלפוחית מלאה וחומר ניגוד. המטופלת נסרקה ללא ביצוע ההנחיות. המסמך לא נחתם ע"י רופא בכיר.</t>
  </si>
  <si>
    <t>בעת בחירה של טופס סימולציה, יש לעדכן את הפרטים לפי דרישת הטיפול. הרנטגנאים בסימולציה יבצעו את ההנחיות ע"פ הטופס. אם קיימת אי הבנה, יש לשאול את הרופא המטפל.</t>
  </si>
  <si>
    <t>מספר של תעודת זהות של מטופל הוזן לתוך השדה של "שם פרטי" ב Aria עבור המטופל הנ"ל.</t>
  </si>
  <si>
    <t xml:space="preserve">למטופלת חדשה לא ניתן היה לטפל כיוון ששדה טיפול לא היה תקין (מס' MU גבולי). </t>
  </si>
  <si>
    <t>תעודת זהות של מטופל הוזנה ב Aria באופן שגוי כ- 3004437 במקום 30044347.</t>
  </si>
  <si>
    <t>תעודת זהות של מטופל הוזנה ב Aria באופן שגוי כ- 30936695 במקום 31936695</t>
  </si>
  <si>
    <t>מטופל עם קלסטרופוביה ביקש כדור הרגעה מאחות ולא קיבל. התוצאה שבסימוליציה היה קושי לבנות לו מסיכת SRS.</t>
  </si>
  <si>
    <t>עקב שינוי בתכנית הטיפול יום לפני התיק לא היה מוכן בזמן. הצוות לא קיבל עדכון לגבי השינויים וכן לא נדחה מועד תחילת הטיפול.</t>
  </si>
  <si>
    <t>בשיחת טלפון לזימון לקבלה, המטופל לא ידע שצריך לקבל טיפול. ההפניה התקבלה במערכת ללא שהמטופל עודכן בצורך לקבלת טיפול.</t>
  </si>
  <si>
    <t xml:space="preserve"> במהלך אנליזה בAria, נמצאו 11 מקרים מתוך 331 מקרים  בהם  ה primary oncologist לא תאם את הרופא המטפל</t>
  </si>
  <si>
    <t>לאחר סימולציה חוזרת 3 מתוך 4 קשתות היו אם קישור לבולוס. המטופלת קבלה 12 מתוך 19 טיפולים באופן זה. לא אובחן שינוי בעל משמעות בDVH</t>
  </si>
  <si>
    <t>מטופלת שד Prone לא ניתן לטפל בתכנית בוסט עקב התנגשות עם המיטה. הבוסט תוכנן מחדש.</t>
  </si>
  <si>
    <t>תיק SBRT תוכנן למאיץ לא נכון.</t>
  </si>
  <si>
    <t>בתכנית שמות ארקים שאינם תואמים את התכנון.</t>
  </si>
  <si>
    <t>בתכנית עם wedge לא היו מספיק MU (מתחת ל- 20MU). היה צורך לתקן כשהמטופלת על המיטה.</t>
  </si>
  <si>
    <t>ב- document של הסימולציה היה כתוב שאין צורך בחומר ניגוד למרות שהיה צריך.</t>
  </si>
  <si>
    <t>א. רענן רופאים
ב. לעבוד עם צוות קמליון</t>
  </si>
  <si>
    <t xml:space="preserve">א. לעקוב על מספרי טעויות בין אריה לקמליון </t>
  </si>
  <si>
    <t>א. רענן לרפאים</t>
  </si>
  <si>
    <t>א. רענן לרופאים לסמן או לעדכן צוות עם לא משתמשים בסריקה חדשה</t>
  </si>
  <si>
    <t>שדות עם wedge צריכים לפחות 20MU. חידוד נוהל.</t>
  </si>
  <si>
    <t>טופל מול אדמיניסטרטור של קמליון.</t>
  </si>
  <si>
    <t>תמרה, דרור, אמינה, ענת, מרינה, סיגל סער ורן</t>
  </si>
  <si>
    <t>שם תכנית נכתבה באופן שגוי לצד שמאל כאשר הגידול הינו בצד ימין. בנוסף, שמות השדות לא תאמו את השדות בפועל.</t>
  </si>
  <si>
    <t>ה primary oncologist לא תאם את הרופא המטפל. לכן לא הופיע ב Care Path שלו לתכנון.</t>
  </si>
  <si>
    <t>ממשקים של קמליון, ATD ואריה נמצאים בעבודה. מטרת הממשק לסנכרן את העברת המידע בצורה אוטומטית ככל הניתן בין המערכות. תאריך יעד לסיום הפרוייקט ינואר 2024.</t>
  </si>
  <si>
    <t xml:space="preserve">א.  לסדר טופס חדש בקמליון
ב. לחדד נוהל על קוצבים עם הרופאים
</t>
  </si>
  <si>
    <t>רענן צוותים 
א. - מזכירות
ב. אחיות
ג.רופאים</t>
  </si>
  <si>
    <t>א. אירנה
ב.  מרינה
ג. ד"ר לימון</t>
  </si>
  <si>
    <t>רענן נוהל לפיזיקאים</t>
  </si>
  <si>
    <t xml:space="preserve">לכתוב נוהל ברור על תקשורת של שינויים בתוכניות </t>
  </si>
  <si>
    <t>א. ד"ר לימון
ב. ד"ר לימון</t>
  </si>
  <si>
    <t>לוודאי שאין בעיות</t>
  </si>
  <si>
    <t>מעקב אחרי הישיבה</t>
  </si>
  <si>
    <t>רענן נוהל עם האחיות</t>
  </si>
  <si>
    <t>לרענן לאונקולוגיה והמטואונקולוגיב לא לשלוח הפניה לפני מדברים עם המטופל</t>
  </si>
  <si>
    <t>ישיבה בפיזיקה על נושא תוכנית TSI</t>
  </si>
  <si>
    <t>א. דימה
ב. דימה</t>
  </si>
  <si>
    <t>א. לעבור על physics 2nd check checklist
ב. ישיבת פיזיקאים על בדיקה שני של פיזיקאים</t>
  </si>
  <si>
    <t>רענן פיזיקאים</t>
  </si>
  <si>
    <t>המקרה נשאר להמשך בדיקה ומסקנות (ד"ר וייס).</t>
  </si>
  <si>
    <t>נוהל עבודה של קוצבי לב בתהליך פיתוח. המקרה יועבר לצוות קמליון לבדיקה.</t>
  </si>
  <si>
    <t>שדות עם wedge צריכים לפחות 20MU. חידוד נוהל לפיזיקאים.</t>
  </si>
  <si>
    <t>יש לעדכן את Aria לרופא המטפל הנוכחי בכל הכנסה של Care Path. באחריות של זימון תורים לבצע את העדכון.</t>
  </si>
  <si>
    <t>למטופל בעל חרדות יש לתת כדור הרגעה מראש. באחריות אחיות היחידה.</t>
  </si>
  <si>
    <t>שינויים בטיפול יתוקשרו ע"י הרופא ל- RTTQA בשעות הבוקר ולמזכירות בשעות הערב.</t>
  </si>
  <si>
    <t>ד"ר לימון ידבר עם אונקולוגיה והמטואונקולוגיה שלא ישלחו הפניות לטיפולים דחופים לפני שהסבירו למטופל על הצורך בקבלת טיפולי קרינה.</t>
  </si>
  <si>
    <t>בעת תכנון של תיק יש להקפיד על שמות תכנית, שדות, ונקודת ייחוס (Reference point) בעלי משמעות. חידוד נוהל.</t>
  </si>
  <si>
    <t>יש להפקיד לשנות את ברירת המחדל בעת מילוי טופס לערך הרצוי. הטופס ייחתם ע"י רופא בכיר.</t>
  </si>
  <si>
    <t>לכתוב תהליך על עבודה עם בולוס - אינדקציות, תכנון, טיפול</t>
  </si>
  <si>
    <t>יבוצע מעקב ממשקים בינואר 2024</t>
  </si>
  <si>
    <t xml:space="preserve">תתקיים ישיבה עם הצוות על עדכון Aria </t>
  </si>
  <si>
    <t>ד"ר לימון, אירנה אילטוב</t>
  </si>
  <si>
    <t>לבנות תהליך תקשורת עבור שינויים בזמני טיפול.</t>
  </si>
  <si>
    <t>רענון מילוי הטופס סימולציה.</t>
  </si>
  <si>
    <t>ייכתב תהליך מסודר לתכנון בולוס. חידוד נוהל בולוס לפיזיקאים.</t>
  </si>
  <si>
    <t xml:space="preserve">שדה ה setup לבולוס תוכנן בזווית 0 במקום מאונך למיקום הבולוס. נתגלה לאחר שני טיפולים קודמים מתוך 5. </t>
  </si>
  <si>
    <t>ממשקים של קמליון, ATD ואריה נמצאים בעבודה. מטרת הממשק לסנכרן את העברת המידע בצורה אוטומטית ככל הניתן בין המערכות. תאריך יעד לסיום הפרויקט ינואר 2024.</t>
  </si>
  <si>
    <t>תעודת זהות של מטופלת הוזן ב Aria ללא הספרה האחרונה. מספר ת.ז. זו הפנתה למטופלת אחרת בקמליון.</t>
  </si>
  <si>
    <t>לא היה תיעוד של קוצב לב במרשם או בקמליון. בקמליון של המטופלת הזאת לא הייתה אפשרות של בחירה בקוצב (יש צילום מסך).</t>
  </si>
  <si>
    <t>מטופל הגיע ב 18:30-18:45 לא חשה בטוב. לא הייתה אחות ומזכירה לתת מענה למטופלת.</t>
  </si>
  <si>
    <t>יש להישאר עד תום ההקרנות של כל המטופלים לפני שהולכים. יבוצע חידוד נוהל לצוותים.</t>
  </si>
  <si>
    <t>מטופלת דחופה שקיבלה טיפול יום קודם הורדה מהמחלקה אך התכנית לא הייתה מוכנה לטיפול עקב שינויים. הצוות לא קיבל הודעה על השינויים.</t>
  </si>
  <si>
    <t>ייכתב נוהל עבודה על תקשור של שינויים בתכנון. באחריות צוות נהלים.</t>
  </si>
  <si>
    <t>לא היה תיעוד של קוצב לב במרשם או בקמליון. בקמליון של המטופל לא הייתה אפשרות  בחירה בקוצב (יש צילום מסך).</t>
  </si>
  <si>
    <t>המטופלת לא הייתה משויכת לרופא ב Aria ובזימון לסימולציה הייתה משויכת לא רופא שסיים תפקידו בכללית.</t>
  </si>
  <si>
    <t>בטיפול TSI הופיעו לטיפול שתי התכניות AP ו PA. בשני הטיפולים הראשונים ניתנה תכנית AP. ה Schedule לא תוקן למרות בקשות הצוות.</t>
  </si>
  <si>
    <t>תתקיים הדרכה על  תכנון TSI בפיזיקה.</t>
  </si>
  <si>
    <t>בעת התכנון יש להקפיד על שחרור התיק לחתימה שניה לאחר בדיקה קפדנית של כלל הפרמטרים של התיק. בחתימה שניה של פיזיקה יבדקו גם את השיוך לבולוס.</t>
  </si>
  <si>
    <t>בתכנונים יש לשים לב לשדות קרינה אשר נמצאים מתחת למיטה. בתכנוני שד תתכן בעיה עבור מיטה שגובהה גדול מ Vertical 22cm. במקרים גבוליים יש לבצע Dry run (בדיקת התכנות במאיץ).</t>
  </si>
  <si>
    <t>בעת שינוי של מאיץ יש לקבל אישור של זימון תורים להחלפת המאיץ. במקרה של תכנון שגוי, חתימה שניה צריכה לעלות על השגיאה. ריענון נוהל חתימה שניה של פיזיקאים.</t>
  </si>
  <si>
    <t>מטופל הוזמן לסימולציה בודדת אך בפועל בוצעו 3 סימולציות שונות עם סוגי השכבה שונים.</t>
  </si>
  <si>
    <t>דוח שגיאות בזיהוי במערכת Aria</t>
  </si>
  <si>
    <t>מטופל הגיעה לקבלת טיפול 17 מתוך 18 טיפולים מתוכננים. המטופל ידע על 17 טיפולים בלבד. ב Aria כתוב 18 טיפולים בעוד שבקמליון כתוב 17.</t>
  </si>
  <si>
    <t>ילד הגיע לטיפול בהרדמה ללא הודעה מראש (תייר). הילד קיבל טיפול ללא נוכחות אחות. האחיות היו בהרדמות אחרות.</t>
  </si>
  <si>
    <t>יש לשים לב לשמות השדות והצדדים בכל תכנון. חידוד נוהל.</t>
  </si>
  <si>
    <t>בעת שינוי של מספר טיפולים רופא יידע את המטופל וזימון תורים על השינוי.</t>
  </si>
  <si>
    <t>יש להקפיד לעבוד לפי הנוהל ולזמן את המטופלים באמצעות זימון תורים. במקרים רגישים מומלץ לידע את מנהל היחידה בזמן אמת על האירוע.</t>
  </si>
  <si>
    <t>דרור, ענת, תמרה,אמינה ורן</t>
  </si>
  <si>
    <t>מזכירות ישייכו את הרופא ב Aria ע"פ הנוהל. רופא לא ישנו לבד את ה Care Path אלא יפנה לזימון תורים.</t>
  </si>
  <si>
    <t>בסימולציה אם יש יותר ממוקד אחד עם השכבות שונות, יבקש הרופא מזימון תורים להאריך את משך הסימולציה בהתאם.</t>
  </si>
  <si>
    <t>חדד נוהל פיזיקאים, בכרת איכות</t>
  </si>
  <si>
    <t>א.  ד"ר ווייס עם ענת ואירנה
ב. ד"ר לימון</t>
  </si>
  <si>
    <t>א. רענן רופאים
ב. לעדכן נוהל קיים</t>
  </si>
  <si>
    <t>א. ד"ר לימון
ב. ד"ר ווייס</t>
  </si>
  <si>
    <t>א. לכתוב נוהל עבודה על הנושא, כולל כל שינויים לפי הצורך
ב. של שינויים לעדכן זימון תורים</t>
  </si>
  <si>
    <t>למטופל בוצעה סימולציה לראש צוואר במקום למדיאסטינום. לא היה טופס סימולציה.</t>
  </si>
  <si>
    <t>שם המרשם בקמליון/Aria ובתכנית של המטופל היו D2. המטופל קיבל והיה צריך לקבל D1. ב MRI כתוב D1 וב- PET-CT כתוב D2.</t>
  </si>
  <si>
    <t xml:space="preserve">בקבלת רפואית נכתב שהמטופלת מתבקשת לראות רופא כל שבוע. בפועל לא ראתה רופא. המטופלת הלכה למיון עם שלשולים ואושפזה. הטיפול הופסק באופן ממושך. </t>
  </si>
  <si>
    <t xml:space="preserve"> 18/9/23</t>
  </si>
  <si>
    <t xml:space="preserve">תלונה ממטופלת על המתנה ארוכה לסימולציה. </t>
  </si>
  <si>
    <t>דרור, ענת, תמרה, מרינה, אמינה ורן</t>
  </si>
  <si>
    <t xml:space="preserve">מתחילים לעבוד עם מערכת "מנור" שבה האחיות יכולות לצפות בקבלת רופאים. אחיות יוודאו שהמטופל ראה רופא בזמן שהוגדר בנוסף ישנו את האופן שבה הן מזינות נתונים לקמליון. תבדק אפשרות שגם מזכירות יעשו בקרה. רנטגנאים ישאלו לגבי תור לרופא ואחות. </t>
  </si>
  <si>
    <t>מטופלי SRS שצריכים קבלה רפואית יוכנסו ליומן רופא ע"י מזכירות</t>
  </si>
  <si>
    <t>א. רענן רופאים</t>
  </si>
  <si>
    <t>א. ד"ר לימון</t>
  </si>
  <si>
    <t>א. ד"ר לימון
ב.  ד:ר לימון או ווייס</t>
  </si>
  <si>
    <t>א. אירנה ומרינה
ב.מרינה לרענן חיות
ג. אירנה
ד. ענת
ה. ד"ר ווייס עם מרינה</t>
  </si>
  <si>
    <t>רענן נוהל שקיים לרופאים</t>
  </si>
  <si>
    <t>א. ד"ר ווייס
ב.ד"ר לימון</t>
  </si>
  <si>
    <t>א. לכתוב נוהל על כתיבת מרשמים
ב. רענן נוהל קיים</t>
  </si>
  <si>
    <t>לבנות תהליך ברור עם זרימת מטופלים לSRS</t>
  </si>
  <si>
    <t>יש להקפיד על הכנסת טופס סימולציה. הטופס יאושר ע"י רופא בכיר.</t>
  </si>
  <si>
    <t>ה Primary Oncologist ב Aria לא תאם את שם הרופא המטפל. לכן לא הופיע ב Care Path שלו לצורך תכנון התיק.</t>
  </si>
  <si>
    <t>למטופל תכנון עם שני חצאי ארקים ושני ארקים מלאים. השם של הארקים המלאים היה כאילו זה חצי ארק. בנוסף, הטיפול היה לצד שמאל והארק היה גבולי ביחס למיטה.</t>
  </si>
  <si>
    <t>לתיק של המטופל לא שוייך רופא בכיר ב Aria.</t>
  </si>
  <si>
    <t>דרור, טלי, תמרה, דימה, אמינה, סיגל ס ורן</t>
  </si>
  <si>
    <t>עדכון חתימה שניה - להוסיף בדיקה של שדות. תתבצע חשיבה לצורך ייעול הפעילות של RTTQA</t>
  </si>
  <si>
    <t>למטופל 2 מספרי זהות במערכת 8201901438 ו- 73068761. למטופל שונה הסטטוס מעובד זר לתושב לכן גם שונה מספר הזהות שלו.</t>
  </si>
  <si>
    <t>1Q23</t>
  </si>
  <si>
    <t>2Q23</t>
  </si>
  <si>
    <t>3Q23</t>
  </si>
  <si>
    <t>4Q23</t>
  </si>
  <si>
    <t>מטופלת עם סרטן שד שמאל, בטופס סימולציה נכתב צד לא נכון.</t>
  </si>
  <si>
    <t>אירנה
ענת
ד"ר ווייס</t>
  </si>
  <si>
    <t>לבכתוב תהליך קליטת מטופלים</t>
  </si>
  <si>
    <t>א. לבדוק מצב הממשק בין ATD לאריה
ב. לבתוב מכתב להדגיש הצורך להתקדם עם הנוסא</t>
  </si>
  <si>
    <t>א. לתכנן מדיניות לגבי CIED ומכשירים נוספים
ב. לבנות  תהליך שהרופאים ופיזיקאים יודעים שיש קוצב לב
ג. לשנות מקום המכתב ולהוסיף autopopulate</t>
  </si>
  <si>
    <t>זימון תורים  במעקב על המקרים. ממשק דמוגרפי בעבודה.</t>
  </si>
  <si>
    <t>המשך מעקב</t>
  </si>
  <si>
    <t>28/12/23</t>
  </si>
  <si>
    <t>ב. 28/12/23</t>
  </si>
  <si>
    <t>א. 28/12/23</t>
  </si>
  <si>
    <t>ג. 28/12/23</t>
  </si>
  <si>
    <t>רענן ביצוע תוכניות בפיזיקה</t>
  </si>
  <si>
    <t>א. לכתוב נוהל עבודה על כל שינויים בcarepath</t>
  </si>
  <si>
    <t xml:space="preserve">א. אירנה,מרינה  ,ד"ר לימון
ב. מרינה
ג. ד"ר לימון ומרינה
ד. אירנה
ה. ענת
ו. ד"ר ווייס , מרינה
</t>
  </si>
  <si>
    <t>לאחר סימון קליני לא תוכנן המשך טיפול ע"י פיזיקאי.</t>
  </si>
  <si>
    <t>מטופל נסרק בסימולציה עם סיפרת ביקורת בת.ז.</t>
  </si>
  <si>
    <t>מטופל הוזן ב Aria עם סיפרת ביקורת בת.ז.</t>
  </si>
  <si>
    <t>לא הוזן רופא בכיר ב Aria ולכן לא סומן עד 3.5 שבועות אחרי הסימולציה.</t>
  </si>
  <si>
    <t>עקב שינוי במערכת הזנת נתונים (מנור). השגיאה טופלה.</t>
  </si>
  <si>
    <t>דרור, תמרה, ענת, סיגל, דימה, רן</t>
  </si>
  <si>
    <t>לתיק של המטופל לא שוייך רופא קרינה בכיר ב Aria. הרופא היחיד המשוייך הינו רדיוכירוג. לכן, גם לא היתה קבלה רפואית והסכמה לטיפול במערכת (יתכן שלא נסרק).</t>
  </si>
  <si>
    <t>לא עודכן רופא בכיר ב Aria.</t>
  </si>
  <si>
    <t>רענון הנוהל. המשך בדיקה</t>
  </si>
  <si>
    <t>מטופלת התקבלה לסימולציה + טיפול דחוף. בישיבת הבוקר נאמר שהטיפול לא להותו היום. המטופלת לא היתה רשומה על רופא היום בסימולציה. המטופלת נשלחה חזרה לבי"ח מאיר והוחזרה חזרה לקבלת הטיפול. המטופלת התקבלה במכון בשעות הבוקר. מכתב קבלה (11:05), סיום סימולציה (14:01), סיום כתיבת מרשם (14:27), סיום תכנון + ח. שניה (15:26), חתימת רופא (15:30), סיום RTTQA ב (16:02), סיום טיפול (16:33). המטופלת המתינה לאמבולנס עד 18:30.</t>
  </si>
  <si>
    <t>יתווספו הערות השכבה במרשם ב- Aria. רופא ופיזיקאי יתעדו ככל הניתן במרשם וב setup notes נתונים בעלי פוטנציאל לפגיעה באיכות הטיפול בכדי למנוע טעויות השכבה.</t>
  </si>
  <si>
    <t>התחלת עבודה עם מערכת "מנור" שבה האחיות יכולות לצפות בקבלת רופאים. אחיות יוודאו שהמטופל ראה רופא בזמן שהוגדר. תיבדק אפשרות שגם מזכירות יעשו בקרה. רנטגנאים ישאלו את המטופל לגבי תורים לרופא ואחות. פרוטוקולים קליניים יעודכנו ותדירות ביקורת רופא/אחות יצוינו בפרוטוקול.</t>
  </si>
  <si>
    <t>יש להקפיד על אחידות באופן מתן שמות לנפחים תוך הקפדה על סימון מתאים.</t>
  </si>
  <si>
    <t>במהלך ספירת מלאי טוקסיקה, נלחץ בטעות איפוס מלאי.</t>
  </si>
  <si>
    <t>תזכורת לפיזיקאים</t>
  </si>
  <si>
    <t>ד"ר ווייס, מרינה, אירנה, ענת</t>
  </si>
  <si>
    <t>22/2/24</t>
  </si>
  <si>
    <t>FMEA</t>
  </si>
  <si>
    <t>בעבודה</t>
  </si>
  <si>
    <t>22/2/254</t>
  </si>
  <si>
    <t>31.5.23</t>
  </si>
  <si>
    <t>t/ 9/5/23</t>
  </si>
  <si>
    <t>א. 9.5.23
ב. 31.5.23</t>
  </si>
  <si>
    <t>א. 9.5.23
ב.31.5.23</t>
  </si>
  <si>
    <t xml:space="preserve"> דימה, משה</t>
  </si>
  <si>
    <t>9.7.23</t>
  </si>
  <si>
    <t>א.
ב. 9.7.23</t>
  </si>
  <si>
    <t>מרשם לתרופה לא נכונה. המרשם היה ל- Qxycod Forte במקום Oxycod.</t>
  </si>
  <si>
    <t>מרשם לתרופה לא נכונה. המרשם היה ל- Qxycod Forte במקום Oxycod. שינוי במינון המקובל, ניתן 10mg במקום 5mg ע"פ דרישת המרשם.</t>
  </si>
  <si>
    <t>מטופל לא קיבל הנחיות לצום לפני הטיפול.</t>
  </si>
  <si>
    <t>על המסיכה של המטופל היה רשום כרית A בצד אחד וכרית C בצד שני. בקמליון היה כתוב כרית C. בפועל היה צריך כרית A.</t>
  </si>
  <si>
    <t>מסמך להוראות לסימולציה לפרוסטטה. במכתב סיכום של הרופא נכתב סימולציה לעצמות האגן. המסמך מתאריך 10/10/2023 הסימולציה מתאריך 21/3/2024.</t>
  </si>
  <si>
    <t>טיפול ראשון TSI ללא נוכחות רופא מטפל. התיק היה מתוכנן עם שתי תוכניות AP במקום AP+PA. היה גם מרשם לטיפול קונטאקט. הטיפול של הקונטאקט נדחה לפרקציה השניה.</t>
  </si>
  <si>
    <t>א. רענן רופאים לוודאי ששם המרשם ואזור טיפול תואם.
ב. לעבור על mnemonicCB-CHOP</t>
  </si>
  <si>
    <t>א.28/3/24
ב. 9.5.23</t>
  </si>
  <si>
    <t>22.2.24</t>
  </si>
  <si>
    <t>א. 9.5.23
ב.  9.7.23
ג.28.3.24
ד.28.3.24</t>
  </si>
  <si>
    <t>א.9.5.23
ב.9.7.23
ג.  Pending</t>
  </si>
  <si>
    <t>28.3.24</t>
  </si>
  <si>
    <t>on hold until Dr. Landman's return</t>
  </si>
  <si>
    <t>א. ד"ר לימון לרופאים
ב. דימה לפיזיקאים
ב. ענת לעדכן צוות RTT QA</t>
  </si>
  <si>
    <t xml:space="preserve">א. 24.2.24
ב. 28.3.24
ג. pending
</t>
  </si>
  <si>
    <t>א. אירנה
ב. דימה
ג. ענת</t>
  </si>
  <si>
    <t>א.
ב.28.3.24 
ג.</t>
  </si>
  <si>
    <t>28/3/24</t>
  </si>
  <si>
    <t xml:space="preserve">א. 28.3.24
ב. </t>
  </si>
  <si>
    <t>בעבודה -PWG</t>
  </si>
  <si>
    <t>א. לבנות דרך תקשורת  לעדכן כל הצוות שצריך לדעת על כל שינויים בתוכנית</t>
  </si>
  <si>
    <t>א.  ד"ר לימון
ב.  ד"ר חימון</t>
  </si>
  <si>
    <t>ד"ר ווייס - PWG</t>
  </si>
  <si>
    <t>27/8/23</t>
  </si>
  <si>
    <t>בעדוגה</t>
  </si>
  <si>
    <t xml:space="preserve">א. 28/3/24
ב. </t>
  </si>
  <si>
    <t>שינוי במינון המקובל, ניתן 10mg במקום 5mg ע"פ דרישת המרשם. דווח כארוע.</t>
  </si>
  <si>
    <t>יש להקפיד על תקשורת בין אנשי הצוות בפרט כאשר מתבצעים שינויים בתכנון.</t>
  </si>
  <si>
    <t>ענת, דרור, תמרה, דימה, מרינה, עודד ורן</t>
  </si>
  <si>
    <t>התקיימה שיחה עם צוות האחיות בנושא. בנוסף, נבקש הפרדה בתוכנה בין הכפתורים של ספירת מלאי ומחיקת מלאי.</t>
  </si>
  <si>
    <t>לכתוב פרוטוקול ברור למתן תרופות לספייסרים והדרכת הצוות לכתיבת המרשמים.</t>
  </si>
  <si>
    <t>נוהל שינויים בתכנון הינו בתהליך כתיבה.</t>
  </si>
  <si>
    <t>נכתבו הנחיות עם הרופא והאחות המאמת של המחקר.</t>
  </si>
  <si>
    <t>ללא שינוי.</t>
  </si>
  <si>
    <t>נרשמו הנחיות לסימולציה מנוגדות באותו היום. המסמך הראשון היה GU: Pelvis והמסמך השני GI: Anus. בבדיקה: GU: Pelvis היה חתום והמסמך השני לא היה חתום.</t>
  </si>
  <si>
    <t>יש לבטל את המסמך השגוי. יש להתייחס רק למסמכים חתומים.</t>
  </si>
  <si>
    <t>יש לרענן את הרנטגנאים בטיפול של שד להסתכל על הלב. יש לכתוב וליישם נוהל "דרישות איכות לטיפול רפואי ביחידת הרדיותרפיה" אשר מחייב את הרופאים לבדוק צילומי Offline review.</t>
  </si>
  <si>
    <t>מטופלת שד בטיפול מס' 7 גילו שהסרעפת גבוהה. המטופלת עצרה נשימה במהלך הסימולציה של נשימה חופשית (FB). נשלח כאירוע.</t>
  </si>
  <si>
    <t>מטופלת הגיעה לטיפול לאחר אישפוז. לאחר שיחה עם רופא תורן הוחלט לטפל. המטופלת עם קשיי נשימה ולא מסוגלת ללכת. המטופלת אושפזה לאחר הטיפול.</t>
  </si>
  <si>
    <t>במקרים של חשש לבריאותו של המטופל יש לבצע בדיקה קלינית של הרופא התורן. יש לכתוב וליישם נוהל "דרישות איכות לטיפול רפואי ביחידת הרדיותרפיה".</t>
  </si>
  <si>
    <t>ד"ר ווייס רן. ענת</t>
  </si>
  <si>
    <t>רענן צוות המימולטור</t>
  </si>
  <si>
    <t>א. רענן רופאים לבטל מסמכים סימולציה לפי הצורך. 
ב. שיחה על חתימת מסמכים לסימולציה</t>
  </si>
  <si>
    <t>א. לבדוק אפשרות ליידע הרופא המטפל על תאריך של טיפול הראשון
ב.  צריך לייצר תבנית בAria של plan sum  לAP-PA</t>
  </si>
  <si>
    <t>א. דימה וענת
ב. דימה</t>
  </si>
  <si>
    <t>א. ד"ר לימון
ב. ד"ר לימון וד"ר ווייס</t>
  </si>
  <si>
    <t xml:space="preserve">א. רענן הרנטגנים על בדיקת צילומים בזמן טיפול
ב. לכתוב נוהל </t>
  </si>
  <si>
    <t>א. ענת
ב. ד"ר ווייס עם PWG</t>
  </si>
  <si>
    <t>ד"ר ווייס עם PWG</t>
  </si>
  <si>
    <t>לכתוב נוהל</t>
  </si>
  <si>
    <t xml:space="preserve">המטופלת ביקשה לראות אחות כיוון שלא הרגישה טוב. עקב עומס, המטופלת הוחזרה למאיץ לקבלת טיפול. במהלך 40 דקות במאיץ המטופלת לא הצליחה לבצע עצירת נשימה היא היתה מבולבלת. אחרי הטיפול הופנתה למיון. </t>
  </si>
  <si>
    <t>מזכירות ישייכו את הרופא ב Aria ע"פ הנוהל. רופא לא ישנה לבד את ה Care Path אלא יפנה לזימון תורים. תיבדק אפשרות להכניס רופא מטפל לממשק.</t>
  </si>
  <si>
    <t xml:space="preserve">למטופלת בוצעו 2 סריקות - אחת עם לחץ והשניה ללא. בקמליון מופיעות 2 הסריקות. הרופא סימן 2 מוקדים על הסריקה עם הלחץ ותוכננו 2 תוכניות לסריקה זו. הרנטגנאים במאיץ הבינו על פי הקמליון שאחת התוכניות היא ללא לחץ. </t>
  </si>
  <si>
    <t xml:space="preserve">מטופלת חוותה ירידה תפקודית במהלך הטיפול וסיימה את הטיפול במצב סיעודי.  לא הייתה התייחסות לכך במכתב הסיכום הסיעודי וגם לא לתגובה העורית כתוצאה מהטיפול. </t>
  </si>
  <si>
    <t>פיזיקאי ישייך את עצמו ל Care Path</t>
  </si>
  <si>
    <t>יש להקפיד על הזנת רופא בכיר. הפרטים יוזנו למערכת ע"י זימון תורים.</t>
  </si>
  <si>
    <t>תיק לא מוכן. מטופלת הגיעה לטיפול והמתינה למעלה משעה. למטופלת נאמר שהרופא לא אישר את התכנון. התכנית לא היתה מוכנה כיוון שהפיזיקאי המתכנן ידע על מועד 10/3 והמטופלת הגיעה ב 5/3. ב Care Path רשום שנדחתה ע"י המטופלת עצמה. בפועל לאחר הדחיה היתה בקשה להקדים אותה. הבקשה לא תועדה והצוות לא ידע על השינוי.</t>
  </si>
  <si>
    <t>הרנטגנאי שכותב את ההנחיות על המסיכה יהיה זה שכותב בקמליון את ההנחיות. יש להקפיד על עקביות ברישום הנתונים על המסיכות.</t>
  </si>
  <si>
    <t xml:space="preserve">באחריות הרופא המטפל לדאוג שיש לו גיבוי אם אינו יכול להיות נוכח בטיפול הראשון. תבדק אפשרות שזימון תורים יוסיף את הרופא המטפל ל- First Day של הטיפול. בנוסף, תבדק אפשרות לייצר ב Aria תבנית של Plan Sum ל- AP+PA עבור הפיזיקאים. </t>
  </si>
  <si>
    <t>התקיימה שיחה עם צוות האחיות בנושא.</t>
  </si>
  <si>
    <t>לכתוב פרוטוקול לספייסרים כולל מרשמים קבועים ולהעביר לצוות מעורב</t>
  </si>
  <si>
    <t>נוהל תקשורת בין סקטורים בעבודה</t>
  </si>
  <si>
    <t>המשיך מעקב</t>
  </si>
  <si>
    <t>עם השינויים במנור, צריך לרענן את הנוהל</t>
  </si>
  <si>
    <t>ד"ר ווייס, רן, ענת</t>
  </si>
  <si>
    <t>א. להוסיף בדיקת שמות שדות ל checklist של חתימה שניה של הפיזיקה.
ב. לבדוק אפשרות להוסיף ל RTT QA.</t>
  </si>
  <si>
    <t>א. יש לוודא בינואר שמערכת מנור תעשה את זה.
ב. אחות תוודא עם כל ביקור שהמטופל ראה את הרופא - רענן נוהל
ג.תיבדק אפשרות שגם מזכירות יעשו בקרה.
ד. רנטגנאים ייודאו שהמטופל ראה אחות ורופא.
ה. לעדכן פרוטוקולים קליניים לגבי ביקור רופא ואחות.</t>
  </si>
  <si>
    <t>א. לכתוב נהל על כתיבת מרשמים כחלק מנוהל בקרת איכות.
ב. רופא יציין בהערות של המרשם כל נתון בעל פוטנציאל לפגיעה באיכות הטיפול.
ג. פיזיקאי יציין ב setup note כל נתון בעל פוטנציאל לפגיעה באיכות הטיפול.</t>
  </si>
  <si>
    <t>א. PWG
ב. PWG
ג. דימה</t>
  </si>
  <si>
    <t>מטופלת עם בעיות של התניידות אשר צריכה מנוף לצורך השכבה, זומנה לטיפולים בשעות הערב. הרופא ידע על הבעתיות אך לא התריע לזימון תורים.</t>
  </si>
  <si>
    <t>למטופלת היה תור לסימולציה ב Appointment Scheduling אך לא היה לה תור במנור והמטופלת לא ידעה על הזימון. המטופלת זומנה לקצ"ת ונותר רווח בין מטופלים.</t>
  </si>
  <si>
    <t>במרשם ב Aria היה כתוב Exactrac Daily. בפועל היתה מסיכת CIVCO. בנוסף, לא נשלח Delta Shift.</t>
  </si>
  <si>
    <t>מטופל הגיע לטיפול ראשון והתיק תוכנן למאיץ לא נכון. חשוב לציין שהמטופל היה צריך להתחיל יום קודם אך לא ניתן היה לטפל עקב בעיות טכניות.</t>
  </si>
  <si>
    <t>מטופל הגיע לטיפול ראשון באלקטרונים. לא ניתן היה לטפל ב SSD 100cm. המטופל נשלח לביתו לאחר המתנה ממושכת.</t>
  </si>
  <si>
    <t>מטופל היה צריך לקבל טיפול לצד שמאל (קיבל חודש לפני לצד ימין). ללא מרשם עדכני ותעוד לא מספק בקמליון. אין טופס סימולציה עדכני.</t>
  </si>
  <si>
    <t>פיזיקאי יפתח קמליון על מנת לוודא השכבה של המטופל.</t>
  </si>
  <si>
    <t>תמרה, דרור, דימה, אמינה, ענת, אירנה, מרינה, סיגל סער ורן</t>
  </si>
  <si>
    <t>עקב ביטולי תור נוצרה אי הבנה במועד הטיפול.</t>
  </si>
  <si>
    <t>יש להכניס הוראות סימולציה גם למקרים חוזרים. להקפיד על תיעוד מתאים לטיפול.</t>
  </si>
  <si>
    <t>יש לבצע פסק זמן גם במהלך התכנון וגם במהלך הטיפול של קונטאקט.</t>
  </si>
  <si>
    <t>מטופלת שד ימין עם בלוטות לא יכלה להחזיק נשימה (BH). נשלחה סריקה של FB ונכתב קמליון ע"י רנטגנאי. הרופאה כתבה מרשם ל BH ובוצע תכנון ל BH על סריקה של FB.</t>
  </si>
  <si>
    <t>אי התאמה בין מרשם קמליון למרשם Aria. בקמליון היו 15 טיפולים ובמרשם Aria היו 5 טיפולים. המטופלת היתה צריכה לקבל 5 טיפולים.</t>
  </si>
  <si>
    <t>לעדכן הרופאים</t>
  </si>
  <si>
    <t>לעדכן דרכי תקשורת במכון  - יש הקטון על הנושא</t>
  </si>
  <si>
    <t>ד"ר לימון ןוד"ר ווייס</t>
  </si>
  <si>
    <t>לעדכן פיזיקה</t>
  </si>
  <si>
    <t>א.לעדכן פיזיקה
ב. לכתוב נוהל על מרשמים</t>
  </si>
  <si>
    <t>א. דימה
ד"ר ווייס עם PWG</t>
  </si>
  <si>
    <t>לרענן הרופאים</t>
  </si>
  <si>
    <t>לישם נוהל חדש - יש הרצאה על הנושא 24.5.24</t>
  </si>
  <si>
    <t>תמרה, דרור, דימה,  ענת, סיגל סער, יוני ורן</t>
  </si>
  <si>
    <t>רענון הנחיות לרופאים לגבי התאמה בין Aria לקמליון.</t>
  </si>
  <si>
    <t>מטופלת עברה סימולציה ללא סגירה של  הקוביה ב Aria</t>
  </si>
  <si>
    <t>יש להקפיד להעביר כל תכנון חדש לרופא ל- reviewed.</t>
  </si>
  <si>
    <t>המטופל התקבל ע"י רופא אחר וקיבל מינון שונה. יש להקפיד להחזיר מטופלים לרופא שקיבל אותו.</t>
  </si>
  <si>
    <t>נשקלת אפשרות לעבור לעבודה מול Aria ולא קמליון. אז המשימה של הסימולציה תהיה חייבת להסגר. לגבי מטופל שלא הגיעה לסימולציה, זימון תורים יקבל הודעה ויבטל את התורים.</t>
  </si>
  <si>
    <t>מטופלת עברה סימולציה ללא סגירה של  הקוביה ב Aria וללא מדבקה בלוג של הסימולציה.</t>
  </si>
  <si>
    <t>להזכיר פיזיקאים</t>
  </si>
  <si>
    <t xml:space="preserve">להזכיר רופאים </t>
  </si>
  <si>
    <t>להזכיר הרנטגנאים בסימולטור</t>
  </si>
  <si>
    <t>א. ענת
ב. דימה</t>
  </si>
  <si>
    <t>רופא ירשום במכתב של המטופל שאינו מתאים למשמרת ערב.</t>
  </si>
  <si>
    <t>מטופלת SRS נסרקה עם מסיכה קצרה במקום מסיכת SRS כיוון שלמטופלת יש גיבנת. התכנון נעשה עם זוויות מיטה וכמעט נוצרה התנגשות.</t>
  </si>
  <si>
    <t xml:space="preserve">בטיפולי אלקטרונים עם אפליקטורים מעל A10 באיזור הראש, יש לבצע בדיקת היתכנות. </t>
  </si>
  <si>
    <t>יש להקפיד לבדוק מאיץ בעת התכנון.</t>
  </si>
  <si>
    <t>מטופלת קיבלה טיפול יחיד של 6Gy במקום שני טיפולים של 3Gy. המקרה דווח כאירוע.</t>
  </si>
  <si>
    <t>יש לדבר עם הרופא על כל שינוי מהפרוטוקול. פיזיקאי יבדוק קמליון.</t>
  </si>
  <si>
    <t>בשדה אקסילה אחורי בתכנון לשד ימין, זווית הכניסה היתה 178 מעלות. לכן, הגנטרי הגיע מהכיון ההפוך (עם כיוון השעון) והיה עלול לפגוע במטופלת.</t>
  </si>
  <si>
    <t>יש לחדד בדיקה של כיווני שדות בתכנון ובחתימה השניה של הפיזיקאים.</t>
  </si>
  <si>
    <t>תיק לא חתום ע"י רופא (ללא reviewed) לפני שחרור התיק.</t>
  </si>
  <si>
    <t>מתמחה שינה את שם המרשם והמנה ב Aria, אך לא שינה בקמליון בהתאמה.</t>
  </si>
  <si>
    <t xml:space="preserve">א. להזכיר לרנטגנאים בסימולטור לדבר ישירות עם הרופא המטפל
ב. להזכיר לפיזיקאים לבדוק קמליון </t>
  </si>
  <si>
    <t>בטופס סימולציה לא צויין צד הטיפול.</t>
  </si>
  <si>
    <t>בתיק של SRS רופא לא סגר את המשימה ב Care Path וגם לא הודיע ב Whatsapp שהמקרה מוכן לתכנון.</t>
  </si>
  <si>
    <t>טיפול TLI בקורס שני (הקורס הראשון ניתן 3 שבועות קודם) התיק לא היה מוכן ונעשה QA במאיץ כשהילד ממתין לטיפול. במרשם היה כתוב כיסוי אשכים אך בסימולציה ובתכנון נעשה בלי. גם בקורס הראשון היה כתוב טטופל בלי. בנוסף, בשדה התחתון היה בולוס אך לא היה רשום איזה עובי.</t>
  </si>
  <si>
    <t>מטופלת לא קיבלה זימון לרופא עד אחרי סיום ההקרנות לשד. המקרה דווח ע"י המטופלת.</t>
  </si>
  <si>
    <t>מטופל קיבל טיפולים אך לא ראה אחות עד הטיפול האחרון כאשר התלונן על תופעות לוואי. מטופל של 7:00 בבוקר.</t>
  </si>
  <si>
    <t>ב TLI ילדים מגן אשכים יהיה ברירת מחדל. מנהל יחידה יעודכן יום לפני טיפול עם מוכן או לא (באמצעות CP)</t>
  </si>
  <si>
    <t>תמרה, דרור, דימה, ענת, סיגל סער, אמינה, מרינה, אייל פניג ורן</t>
  </si>
  <si>
    <t>בטופס סימולציה יש לציין את גבולות השדה. צד הטיפול רצוי אך פחות משמעותי לצורך ביצוע הסריקה, אך ללא סימון של גבולות השדה טופס הסימולציה אינו שלם. יש לחדד את הנוהל בקרב המתמחים.</t>
  </si>
  <si>
    <t>יבוצע ריענון ההנחיות עם הרופאים של הרדיוכירוגיה.</t>
  </si>
  <si>
    <t>בקרוב יתבצע שינוי בהליך בקרת התורים ביחידה. שינוי זה יפתור את הסוגיה מעקב מטופלים ביחידה.</t>
  </si>
  <si>
    <t>חוסר התאמה בין שם נפח המטרה (PTV_25), לבין השמם המצויין במרשם ב Aria (PTV ln).</t>
  </si>
  <si>
    <t xml:space="preserve">לחדד נוהל איך למלא טופס סימולציה </t>
  </si>
  <si>
    <t>א. לבדוק  אם יש מגן אשכים מתאים לילדים
ב. רענן נוהל</t>
  </si>
  <si>
    <t>א. דימה
ד"ר לימון</t>
  </si>
  <si>
    <t xml:space="preserve">מעקב </t>
  </si>
  <si>
    <t>1Q24</t>
  </si>
  <si>
    <t>2Q24</t>
  </si>
  <si>
    <t>3Q24</t>
  </si>
  <si>
    <t>4Q24</t>
  </si>
  <si>
    <t xml:space="preserve">למטופל 2 מוקדים של אלקטרונים. בגלל התנגשות של מתקן קיבוע מסיכה קצרה ואפליקטור אלקרונים הטיפול התארך. בנוסף, ההזזות שולחן לא היו רשומות נכון. </t>
  </si>
  <si>
    <t>מטופל הוזן ל Aria עם ובלי סיפרת ביקורת.</t>
  </si>
  <si>
    <t>מטופלת המתינה זמן ממושך לקבלת טיפול ראשון. המטופלת הוזמנה לשעה 8 בבוקר ביום רביעי. המאיצים התחילו מאוחר עקב הרצאה והאחיות היו עמוסות ולא יכלו לראות אותה. המטופלת היתה מתוסכלת מההמתנה וגם קצת נעלבה מהייחס. היא לא קיבלה טיפול באותו היום.</t>
  </si>
  <si>
    <t>תכנון SRS עם מסיכה קצרה. נעשה תכנון עם vertex עם זווית מיטה ב 90 מעלות. הקשת כמעט התנגשה עם מיטת הטיפול.</t>
  </si>
  <si>
    <t>ה- care path של מטופל לא היה משוייך לרופא ונשאר פתוח. בבדיקה נתגלה שהמטופל כבר קיים ב Aria עם ספרת ביקורת.</t>
  </si>
  <si>
    <t>בטיפול TSI נכתב כיסוי ליד ורגל ימין. במרשם היה כתוב כיסוי ידים ורגלים. בנוסף, הרופא הוסיף ביום הטיפול בוסט אלקטרונים. בטיפול הראשון לא נכחו רופא ופיזיקאי.</t>
  </si>
  <si>
    <t>מטופל מופיע ב- Aria עם ובלי ביקורת.</t>
  </si>
  <si>
    <t>מטופל מופיע ב- Aria עם ובלי ביקורת. CP הוזן ותוכנן על הת.ז עם הביקורת. מנור יצר מחדש את המטופל ללא ביקורת.</t>
  </si>
  <si>
    <t>קבלת תיקי SRS לתכנון ללא זמן. ביום שלישי (9/7/24) התקבלו בשעות אחר הצהרים 3 תיקי SRS לתכנון ליום רביעי בחלק מהתיקים היו מספר מוקדים לתכנון.</t>
  </si>
  <si>
    <t>מטופל הורד משולחן הטיפול לסריקת MRI מח לצורך החלטה אם לנתח. ההחלטה של רופא הקרינה הראשונית היה לטפל ולאחר השכבת המטופל בחדר הטיפולים חזר בו. בבירור, עקב תקלות ב MRI לא בוצעה סריקה. המטופל הוחזר למתן טיפול קרינה.</t>
  </si>
  <si>
    <t>בטופס סימולציה היה כתוב Brain סריקה עם 2mm במקום 1mm. המטרה של טופס הסימולציה היא להנחות את הצוות על הפרמטרים של הסריקה.</t>
  </si>
  <si>
    <t>בטופס סימולציה לשלפוחית היה כתוב שתיה של 500ml וגם הערה של הרופא "קשה לו להתאפק אז לשתות קצת אבל לא להגזים". ההנחיה אינה מדוייקת ולא ספציפית.</t>
  </si>
  <si>
    <t>תיק TBI לא היה מוכן עד 15:00 יום לפני הטיפול. היה מוכן ב 18:30 בערב. במקרה היתה רנטגנאית שעשתה QA לפני הטיפול.</t>
  </si>
  <si>
    <t>למטופלת קיים מסמך סימולציה לקרינה חיצונית ונסרקה עם חומר ניגוד. המטופלת צריכה לקבל ברכי בלבד ללא קרינה חיצונית. בנוסף, קיים הבדל בין המרשם בקמליון 5Gyx3 לאומת המרשם ב Aria ל- 7Gyx3.</t>
  </si>
  <si>
    <t>המטופלת קיבלה טיפול מגע במנה של 5Gy במקום 3Gy. למטופלת יש 5 פרקציות. 4 הפרקציות הנותרות חולקו ל- 2.5Gy לפרקציה. קיימת אי התאמה בין המרשם בקמליון ל- Aria. בקורס הקיים ישנם מספר מרשמים לטיפול מגע משנים קודמות וקשה להבין איזה מרשם הוא הנכון.</t>
  </si>
  <si>
    <t>שם השדה בתכנית נקרא  ML במקום AP.</t>
  </si>
  <si>
    <t>המטופל אמר לאחות שביצע חוקן ועל כן קיבל חומר ניגוד ושתייה לקראת הסימולציה. כשנשאל לאחר מכן התברר שאת החוקן ביצע ב 12:00 בלילה כ 11 שעות לפני. לכן, המטופל היה צריך לעשות שוב חוקן ורק לאחר מכן נסרק.</t>
  </si>
  <si>
    <t>טיפול באגן. שמות של שדות הטיפול היו AP ו- PA כאשר בפועל תוכננו קשתות מ- 0 ל 181 וחזרה.</t>
  </si>
  <si>
    <t>למטופל לא היה טופס סימולציה כתוב וחתום.</t>
  </si>
  <si>
    <t>למטופל הוכנס טופס סימולציה של ארמונית עם שלפוחית מלאה ורקטום ריק. לאחר מילוי ההוראות כשהמטופל ממתין עם שלפוחית מלאה. האחות הודיעה שהמתמחה שינתה את הטופס ואין צורך בהנחיות לשלפוחית ורקטום.</t>
  </si>
  <si>
    <t>יש להקפיד על התאמה בין שמות הנפח לטיפול והנפח במרשם. כמוכן, רצויה התאמה בין שם נפח המטרה במרשם לבין שם הנפח המופיע בהגדרות הכיסוי במרשם.</t>
  </si>
  <si>
    <t>ביררת מחדל למתקן קיבוע עבור טיפול באלקטרונים לראש תהיה מסיכה ארוכה. רק כשצריך זווית יעשה שימוש במסיכה קצרה. יש לציין שימוש במסיכה קצרה לצוות המתכנן.</t>
  </si>
  <si>
    <t>במהלך מרפאה נגמר הנייר לשולחן הבדיקה ולא היה מי שידע איפה יש נייר (כח עזר להיתה באותו היום). המשמעות, אפשרות של העברת זיהומים בין מטופלים.</t>
  </si>
  <si>
    <t>במידה וכח עזר אינה נמצאת, ניתן לבקש מעובד נקיון להביא גליל נייר לחדרי הרופאים.</t>
  </si>
  <si>
    <t>באותו היום היה מחסור בצוות אחיות ועומס. המטופלת קיבלה התייחסות לתלונה שלה ע"י הנהלת היחידה.</t>
  </si>
  <si>
    <t>יש להקפיד על עבודה לפי הפרוטוקול. כלומר, רופא ופיזיקאי נוכחים בטיפול הראשון וכן, להעביר ולסיים את התכנון בזמן כך שניתן יהיה לבצע בקרת איכות לפחות יום עבודה לפני תחילת הטיפול.</t>
  </si>
  <si>
    <t>דרור, תמרה, ענת, דימה, סיגל רן</t>
  </si>
  <si>
    <t>אחות תשאל את המטופל מתי עשה חוקן על מנת לעמוד על משך הזמן שעבר מעת הביצוע.</t>
  </si>
  <si>
    <t>שמות ה PTV בתכנון ובמרשם כלליים (PTV1, PTV2) ואינם תואמים לאיזור הטיפול.</t>
  </si>
  <si>
    <t xml:space="preserve">החלטת הרופא המטפל. </t>
  </si>
  <si>
    <t>שלב בו הארוע קרה</t>
  </si>
  <si>
    <t>יש להקפיד על הנחיות ברורות מדוייקות וספציפיות. למשל, היה ניתן להנחות את המטופל לשתות 200ml ובכך לשמור על שחזור עקבי של השכבת המטופל. המטרה של טופס הסימולציה היא להנחות את הצוות על הפרמטרים של הסריקה.</t>
  </si>
  <si>
    <t>היה בלבול עם הטיפול הוא ל- D4 או Rt Lung. המשמעות היא בצורת ההשכבה של המטופל עם ידיים למעלה או ידיים לצידי הגוף.</t>
  </si>
  <si>
    <t>רענון הנחיות לרופאים לגבי התאמה של שמות הטיפול, שמות הנפחים, השמות במרשמים והתאמת טופס הסימולציה לדרישות הטיפול.</t>
  </si>
  <si>
    <t>חידוד ההנחיה לרופאים היא שלא יתקיים טיפול ללא מרשם חתום. בנוסף, יש להקפיד ולהעביר את התיק לתכנון בזמן.</t>
  </si>
  <si>
    <t>יש לייצר טופס סימולציה לברכי בלבד. לא להשתמש בברירת מחדל של טופס הסימולציה ללא התאמת הטופס לדרישות הטיפול.</t>
  </si>
  <si>
    <t>יש להקפיד על ביצוע פסק זמן לפני ביצוע ההקרנה בסימון קליני/קונטאקט. על סגירת קורסים ישנים וכתיבת המרשם ב- Aria בקורס החדש. כמו כן, יש לתעד את השינוים במרשם בקמליון.</t>
  </si>
  <si>
    <t>יש להקפיד לבדוק ששמות השדות נכונים בכל שלבי התכנון: בתכנון, בחתימה שניה, ב QA ובבקרת איכות (RTTQA).</t>
  </si>
  <si>
    <t>יש להקפיד למלא טופס סימולציה. יש להקפיד ולהתאים את הטופס לאופן הסריקה הרצוי. מטרת הטופס היא להנחות את הצוות על הפרמטרים של הסריקה.</t>
  </si>
  <si>
    <t>יש להקפיד ולהתאים את הטופס לאופן הסריקה הרצוי ולא להשתמש בברירת המחדל של הטופס. מטרת הטופס היא להנחות את הצוות על הפרמטרים של הסריקה.</t>
  </si>
  <si>
    <t>שמות ה PTV בתכנון ובמרשם צריכים להיות בעלי משמעות ותואמים לאיזור הטיפול.</t>
  </si>
  <si>
    <t xml:space="preserve">עיכוב בהזמנה של רופא מרדים עבור טיפול TBI של 7 בבוקר. הרופא הוזמן ע"י אחות רק בשעה 7:15. הרופא הגיע ב 7:25. </t>
  </si>
  <si>
    <t>מטופל נסרק עם מסיכה קצרה בזווית 30 מעלות עבור תכנון קרקפת. נעשתה תכנית עם ארקים מלאים. עקב גובה מיטה לא ניתן היה לטפל ותוכננה תכנית חדשה.  כאשר המטופל ממתין.</t>
  </si>
  <si>
    <t>עבור מטופלת GYN ניתנה הוראה לבצע סריקה עם ח.נ בהזרקה. הפרוטוקול הרגיל מבקש ח.נ בשתיה בלבד. לאחר בירור הוחלט להצמד לפרוטוקול הרגיל.</t>
  </si>
  <si>
    <t>א. ד"ר לימון
ב. מרינה</t>
  </si>
  <si>
    <t>א. ד"ר לימןן ודימה
ב. ד"ר לימון, דימה, וענת</t>
  </si>
  <si>
    <t>א. מרינה
ב. ד"ר ווייס עם הצוות שמתעסק בטיפולי אגן</t>
  </si>
  <si>
    <t>דימה, ד"ר לימון, ענת</t>
  </si>
  <si>
    <t>א. ד"ר לימון
ב.ד"ר ווייס</t>
  </si>
  <si>
    <t>דרור, תמרה, ענת, יוני, אמינה דימה ורן</t>
  </si>
  <si>
    <t xml:space="preserve">א. עדכון הרנטגנאים בסימולטור על שימוש במסיכה ארוכה עם אלקטרונים 
ב. לכתוב בקמליון כשנעשה שימוש במסיכה קצרה.
ג. עדכון רופאים על שימוש במסיכה ארוכה אלא אם המטופל לא יכול לשכב על מיטה שטוחה.
</t>
  </si>
  <si>
    <t>לידע את הצוות המתאים עם מי לדבר במקרה זה.</t>
  </si>
  <si>
    <t>בתכנוני טיפול עם מסיכה קצרה לא לבצע סיבובי מיטה.</t>
  </si>
  <si>
    <t>תיקי SRS לתכנון מהיר מהיום למחר לא יתקבלו אם הם בעלי מוקדים מרובים. בנוסף, תיקים לתכנון מהיר יועברו במהלך יום העבודה לפיזיקה. כלומר, עד השעה 15:00 אחרת יתכן שלא תהיה זמינות פיזיקאי לתכנון התיק. תיקים שיגיעו בשעה מאוחרת יידחו בשבוע.</t>
  </si>
  <si>
    <t>א.להזכיר לרופאים ופיזיקאים על חובת נוכחות בטיפול הראשון.
ב. רענון צוות הרופאים, פיזיקאים לסיים תכנון כך שבקרת איכות תתבצע לפחות יום לפני מועד הטיפול.</t>
  </si>
  <si>
    <t>א. ענת
ב. ד"ר לימון,
ג. ענת, דימה, ד"ר לימון</t>
  </si>
  <si>
    <t>א. רענן צוות  הרנטגנאים כיצד להוסיף מטופל ל- Aria באופן ידני.
ב. לרענן את צוות הרופאים לוודא שבשם המטופל ב Aria אין ספרת הביקורת.
ג. הנחיית כלל הצוות לעדכן את דימה כאשר רואים שמטופל ב- Aria  מופיע עם ספרת ביקורת או שמופיע פעמים עם ובלי ביקורת.</t>
  </si>
  <si>
    <t>א. רענן צוות  הרנטגנאים כיצד להוסיף מטופל ל- Aria באופן ידני.
ב. לרענן את צוות זימון תורים על שייוך הרופא המטפל ל Summary.
ג. לרענן את צוות הרופאים לוודא שבשם המטופל ב Aria אין ספרת הביקורת.
ד. הנחיית כלל הצוות לעדכן את דימה כאשר רואים שמטופל ב- Aria  מופיע עם ספרת ביקורת או שמופיע פעמים עם ובלי ביקורת.</t>
  </si>
  <si>
    <t>א. ענת
ב. ענת
ג. ד"ר לימון,
ד. ענת, דימה, ד"ר לימון</t>
  </si>
  <si>
    <t>להנחות את הפיזיקאים לא לבצע סיבובי מיטה למסיכות קצרות.</t>
  </si>
  <si>
    <t>לחדד לכל הרופאים כולל ניאורוכירוגים על מועד העברת תיקי SRS לתכנון.</t>
  </si>
  <si>
    <t>ללא הנחיות מיוחדות - החלטה רפואית.</t>
  </si>
  <si>
    <t>לפי הפרטוקול ל GBM מספיק 2mm. על הרופא האחראי להתאים את טופס הסימולציה לאופן הסריקה הרצויה ולמלא בקפידה את כל הפרטים הרלבנטיים לסריקה. מטרת הטופס היא להנחות את הצוות על מכלול הפרמטרים של הסריקה בכדי למנוע שגיאות בסריקה.</t>
  </si>
  <si>
    <t>א. לודא שצוות הסימולציה מכיר את ההבדלים בין פרוטוקול מוח רגיל לפרוטוקול SRS.</t>
  </si>
  <si>
    <t>א. להזכיר לכל הרופאים על למלא את טופס הסימולציה באופן מדוייק.
ב. לכתוב הנחיות עבודה על איך למלא טופס סימולציה.</t>
  </si>
  <si>
    <t>א. רענן צוות הרופאים על התאמה בין שמות אתרים ונפחים בקמליון, ב- Aria, ובמרשמים. 
ב. לכתוב הנחיות עבודה כתיבת מרשמים.</t>
  </si>
  <si>
    <t>כאשר, מטופל מוזן ב Aria באופן שגוי עם ספרת ביקרות, אז מערכת מנור תייצר מטופל חדש באופן אוטומטי ללא ביקורת. מצב זה יכול לקרות עבור מטופלים חוזרים או מטופלים חדשים. המדבקות החדשות אינן מפרידות בין תעודת הזהות לביקורת ובחלק מהמכתבים המפנים לטיפול.  יש להקפיד ולוודא שהפרטים המוזנים ל Aria יהיו ללא ביקורת ע"י השמטת הספרה האחרונה מהמדבקה ואו לבדוק איך המטופל מוזן בקמליון. קיים צורך למצוא פתרון לנושא, בבירור עם מול הממשק של מערכת מנור וקמליון. יש להכניס אפיון של תהליך הזנה של מטופלים חדשים ליחידת הבקרה.</t>
  </si>
  <si>
    <t>ללא הנחיות מיוחדות.</t>
  </si>
  <si>
    <t>ה- GTV, PTV והמרשם נכתבו כ- D12. בפועל הטיפול הוא ל צלע 9 Rt 9th Rib. השמות של נפחים שונו ל- D9.</t>
  </si>
  <si>
    <t>מטופל לא הגיע לטיפול ראשון. לאחר שיחה איתו התברר שלא קיבל זימון. המטופל התחיל טיפול של 5 פרקציות ביום שני במקום בראשון.</t>
  </si>
  <si>
    <t>מטופל קיבל מרשם ל Syr. Oxycod Forte במקום ל- Syr. Oxycod במינון של 10 טיפות.</t>
  </si>
  <si>
    <t>שבעה מטופלים לספייסרים קיבלו מרשם ל Syr. Oxycod Forte 2.5ml במקום Syr. Oxycod 2.5ml</t>
  </si>
  <si>
    <t>במסגרת מתן טיפול תרופתי לפני הכנסת ספייסר, המטופל לא קיבל תרופות למרות שאחות חשבה שכן. הבעיה טופלה כשזוהתה.</t>
  </si>
  <si>
    <t>sum</t>
  </si>
  <si>
    <t>דרור, תמרה, ענת, דימה, מרינה, אירנה רן</t>
  </si>
  <si>
    <t>בוצע חידוד נוהל מול המתמחים. יש להקפיד על רישום נכון של התרופות הניתנות למטופלים. אחיות יבצעו בקרה.</t>
  </si>
  <si>
    <t>חידוד נהלים לאחיות. חותמים רק לאחר מתן התרופה.</t>
  </si>
  <si>
    <t xml:space="preserve">הוראות לסימולציה יתועדו במסמך באופן ספציפי ומדוייק. לא יבוצעו סריקות למטרות דיאגנוסטיות בסימולציה. </t>
  </si>
  <si>
    <t>המקרה יבדק מול אדמיניסטרציה של קמליון.</t>
  </si>
  <si>
    <t>א. לייצר טופס סימולציה לברכי גינקו בלבד.
ב. לרענן נוהל טופס סימולציה לרופאים.</t>
  </si>
  <si>
    <t>א. רענון נוהל פסק זמן לרופאים ורנטגנאים.
ב. רענן הנחיה לרופאים שכל קורס טיפול צריך להיות בקורס נפרד.</t>
  </si>
  <si>
    <t>א. רענן הנחיה לפיזיקאים ורנטגנאים לבדוק ששמות השדות מתאימים לזויות הטיפול.</t>
  </si>
  <si>
    <t>חידוד נוהל כתיבת מרשם לרופאים.</t>
  </si>
  <si>
    <t>א. הדרכה לאחיות על עשית חוקן לפני סימולציה. להנחות אותן לשאול מתי ביצעו את החוקן. 
ב. לעדכן את הנוהל הכנה לסימולציה למטופלי פרוסטטה ואגן.</t>
  </si>
  <si>
    <t>לרענן לצוותים בנהלים תכנון, חתימה שניה, חתימת רופא ובקרת איכות לשים לב על שמות השדות בתכנון.</t>
  </si>
  <si>
    <t>א. חידוד נהל טופס סימולציה רופאים.
ב. לכתוב הנחיה על אופן מילוי טופס סימולציה.</t>
  </si>
  <si>
    <t>א. ד"ר ווייס ודימה
ב. ד"ר לימון</t>
  </si>
  <si>
    <t>א.ד"ר לימון וענת
ב. ד"ר לימון</t>
  </si>
  <si>
    <t xml:space="preserve">א. לחדד נוהל עם האחיות </t>
  </si>
  <si>
    <t xml:space="preserve">א. לחדד נוהל שקיים בסימולציה
ב.רענן פיזיקה לא להשתמש  בארקיםמלאי9ם עם CVRT יותר מ20 ס"מ
ג.להזכיר לפיזיקאים להקפיד עם זווית של המתקן
</t>
  </si>
  <si>
    <t>א. ענת
ב. דימה
ג. דימה</t>
  </si>
  <si>
    <t>א. לחזק את הנושא עם הרופאים
ב. כתיבת נוהל</t>
  </si>
  <si>
    <t>א. לכתוב הנחיות  על מילוי מסמך סימולציה</t>
  </si>
  <si>
    <t>א. ד"ר ווייס עם ועדת כתיבת נהלים</t>
  </si>
  <si>
    <t xml:space="preserve">א. להציג המקרה לאדמיניסרציה קמליון </t>
  </si>
  <si>
    <t>א. ענת</t>
  </si>
  <si>
    <t xml:space="preserve">א. לעדכן צוות סימולציה לדבר עם רופא האחראי
</t>
  </si>
  <si>
    <t>א. לעדכן הרופאים על הנושא</t>
  </si>
  <si>
    <t>לבדוק הנחיות להכין מטופלים לספייסרים</t>
  </si>
  <si>
    <t>ד|"ר ווייס</t>
  </si>
  <si>
    <t>א. לחדד נוהל
ב. ירכשו קיבועים מתאימים</t>
  </si>
  <si>
    <t>א. ענת
ב. ענת</t>
  </si>
  <si>
    <t>מייל נשלח לזימון לסימולציה על שם האישה של המטופל,  במקום שם המטופל.</t>
  </si>
  <si>
    <t xml:space="preserve">א. חידוד נוהל </t>
  </si>
  <si>
    <t>א. אירנה</t>
  </si>
  <si>
    <t>חמישה מטופלים מתוך 6 מטופלים היו קשים והוזמנו לסימולציה קצ"ת לאחר כנס. אחד עם פיגור, 2 עם כיסא גלגלים ושניים עם קשיי תקשורת (שפה).</t>
  </si>
  <si>
    <t>א. ד"ר לימון
ב. ד"ווייס עם ועדת כתיבת נהלים</t>
  </si>
  <si>
    <t>בטיפול TSET היו הנחיות לא ברורות ולא מדוייקות שלא הופיעו במרשם. כתוצאה מקבלה של רופא אחד והעברת המקרה לטיפולו של רופא אחר. המטופל נפל בין הכיסאות.</t>
  </si>
  <si>
    <t>TBI\TLI</t>
  </si>
  <si>
    <t>TSI</t>
  </si>
  <si>
    <t>אי התאמה בין שם המרשם (SBRT c spine met) לבין נפח המטרה (PTV rt scapula).</t>
  </si>
  <si>
    <t>במרשם ובמכתבים (בקמליון) רשום LLL הסימון והטיפול הוא ל LUL. בבדיקת הרופא הטיפול הוא ל LUL.</t>
  </si>
  <si>
    <t>בעת הוצאה של מיטה מחדר המאיץ המיטה היתה גבוהה ומוט אינפוזיה שמחובר למיטה הפיל את המשקוף של דלת המאיץ. המסגרת נפלה על מיטת המטופל. המטופל לא נפגע.</t>
  </si>
  <si>
    <t>טופס סימולציה למטופל היה לכבד במקום טופס סימולציה לדופן בטן.</t>
  </si>
  <si>
    <t>מטופל הגיע לסימולציה ללא הדרכת אחות. בנוסף, טופס הסימולציה היה לא תקין. המטופל נשלח לאחות לקבלת הדרכה.</t>
  </si>
  <si>
    <t>מטופל הוזמן לסימולציה חוזרת עקב שינוים בגודל הגידול. לא היה טופס סימולציה חדש וכן לא היתה סיבה רשומה לסימולציה החוזרת לא ב Aria ולא בקמליון.</t>
  </si>
  <si>
    <t>במהלך הדמיה לפני טיפול נתגלה שצורת השד אינה תואמת לצורה מהסימולציה. המטופלת עברה שאיבה לפני תחילת הטיפול. המטופלת נאלצה לעבור סימולציה חוזרת.</t>
  </si>
  <si>
    <t>דרור, תמרה, ענת, אמינה, סיגל סער ורן</t>
  </si>
  <si>
    <t>יש להתאים בין שמות הנפחים למטרות במרשם. פיזיקאי שמקבל תיק עם שמות לא תואמים יש לפנות לרופא לצורך תיקון. חידוד הנוהל.</t>
  </si>
  <si>
    <t>להקפיד לומר למטופלים לא לבצע שינויים לפני תחילת הטיפול (אחיות ורופאים).</t>
  </si>
  <si>
    <t>טופס</t>
  </si>
  <si>
    <t>חוסר עקביות בשם המטרה. בקמליון כתוב C2 שם ה PTV C2-C6 בפועל מקרינים C1-C7.</t>
  </si>
  <si>
    <t>חוסר התאמה בין מרשם קמליון למרשם Aria. ב Aria רשום 5 ימים בשבוע בקמליון רשום פעם בשבוע. מנת המרשם 5.7Gy x 5. פיזיקאי מתכנן יבדוק גם מרשם קמליון.</t>
  </si>
  <si>
    <t>בסימולציה נעשתה סריקה עם בולוס מודבק חיצוני. הבולוס לא נסרק אלא הוסף לאחר הסריקה. היתה הערה על כך בקמליון. פיזיקאי לא ידע ותכנן בולוס אישי. פיזיקאי יבדוק קמליון לפני תכנון.</t>
  </si>
  <si>
    <t>מטופל לטיפול חד"פ לסקרום יש קוצב לב שלא היה מתועד. נעשה שימוש בתעוד קודם על מנת לתת את הטיפול. המטופל קיבל טיפול באנרגיה 15MV לאחר שכבר היה ידוע שיש לו קוצב.</t>
  </si>
  <si>
    <t xml:space="preserve">מטופל קיבל טיפול לצד ימין במקום לצד שמאל. המטופל הציג את צד ימין והראה תמונה עם הצלקת בצד ימין. המרשם היה לצד שמאל וכן הטיפול המתוכן. </t>
  </si>
  <si>
    <t>במרשם של קמליון היה תכנון + בוסט. ב- Aria היה חסר מרשם לבוסט.</t>
  </si>
  <si>
    <t>השם של ה PTV צריך להיות בעל משמעות וכתוב זהה בכל המקומות.</t>
  </si>
  <si>
    <t>פיזיקאי יפתח קמליון על מנת לוודא תאימות של מרשם.</t>
  </si>
  <si>
    <t>פיזיקאי יפתח קמליון ויבדוק הנחיות רנטגנאים.</t>
  </si>
  <si>
    <t>דרור, תמרה, ענת, דימה, מרינה, אמינה, רן, נחמה חורב ומירה קוחנובסקי</t>
  </si>
  <si>
    <t xml:space="preserve">במרשם Aria כתוב רק PTV אחד. בפועל ישנם שלושה (PTV1, PTV2, PTV3). </t>
  </si>
  <si>
    <t>מטופלת קיבלה מכתב סיכום סיעודי של מטופלת אחרת.</t>
  </si>
  <si>
    <t>במהלך בדיקת RTTQA היה ספק לגבי המיקום של החוליה המסומנת. בברור מול רופא הסתבר שלא היה צורך בטיפול לחוליה. בקמליון היו מספר אי התאמות במיקום. היה כתוב D3 במכתב ו- D5 בפרוטוקול קרינה. ב- Aria היה מסומן T4 ומרשם ל T5.</t>
  </si>
  <si>
    <t>בסיום הטיפול המטופל ירד מהשולחן במאיץ 4 ומיהר לשירותים. המטופל היה מסוחרר נפל ונחבל בראשו. הוא נשלח למיון.</t>
  </si>
  <si>
    <t>מטופל הוזמן לסימון קליני. גודל השדה (אלק'רונים) היה 40x10. באלקטרונים גודל האפליקטור המקסימאלי הוא 25x25. המטופל הורד מהשולחן ונעשה חישוב ל Extended SSD של 120cm ו- 130cm. המטופל המתין זמן ממושך עד קבלת הטיפול. בנוסף, קיים חוסר התאמה בין המרשם בקמליון (3Gyx5) למרשם ב Aria (6Gyx1).</t>
  </si>
  <si>
    <t>דרור, תמרה, ענת, דימה, מרינה, אמינה ורן</t>
  </si>
  <si>
    <t>כל שינוי בנפח לאחר תכנון יתואם עם פיזיקאי ו RTTQA.</t>
  </si>
  <si>
    <t>להקפיד להתאים את הטופס לטיפול. יכתב טופס לפרוסטטה עם בלוטות.</t>
  </si>
  <si>
    <t>שמות ה PTV בתכנון ובמרשם צריכים להיות בעלי משמעות ותואמים לאיזור הטיפול. כל מוקד יצויין במרשם Aria.</t>
  </si>
  <si>
    <t>יש להזמין רופא מרדים מראש ולוודא את הזימון עם הגעת המטופל ליחידה.</t>
  </si>
  <si>
    <t>להקפיד על סריקה של המיטה במקרים אלו. מעל CVRT 20cm לא לעשות ארקים מלאים. פיזיקאים יקפידו על בדיקה של הזווית של המתקן ברישום של קמליון.</t>
  </si>
  <si>
    <t>בקמליון וב- Aria לא היה רשום איזה באיזה צלע מטפלים. היה רשום רק צלע ימין.</t>
  </si>
  <si>
    <t>להקפיד על רישום נכון וספציפי של אתר הטיפול על מנת לוודא שאין טעויות בתכנון וטיפול.</t>
  </si>
  <si>
    <t>במכתב pdf בקמליון מופיע רק מרשם ברכי במקום מרשם ברכי ומרשם קרינה חיצונית.</t>
  </si>
  <si>
    <t>עבור מטופלת לסימוציה וטיפול באותו היום, לא היה ברור אם מטפלים בכתף בלבד או בכתף וכף רגל. לא היה טופס סימולציה.</t>
  </si>
  <si>
    <t>במקרים דחופים לא יכתב מסמך לסימולציה והתקשורת תהיה ישירה בין הרופא לרנטגנאים.</t>
  </si>
  <si>
    <t>עבור טיפול עם בולוס, ה- setup bolus לא התאים.</t>
  </si>
  <si>
    <t>בתיקי ראש צוואר יש לסמן על המסיכה את המיקום הרצוי של הבולוס.</t>
  </si>
  <si>
    <t>מטופלת לא הגיעה לטיפול ראשון. לאחר שיחה איתה התברר שלא קיבלה זימון. המטופלת התחילה טיפול של 5 פרקציות ביום שני במקום בראשון.</t>
  </si>
  <si>
    <t>מטופל שכב בסימולציה Feet First. הקעקועים על המטופל נקבעו גבוהה מדי עם הזזה מהמרכז של 42cm.</t>
  </si>
  <si>
    <t>בהשכבה Feet First סימון המטופל לא יהיה גדול מ 15cm מעל מוקד הטיפול. ירכשו קיבועים מתאימים.</t>
  </si>
  <si>
    <t>המזכירות תשלך מייל באופן מסודר עם זיהוי דמוגרפי נכון של המטופלים.</t>
  </si>
  <si>
    <t>מטופל הוזמן לסימולציה לבירור עומק של צלקת לצורך טיפול. לאחר מכן הוחלט לטפל במוקד נוסף באגן. לא היו סימונים על המטופל להתאמת מרכז הטיפול.</t>
  </si>
  <si>
    <t>בתיק של המטופל לא היה טופס סימולציה ולא צויין שאיזור הטיפול הוא ירך דיסטאלי. לכן, לא בוצעה סריקה Feet First. המטופל הוזמן לסימולציה חוזרת וטיפול באותו היום.</t>
  </si>
  <si>
    <t>נושא זימון מטופל אחר הצהריים יהיה מוגדר טוב יותר לאחר הקמת יחידת הבקרה.</t>
  </si>
  <si>
    <t>בוצע שינוי באופן קבלת המטופלים של TSET.</t>
  </si>
  <si>
    <t>תועבר הנחיה לסניטרים להקפיד על הורדת מיטה בטרם יציאה/כניסה לחדר המאיץ.</t>
  </si>
  <si>
    <t>זימון תורים יציין שהסימולציה היא אדפטיבית כאשר מתוכננת מראש.</t>
  </si>
  <si>
    <t>חוסר התאמה בין מרשם קמליון למרשם Aria. ב Aria רשום 5 ימים בשבוע בקמליון רשום 3 פעמים בשבוע.</t>
  </si>
  <si>
    <t>מרשם ב Aria לא תקין. קיימים שני מוקדים עם שתי מנות שונות. במרשם מופיע CTV1, GTV כמטרות. כמו כן, נדרש בולוס חצי כל יום. לא היה ברור במרשם עם הבולוס הוא לשתי המטרות או לאחת מהן.</t>
  </si>
  <si>
    <t>בן 10 חדשים קיבל ע"י רופא מרדים אטרופין במקום שטיפה. המרדים שאב מהצינור את האטרופין. המטופל נשאר למעקב ונשלח לשניידר לאחר שהתעורר להמשך מעקב באשפוז יום. המשפחה קיבלה הסבר.</t>
  </si>
  <si>
    <t>בטיפול ברכיתרפיה במהלך החתימה השניה הוחלט על שינוי התכנית. לכן התדפיס של התכנית והתכנון לא תאמו.</t>
  </si>
  <si>
    <t>במכתב קבלה והסכמה לטיפול נכתב טיפול לצלע 9 שמאל. בתכנון ובמרשם Aria תוכנן למוקד מטיפול קודם צלע 6 ימין. התכנית נעצרה ב RTTQA ונעשה תכנון חדש לצד שמאל.</t>
  </si>
  <si>
    <t>אירוע חוזר. תיקים לסימולציה מגיעים ללא טופס סימולציה.</t>
  </si>
  <si>
    <t>מטופל עבר סימולציה ב 4/12/24 התיק הגיע לתכנון כ 3 שבועות לאחר מכן ב 26/12/24. המקרה נמסר לחתימת רופא ב 1/1/25. למחרת הוחזר התיק לתכנון חוזר. מועד הטיפול נדחה ביום הטיפול הצפוי.</t>
  </si>
  <si>
    <t>בוצע שינוי בתוכנית טיפול במהלך טיפולים ע"י רופא ללא הודעה לצוות המטפל ו- RTTQA</t>
  </si>
  <si>
    <t>במכתב קבלה, הסכמה לטיפול וטופס סימולציה נכתב טיפול לפמור שמאל. בפועל סומן ותוכנן טיפול לפמור ימין.</t>
  </si>
  <si>
    <t>דרור, ענת, אמינה דימה רן</t>
  </si>
  <si>
    <t>להקפיד על עבודה לפי הנוהל.</t>
  </si>
  <si>
    <t>בכל אירוע חריג יש לתעד ברושמה הרפואית את פרטי הארוע. יתקיים דיון על יישום תהליך פסק זמן בסימונים קיליניים וקונטאקט. העברת העתק של דיווח למשרד הבריאות ליחידה לניהול סיכונים.</t>
  </si>
  <si>
    <t>טיפול חד פעמי לאיזור פאראורטלי. במרשם כתוב פאראלומברי ובטופס הסכמה חתום עמוד שדרה מותני.</t>
  </si>
  <si>
    <t>מטופלת דחופה סיימה סימולציה בשעה 12:25. בשעה 14:30 סיימו את הסימון. בשעה 16:00 סיימו לתכנן את התיק. בשעה 16:25 רופא חתם על התכנית ובשעה 16:40 התיק שוחרר לרנטגנאים למתן טיפול.</t>
  </si>
  <si>
    <t>מטופלת הוזמנה לסימולציה עם חומר ניגוד לשעה 13:40. המטופלת הגיעה בשעה 13:00 והמתינה כשעה להכנס לאחות. המטופלת הועברה לסימולציה בשעה 14:40.</t>
  </si>
  <si>
    <t>מטופל הוכנס ל Qflow בשעה שגויה (נדרש תיקון ידני). לפי הרישום חיכה כשעתיים לאחות כשבפועל המתין 10 דקות.</t>
  </si>
  <si>
    <t>דרור, ענת מרוינה רן דימה סיגל</t>
  </si>
  <si>
    <t>בעיה ב Qflow. המזכירות הודכנו שיש לבצע תיקון ידני. צריך להבין את הסוגיה ולגבש פתרון.</t>
  </si>
  <si>
    <t>חוסר בהבנת דרישות הטיפול</t>
  </si>
  <si>
    <t>הוזמן לסימולציה לפני תיקון אנאוריזמה. במכתב צויין לזמן רק לאחר. עקב כך בוטלה הסימולציה.</t>
  </si>
  <si>
    <t>בשל שינויים בסימון לאחר ישיבת QA לא הצליחו לחתום על התיק. התברר שהשינויים בסימון גרמו לכך שהתיק לא עמד בהגבלות התכנון והפיזיקאי לא עודכן על כך. המקרה תוכנן מחדש כשעה לפני הטיפול.</t>
  </si>
  <si>
    <t>בקרת איכות, הרופא המטפל וישיבת QA יוודאו שלא נעשה שימוש באנרגיה 15MV למטופל עם קוצב לב. הרופא המטפל יציין ב notes במרשם (Aria) שלמטופל יש קוצב לב.</t>
  </si>
  <si>
    <t>מטופל היה צריך לקבל TLI וגם TBI בפרקציה אחרונה. התכנון של ה- TBI לא היה מוכן ליום הטיפול כשהמטופל מגיע בשעה 6:30 בבוקר. המרשם היה קיים והתכנון עבר את כל מנגנוני הבטיחות והבקרה תכנון של ה TBI.</t>
  </si>
  <si>
    <t>נוהל TLI נמצע בתהליך כתיבה. חתימה שניה של פיזיקאי, חתימת רופא מטפל, ישיבת QA ו- RTTQA כל אחד היה צריך לעלות על התכנית החסרה.</t>
  </si>
  <si>
    <t>על הרופא המטפל מוטלת האחריות לתקשר את הבקשה הזאת לזימון תורים. יש לחדד את הנוהל לצוות הרופאים.</t>
  </si>
  <si>
    <t>על הפיזיקאי המתכנן מוטלת האחריות לבדוק קמליון בכל תכנון ולוודא תאימות עם המרשם של ה- Aria.</t>
  </si>
  <si>
    <t>סריקה לצורך תכנון טיפול לשד שמאל היתה חתוכה. לא ניתן היה לראות את כל השד. המטופלת עברה סריקה חוזרת.</t>
  </si>
  <si>
    <t>יש לוודא את איכות הסריקה כחלק מתהליך הסימולציה.</t>
  </si>
  <si>
    <t>חוסר התאמה בין טופס סימולציה לפרוטוקול קמליון. בטופס סימולציה לא היה כתוב שיש צורך בחומר ניגוד. עקב כך נוצרה המתנה ממושכת עד לביצוע הסריקה. הסריקה לא היתה טובה כיוון שעבר יותר מדי זמן מביצוע החוקן של המטופל. נעשתה סריקה חוזרת.</t>
  </si>
  <si>
    <t>יש לשים לב ולבצע נוהל זיהוי מטופל בעת העברת מידע רפואי חסוי.</t>
  </si>
  <si>
    <t>המעורב קיבל הנחיה כיצד לבדוק ולכתוב מרשמים והנחיות טיפול.</t>
  </si>
  <si>
    <t>סימולציה ומרשם לסימון קליני יבוצע בטרם הגעת המטופל למאיץ.</t>
  </si>
  <si>
    <t>מסיכת SRS עם ח.נ הוכנס ונפלון. הונפלון יצא ולא היתה אחות. המטופל נסרק ללא חומר ניגוד.</t>
  </si>
  <si>
    <t xml:space="preserve"> מטופל SRS עם חומר ניגוד לא יבצע סימולציה בשעות אחר הצהריים. אחות תמתין עד אחרון המטופלים בפרט עם יש ח.נ.</t>
  </si>
  <si>
    <t>מטופל נשרט בעינו עקב הכנסת מגן עיניים לעינו.</t>
  </si>
  <si>
    <t>מטופלת נוספה ל Qflow של הרופא התורן הרופא לא עודכן על התוספת.</t>
  </si>
  <si>
    <t>יש לעדכן רופא כשמשבצים מטופל ליומן.</t>
  </si>
  <si>
    <t>במרשם בהגבלות לא כתובות יחידות [cc], [Gy] או [%].</t>
  </si>
  <si>
    <t>מרשם משמש כהנחיות לתכנון טיפול. על המרשם להיות מובן וברור ככל הניתן. לרענן לצוות הרופאים איך למלא מרשם. בנוסף, יש לעדכן את התבניות של המרשמים על מנת שיכילו יחידות.</t>
  </si>
  <si>
    <t>תיקים עם שמות נפחים חסרי משמעות יש לבקש לשנות את את השם לשם עם משמעות גם בסימון וגם במרשם.</t>
  </si>
  <si>
    <t>מטופלת הוזמנה לסימולציה בשעה 8:30. כשהגיעה הוכנסה ל- Q-Flow של "הדרכת אחות לסימולציה". קטגוריה זו אינה שימושית והמטופלת המתינה כשעה ורבע עד ששמו לב שיש מטופלת ממתינה. יש מספר רב של משימות לאחיות ב Q-Flow.</t>
  </si>
  <si>
    <t>מטופל עבר קבלה רפואית בשעה 9:40. קבלה סיעודית נעשתה בשעה 11:30. המטופל היה צריל לשתות ח"נ + הזרקה ולכן היה צריך להמתין עוד 45 דקות עד ביצוע הסימולציה. הסימולציה הייתה פנויה בחוסר עבודה.</t>
  </si>
  <si>
    <t>חוסר יעילות בעבודה</t>
  </si>
  <si>
    <t>בתכנון פרוסטטה היו נפחים PTV 50 ו- PTV 55 במרשם המנות היו ל 52Gy ו- 50Gy. המרשם שונה.</t>
  </si>
  <si>
    <t>מטופלת לא ידעה שהיתה מוזמנת לסימולציה בשעה 17:30 וחזרה לביתה לאחר הדרכת שד.</t>
  </si>
  <si>
    <t>מטופל קיבל פעמים הזרקת חומר ניגוד. בפעם הראשונה לא הופיע ח"נ בסריקה למרות שהוזרק. הונפלון נבדק ונמצע תקין, לכן הזריקו פעם נוספת עם חומר מקופסה אחרת. כנראה שהחומר לא היה תקין למרות שהיה בתוקף עד נוב' 2026</t>
  </si>
  <si>
    <t>טיפול TBI ניתן ללא חתימת רופא על התכנית.</t>
  </si>
  <si>
    <t>במרשם ובתכנית ב Aria לא כתוב צד הטיפול. בקמליון רשום צד ימין.</t>
  </si>
  <si>
    <t>במהלך 7 פרקציות מטופלת קיבלה טיפול עם Pitch גבוהה. לאחר בירור של התכנית התברר שבסימולציה של המטופלת המשולש השקוף של המתקן קיבוע לשד היה הפוך (ראה תמונה). המטופלת עברה סימולציה חוזרת ותכנון מחודש.</t>
  </si>
  <si>
    <t>מטופלת גניקו הוזמנה במנור לסימולציה אחת והייתה צריכה 2 סימולציות אם ובלי מילוי שלפוחית.</t>
  </si>
  <si>
    <t>1Q25</t>
  </si>
  <si>
    <t>2Q25</t>
  </si>
  <si>
    <t>3Q25</t>
  </si>
  <si>
    <t>4Q25</t>
  </si>
  <si>
    <t>יש לרענן אופן הכנסת מגן עיינים לאחיות.</t>
  </si>
  <si>
    <t>תתקיים פגישה בנושא משימות של  RTTQA; רנטגנאים + רופאים.</t>
  </si>
  <si>
    <t>תיק המתין לחתימת רופא לפני טיפול. הרופא לא היה באותו היום ולא דאג להחלפה</t>
  </si>
  <si>
    <t>תיק TSI המתין לחתימת רופא לפני טיפול. התיק נחתם ע"י פיזיקאי ברגע האחרון.</t>
  </si>
  <si>
    <t>מטופלת מאושפזת עברה תכנון דחוף ביום חמישי. לא זומנה לטיפול ביום ראשון.</t>
  </si>
  <si>
    <t>לטיפול פולסר לא היה First day</t>
  </si>
  <si>
    <t>שם המשפחה של המטופלת היה  Update Care Path. לא ניתן היה לתקן את השם.</t>
  </si>
  <si>
    <t>שינוי תהליך לטיפולי פולסר</t>
  </si>
  <si>
    <t>תהליך של בקרת תהליכים תתבצעה ע"י יחידת  בקרה.</t>
  </si>
  <si>
    <t>יש לשים לב ליכולות המטופל ולהתאים את תנאי הסימולציה</t>
  </si>
  <si>
    <t>נשלח כאירוע. המרדימים יקיבלו פידבק על האירוע.</t>
  </si>
  <si>
    <t>יבוצע שנוי בנוהל העבודה בברכיתרפיה. נוהל עבודה חדש יכתב, יאושר ויוטמע.</t>
  </si>
  <si>
    <t>להקפיד לבדוק בכל שלב של תכנון ובדיקה אם מרמשמים תואמים בקמליון וב Aria.</t>
  </si>
  <si>
    <t>מטופלת עם סימולציה מרובת מוקדים ומספר השכבות. להדגיש לזימון תורים על ריבוי סימולציות למטופל יחיד על מנת שיוכלו לתאם את משך הסימולציה למטופל.</t>
  </si>
  <si>
    <t>יש לציין במכתב סיכום בקמליון בחלק של "הפניה להמשך טיפול" שיש לבצע מספר סימולציות.</t>
  </si>
  <si>
    <t>רופאים מתבקשים להקפיד על הנחיות ברורות לצוות הסימולציה. יש להקפיד למלא את טופס הסימולציה.</t>
  </si>
  <si>
    <t>תתקיים שיחה עם הרופא המטפל. להקפיד לא להחזיק  תיקי טיפול למעלה מ 10 ימים לאחר סימולציה.</t>
  </si>
  <si>
    <t xml:space="preserve">מטופל המתין זמן ממושך להכנסת ונפלון. האחיות היו עמוסות עם הרדמות וספייסרים. המטופל הוזמן ל 8:30 והוכנס לאחות להכנסת ונטפלון ב 9:30. למטופל היה תור באשפוז יום ל 10:30. המטופל הועבר ב Qflow לסימולציה על מנת שרופא יבצע את הכנסת ה VF. </t>
  </si>
  <si>
    <t>להקפיד על תקשורת בין הצוותים המטפלים. לעבוד על פי הנוהל ככל הניתן. אם יש צורך לסטות מהנוהל יש לתקשר על השינויים עם הצוות הרלבנטי.</t>
  </si>
  <si>
    <t>להקפיד על תקשורת בין הצוותים המטפלים. יש לתקשר על השינויים עם הצוות הרלבנטי.</t>
  </si>
  <si>
    <t>להקפיד על רישום נכון וספציפי של אתר הטיפול על מנת לוודא שאין טעויות בתכנון וטיפול. התקיימה שיחה עם הרופא המטפל.</t>
  </si>
  <si>
    <t>בקמליון היה כתוב 10Gy x 5 ב- Aria היה כתוב 18Gy x 3. המטופלת היתה צריכה לקבל 10Gy x 5 לכן היה צורך בהוספת פרקציות וחישוב חדש.</t>
  </si>
  <si>
    <t>רופא יוודא שהמרשמים בקמליון וב Aria תואמים. על הפיזיקאי המתכנן מוטלת האחריות לבדוק קמליון בכל תכנון ולוודא תאימות עם המרשם של ה- Aria.</t>
  </si>
  <si>
    <t>להחזיר מטופלים מאושפזים למחלקה עד לסיום תכנון. טיפולים דחופים לאותו היום ינתנו לאחר אישור מנהל היחידה בלבד.</t>
  </si>
  <si>
    <t>יש אחות אחראית סימולציה. להקפיד על תקשורת בין צוותית. לצמצם ככל הניתן את משך הזמן להעברה לסימולציה מקבלה סיעודית.</t>
  </si>
  <si>
    <t>מטופלת לאחר סימולציה נשלחה הביתה ללא קבלת הדרכה סיעודית של אחות.</t>
  </si>
  <si>
    <t xml:space="preserve"> בסימולצה בוצע תזכורת להעביר ב Qflow לאחות ולא לסגור. קיימת עדיפות שמטופלים יכנסו קודם להדרכת אחות לפני סימולציה.</t>
  </si>
  <si>
    <t>צוות פיזיקה מתבקש להחזיר תיקים ללא חתימה.</t>
  </si>
  <si>
    <t>צד הטיפול המופיע במרשם (Lt) אינו תואם את הצד של המרשם בקמליון ושל הסימון (Rt).</t>
  </si>
  <si>
    <t>סימונים לא נחתמו ע"י רופא.</t>
  </si>
  <si>
    <t>יום לפני הטיפול התיק לא היה מוכן לתכנון (לא היו סימונים). המטופל היה צריך לקבל קיטרודה יומיים לפני הטיפול.</t>
  </si>
  <si>
    <t>תקלה טכנית במערכת Aria. בטיפול מול Varian. לא להזין בשדות דמוגרפים של מטופלים שמות פיקטביים.</t>
  </si>
  <si>
    <t>למטופל עם שני מוקדים תוכנו שני קורסים במקום לאחד את התכניות לקורס אחד.</t>
  </si>
  <si>
    <t>כאשר מתכננים שני קורסים, כל תכנית עולה בנפרד וצריך לעלות את המטופל  פעמיים עם שני זימונים במערכת התורים. לכן, כאשר מטופל מקבל מספר מוקדים באותו העת יש לשים את כל התכניות באותו קורס טיפול. חידוד נוהל מול הרופאים.</t>
  </si>
  <si>
    <t>למטופל דחוף עם טיפול חד פעמי, נפתח הקורס והתכנית הקודמת.</t>
  </si>
  <si>
    <t>התכנית נפתחה כיוון שהקורס הקודם לא היה סגור וגם היו פרקציות שלא ניתנו בטיפול הקודם. פיזיקאי מתכנן יסגור קורסים ישנים.</t>
  </si>
  <si>
    <t>למטופלת שלא משתפת פעולה, התייתה תכנית באלקטרונים עם 1300MU. המטופלת היתה כ 45 דקות על השולחן. התכנית שונתה עקב כך.</t>
  </si>
  <si>
    <t>אם רופא מקבל מטופל עם קשיים בהבנה או בביצוע הנחיות, יש לציין זאת בהערה במרשמים (קמליון ו Aria) ולבקש תכנן טיפול קצר.</t>
  </si>
  <si>
    <t>קיים תהליך של ייעול ושינוי של יומנים.</t>
  </si>
  <si>
    <t>קיים תהליך של ייעול ושיפור תהליכים בנושא סיעוד.</t>
  </si>
  <si>
    <t>ב 3 מטופלים מתוך 8 לא היה טופס סימולציה דבר אשר מעקב את משך הסימולציה למטופלים.</t>
  </si>
  <si>
    <t>יש להנחות ולרענון את הנוהל לרופאים והמתמחים.</t>
  </si>
  <si>
    <t>חוסר התאמה בין מרשם קמליון ל Aria גרם לתכנון של 20 פרקציות במקום SBRT ל- 5 פרקציות. המקרה נעצר בבקרת איכות רנטגנאים לאחר שעבר תכנון של רופא ופיזיקאי ואישור תכנון.</t>
  </si>
  <si>
    <t>רופא יקפיד על תאימות של המרשמים ב Aria וקמליון. פיזיקאי יפתח קמליון ויוודא את תאימות המרשמים לפני תכנון.</t>
  </si>
  <si>
    <t>מקרה הגיע לתכנון עם סימונים לא חתומים על ידי רופא.</t>
  </si>
  <si>
    <t>יש להחזיר לרופא ב Care Path תיקים עם סימונים לא חתומים.</t>
  </si>
  <si>
    <t>בטיפול ראשון, לא היה ברור אם הטיפול Prostate Dual או Prostate SBRT. נשלחו מרקרים במקום זרעי זהב. המטופל שכב על השולחן חצי שעה עד בירור הענין מול הרופא והפיזיקאים המעורבים.</t>
  </si>
  <si>
    <t>תיק לא עבר ישיבת QA בעקבות סימון. הרופא תיקן אך לא עדכן את הפיזיקאי וסגר את ה- Care Path. התיק הגיע למאיץ לטיפול ללא תכנון חוזר של פיזיקאי אשר היה גורם לחוסר התאמה בין המנות לנפחים המסומנים. המקרה התגלה במאיץ כאשר לא הצליחו להעביר Align RT לפני הטיפול.</t>
  </si>
  <si>
    <t xml:space="preserve">רופא צריך לתקשר שינויים בתכנון לפיזיקאי המתכנן ול- RTTQA. להקפיד בישיבת QA לעשות Update Care Path. </t>
  </si>
  <si>
    <t>בקמליון רשום ריאה שמאל למנה של 10Gy x 5. ב- Aria יש מרשם ל- ריאה שמאל 7Gy x 5 ו- ריאה ימין 10Gy x 5. המטופל קיבל טיפול ע"פ מרשם Aria.</t>
  </si>
  <si>
    <t xml:space="preserve">מטופלת הוזמנה לסימולציה עם שתי סריקות. לשתי הסריקות נדרש חומר ניגוד (גם בשתיה וגם בהזרקה). בנוסף, למטופלת הייתה רגישות ליוד. </t>
  </si>
  <si>
    <t>מטופל זכר הוזמן לסימולציה עם טופס של Cervix והנחיות לחוקן שהמטופל לא הודרך לביצוע. הרופא המטפל לא נכח ולא היה ברור מהוא האיבר שצריך לעבור סימולציה.</t>
  </si>
  <si>
    <t>במרשם Aria לטיפול דחוף, היה כתוב 4Gy x 5 בלבד ללא הגדרת נפח מטרה והגדרת כיסוי.</t>
  </si>
  <si>
    <t>מטופל עבר הכנה לסימולציה עם חומר ניגוד בשתיה והזרקה על בסיס טופס סימולציה ישן. למטופל הוכנס ונפלון ושתה חומר ניגוד עקב כך. המטופל הוזמן לסימולציה לע"ש לומבר סקראלי. המקרה דווח כארוע.</t>
  </si>
  <si>
    <t>שלושה תיקי SRS שלא היו מוכנים עד שעה 15:00. צריך היה למצוא רופאים ל QA ולשלוח את התכנון ל Exactrac.</t>
  </si>
  <si>
    <t>הסכמה לטיפול נחתמה על איזור לא נכון. הסכמה חדשה הודפסה ושונתה לאגן.</t>
  </si>
  <si>
    <t>הסכמה לטיפול נחתמה על צד לא נכון. הסכמה חדשה הודפסה ושונתה מצד ימין לצד שמאל.</t>
  </si>
  <si>
    <t>בהסכמה לטיפול היה צריך לחתום על איבר נוסף (קרקפת).</t>
  </si>
  <si>
    <t>בהסכמה לטיפול היה צריך לחתום על איבר נוסף (C3-C4).</t>
  </si>
  <si>
    <t>תיק ללא הסכמה לטיפול.</t>
  </si>
  <si>
    <t>מטופלת לא הגיע לסימולציה. לאחר בירור מול הבת של המטופלת, התברר שהרופאה ביטלה את הסימולציה והעבירה את המטופלת לטיפול פליאטיבי ללא הודעה לצוות המטפל.</t>
  </si>
  <si>
    <t>מטופל הוזמן ל TSI בתאריך 8/5/2025. בבדיקה יומים לפני הטיפול (6/5/2025), התברר שאין מרשם ותכנון של המקרה והרופא המטפל אינו בארץ. הטיפול נדחה ע"י מנהל היחידה.</t>
  </si>
  <si>
    <t>מטופל לא ידע על התור לסימולציה וכן על ההכנה הנלוואת לטיפול.</t>
  </si>
  <si>
    <t xml:space="preserve">טופס סימולציה לטיפול בכליה ח"פ ביקש ח"נ למרות שלמטופלת יש אלגיות מסכנות חיים. </t>
  </si>
  <si>
    <t>בסימולציה ניתנה הנחיה ע"י רופא לבצע סריקה לע"ש. לאחר מכן רופא אחר ביקש לתקן ולסרוק את הסקרום. המטופל עבר סריקה נוספת.</t>
  </si>
  <si>
    <t>תיקים נשלחים ל- RTTQA ללא PTV לאחר אישור רופא. ה PTV נחוץ לרנטגנאים במאיץ לצורך מיקום המטופלים. המקרה הזה מייצג מספר רב של מקרים עקב שינוי במסלול זרימת התיקים.</t>
  </si>
  <si>
    <t>השלמה של כפות רגליים באלקטרונים לטיפול TSI. בשני טיפולים קיבל בחלק דורסלי במקום בכף הרגל בחלק הפלנטרי. התכנון נעשה בסימון קליני.</t>
  </si>
  <si>
    <t>רופאים יוודאו התאמה בין המרשמים בקמליון וב- Aria. בשלב אישור התכנית יעדכן הרופא את הקמליון אם קיים צורך. פיזיקאי מתכנן יפתח את המרשם המלא ב Aria וב קמליון ויבדוק התאמה.</t>
  </si>
  <si>
    <t>מתקיים תהליך שיפור השירות בתחום הסיעוד ביחידה.</t>
  </si>
  <si>
    <t>למטופל בוטל תור לסימולציה ע"י הרופא. המידע לא הועבר לזימון תורים ולצוות הסימולציה.</t>
  </si>
  <si>
    <t xml:space="preserve">יש להקפיד על תקשורת נאותה בין הסקטורים לצורך מתן שירות טוב ויעיל. יבוצע חידוד הנוהל לצוות הרופאים. </t>
  </si>
  <si>
    <t>חומר לא תקין, הנושא נבדק מול הספק. אין הנחיות נוספות.</t>
  </si>
  <si>
    <t>תכניות ללא סיטי עם חישוב ידני (TBI, TSI), יעברו ללא חתימה שניה של רופא. חתימה שניה של פיזיקאי תתקיים כמתוכנן.</t>
  </si>
  <si>
    <t>בכל איבר זוגי צריך לציין צד הטיפול. באיברים לא זוגיים להפעיל שיכול דעת לגבי הצורך בציון צד הטיפול.</t>
  </si>
  <si>
    <t>לתת תשומת לב לאופן ההשכבה של המטופל ובפרט לשים לב לפרמטרים של הקיבועים.</t>
  </si>
  <si>
    <t>השמות של הארקים אינם תואמים לארקים בטיפול.</t>
  </si>
  <si>
    <t>פיזיקאי יקפיד על שמות שדות תואמים לטיפול. חתימה שניה תבדוק שמות שדות. בעבודה על סקריפט לשמות אוטומטי שיבצע התאמה.</t>
  </si>
  <si>
    <t>כל ההנחיות לסימולציה יהיו מתועדות לפני ביצוע הסימולציה.</t>
  </si>
  <si>
    <t>אחריות של רופא להשלים את את החתימות על התכנונים לפני תחילת הטיפול. אם אינו יכול, באחריותו לבקש מקולגה לגבות אותו. רענון נוהל לצוות הרופאים.</t>
  </si>
  <si>
    <t>מטופלת שהגיעה לסימולציה לטיפול Pulsar בירך, לא היה ברור אם פרוקסימאלי או דיסטאלי, דבר אשר משפיע על אופן ההשכבה של המטופלת. המטופלת עברה סימולציה נוספת עקב כך</t>
  </si>
  <si>
    <t>יש להקצות פיזיקאי בשלישי ורביעי כדי לסגור תיקים של SRS שצריכים להתחיל.</t>
  </si>
  <si>
    <t>אחריות הרופא לוודא זמינות ומוכנות של התיקים לטיפול.</t>
  </si>
  <si>
    <t>דרור, ענת, סיגל ורן</t>
  </si>
  <si>
    <t>מטופל לא מסוגל לעמוד בהנחיות הסימולציה. בהנחיות כתוב שלפוחית מלאה בעוד שלמטופל יש קטטר ואינו מסוגל להחזיק שתן. ע"פ הפרוטוקול של Pelvic LN אין כלל דרישה לשלפוחית מלאה.</t>
  </si>
  <si>
    <t>להקפיד לשלוח מרקרים רק ב single fraction או dual fraction. אחרת יש לשלוח את נפח המטרה.</t>
  </si>
  <si>
    <t>הרופא יתן הנחיות מדויקות וברורות על אופן ההשכבה של מטופלים בסימולציה. חשוב להקפיד על תקשורת יעילה בין הצוותים על מנת למנוע שגיאות שנובעות מאי הבנה.</t>
  </si>
  <si>
    <t>מועד תחילת הטיפול נדחה ע"י זימון תורים ללא הודעה לצוות המתכנן.</t>
  </si>
  <si>
    <t>חשוב להקפיד על תקשורת יעילה בין הצוותים.</t>
  </si>
  <si>
    <t>תשומת לב לפרטים!!! 
הרופא יתן הנחיות מדויקות וברורות על אופן ההשכבה של מטופלים בסימולציה. חשוב להקפיד על תקשורת יעילה בין הצוותים על מנת למנוע שגיאות שנובעות מאי הבנה.</t>
  </si>
  <si>
    <t>באחריות רופא ילהקפיד על רגישויות של המטופלים. הרופא ינחה בהתאם את שאר הצוות באמצעות טופס סימולציה וקמליון על אופן הכנת המטופלים לסימולציה. אחות תעשה בקרה על רגישויות בקבלה הסיעודית.</t>
  </si>
  <si>
    <t>התיק הגיע ל RTTQA עם מרשם לא חתום וללא פרוטוקול בקמליון. המקרה עבר חתימות ו QA</t>
  </si>
  <si>
    <t>תיקי מטופלים מגיע ל RTTQA ללא שליחה של PTV. שליחת PTV נעשית במהלך החתימות על התיק ומשמש לצורך מיקום המטופלים במאיץ.</t>
  </si>
  <si>
    <t>מטופל היה צריך להתחיל טיפול ב 9/6 ב 10:40. התיק היה תקוע בחתימה שניה ולא בוצעה מדידה. הוחלט לתת טיפול ראשון ללא מדידה.</t>
  </si>
  <si>
    <t>הוכנסה ת.ז. לא נכונה ל Qflow לכן, במאיץ קראו למטופל והוא לא הגיע כיוון שהתור של בשעה מאורחת יותר. המטופל שכן הזינו ל QF היה צריך הכנה ולכן בכל מקרה הגיע למאיץ לקבלת הטיפול.</t>
  </si>
  <si>
    <t>למטופל עם קוצב לב לא היה תעוד בתיק ולכן לא נוטר בשני טיפולים.</t>
  </si>
  <si>
    <t>תכנית SRS שונתה. המידע לא הועבר לצוות המטפל. לאחר שינוי יש לייצא מחדש את התכנית ל Exactrac.</t>
  </si>
  <si>
    <t>חוסר התאמה בין הנחיות סימולציה (טופס סימולציה) לבין הנחיות קמליון (מעקב רפואי אמבולטורי). טופס הסימולציה נכתב לבקשת הצוות ביום הסימולציה ולא נכתב מראש.</t>
  </si>
  <si>
    <t>טיפל TSI בטיפול הרביעי קיבל AP RAO LAO במקום AP RPO LPO.</t>
  </si>
  <si>
    <t>לשם תכנון, קיים צורך במרשם (Aria), בסימולציה (CT) עדכנית ובסימונים של נפחי המטרה והאיברים בסיכון. לעיתים מטופלים חוזרים לצורך טיפול חדש/חוזר כאשר במערכת התכנון ישנם מספר סימונים בעלי אותו השם ואותו התאריך עדכון.</t>
  </si>
  <si>
    <t>דרור, ענת, דימה, אמינה, סיגל ורן</t>
  </si>
  <si>
    <t>מטופלת עברה סימולציה ב 12/6/2025. ב 29/6/2025 התקשרה לברר מדוע לא קיבלה תורים. התיק לא שוייך לרופא בכיר ולכן לא התקדם ב CP והתעכב בכשבועיים וחצי.</t>
  </si>
  <si>
    <t>מטופל נסרק עם סימון לבולוס עבור צלקת בשד ימין. בפועל תוכנן ללא בולוס. במאיץ קפצה הודעה לבולוס והמידע לא הועבר לצוות המטפל.</t>
  </si>
  <si>
    <t>מטופל הגיעה לסימולציה לכליה SBRT. לא היו הנחיות לביצוע הסריקה, לא היה טופס סימולציה וגם בקמליון לא היו הנחיות מספקות לגבי הזרקת ח"נ</t>
  </si>
  <si>
    <t xml:space="preserve">בסיום הסימולציה המטופל יצא להמתנה והתעלף. רופא ואחות נקראו לסיוע למטופל. המטופל לא סבל מפגיעות. נשלח דו"ח אירוע. </t>
  </si>
  <si>
    <t>מטופל נסרק סריקה רגילה לטיפול בירך. הוצע להשכיב את המטופל בכיוון ההפוך עם רגליים קדימה אך הרופא אמר שהסריקה תקינה. בפועל השדה היה ארוך והיה צריך לעבור סריקה חוזרת עם הרגליים קדימה. התכנון נעצר ב RTTQA.</t>
  </si>
  <si>
    <t>לא נכתב צד לטיפול גם ב Aria וגם בקמליון</t>
  </si>
  <si>
    <t>מטופלת נשלחה לביתה לאחר שינויים במרשם ותכנונים חוזרים.</t>
  </si>
  <si>
    <t>מטופלת הורדה מהמחלקה לקבלת טיפול ללא ליווי של אופוטרופוס וללא חתימה על הסכמה לטיפול. קיים צו בית משפט משנת 2006.</t>
  </si>
  <si>
    <t>להקפיד ולוודא שה CT הוא העדכני</t>
  </si>
  <si>
    <t>ה CP עודכן</t>
  </si>
  <si>
    <t xml:space="preserve">אם לא צריך בולוס יש למחוק אותו. </t>
  </si>
  <si>
    <t>נעשה בירור מול הרופא המטפל.</t>
  </si>
  <si>
    <t>אם יש סיבה לחשוד שמטופל אינו חש בטוב יש לקרוא לצוות הסיעוד ללוות את המטופל מהמאיץ להמתנה.</t>
  </si>
  <si>
    <t>לתת הנחיות מדוייקות לסימולצינה ולאפשר לרנטגנאים להחליט על אופן ההשכבה של המטופלים.</t>
  </si>
  <si>
    <t>יש להקפיד על צד הטיפול.</t>
  </si>
  <si>
    <t>הכשרה של צוותים על אופן כתיבת מרשם.</t>
  </si>
  <si>
    <t>באחריות הרופא המטפל לוודא שהאפוטרופוס זמין ומלווה את המטופל.</t>
  </si>
  <si>
    <t>דרור, ענת, דימה, לילך רן</t>
  </si>
  <si>
    <t>מרשם לא תקין יש לקפיד על רישום מדויק ונכון.</t>
  </si>
  <si>
    <t>רופא יקפיד על מילוי טופס סימולציה. רנטגנאים בסימולציה יש לשים לב לתאריך הטופס.</t>
  </si>
  <si>
    <t>בסיום הטיפול עברנו לשדה Setup AP על מנת להחזיר את הגנטרי לזווית 0. במקום זאת הגנטרי ירד לזוית 270 ופגע בזרוע של המטופלת. המטופלת צעקה שהמכשיר פוגע בה, אז עצרנו והעלנו את הגנטרי באמצעות Go To.  המטופלת בסדר וללא סימני פגיעה.</t>
  </si>
  <si>
    <t>במהלך התכנון והבדיקה של תכניות יש להקפיד על שמות של השדות והכיוונים. רנטגנאים יקפידו להסתכל על המטופל במצלמות במהלך הטיפול.</t>
  </si>
  <si>
    <t>לאחר שינוי תכנון מ 3 פרקציות לשתי פרקציות, החתימה השניה היתה על התכנית הראשונה (3 פרקציות). נעצר בשלב ההכנה לטיפול (RTTQA).</t>
  </si>
  <si>
    <t>גם פיזיקאי בחתימה שניה וגם רופא לא הבחינו שמספר הפרקציות של התכנית אינו נכון וחתמו על תכנון שגוי. להקפיד במהלך חתימות על תכניות  על בדיקה בקורתית ותשומת לב לפרטים.</t>
  </si>
  <si>
    <t>מטופל מוזמנת לטיפול בשעה 15:40 לאחר פניות חוזרות לרופא לאשר את התכנית, הרופא חתם על התיק בשעה 15:00 לאחר התערבות של ההנהלה.</t>
  </si>
  <si>
    <t xml:space="preserve">רופא תורן צריך להיות זמין לפניות של הצוות. בנוסף, לעיתים קיים צורך לתגובה מהירה. </t>
  </si>
  <si>
    <t>אם יש הסכמה לטיפול לצד לא נכון, יש לעצור ולהחתים מחדש. לא לעצור טיפול אם אין ציון של אזור הטיפול על טופס ההסכמה. נתזכר שוב לגבי מילוי אזור הטיפול בטופס. אזור נוסף, יש לציין זאת בטופס.</t>
  </si>
  <si>
    <t>מטופל לא יקבל טיפול ללא הסכמה לטיפול. להקפיד על החתמת הטופס וסריקה לתיק המטופל.</t>
  </si>
  <si>
    <t>באחריות הרופא לתקשר שינויים לצוות המטפל (RTTQA, זימון תורים).</t>
  </si>
  <si>
    <t>במטופלים עם קוצב, לא מתעדים בסימוליה אם הקוצב אינו בסריקה, לכן, מקרים יכולים להתפספס והמידע אינו מקודם הלאה לשלב התכנון והטיפול.</t>
  </si>
  <si>
    <t>מטופל הופנה ליחידה לקבלת טיפול ב 7/7/2025 לצורך קבלת טיפול. ב- 16/7 בוצעה סימולציה, ב- 17/7 שוחרר להפיזיקה לתכנון, ב- 21/7 עבר לאישור תכנון, ב- 24/7 עבר QA וב- 29/7 עבר RTTQA. מועד תחילת טיפול 4/8. הרופא המפנה מעוניינת לברר אם משך הזמן ממועד ההפניה עד הטיפול סביר.</t>
  </si>
  <si>
    <t>במהלך טיפול TSI בשדה PA המאיץ נפל והמטופלת נשלחה לביתה. הוחלט על חלוקה של שארית המנה לשאר הטיפולים כתוספת. המידע לא הועבר לצווות המטפל ולא תועד בקמליון.</t>
  </si>
  <si>
    <t>נוהל חסר</t>
  </si>
  <si>
    <t>בטיפולי SRS נא לשלוח ל BrainLab את התכנית רק בשלב של RTTQA, אחרת יתכנו שינויים בתכנית ויתכנו בעיות עם שליחה קודמת.</t>
  </si>
  <si>
    <t>בטיפול רביעי ללבלב, התגלה במקרה של מטופל יש קוצב לב. הקוצב לא תועד בטופס סימולציה, קמליון ומרשם.</t>
  </si>
  <si>
    <t>בטיפולי שד בשדה ML בזוויות 300-302 (60-58) מעלות הגנטרי פוגע ביזרוע המטופלת. נא לתכנן החל מ 305 מעלות (55 מעלות)</t>
  </si>
  <si>
    <t>בסימולציה נעשתה סריקה עם בולוס מודבק בתוך האזן. פיזיקאי לא ידע ותכנן עם בולוס אישי. בבירור מול הרופא צריך לתכנן בלי הבולוס החיצוני.</t>
  </si>
  <si>
    <t>מטופלת שהיתה צריכה לקבל טיפול חוזר לסטרנום לא היה לה קעקוע והתכנית הועתק מהטיפול הקודם אך לא החליפו ה refferance point והיה צריך לחתום על מנה עודפת.</t>
  </si>
  <si>
    <t>בהכנת מטופל לבלוטות בבטן יש צורך הכנה כגון: צום, תרופה לגזים, מילוי שלפוחית ואולי גם שימוש בלוחץ בטן.</t>
  </si>
  <si>
    <t>הקפדהעל נוהל סימון קליני</t>
  </si>
  <si>
    <t>עדכון של מסמך סימולציה.</t>
  </si>
  <si>
    <t>נבדקו הזמנים ונמצאו שהמטופל קיבל טיפול בזמן סביר</t>
  </si>
  <si>
    <t>יש להפנות בעיות במאיץ לםיזיקאי תורן לצורך טיפול</t>
  </si>
  <si>
    <t>טיפולים ישלחו בשלב של RTTQA</t>
  </si>
  <si>
    <t>רענון הנחיות קוצב</t>
  </si>
  <si>
    <t>שדות ML לתכנן החל מ 305 (55)</t>
  </si>
  <si>
    <t>דרור, ענת דימה ליטל, אמינה, יותם רן</t>
  </si>
  <si>
    <t>יש להוסיף ב note של המרשם שקיים בולס מובנה (אישי)</t>
  </si>
  <si>
    <t>חידוד הנחיות לפיזיקאים</t>
  </si>
  <si>
    <t>להקפיד על הנחיות למטופלים.</t>
  </si>
  <si>
    <t>במהלך טיפול הוחלט ע"י הרופא להוסיף סידרה של טיפולים בקונטאקט במנה של 5Gyx3 בטיפול הראשון תוכננה וניתנה מנה של 3Gy. המנה תוקנה לייתרת הפרקציות. לא נכתב מרשם.</t>
  </si>
  <si>
    <t>מטופלת חוזרת קיבלה מספר טיפולים בשנים 2023-2024 ע"י ד"ר איכט ב 11/24 קיבלה טיפול נוסף ע"י ד"ר קורמן וכעשיו 9/25 ע"י ד"ר אוורבוך ב- Aria  עדין רשום ד"ר איכט כרופא המטפל.</t>
  </si>
  <si>
    <t>למטופל רשום ב Aria שה- Primary onc שלו הוא ד"ר איכט שאינו עובד יותר ביחידה.</t>
  </si>
  <si>
    <t>תיק לאחר QA עם Update Care Path על מסלול של Liver  במקום מסלול של Lung. הרופא המטפל לא היה בארץ והמקרה היה יכל ליפל בין הכיסאות.</t>
  </si>
  <si>
    <t>מטופל FSR עם מסיכה פתוחה נסרק ללא ה BB העליון (ראה תמונה)</t>
  </si>
  <si>
    <t>קיים תהליך לשיפור השירות של מטופלי ארמונית.</t>
  </si>
  <si>
    <t>חידוד נוהל רגישות ליוד. יש להקפיד לכתב הודעות בטופס סימולציה, כהודעה קופצת ב Aria. בקבלה סיעודית אחות תוודא תיעוד.</t>
  </si>
  <si>
    <t>יש להקפיד על תקשורת בין מטפלים למניעת סריקות מיותרות.</t>
  </si>
  <si>
    <t>בעת העלאת מטופלים לטיפול, יש לשים לב לכל פרטי התכנון ולבצע פסק זמן לפני מתן הטיפול.</t>
  </si>
  <si>
    <t>בטיפול TSI הוקרן בטעות שדות PA במקום AP. הטעות תוקנה בטיפול העוקב ואין השפעה דוזימטרית על הטיפול.</t>
  </si>
  <si>
    <t>פיזיקאי יקפיד לשלוח איבר מטרה כשהוא חותם על reviewed.</t>
  </si>
  <si>
    <t>שמות השדות בתכנית אינo תואמים לגודל הקשת בפועל. רשום 200-345 כשבפועל מתחיל מ- 181</t>
  </si>
  <si>
    <t>בעת תכנון של תיק יש להקפיד על שמות תכנית, שדות, ונקודת ייחוס (Reference point) בעלי משמעות.</t>
  </si>
  <si>
    <t>להקפיד לעבוד לפי נוהל סימון קליני. רופא צריך להיות נוכח בטיפול הראשון.</t>
  </si>
  <si>
    <t>תיק דחוף עם 3 מוקדים. במוקד השמאלי השדה ירד מצד ימין תוכנן לזוית 181. ובמוקד הימני השדה ירד מצד שמאל תוכנן לזוית 179.</t>
  </si>
  <si>
    <t>למטופלת יש קוצב לב ולא היה תיעוד בשום מקום. קיוים הקוצב נודע לנו כיוון שהבן של המטופלת התקשר למזכירות להגיד שלא מצליח להסיג אישור ממרפאת קוצבים. לא היה Document</t>
  </si>
  <si>
    <t>המטופלת תוכננה על סריקה של BH למרות שהוחלט לטפל ב FB. ד"ר לימון אישר טיפול אחד ב BH עד שיתוכנן על FB.</t>
  </si>
  <si>
    <t>נמסר מהסימולציה על מטופלת מאד קשה עם סקויוזיס חריף. מבקשים שיהיה אזכור ב document מהרופא המקבל.</t>
  </si>
  <si>
    <t>תגובה טוקסית של מטופל</t>
  </si>
  <si>
    <t>מטופלת פיתחה תגובה אלרגית להזרקת ח"נ יוד לאחר הזרקה של 70cc יוד + 40cc מים.</t>
  </si>
  <si>
    <t>מטופל לבית חזה (גבר) בסימולציה שכב על wing+BH. לא היה טופס סימולציה לכן נסרק עם wing ולא Breast Plate.</t>
  </si>
  <si>
    <t>מטופלת שד הוזמנה לטיפול ביום א' ב 7:00. התיק לא היה חתום ע"י רופא כיוון ששוחרר מפיזיקה ביום חמישי ב 16:35</t>
  </si>
  <si>
    <t>מטופלת שד הוזמנה לטיפול ביום א' ב 7:00. התיק לא היה חתום ע"י רופא התיק שוחרר מפיזיקה ביום חמישי ב 11:45</t>
  </si>
  <si>
    <t>מטופלת שד דו"צ הוזמנה לטיפול ביום א' ב 11:00. התיק שוחרר מפיזיקה ביום חמישי ב 17:30.</t>
  </si>
  <si>
    <t>מטופל עם מסיכת CIVCO. מקבל טיפול לשני מוקדים. במסיכה יש בולוס מובנה. בטיפול לקרקפת תוכנן עם תוספת של בולוס חיצוני. בשלושת הטיפולים הראשונים קיבל טיפול ללא בולוס חיצוני. לא היה מובן מה- Setup Note מה נדרש.</t>
  </si>
  <si>
    <t>מטופל SRS קיבל תת מנה של כ- 20% בפרקציה בודדת (עד כ 4% לטיפול כולו). עבור שני מוקדים סמוכים תוכננו שתי תוכניות אחת עם פרקציה בודדת שמכילה את שני המוקדים ותכנית ואחת עם 4 פרקציות שמכילה רק מוקד אחד. התכנית של המוקד היחיד תוכננה עבור 5Gy x 5 פרקציות והיה צריך להחסיר פרקציה. בטעות החסירו מהמנה ולא מהפרקציה 4Gy x 5 במקום 5Gy x 4.</t>
  </si>
  <si>
    <t>מאושפז ממאיר הגיע לקבלה+סימולציה+טיפול. הסימולטור היה תקול ולכן הועבר לסימולציה+טיפול במאיץ 3. ה- CP של המטופל לא הוחלף ולא נסגר. לכן, הרופא המטפל לא כתב מרשם ב- Aria . הטיפול תוכנן ע"פ מרשם של קמליון ע"י הפיזיקאי. המרשם נכתב בדיעבד ע"י הרופא לבקשת הצוות.</t>
  </si>
  <si>
    <t>מטופלת קיבלה מתיירות מרפא דף תאריכי טיפול לברכי כאשר המועד האחרון לטיפול 13/11/2025 ולכן הזמינה כרטיס טיסה. אולם, הטיפול גם כולל קרינה חיצונית שהמטופלת לא לקחה בחשבון.</t>
  </si>
  <si>
    <t>פיזיקאי יקפיד לוודא שהגנטרי יורד מהצד הנכון. פיזיקאי בחתימה שניה יבדוק גם את כיווני הארקים והשדות.</t>
  </si>
  <si>
    <t>מטופל עם סטומה. בטופס סימולציה היה כתוב הכנה חוקן. בשיחה עם המטופל כהכנה לסימולציה המטופל ציין שיש לו סטומה ונוצרה חוסר נעימות מולו.</t>
  </si>
  <si>
    <t>איו צורך בחוקן למטופל עם סטומה. הרופא המקבל יקפיד על העברת המידע הרלבנטי לצוות המטפל.</t>
  </si>
  <si>
    <t>תיק ללא הסכמה לטיפול סרוקה.</t>
  </si>
  <si>
    <t>בעיה מוכרת ונמצאת בבדיקה</t>
  </si>
  <si>
    <t>בודקים שינוי CP לאיחוד 2 מסלולים לאחד לאחר זימות תורים.</t>
  </si>
  <si>
    <t>תזכורת לצוות סימולציה</t>
  </si>
  <si>
    <t>תזכורת לתעד קוצבים לצוות המתכנן. במסמך סימולציה להוסיף שורה של קוצב.</t>
  </si>
  <si>
    <t>יש להתייחס למגבלות השכבה ב note</t>
  </si>
  <si>
    <t>בבדיקה חוזרת לא היתה תגובה אלגית לח"נ לכן אין צורך בידווח. אל אף זאת, מתוכנן רענון לצוות בנושא.</t>
  </si>
  <si>
    <t>חידוד הנחיות לרופאים.</t>
  </si>
  <si>
    <t>קיים תהליך אפיון של זמני הגעת תיקים לא QA</t>
  </si>
  <si>
    <t>דרור, ענת, רן, סיגל</t>
  </si>
  <si>
    <t>רופא ירשום יקפיד לתעד במרשם BH. לגבי FB בחלק של gaiting יהיה כתוב None</t>
  </si>
  <si>
    <t>תשומת לב לפרטים</t>
  </si>
  <si>
    <t>קיים CP יעודי למקרה זה. יש להקפיד על נהלים. לא מתכננים ללא מרשם.</t>
  </si>
  <si>
    <t>מכון הקרינה יעביר את כלל מועדי הטיפול למטופל.</t>
  </si>
  <si>
    <t>יש להקפיד על תקשורת יעילה וברורה ב notes. אין לשנות את הניסוח של ההודעה ב note ללא התייעצות עם הפיזיקאי המתכנן.</t>
  </si>
  <si>
    <t>שם התכנית (Neck) לא תואמת את איזור הקרינה (עין שמאל). בנוסף, קיים בולוס המכסה את סביבת הטיפול אך לא קיים Setup Bolus והתכנית היא בארקים, לכן לא ניתן לדעת כמה הבולוס מכסה ללא Setup.</t>
  </si>
  <si>
    <t>בשדה Rt Lung התעוד של ה Gating היה שגוי (0.15- -&gt; 0.15). בשיחת בירור עם שני פיזיקאים נאמר שהכל תקין ללא בדיקה ביקורתית. חתמתי על המקרה (RTTQA) ואישרתי את התכנון. לאחר מכן, במאיץ התגלה שהתעוד אינו תקין כשהמטופל על המיטה. ההרגשה היתה שלא התייחסו בכובד ראש לשאלות שלי.</t>
  </si>
  <si>
    <t>בטיפול עם Gating טווח הנשימה הוגדר  3.3-3.7 בד"כ מבקשים טווח של 0.5. בטיפול חשבנו שזה טעות. לכן שינינו לערכים שנתנו בסימולציה  3.3-4. ביברור למחרת הובהר שאכן אתכוונו ל 3.3-3.7</t>
  </si>
  <si>
    <t>בתאריך 21/12/25 במהלך הטיפול המאיץ נפל, לאחר השלמת הטיפול התיק נסגר אך לא נרשם במערכת. ביקשנו מהפיזיקה שיוודאו שהטיפול רשום וסגור. למחרת המקרה עלה והמטופלת קיבלה פרקציה עודפת של התכנית במקום להתחיל את הבוסט. לכן, המטופלת תקבל פרקציה עודפת לטיפול ופרקציה אחת פחות לבוסט.</t>
  </si>
  <si>
    <t>בתאריך 28/12/2025 בשעה 9:00 כתבתי לרופא המטפל לאשר שני מקרים שצריכים להתחיל טיפול באותו היום. בשעה 13:00 הרופא קיבל תזכורת לאשר את התכנונים. בשעה 13:48 הרופא הודיע שלא אישר את התכנונים והחזיר אותם לפיזיקה לתכנון חוזר. בשעה 12:00 נתבקש הרופא לדחות את המטופלים אולם לא ביצע זאת. המטופלים נדחו בסופו של דבר כאשר אחד מהם כבר הגיע למכון ואת השני השיגו לפני שיצא מביתו.</t>
  </si>
  <si>
    <t>מטופל עם מסיכת CIVCO. במוקד של SCAPULA ה- CBCT הוגדר בטעות על סיבוב מלא וגרם להתנגשות של הגנטרי עם המסיכה.</t>
  </si>
  <si>
    <t>תיק טיפול הגיע ל RTTQA עם מרשם ב Draft</t>
  </si>
  <si>
    <t>להקפיד על שמות תואמים ועל שדות סטאפ לכל בולוס</t>
  </si>
  <si>
    <t>דרור, ענת, ליטל, סיגל, אמינה ורן</t>
  </si>
  <si>
    <t>דימה ינחה את הפיזיקאים לקחת ברצינות את הבקשיות לבדיקה משאר צוות.</t>
  </si>
  <si>
    <t>הנחיות מיוחדות צריכות להיכתב באופן מפורש וברור. ישנה חשיבות לכתיבה והתאמה של הערכים ב setup notes</t>
  </si>
  <si>
    <t>לאחר תקלות במאיץ אשר עלולות להשיפיע על המנות שיקבל המטופל האחריות על וידוא של המנה למטופל תהיה תואמל לתכנון היא משותפת לכל הסקטרים הרלבנטיים. במקרה של נפילת המאיץ יש לבדוק כשעה אחרי שהטיפול נרשם. דיווח יעבור לניהול סיכונים ווריאן.</t>
  </si>
  <si>
    <t>כאשר פיזיקאי רווצה לדחות תיק יש לידע את הרופא ו- RTTQA וכן לשלוח מייל לזימון תורים.</t>
  </si>
  <si>
    <t>לשים לב. טעות אנוש.</t>
  </si>
  <si>
    <t xml:space="preserve">להוסיף ל check list של אישור רופא לוודא שהמרשם מאושר. פיזיקאי לא יתכנן אם המרשם אינו מאושר. </t>
  </si>
  <si>
    <t>מספר דיווחים לשנה</t>
  </si>
  <si>
    <t>זיהוי בזימון: הקפדה על זיהוי מטופל לפי הנוהל לוודא הקלדת ת.ז. נכונה במערכות הזימון. במקרה של חשש לאי-התאמה, המזכירות תבצע זיהוי כפול מול המטופל.</t>
  </si>
  <si>
    <t>שימוש בתבניות (Templates): תכנון TSI יבוצע על גבי תבניות מוכנות מראש למניעת טעויות כיוון. חובת "פסק זמן" לבדיקת כיוונים לפני טיפול.</t>
  </si>
  <si>
    <t>לאחר השכבה של המטופלת התברר שההזות Delta Shift אינן נכונות. המטופלת הורדה מהמטיה עד תיקון ההזזות ע"י פיזיקאי.</t>
  </si>
  <si>
    <t>מאיץ1/מאיץ3</t>
  </si>
  <si>
    <t>מטופל של Prostatic Bed + LN בשם של התכנית רשום Prostatic Bed בלבד. יש צורך להוסיף לשם LN על מנת שהרנטגנאים במאיץ ידעו להוסיף 3 ס"מ לסריקה של ה CBCT</t>
  </si>
  <si>
    <t>דרור, דימה, ענת, ליטל, יותם, סיגל ורן</t>
  </si>
  <si>
    <t>מטופלת התחילה טיפול כשהיא בצום של 3 שעות לפני הטיפול. לא היה ברור בהנחיות הרפאויות אם צריך או לא צום.</t>
  </si>
  <si>
    <t>רענון הנחיות לצוות רופאים.</t>
  </si>
  <si>
    <t>להקפיד לאפס את המרכז וכן לבדוק בחתימה שניה.</t>
  </si>
  <si>
    <t>תתקיים ישיבה של רופאים + פיזקאים על סטנדרטיזציה של שמות ובדיקה של תכנונים.</t>
  </si>
  <si>
    <t>בטיפול ראשון ל- D10 ההזזות לא היו נכונות Delta Shift. בבירור מול פיזיקה התברר שכל מרכז נעשה בסימולציה אחרת עם מרכזים שונים. המטופל הוזמן לסימולציה חוזרת. בנוסף, היה תעוד ל D4 אך היה תכנון ל L4.</t>
  </si>
  <si>
    <t>מטופל הגיע אחרי הכנה סיעודית לסימולצייה עם חומר ניגוד בהזרקה. בטופס סימולציה נכתב שהמטופל אסמטי. ביברור עם מתמחה + רופא בכיר התברר שאין להזריק למטופל חומר ניגוד.</t>
  </si>
  <si>
    <t>הנחיות מנוגדות בטופס סימולציה. לא ברור אם צריך שלפוחית ריקה או מלאה.</t>
  </si>
  <si>
    <t>מטופלת הגיעה לסימולציה עם טופס סימולציה לרקטום. המטופלת כבר מקבלת טיפול לרקטום. נמצא שקיים גליון קרינה נוסף לסימולציה לריאה.</t>
  </si>
  <si>
    <t>מטופל ריאה תוכנן על FB במקום BH. ב CBCT במאיץ לא ניתן היה למקם את המטופל עכב כך. לאחר שהוחלט לטפל ב FB הכל הסתדר.</t>
  </si>
  <si>
    <t>סימולציה נעשתה ב Experiume. במרשם של Aria  לא היה תעוד, לכן תוכנן כ FB.</t>
  </si>
  <si>
    <t>מטופל עבר סימולציה ב 5/2/26 לאגן ולצלע. המטופל קיבל ב 1/3/26 טיפול לאגן בלבד. למטופל נקבעה סימולציה חוזרת עקב שינוי במוקד השני, אולם, לא היה תעוד מעודכן במערכות השונות וללא טופס סימולציה חדש. עקב כך, כמעט ונסרק לשני האזורים על פי הטופס הקודם שהיה עדין בתוקף מבחינת התאריך. הארוע נעצר על ידי רנטגנאית שהכירה את המקרה.</t>
  </si>
  <si>
    <t>הזזות מרכז (Delta Shift) לא נכונות כיוון שלא שלחו את המרכז ל- BB's</t>
  </si>
  <si>
    <t>בטיפול TSI ניתן פעמיים שדה AP Upper במקום AP Upper + AP Lower. הוחלט ע"י הרופא המטפל שבטיפול הבא יקבל פעמיים AP Lower.</t>
  </si>
  <si>
    <t>מטופלת Simless נסרקה וטופלה ללא הסכמה לטיפול חתומה. המטופלת השלימה את הטיפול לפני שנתגלה.</t>
  </si>
  <si>
    <t>דרור,ענת, ליטל,סיגל, רן</t>
  </si>
  <si>
    <t>בוצע רענון לצוות המכון.</t>
  </si>
  <si>
    <t>להקפיד על הנחיות ברורות לצוות המטפל.</t>
  </si>
  <si>
    <t>להנחות את הרופאים להוסיף הערה לטופף במידה ויש סימולציה נוספת</t>
  </si>
  <si>
    <t>להוסיף טופס סימולציה לכל סריקה חדשה</t>
  </si>
  <si>
    <t>פיזיקאי צריך להקפיד לוודא שה BB במקום או לאפס אותו אם צריך.</t>
  </si>
  <si>
    <t>להקפיד שהקבלה והסימולציה לא תעשה באותו היום.</t>
  </si>
  <si>
    <t>יש לשים לב שהסימונים הם על סריקה הנכונה ושכיימת הנחיה תואמת במרשם. כשפיזקאי מתכנן על BH יש להקפיד לשייך את עקומת הנשימה.</t>
  </si>
  <si>
    <t>קיימת שגיאה בהגבלות של השלפוחית בתבנית של המרשם GI - rectum short ההגבלה של המנה המקסימאלית לשלפוחית מוחלפת עם ההגבלה למנה המקסימאלית. בנוסף, הרופא המטפל לא חתם על הסימונים.</t>
  </si>
  <si>
    <t>פליאציה שוחררה לפיזיקה ב 3/6 ב 7 בבוקר (סימולציה נעשתה ב 1/6 ערב חג) עם תור לשעה 15:20. נעשה תכנון רק לאחר שהמטופלת הגיעה לטיפול. התיק שוחרר מהפיזיקה בשעה 17:23.</t>
  </si>
  <si>
    <t>בטיפול השני לאלקטרונים באזור הגבה. צריך היה לסמן על המטופלת ללא מסיכה ולטפל כמו בסימון קליני. במקום זאת נעשה סימון על המסכה ולא ניתן היה לראות את הצלקת. זווית הקולימטור עם אבן אישית לא התאימה לסימון.</t>
  </si>
  <si>
    <t>בוצעה סימולציה חוזרת עקב שגיאה באזור הטיפול. נכתב ע"י מתמחה טיפול ל- D4 ושונה ע"י רופא בכיר ל- L4.</t>
  </si>
  <si>
    <t>אזור הטיפול בכמיליון נכתב ל- RLL כאשר ב- Aria נכתב באופן שגוי מרשם ל- RUL. בפועל סומן ותוכנן ל- RLL. למטופלת מספר נגעים גם ב- RUL (לא לטיפול קרינתי).</t>
  </si>
  <si>
    <t>בטיפול ראש צוואר עם תכנית 25x2Gy=50Gy + בוסט 8x2Gy=16Gy למנה כוללת של 66Gy; המרשם של הבוסט נכתב ל 33 פרקציות במקום התוספת של 8 פרקציות למנה המשלימה.</t>
  </si>
  <si>
    <t>ייצוא מחדש: בכל שינוי תכנית SRS, יש לייצא מחדש ל- Exactrac ולעדכן את ה-RTTQA וצוות המאיץ לפני הטיפול.</t>
  </si>
  <si>
    <t>עצירת תהליך: אין לקדם תיק ל- QA או לטיפול ללא מרשם חתום. התיק יוחזר מיידית לרופא להשלמה.</t>
  </si>
  <si>
    <t>שליחת PTV: על הפיזיקאי בחתימה שנייה והרופא באישור התכנית לוודא שליחת PTV למערכת ל- ARIA.</t>
  </si>
  <si>
    <t>כתיבה ובקרה למרשמים: ביצוע בדיקה למספר הפרקציות והמנה הכוללת ע"י הפיזיקאי והרופא לפני שחרור התיק.</t>
  </si>
  <si>
    <t>איסור טיפול ללא QA: אין להתחיל טיפול ללא מדידה אלא אם מנהל אישר את החריגה. RTTQA יבצע בקרה על השלמת התהליך לפני מועד תחילת הטיפולים.</t>
  </si>
  <si>
    <t>נוהל קוצבים: הרופא יקפיד על רישום "קוצב לב" בטופס הסימולציה ובמרשם (Note).</t>
  </si>
  <si>
    <t>נוהל דחופים: תיקים פליאטיבים יועברו ישירות לפיזיקאי תורן לתכנון מיידי. נוהל פיזיקאי תורן ייכתב ויוגדרו המשימות, תחומי האחריות, ולוחות הזמנים שלו.</t>
  </si>
  <si>
    <t>הכנת תיק: הנחיות סימולציה ופרוטוקול הקרינה חייבים להיכתב ולהיות תואמים לפני כניסת המטופל לחדר הסימולציה.</t>
  </si>
  <si>
    <r>
      <t xml:space="preserve">חיתוך מסיכה: בטיפולי אלקטרונים הדורשים דיוק על העור, </t>
    </r>
    <r>
      <rPr>
        <sz val="12"/>
        <color theme="1"/>
        <rFont val="Arial"/>
        <family val="2"/>
      </rPr>
      <t xml:space="preserve">בזמן הסימולציה יש צורך להדביק </t>
    </r>
    <r>
      <rPr>
        <sz val="12"/>
        <color theme="1"/>
        <rFont val="Times New Roman"/>
        <family val="1"/>
      </rPr>
      <t>Wire</t>
    </r>
    <r>
      <rPr>
        <sz val="12"/>
        <color theme="1"/>
        <rFont val="Arial"/>
        <family val="2"/>
      </rPr>
      <t xml:space="preserve"> במהלך הכנת המסכה ולגזור אותה. יש לקרוא לרופא לבדוק את השדה בטיפול הראשון.</t>
    </r>
  </si>
  <si>
    <t>אימות אזור טיפול: רופא בכיר יאמת את אזור הטיפול המדויק והתיעוד אחרי המתמחה ולפני ביצוע הסריקה כדי למנוע שגיאות וקרינה מיותרת.</t>
  </si>
  <si>
    <t>אחידות רישום: רופא יוודא התאמה מלאה של שם האיבר והצד בין המרשם ב-ARIA לפרוטוקול בכמיליון לפני אישור.</t>
  </si>
  <si>
    <t>העדר תיעוד לצום בטופס הסימולציה ובקמליון. במרשם ב- Aria נדרש צום של 3 שעות לפני הטיפול.</t>
  </si>
  <si>
    <t>בטיפול שני PULSAR בוצעה סריקת CBCT למטופלת ואז נודע לצוות המטפל שהטיפול האימונולוגי שנדחה לחמישה ימים לאחר הטיפול במקום יומיים לפי הפרוטוקול. המטופלת הורדה מהשולחן והטיפול נדחה. הרופא המטפל לא ידע על דחית הטיפול האימונולוגי.</t>
  </si>
  <si>
    <t>אנו מבקשים לדון על המקרים בהם ניתנות הנחיות נשימה (ins/exp BH) במקום שימוש בלוחץ בטן. במקרים אלו התחושה שהטיפול פחות איכותי עקב הקושי של המטופלים להחזיק את הנשימה. הטיפול מלווה בהרבה עצירות גם ב CBCT ואפילו בתזוזות של המטופלים.</t>
  </si>
  <si>
    <t>תתקיים שיחה עם הרופא המטפל.</t>
  </si>
  <si>
    <t>בטיפול 3 מתוך 5 הוחלט ע"י רופא לשנות את התכנון ל- VMAT. התכנית שונתה אך לא אושרה לטיפול. הרנטגנאים במאיץ וב QA לא ידעו על השינוי.</t>
  </si>
  <si>
    <t>טיפול לצד ימין עם גאנטרי שיורד מצד שמאל. הגאנטרי כמעט פגע במטופלת.</t>
  </si>
  <si>
    <t>מטופלת הגיעה לסימולציה ל SBRT כבד. למטופלת רגישות ליוד מתועדת בתיק עם קריאטנין גבוה ותלות כרונית CRN. למרות זאת, בטופס הסימולציה נכתבה בקשה להזרקת חומר ניגוד.</t>
  </si>
  <si>
    <t>סימונים שגויים בלימבוס של חוליות ע"ש. הרופא חתם על הסימונים ללא בקרה. הסימון של הגידול נכון. רצוי למחוק סימונים שגויים ולא לחתום עליהם.</t>
  </si>
  <si>
    <t>מטופלת עם קוצב לב מתועד בקמליון לא תועד במרשם. התכנית תוכננה באנרגיה גבוהה.</t>
  </si>
  <si>
    <t>במרשמים ב Aria וקמליון נכתב מרשם ל 55Gy עם  2.75Gy ליום. בפועל תוכנן 52.5Gy עם 2.625Gy ליום.</t>
  </si>
  <si>
    <t>נעשתה סימולציה לילדה בת 4.5 ללא הרדמה. במהלך הטיפולים לא ניתן היה לטפל ללא הרדמה. הרופא המטפל אישר לתת את שארית הטיפולים בהרדמה ללא סימולציה חוזרת.</t>
  </si>
  <si>
    <t>במהלך סיכום טיפול הבחנתי שבקמליון רשום גידול בטן. בפועל בתכנון ובטיפול קיבלה עמוד שדרה ובטן + S1+ Lt Ilium</t>
  </si>
  <si>
    <t>שמות השדות בתכנית אינם תואמים לגודל הקשת בפועל. קיימת סכנה של התנגשות גנטרי במטופלת</t>
  </si>
  <si>
    <t>להקפיד על בדיקת שמות בחתימה שניה. ננסה להוסיף תהליך בקרה אוטומטית</t>
  </si>
  <si>
    <t>יש למלא פרטים מלאים בקמליון. במסיכה חדשה יש לתעד על המסיכה ובקמליון שהמסיכה חדשה.</t>
  </si>
  <si>
    <t>פיזיקאי רשאי לשנות מרשם ולשמור בדראפט על מנת שהרופא מטפל יחתום.</t>
  </si>
  <si>
    <t>דרור, ענת, יותם, עומר, דימה, אורית, ליטל, רן, ציפי, ישראל (סורוקה), שלומי, רות, יוני</t>
  </si>
  <si>
    <t>מטופלת הגיע לסימולציה עם טופס לשד ימין + בלוטות. בקבלה בקמליון כתוב שד שמאל. המטופלת עברה ניתוח בשני הצדדים.</t>
  </si>
  <si>
    <t>מטופלת לאיליום שמאל. במכתב קבלה ובקמליון כתוב איליום ימין. סימולציה, סימון ותכנון נעשו לאיליום שמאל.</t>
  </si>
  <si>
    <t>מבקשים לא לעשות Schedule לתכנונים של ברכי. ה Schedule יעשה בקונסולה של הברכי על ידי הרנטגנאי המטפל.</t>
  </si>
  <si>
    <t>מטופל לא הגיע לטיפולים באופן רציף. נעשתה סימולציה חדשה עם מסיכה חדשה ותכנית חדשה. ב Care Path יש x על הסימולציה ולא תועד כראוי בקמליון. על המסיכה לא נרשם שהמסיכה חדשה.</t>
  </si>
  <si>
    <t xml:space="preserve">באחריות הרופא המטפל להקפיד על רישום נכון של צד הטיפול. תבחן אפשרות של שינויים בתהליך של בקרת התיקים (QA) תוך התמקדות על ההיבטים הקליניים של המקרים בישיבה. </t>
  </si>
  <si>
    <t>יש להקפיד לבדוק כיווני גאנטרי בחתימה השניה וכן ב QA. בקרוב תכנס לפעילות בדיקה של SunCheck שיבדוק זאת.</t>
  </si>
  <si>
    <t>תתקיים שיחה עם הרופא המטפל. ברירת המחדל של הטופס סימולציה תשונה: ללא חומר ניגוד.</t>
  </si>
  <si>
    <t>פיזיקאים רשאים למחוק סימונים מיותרים.</t>
  </si>
  <si>
    <t>בברכי פיזיקאי ישאיר את ה Schedule לרנטגנאי.</t>
  </si>
  <si>
    <t>רופא יקפיד לתעד ב Note במרשם ובטופס סימולציה שיש למטופל קוצב לב</t>
  </si>
  <si>
    <t>ילדים המגיעים לטיפול בגיל גבולי של טיפול בהרדמה או לא צריך להכין אותם לסימולציה וטיפול בצום גם אם לא יקבלו טיפול בהרדמה. זאת משום שאם בטיפול יהיה צורך להרדים את הילד ניתן יהיה לעשות זאת.</t>
  </si>
  <si>
    <t>יש להקפיד על רישום מדויק של מוקדי הטיפול. אם יש שינויים יש להקפיד לעדכן את הקמליון. </t>
  </si>
  <si>
    <t>שינוי</t>
  </si>
  <si>
    <t>הסימונים בטיפול שד עם Breath Hold (BH) סומנו ונחתמו על הסריקה של Free Breathing (FB).</t>
  </si>
  <si>
    <t>יש לשים לב שהסימונים הם על סריקה הנכונה ושקיימת הנחיה תואמת במרשם. להקפיד בתכנון על BH לשייך את עקומת הנשימה.</t>
  </si>
  <si>
    <t>טופס סימולציה אינו תואם את הפרוטוקול הקרינה. בטופס ביקשו להתחיל את הסריקה ב L3 מצד אחד ולטפל בבלוטות מצד שני. עבור בלוטות נדרשת סריקה ארוכה יותר.</t>
  </si>
  <si>
    <t xml:space="preserve"> תיבדק התבנית (template)  של פרוסטטה עם בלוטות.</t>
  </si>
  <si>
    <t>יבוצע תיקון לתבנית של GI - rectum short</t>
  </si>
  <si>
    <t>יתבצע רענון לצוות הרופאים והמתמחים</t>
  </si>
  <si>
    <t>במהלך שינויים בתכנון הפיזיקאי המתכנן יידע את RTTQA וכן את זימון תורים אם קיים שינוי במועד הטיפול.</t>
  </si>
  <si>
    <t>על צוות הרופאים לידע את המטופלים שלהם שאם יש שינוי בטיפול האימונולוגי יש להודיע על כך לרופא הקרינה על מנת שנוכל לשנות את מועד הטיפול.</t>
  </si>
  <si>
    <t>מטופל נסרק בטעות עם שלפוחית מלאה למרות הנחיות בטופס סימולציה לשלפוחית ריקה. בהנחית הרופא המטפל ניתן טיפול עם שלפוחית מלאה.</t>
  </si>
  <si>
    <t>ללא הנחיות מיוחדות</t>
  </si>
  <si>
    <t>תתקיים שיחה על המקרים עם הרופא המטפל.</t>
  </si>
  <si>
    <t>המטופל עבר סימולציה עם vaclock+bionix בשכיבת Frog. המטופל מתקשה מאד להיכנס ולצאת לפוזיציה של ההשכבה. קיימת סכנה ממשית לנפילה משולחן הטיפול בעת ההשכבה של המטופל. המטופל בן 75 ומקבל 20 פרקציות. קיימת תחושה בקרב הצוות המטפל שהרופא המטפל לא התייחס בכובד ראש לטענות.</t>
  </si>
  <si>
    <t>מטופל קיבל טיפול כימי 4 ימים לפני הקרינה. רופאה אמרה לו שניתן לקבל קרינה רק 10 ימים אחרי. בבירור עם הרופאים הטיפול נדחה ב 4 ימים</t>
  </si>
  <si>
    <t>בישיבת QA תיק נדחה על מנת להוריד מנת טיפול. נוצר Update Care Path אך לא תוכנן. הרופא המתכנן קיבל הודעה ב whats up.</t>
  </si>
  <si>
    <t>בישיבת QA תיק נדחה. הרופא המטפל קיבל הודעה מספר ימים לפני הטיפול, ללא התייחסות. ביום הטיפול הרופא אישר את התכנון.</t>
  </si>
  <si>
    <t xml:space="preserve"> תיק של מטופל הגיע ל RTTQA. במקרה נודע שלמטופל יש קוצב לב. רק במכתב קבלה מצויין שיש קוצב. </t>
  </si>
  <si>
    <t>מטופלת בת 94 עם קושי בהשכבה. ה- CVRT היה 33cm. לא ניתן היה לעשות CBCT והגנטרי נתקע במיטה.</t>
  </si>
  <si>
    <t>לאחרונה הגיעו מספר מקרים של תכנון שד בהם גובה המיטה נמוך מדי. חשוב שבתכנון גובה המיטה (CVRT) לא יעבור את 30cm.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</si>
</sst>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B1mmm\-yy"/>
    <numFmt numFmtId="165" formatCode="0.0"/>
    <numFmt numFmtId="166" formatCode="[$-1010000]d/m/yyyy;@"/>
    <numFmt numFmtId="167" formatCode="0.0%"/>
    <numFmt numFmtId="168" formatCode="[$-1010000]d\.m\.yy;@"/>
  </numFmts>
  <fonts count="21" x14ac:knownFonts="1">
    <font>
      <sz val="11"/>
      <color theme="1"/>
      <name val="Arial"/>
      <family val="2"/>
      <charset val="177"/>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Arial"/>
      <family val="2"/>
      <scheme val="minor"/>
    </font>
    <font>
      <b/>
      <sz val="14"/>
      <color theme="1"/>
      <name val="Arial"/>
      <family val="2"/>
      <scheme val="minor"/>
    </font>
    <font>
      <sz val="16"/>
      <color theme="1"/>
      <name val="Arial"/>
      <family val="2"/>
      <charset val="177"/>
      <scheme val="minor"/>
    </font>
    <font>
      <b/>
      <sz val="12"/>
      <color theme="1"/>
      <name val="Arial"/>
      <family val="2"/>
      <scheme val="minor"/>
    </font>
    <font>
      <sz val="11"/>
      <color theme="1"/>
      <name val="Arial"/>
      <family val="2"/>
      <charset val="177"/>
      <scheme val="minor"/>
    </font>
    <font>
      <sz val="11"/>
      <color theme="1"/>
      <name val="Arial"/>
      <family val="2"/>
      <scheme val="minor"/>
    </font>
    <font>
      <sz val="11"/>
      <color rgb="FF000000"/>
      <name val="Arial"/>
      <family val="2"/>
      <scheme val="minor"/>
    </font>
    <font>
      <sz val="11"/>
      <color theme="1"/>
      <name val="Calibri"/>
      <family val="2"/>
    </font>
    <font>
      <sz val="11"/>
      <color rgb="FF000000"/>
      <name val="Arial"/>
      <family val="2"/>
    </font>
    <font>
      <sz val="11"/>
      <color theme="1"/>
      <name val="Arial"/>
      <family val="2"/>
    </font>
    <font>
      <vertAlign val="superscript"/>
      <sz val="11"/>
      <color theme="1"/>
      <name val="Arial"/>
      <family val="2"/>
      <scheme val="minor"/>
    </font>
    <font>
      <b/>
      <sz val="11"/>
      <color theme="1"/>
      <name val="Arial"/>
      <family val="2"/>
    </font>
    <font>
      <sz val="11"/>
      <name val="Arial"/>
      <family val="2"/>
      <scheme val="minor"/>
    </font>
    <font>
      <sz val="8"/>
      <name val="Arial"/>
      <family val="2"/>
      <charset val="177"/>
      <scheme val="minor"/>
    </font>
    <font>
      <sz val="12"/>
      <color theme="1"/>
      <name val="Times New Roman"/>
      <family val="1"/>
    </font>
    <font>
      <sz val="12"/>
      <color theme="1"/>
      <name val="Arial"/>
      <family val="2"/>
    </font>
  </fonts>
  <fills count="7">
    <fill>
      <patternFill patternType="none"/>
    </fill>
    <fill>
      <patternFill patternType="gray125"/>
    </fill>
    <fill>
      <patternFill patternType="solid">
        <fgColor rgb="FFCCFFCC"/>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CCFFFF"/>
        <bgColor indexed="64"/>
      </patternFill>
    </fill>
  </fills>
  <borders count="26">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9" fillId="0" borderId="0" applyFont="0" applyFill="0" applyBorder="0" applyAlignment="0" applyProtection="0"/>
  </cellStyleXfs>
  <cellXfs count="132">
    <xf numFmtId="0" fontId="0" fillId="0" borderId="0" xfId="0"/>
    <xf numFmtId="0" fontId="0" fillId="0" borderId="2" xfId="0" applyBorder="1"/>
    <xf numFmtId="0" fontId="0" fillId="0" borderId="1"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1" xfId="0" applyFill="1" applyBorder="1"/>
    <xf numFmtId="0" fontId="0" fillId="0" borderId="7" xfId="0" applyBorder="1"/>
    <xf numFmtId="164" fontId="0" fillId="0" borderId="0" xfId="0" applyNumberFormat="1"/>
    <xf numFmtId="2" fontId="0" fillId="0" borderId="0" xfId="0" applyNumberFormat="1"/>
    <xf numFmtId="165" fontId="0" fillId="0" borderId="0" xfId="0" applyNumberFormat="1"/>
    <xf numFmtId="1" fontId="0" fillId="0" borderId="0" xfId="0" applyNumberFormat="1"/>
    <xf numFmtId="0" fontId="0" fillId="0" borderId="0" xfId="0" applyAlignment="1" applyProtection="1">
      <alignment horizontal="center" vertical="center" wrapText="1"/>
    </xf>
    <xf numFmtId="0" fontId="0" fillId="0" borderId="0" xfId="0" applyAlignment="1">
      <alignment horizontal="center" vertical="center" wrapText="1"/>
    </xf>
    <xf numFmtId="0" fontId="0" fillId="0" borderId="8" xfId="0" applyBorder="1"/>
    <xf numFmtId="0" fontId="0" fillId="0" borderId="0" xfId="0" applyFont="1" applyAlignment="1" applyProtection="1">
      <alignment horizontal="center" vertical="center" wrapText="1"/>
    </xf>
    <xf numFmtId="0" fontId="7"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right" vertical="center"/>
    </xf>
    <xf numFmtId="0" fontId="0" fillId="0" borderId="0" xfId="0"/>
    <xf numFmtId="0" fontId="0" fillId="0" borderId="0" xfId="0"/>
    <xf numFmtId="0" fontId="0" fillId="0" borderId="0" xfId="0"/>
    <xf numFmtId="0" fontId="0" fillId="0" borderId="0" xfId="0"/>
    <xf numFmtId="0" fontId="0" fillId="0" borderId="0" xfId="0"/>
    <xf numFmtId="0" fontId="8" fillId="0" borderId="6" xfId="0" applyFont="1" applyBorder="1" applyAlignment="1">
      <alignment horizontal="center" vertical="center" wrapText="1"/>
    </xf>
    <xf numFmtId="0" fontId="0" fillId="0" borderId="6" xfId="0" applyBorder="1" applyAlignment="1">
      <alignment horizontal="center" vertical="center"/>
    </xf>
    <xf numFmtId="0" fontId="0" fillId="0" borderId="6" xfId="0" applyBorder="1"/>
    <xf numFmtId="166" fontId="0" fillId="0" borderId="0" xfId="0" applyNumberFormat="1" applyAlignment="1">
      <alignment horizontal="center" vertical="center"/>
    </xf>
    <xf numFmtId="0" fontId="0" fillId="0" borderId="6" xfId="0" applyBorder="1" applyAlignment="1">
      <alignment vertical="center" wrapText="1"/>
    </xf>
    <xf numFmtId="0" fontId="10" fillId="0" borderId="6" xfId="0" applyFont="1" applyBorder="1" applyAlignment="1">
      <alignment vertical="center" wrapText="1"/>
    </xf>
    <xf numFmtId="0" fontId="13" fillId="0" borderId="6" xfId="0" applyFont="1" applyBorder="1" applyAlignment="1">
      <alignment horizontal="right" vertical="center" wrapText="1" readingOrder="2"/>
    </xf>
    <xf numFmtId="0" fontId="0" fillId="0" borderId="6" xfId="0" applyBorder="1" applyAlignment="1">
      <alignment horizontal="right" vertical="center" wrapText="1" readingOrder="2"/>
    </xf>
    <xf numFmtId="0" fontId="0" fillId="0" borderId="6" xfId="0" applyBorder="1" applyAlignment="1">
      <alignment vertical="center"/>
    </xf>
    <xf numFmtId="0" fontId="0" fillId="0" borderId="6" xfId="0" applyFill="1" applyBorder="1" applyAlignment="1">
      <alignment vertical="center"/>
    </xf>
    <xf numFmtId="0" fontId="0" fillId="0" borderId="6" xfId="0" applyFill="1" applyBorder="1" applyAlignment="1">
      <alignment horizontal="right" vertical="center"/>
    </xf>
    <xf numFmtId="0" fontId="0" fillId="0" borderId="6" xfId="0" applyFill="1" applyBorder="1" applyAlignment="1">
      <alignment vertical="center" wrapText="1"/>
    </xf>
    <xf numFmtId="0" fontId="11" fillId="0" borderId="6" xfId="0" applyFont="1" applyBorder="1" applyAlignment="1">
      <alignment vertical="center" wrapText="1"/>
    </xf>
    <xf numFmtId="0" fontId="10" fillId="0" borderId="6" xfId="0" applyFont="1" applyBorder="1" applyAlignment="1">
      <alignment horizontal="right" vertical="center" wrapText="1"/>
    </xf>
    <xf numFmtId="0" fontId="0" fillId="0" borderId="6" xfId="0" applyFill="1" applyBorder="1" applyAlignment="1">
      <alignment horizontal="left" vertical="center"/>
    </xf>
    <xf numFmtId="0" fontId="0" fillId="0" borderId="6" xfId="0" applyBorder="1" applyAlignment="1">
      <alignment horizontal="left" vertical="center"/>
    </xf>
    <xf numFmtId="0" fontId="0" fillId="0" borderId="9" xfId="0" applyBorder="1"/>
    <xf numFmtId="0" fontId="4" fillId="0" borderId="6" xfId="0" applyFont="1" applyBorder="1" applyAlignment="1">
      <alignment wrapText="1"/>
    </xf>
    <xf numFmtId="0" fontId="14" fillId="0" borderId="6" xfId="0" applyFont="1" applyBorder="1" applyAlignment="1">
      <alignment horizontal="right" vertical="center" wrapText="1" readingOrder="2"/>
    </xf>
    <xf numFmtId="0" fontId="0" fillId="0" borderId="6" xfId="0" applyBorder="1"/>
    <xf numFmtId="9" fontId="0" fillId="0" borderId="8" xfId="1" applyFont="1" applyBorder="1"/>
    <xf numFmtId="9" fontId="0" fillId="0" borderId="10" xfId="1" applyFont="1" applyBorder="1"/>
    <xf numFmtId="9" fontId="0" fillId="0" borderId="6" xfId="1" applyFont="1" applyBorder="1"/>
    <xf numFmtId="0" fontId="11" fillId="0" borderId="6" xfId="0" applyFont="1" applyBorder="1" applyAlignment="1">
      <alignment wrapText="1"/>
    </xf>
    <xf numFmtId="0" fontId="0" fillId="0" borderId="6" xfId="0" applyBorder="1" applyAlignment="1">
      <alignment vertical="center" wrapText="1" readingOrder="2"/>
    </xf>
    <xf numFmtId="166" fontId="0" fillId="0" borderId="0" xfId="0" applyNumberFormat="1" applyAlignment="1" applyProtection="1">
      <alignment horizontal="center" vertical="center" wrapText="1"/>
    </xf>
    <xf numFmtId="0" fontId="6" fillId="0" borderId="6" xfId="0" applyFont="1" applyBorder="1" applyAlignment="1">
      <alignment horizontal="center" vertical="center"/>
    </xf>
    <xf numFmtId="0" fontId="0" fillId="0" borderId="0" xfId="0" applyBorder="1" applyAlignment="1">
      <alignment vertical="center"/>
    </xf>
    <xf numFmtId="0" fontId="6" fillId="0" borderId="6" xfId="0" applyFont="1" applyBorder="1" applyAlignment="1">
      <alignment horizontal="center" vertical="center" wrapText="1"/>
    </xf>
    <xf numFmtId="0" fontId="0" fillId="0" borderId="6" xfId="0" applyFill="1" applyBorder="1" applyAlignment="1">
      <alignment horizontal="right" vertical="center" wrapText="1"/>
    </xf>
    <xf numFmtId="0" fontId="0" fillId="0" borderId="6" xfId="0" applyBorder="1" applyAlignment="1">
      <alignment horizontal="right" vertical="center" wrapText="1"/>
    </xf>
    <xf numFmtId="0" fontId="0" fillId="0" borderId="0" xfId="0" applyAlignment="1">
      <alignment horizontal="center" vertical="center"/>
    </xf>
    <xf numFmtId="0" fontId="0" fillId="2" borderId="6" xfId="0" applyFill="1" applyBorder="1" applyAlignment="1">
      <alignment horizontal="right" vertical="center"/>
    </xf>
    <xf numFmtId="0" fontId="5" fillId="2" borderId="11" xfId="0" applyFont="1" applyFill="1" applyBorder="1" applyAlignment="1">
      <alignment horizontal="center" vertical="center"/>
    </xf>
    <xf numFmtId="0" fontId="11" fillId="0" borderId="6" xfId="0" applyFont="1" applyBorder="1"/>
    <xf numFmtId="0" fontId="13" fillId="0" borderId="6" xfId="0" applyFont="1" applyBorder="1" applyAlignment="1">
      <alignment horizontal="justify" vertical="center" wrapText="1" readingOrder="2"/>
    </xf>
    <xf numFmtId="0" fontId="11" fillId="0" borderId="6" xfId="0" applyFont="1" applyBorder="1" applyAlignment="1">
      <alignment horizontal="right" vertical="center"/>
    </xf>
    <xf numFmtId="0" fontId="0" fillId="0" borderId="12" xfId="0" applyBorder="1" applyAlignment="1">
      <alignment horizontal="left" vertical="center" wrapText="1"/>
    </xf>
    <xf numFmtId="0" fontId="0" fillId="0" borderId="12" xfId="0" applyBorder="1"/>
    <xf numFmtId="0" fontId="0" fillId="0" borderId="6" xfId="0" applyBorder="1" applyAlignment="1">
      <alignment horizontal="right" wrapText="1"/>
    </xf>
    <xf numFmtId="0" fontId="0" fillId="0" borderId="0" xfId="0" applyBorder="1" applyAlignment="1">
      <alignment vertical="center" wrapText="1"/>
    </xf>
    <xf numFmtId="0" fontId="0" fillId="0" borderId="9" xfId="0" applyBorder="1" applyAlignment="1">
      <alignment vertical="center"/>
    </xf>
    <xf numFmtId="0" fontId="0" fillId="0" borderId="13" xfId="0" applyBorder="1"/>
    <xf numFmtId="0" fontId="0" fillId="0" borderId="13" xfId="0" applyFill="1" applyBorder="1"/>
    <xf numFmtId="0" fontId="11" fillId="0" borderId="0" xfId="0" applyFont="1" applyAlignment="1">
      <alignment wrapText="1"/>
    </xf>
    <xf numFmtId="0" fontId="16" fillId="0" borderId="6" xfId="0" applyFont="1" applyBorder="1" applyAlignment="1">
      <alignment horizontal="right" vertical="center" wrapText="1" readingOrder="2"/>
    </xf>
    <xf numFmtId="0" fontId="11" fillId="0" borderId="6" xfId="0" applyFont="1" applyBorder="1" applyAlignment="1">
      <alignment horizontal="right" vertical="center" wrapText="1"/>
    </xf>
    <xf numFmtId="0" fontId="0" fillId="0" borderId="6" xfId="0" applyBorder="1" applyAlignment="1">
      <alignment horizontal="right" vertical="top" wrapText="1"/>
    </xf>
    <xf numFmtId="1" fontId="0" fillId="0" borderId="0" xfId="0" applyNumberFormat="1" applyAlignment="1">
      <alignment vertical="center"/>
    </xf>
    <xf numFmtId="166" fontId="6" fillId="0" borderId="6" xfId="0" applyNumberFormat="1" applyFont="1" applyBorder="1" applyAlignment="1">
      <alignment horizontal="right" vertical="center" wrapText="1"/>
    </xf>
    <xf numFmtId="166" fontId="0" fillId="0" borderId="6" xfId="0" applyNumberFormat="1" applyBorder="1" applyAlignment="1">
      <alignment horizontal="center" vertical="center"/>
    </xf>
    <xf numFmtId="0" fontId="0" fillId="3" borderId="0" xfId="0" applyFill="1"/>
    <xf numFmtId="0" fontId="0" fillId="4" borderId="0" xfId="0" applyFill="1"/>
    <xf numFmtId="0" fontId="0" fillId="0" borderId="0" xfId="0" applyFill="1"/>
    <xf numFmtId="0" fontId="0" fillId="5" borderId="0" xfId="0" applyFill="1"/>
    <xf numFmtId="0" fontId="0" fillId="0" borderId="6" xfId="0" applyBorder="1" applyAlignment="1">
      <alignment wrapText="1"/>
    </xf>
    <xf numFmtId="0" fontId="6" fillId="0" borderId="10" xfId="0" applyFont="1" applyBorder="1" applyAlignment="1">
      <alignment horizontal="center" vertical="center" wrapText="1"/>
    </xf>
    <xf numFmtId="0" fontId="0" fillId="0" borderId="10" xfId="0" applyBorder="1" applyAlignment="1">
      <alignment vertical="center" wrapText="1"/>
    </xf>
    <xf numFmtId="0" fontId="10" fillId="0" borderId="10" xfId="0" applyFont="1" applyBorder="1" applyAlignment="1">
      <alignment vertical="center" wrapText="1"/>
    </xf>
    <xf numFmtId="0" fontId="11" fillId="0" borderId="10" xfId="0" applyFont="1" applyBorder="1" applyAlignment="1">
      <alignment vertical="center" wrapText="1"/>
    </xf>
    <xf numFmtId="0" fontId="10" fillId="0" borderId="10" xfId="0" applyFont="1" applyBorder="1" applyAlignment="1">
      <alignment horizontal="right" vertical="center" wrapText="1"/>
    </xf>
    <xf numFmtId="0" fontId="13" fillId="0" borderId="10" xfId="0" applyFont="1" applyBorder="1" applyAlignment="1">
      <alignment horizontal="right" vertical="center" wrapText="1" readingOrder="2"/>
    </xf>
    <xf numFmtId="0" fontId="0" fillId="0" borderId="10" xfId="0" applyBorder="1" applyAlignment="1">
      <alignment horizontal="right" vertical="center" wrapText="1" readingOrder="2"/>
    </xf>
    <xf numFmtId="0" fontId="4" fillId="0" borderId="10" xfId="0" applyFont="1" applyBorder="1" applyAlignment="1">
      <alignment wrapText="1"/>
    </xf>
    <xf numFmtId="0" fontId="14" fillId="0" borderId="10" xfId="0" applyFont="1" applyBorder="1" applyAlignment="1">
      <alignment horizontal="right" vertical="center" wrapText="1" readingOrder="2"/>
    </xf>
    <xf numFmtId="0" fontId="11" fillId="0" borderId="10" xfId="0" applyFont="1" applyBorder="1" applyAlignment="1">
      <alignment wrapText="1"/>
    </xf>
    <xf numFmtId="0" fontId="0" fillId="0" borderId="10" xfId="0" applyBorder="1" applyAlignment="1">
      <alignment vertical="center" wrapText="1" readingOrder="2"/>
    </xf>
    <xf numFmtId="0" fontId="11" fillId="0" borderId="10" xfId="0" applyFont="1" applyBorder="1"/>
    <xf numFmtId="0" fontId="13" fillId="0" borderId="10" xfId="0" applyFont="1" applyBorder="1" applyAlignment="1">
      <alignment horizontal="justify" vertical="center" wrapText="1" readingOrder="2"/>
    </xf>
    <xf numFmtId="0" fontId="11" fillId="0" borderId="10" xfId="0" applyFont="1" applyBorder="1" applyAlignment="1">
      <alignment horizontal="right" vertical="center"/>
    </xf>
    <xf numFmtId="14" fontId="0" fillId="0" borderId="6" xfId="0" applyNumberFormat="1" applyBorder="1"/>
    <xf numFmtId="0" fontId="5" fillId="2" borderId="6" xfId="0" applyFont="1" applyFill="1" applyBorder="1" applyAlignment="1">
      <alignment horizontal="right" vertical="center"/>
    </xf>
    <xf numFmtId="0" fontId="0" fillId="0" borderId="15" xfId="0" applyBorder="1"/>
    <xf numFmtId="0" fontId="0" fillId="0" borderId="16" xfId="0" applyBorder="1"/>
    <xf numFmtId="0" fontId="0" fillId="0" borderId="18" xfId="0" applyBorder="1"/>
    <xf numFmtId="0" fontId="0" fillId="0" borderId="19" xfId="0" applyBorder="1" applyAlignment="1">
      <alignment horizontal="center" vertical="center"/>
    </xf>
    <xf numFmtId="0" fontId="0" fillId="0" borderId="20" xfId="0" applyBorder="1"/>
    <xf numFmtId="0" fontId="0" fillId="0" borderId="0" xfId="0" applyFill="1" applyBorder="1" applyAlignment="1">
      <alignment vertical="center"/>
    </xf>
    <xf numFmtId="167" fontId="0" fillId="0" borderId="6" xfId="1" applyNumberFormat="1" applyFont="1" applyBorder="1" applyAlignment="1">
      <alignment vertical="center"/>
    </xf>
    <xf numFmtId="0" fontId="2" fillId="0" borderId="6" xfId="0" applyFont="1" applyBorder="1" applyAlignment="1">
      <alignment horizontal="right" vertical="center" wrapText="1"/>
    </xf>
    <xf numFmtId="0" fontId="17" fillId="0" borderId="6" xfId="0" applyFont="1" applyBorder="1" applyAlignment="1">
      <alignment vertical="center" wrapText="1"/>
    </xf>
    <xf numFmtId="0" fontId="0" fillId="0" borderId="23" xfId="0" applyFill="1" applyBorder="1" applyAlignment="1">
      <alignment horizontal="left" vertical="center"/>
    </xf>
    <xf numFmtId="0" fontId="0" fillId="0" borderId="0" xfId="0" applyAlignment="1">
      <alignment wrapText="1"/>
    </xf>
    <xf numFmtId="0" fontId="6" fillId="6" borderId="6"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6" fillId="6" borderId="6" xfId="0" applyFont="1" applyFill="1" applyBorder="1" applyAlignment="1">
      <alignment horizontal="right" vertical="center" wrapText="1"/>
    </xf>
    <xf numFmtId="166" fontId="6" fillId="6" borderId="12" xfId="0" applyNumberFormat="1" applyFont="1" applyFill="1" applyBorder="1" applyAlignment="1">
      <alignment horizontal="right" wrapText="1"/>
    </xf>
    <xf numFmtId="0" fontId="3" fillId="6" borderId="6" xfId="0" applyFont="1" applyFill="1" applyBorder="1" applyAlignment="1">
      <alignment horizontal="center" vertical="center" wrapText="1"/>
    </xf>
    <xf numFmtId="0" fontId="5" fillId="6" borderId="6" xfId="0" applyFont="1" applyFill="1" applyBorder="1" applyAlignment="1">
      <alignment horizontal="center" vertical="center" wrapText="1"/>
    </xf>
    <xf numFmtId="0" fontId="0" fillId="6" borderId="6" xfId="0" applyFill="1" applyBorder="1" applyAlignment="1">
      <alignment horizontal="right" vertical="center" wrapText="1"/>
    </xf>
    <xf numFmtId="166" fontId="0" fillId="6" borderId="6" xfId="0" applyNumberFormat="1" applyFill="1" applyBorder="1" applyAlignment="1">
      <alignment horizontal="right" vertical="center" wrapText="1"/>
    </xf>
    <xf numFmtId="166" fontId="0" fillId="6" borderId="12" xfId="0" applyNumberFormat="1" applyFill="1" applyBorder="1" applyAlignment="1">
      <alignment horizontal="right" wrapText="1"/>
    </xf>
    <xf numFmtId="168" fontId="16" fillId="0" borderId="6" xfId="0" applyNumberFormat="1" applyFont="1" applyBorder="1" applyAlignment="1">
      <alignment horizontal="center" vertical="center" wrapText="1" readingOrder="2"/>
    </xf>
    <xf numFmtId="168" fontId="0" fillId="0" borderId="6" xfId="0" applyNumberFormat="1" applyBorder="1" applyAlignment="1">
      <alignment horizontal="center" vertical="center" wrapText="1"/>
    </xf>
    <xf numFmtId="168" fontId="0" fillId="0" borderId="6" xfId="0" applyNumberFormat="1" applyBorder="1" applyAlignment="1">
      <alignment horizontal="right" vertical="center" wrapText="1"/>
    </xf>
    <xf numFmtId="9" fontId="0" fillId="0" borderId="0" xfId="1" applyNumberFormat="1" applyFont="1" applyBorder="1"/>
    <xf numFmtId="0" fontId="1" fillId="0" borderId="6" xfId="0" applyFont="1" applyBorder="1" applyAlignment="1">
      <alignment horizontal="right" vertical="center" wrapText="1"/>
    </xf>
    <xf numFmtId="14" fontId="0" fillId="0" borderId="6" xfId="0" applyNumberFormat="1" applyBorder="1" applyAlignment="1">
      <alignment vertical="center" wrapText="1"/>
    </xf>
    <xf numFmtId="0" fontId="13" fillId="0" borderId="24" xfId="0" applyFont="1" applyBorder="1" applyAlignment="1">
      <alignment horizontal="right" vertical="center" wrapText="1" readingOrder="2"/>
    </xf>
    <xf numFmtId="0" fontId="13" fillId="0" borderId="25" xfId="0" applyFont="1" applyBorder="1" applyAlignment="1">
      <alignment horizontal="right" vertical="center" wrapText="1" readingOrder="2"/>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17" xfId="0" applyBorder="1" applyAlignment="1">
      <alignment horizontal="center" vertical="center"/>
    </xf>
    <xf numFmtId="0" fontId="0" fillId="3" borderId="21" xfId="0" applyFill="1" applyBorder="1" applyAlignment="1">
      <alignment horizontal="center"/>
    </xf>
    <xf numFmtId="0" fontId="0" fillId="3" borderId="22" xfId="0"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CCFFFF"/>
      <color rgb="FF66FF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2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a:t>טבלת</a:t>
            </a:r>
            <a:r>
              <a:rPr lang="he-IL" baseline="0"/>
              <a:t> שכיחות הדיווח </a:t>
            </a:r>
            <a:r>
              <a:rPr lang="en-US" baseline="0"/>
              <a:t>[%]</a:t>
            </a:r>
            <a:endParaRPr lang="he-I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barChart>
        <c:barDir val="col"/>
        <c:grouping val="clustered"/>
        <c:varyColors val="0"/>
        <c:ser>
          <c:idx val="0"/>
          <c:order val="0"/>
          <c:spPr>
            <a:solidFill>
              <a:schemeClr val="accent1"/>
            </a:solidFill>
            <a:ln>
              <a:noFill/>
            </a:ln>
            <a:effectLst/>
          </c:spPr>
          <c:invertIfNegative val="0"/>
          <c:cat>
            <c:strRef>
              <c:f>Taxonomy!$A$2:$A$39</c:f>
              <c:strCache>
                <c:ptCount val="38"/>
                <c:pt idx="0">
                  <c:v>תיעוד לא תקין</c:v>
                </c:pt>
                <c:pt idx="1">
                  <c:v>תקשורת לקויה</c:v>
                </c:pt>
                <c:pt idx="2">
                  <c:v>מתן טיפול באופן שגוי</c:v>
                </c:pt>
                <c:pt idx="3">
                  <c:v>העברת מידע</c:v>
                </c:pt>
                <c:pt idx="4">
                  <c:v>סריקה לא תקינה</c:v>
                </c:pt>
                <c:pt idx="5">
                  <c:v>תכנון שגוי</c:v>
                </c:pt>
                <c:pt idx="6">
                  <c:v>אי עמידה בזמנים</c:v>
                </c:pt>
                <c:pt idx="7">
                  <c:v>היעדר תיעוד</c:v>
                </c:pt>
                <c:pt idx="8">
                  <c:v>עבודה שלא על פי הנוהל</c:v>
                </c:pt>
                <c:pt idx="9">
                  <c:v>כמעט ניתן טיפול שגוי</c:v>
                </c:pt>
                <c:pt idx="10">
                  <c:v>שגיאה בזיהוי מטופל</c:v>
                </c:pt>
                <c:pt idx="11">
                  <c:v>זימון תור לא מספק</c:v>
                </c:pt>
                <c:pt idx="12">
                  <c:v>תיק ללא אישורים מספקים</c:v>
                </c:pt>
                <c:pt idx="13">
                  <c:v>מתן טיפול שלא על פי הפרוטוקול</c:v>
                </c:pt>
                <c:pt idx="14">
                  <c:v>סימון שגוי</c:v>
                </c:pt>
                <c:pt idx="15">
                  <c:v>בעיות קיבוע</c:v>
                </c:pt>
                <c:pt idx="16">
                  <c:v>מתן טיפול בהיעדר מרשם</c:v>
                </c:pt>
                <c:pt idx="17">
                  <c:v>אי ביצוע הנחיה (מטופלים)</c:v>
                </c:pt>
                <c:pt idx="18">
                  <c:v>אי ביצוע הנחיה (צוות)</c:v>
                </c:pt>
                <c:pt idx="19">
                  <c:v>מרשם שגוי</c:v>
                </c:pt>
                <c:pt idx="20">
                  <c:v>חבלה גופנית</c:v>
                </c:pt>
                <c:pt idx="21">
                  <c:v>שגיאת Care Path</c:v>
                </c:pt>
                <c:pt idx="22">
                  <c:v>חוסר תשומת לב</c:v>
                </c:pt>
                <c:pt idx="23">
                  <c:v>שגיאה טכנית</c:v>
                </c:pt>
                <c:pt idx="24">
                  <c:v>צוות חסר</c:v>
                </c:pt>
                <c:pt idx="25">
                  <c:v>היעדר מרשם</c:v>
                </c:pt>
                <c:pt idx="26">
                  <c:v>היעדר צילומים</c:v>
                </c:pt>
                <c:pt idx="27">
                  <c:v>כמעט סימון שגוי</c:v>
                </c:pt>
                <c:pt idx="28">
                  <c:v>עומס יתר</c:v>
                </c:pt>
                <c:pt idx="29">
                  <c:v>כמעט פגיעה במתקן</c:v>
                </c:pt>
                <c:pt idx="30">
                  <c:v>חוסר בהבנת דרישות הטיפול</c:v>
                </c:pt>
                <c:pt idx="31">
                  <c:v>סריקה חוזרת</c:v>
                </c:pt>
                <c:pt idx="32">
                  <c:v>מיקום לא ניתן לשחזור</c:v>
                </c:pt>
                <c:pt idx="33">
                  <c:v>מתן טיפול ללא בקרת איכות</c:v>
                </c:pt>
                <c:pt idx="34">
                  <c:v>כמעט שגיאה בזיהוי מטופל</c:v>
                </c:pt>
                <c:pt idx="35">
                  <c:v>פגיעה במתקן</c:v>
                </c:pt>
                <c:pt idx="36">
                  <c:v>נוהל חסר</c:v>
                </c:pt>
                <c:pt idx="37">
                  <c:v>כמעט מתן טיפול ללא בקרת איכות</c:v>
                </c:pt>
              </c:strCache>
            </c:strRef>
          </c:cat>
          <c:val>
            <c:numRef>
              <c:f>Taxonomy!$D$2:$D$41</c:f>
              <c:numCache>
                <c:formatCode>0.0%</c:formatCode>
                <c:ptCount val="40"/>
                <c:pt idx="0">
                  <c:v>0.1964956195244055</c:v>
                </c:pt>
                <c:pt idx="1">
                  <c:v>9.2615769712140181E-2</c:v>
                </c:pt>
                <c:pt idx="2">
                  <c:v>8.635794743429287E-2</c:v>
                </c:pt>
                <c:pt idx="3">
                  <c:v>8.635794743429287E-2</c:v>
                </c:pt>
                <c:pt idx="4">
                  <c:v>6.6332916145181484E-2</c:v>
                </c:pt>
                <c:pt idx="5">
                  <c:v>7.0087609511889859E-2</c:v>
                </c:pt>
                <c:pt idx="6">
                  <c:v>6.7584480600750937E-2</c:v>
                </c:pt>
                <c:pt idx="7">
                  <c:v>4.630788485607009E-2</c:v>
                </c:pt>
                <c:pt idx="8">
                  <c:v>3.1289111389236547E-2</c:v>
                </c:pt>
                <c:pt idx="9">
                  <c:v>2.7534418022528161E-2</c:v>
                </c:pt>
                <c:pt idx="10">
                  <c:v>2.3779724655819776E-2</c:v>
                </c:pt>
                <c:pt idx="11">
                  <c:v>1.5018773466833541E-2</c:v>
                </c:pt>
                <c:pt idx="12">
                  <c:v>1.5018773466833541E-2</c:v>
                </c:pt>
                <c:pt idx="13">
                  <c:v>1.3767209011264081E-2</c:v>
                </c:pt>
                <c:pt idx="14">
                  <c:v>1.2515644555694618E-2</c:v>
                </c:pt>
                <c:pt idx="15">
                  <c:v>1.1264080100125156E-2</c:v>
                </c:pt>
                <c:pt idx="16">
                  <c:v>1.0012515644555695E-2</c:v>
                </c:pt>
                <c:pt idx="17">
                  <c:v>1.0012515644555695E-2</c:v>
                </c:pt>
                <c:pt idx="18">
                  <c:v>1.5018773466833541E-2</c:v>
                </c:pt>
                <c:pt idx="19">
                  <c:v>8.7609511889862324E-3</c:v>
                </c:pt>
                <c:pt idx="20">
                  <c:v>8.7609511889862324E-3</c:v>
                </c:pt>
                <c:pt idx="21">
                  <c:v>7.5093867334167707E-3</c:v>
                </c:pt>
                <c:pt idx="22">
                  <c:v>8.7609511889862324E-3</c:v>
                </c:pt>
                <c:pt idx="23">
                  <c:v>6.2578222778473091E-3</c:v>
                </c:pt>
                <c:pt idx="24">
                  <c:v>6.2578222778473091E-3</c:v>
                </c:pt>
                <c:pt idx="25">
                  <c:v>5.0062578222778474E-3</c:v>
                </c:pt>
                <c:pt idx="26">
                  <c:v>5.0062578222778474E-3</c:v>
                </c:pt>
                <c:pt idx="27">
                  <c:v>5.0062578222778474E-3</c:v>
                </c:pt>
                <c:pt idx="28">
                  <c:v>5.0062578222778474E-3</c:v>
                </c:pt>
                <c:pt idx="29">
                  <c:v>7.5093867334167707E-3</c:v>
                </c:pt>
                <c:pt idx="30">
                  <c:v>5.0062578222778474E-3</c:v>
                </c:pt>
                <c:pt idx="31">
                  <c:v>3.7546933667083854E-3</c:v>
                </c:pt>
                <c:pt idx="32">
                  <c:v>2.5031289111389237E-3</c:v>
                </c:pt>
                <c:pt idx="33">
                  <c:v>2.5031289111389237E-3</c:v>
                </c:pt>
                <c:pt idx="34">
                  <c:v>2.5031289111389237E-3</c:v>
                </c:pt>
                <c:pt idx="35">
                  <c:v>3.7546933667083854E-3</c:v>
                </c:pt>
                <c:pt idx="36">
                  <c:v>2.5031289111389237E-3</c:v>
                </c:pt>
                <c:pt idx="37">
                  <c:v>1.2515644555694619E-3</c:v>
                </c:pt>
                <c:pt idx="38">
                  <c:v>3.7546933667083854E-3</c:v>
                </c:pt>
                <c:pt idx="39">
                  <c:v>1.2515644555694619E-3</c:v>
                </c:pt>
              </c:numCache>
            </c:numRef>
          </c:val>
          <c:extLst>
            <c:ext xmlns:c16="http://schemas.microsoft.com/office/drawing/2014/chart" uri="{C3380CC4-5D6E-409C-BE32-E72D297353CC}">
              <c16:uniqueId val="{00000000-0335-42BB-8C2B-22EDDCB9890D}"/>
            </c:ext>
          </c:extLst>
        </c:ser>
        <c:dLbls>
          <c:showLegendKey val="0"/>
          <c:showVal val="0"/>
          <c:showCatName val="0"/>
          <c:showSerName val="0"/>
          <c:showPercent val="0"/>
          <c:showBubbleSize val="0"/>
        </c:dLbls>
        <c:gapWidth val="219"/>
        <c:overlap val="-27"/>
        <c:axId val="1369238016"/>
        <c:axId val="1369223456"/>
      </c:barChart>
      <c:catAx>
        <c:axId val="136923801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69223456"/>
        <c:crosses val="autoZero"/>
        <c:auto val="1"/>
        <c:lblAlgn val="ctr"/>
        <c:lblOffset val="100"/>
        <c:noMultiLvlLbl val="0"/>
      </c:catAx>
      <c:valAx>
        <c:axId val="1369223456"/>
        <c:scaling>
          <c:orientation val="minMax"/>
          <c:min val="0"/>
        </c:scaling>
        <c:delete val="0"/>
        <c:axPos val="r"/>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e-IL"/>
          </a:p>
        </c:txPr>
        <c:crossAx val="13692380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e-IL"/>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v>שלב בו הארוע קרה</c:v>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פרמטרים'!$A$2:$A$11</c:f>
              <c:strCache>
                <c:ptCount val="10"/>
                <c:pt idx="0">
                  <c:v>קבלה</c:v>
                </c:pt>
                <c:pt idx="1">
                  <c:v>סימולציה</c:v>
                </c:pt>
                <c:pt idx="2">
                  <c:v>סימון</c:v>
                </c:pt>
                <c:pt idx="3">
                  <c:v>מרשם</c:v>
                </c:pt>
                <c:pt idx="4">
                  <c:v>תכנון</c:v>
                </c:pt>
                <c:pt idx="5">
                  <c:v>בקרת איכות</c:v>
                </c:pt>
                <c:pt idx="6">
                  <c:v>לפני טיפול</c:v>
                </c:pt>
                <c:pt idx="7">
                  <c:v>מהלך טיפול</c:v>
                </c:pt>
                <c:pt idx="8">
                  <c:v>מעקב</c:v>
                </c:pt>
                <c:pt idx="9">
                  <c:v>אחר</c:v>
                </c:pt>
              </c:strCache>
            </c:strRef>
          </c:cat>
          <c:val>
            <c:numRef>
              <c:f>Results!$C$3:$C$12</c:f>
              <c:numCache>
                <c:formatCode>General</c:formatCode>
                <c:ptCount val="10"/>
                <c:pt idx="0">
                  <c:v>129</c:v>
                </c:pt>
                <c:pt idx="1">
                  <c:v>156</c:v>
                </c:pt>
                <c:pt idx="2">
                  <c:v>30</c:v>
                </c:pt>
                <c:pt idx="3">
                  <c:v>78</c:v>
                </c:pt>
                <c:pt idx="4">
                  <c:v>50</c:v>
                </c:pt>
                <c:pt idx="5">
                  <c:v>64</c:v>
                </c:pt>
                <c:pt idx="6">
                  <c:v>95</c:v>
                </c:pt>
                <c:pt idx="7">
                  <c:v>235</c:v>
                </c:pt>
                <c:pt idx="8">
                  <c:v>12</c:v>
                </c:pt>
                <c:pt idx="9">
                  <c:v>21</c:v>
                </c:pt>
              </c:numCache>
            </c:numRef>
          </c:val>
          <c:extLst>
            <c:ext xmlns:c16="http://schemas.microsoft.com/office/drawing/2014/chart" uri="{C3380CC4-5D6E-409C-BE32-E72D297353CC}">
              <c16:uniqueId val="{00000000-9029-4DB5-9C80-43D32FD792E8}"/>
            </c:ext>
          </c:extLst>
        </c:ser>
        <c:dLbls>
          <c:showLegendKey val="0"/>
          <c:showVal val="0"/>
          <c:showCatName val="0"/>
          <c:showSerName val="0"/>
          <c:showPercent val="0"/>
          <c:showBubbleSize val="0"/>
        </c:dLbls>
        <c:gapWidth val="150"/>
        <c:axId val="126551040"/>
        <c:axId val="105851712"/>
      </c:barChart>
      <c:catAx>
        <c:axId val="126551040"/>
        <c:scaling>
          <c:orientation val="minMax"/>
        </c:scaling>
        <c:delete val="0"/>
        <c:axPos val="b"/>
        <c:numFmt formatCode="General" sourceLinked="0"/>
        <c:majorTickMark val="out"/>
        <c:minorTickMark val="none"/>
        <c:tickLblPos val="nextTo"/>
        <c:crossAx val="105851712"/>
        <c:crosses val="autoZero"/>
        <c:auto val="1"/>
        <c:lblAlgn val="ctr"/>
        <c:lblOffset val="100"/>
        <c:noMultiLvlLbl val="0"/>
      </c:catAx>
      <c:valAx>
        <c:axId val="105851712"/>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6551040"/>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סוגי פגיעה</a:t>
            </a:r>
          </a:p>
        </c:rich>
      </c:tx>
      <c:overlay val="0"/>
    </c:title>
    <c:autoTitleDeleted val="0"/>
    <c:plotArea>
      <c:layout/>
      <c:barChart>
        <c:barDir val="col"/>
        <c:grouping val="clustered"/>
        <c:varyColors val="0"/>
        <c:ser>
          <c:idx val="0"/>
          <c:order val="0"/>
          <c:tx>
            <c:strRef>
              <c:f>Results!$D$2</c:f>
              <c:strCache>
                <c:ptCount val="1"/>
                <c:pt idx="0">
                  <c:v>סוג פגיעה</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פרמטרים'!$B$2:$B$5</c:f>
              <c:strCache>
                <c:ptCount val="4"/>
                <c:pt idx="0">
                  <c:v>מנהלי</c:v>
                </c:pt>
                <c:pt idx="1">
                  <c:v>מקרה בטיחות</c:v>
                </c:pt>
                <c:pt idx="2">
                  <c:v>כמעט נפגע</c:v>
                </c:pt>
                <c:pt idx="3">
                  <c:v>נפגע</c:v>
                </c:pt>
              </c:strCache>
            </c:strRef>
          </c:cat>
          <c:val>
            <c:numRef>
              <c:f>Results!$D$3:$D$6</c:f>
              <c:numCache>
                <c:formatCode>General</c:formatCode>
                <c:ptCount val="4"/>
                <c:pt idx="0">
                  <c:v>273</c:v>
                </c:pt>
                <c:pt idx="1">
                  <c:v>313</c:v>
                </c:pt>
                <c:pt idx="2">
                  <c:v>143</c:v>
                </c:pt>
                <c:pt idx="3">
                  <c:v>138</c:v>
                </c:pt>
              </c:numCache>
            </c:numRef>
          </c:val>
          <c:extLst>
            <c:ext xmlns:c16="http://schemas.microsoft.com/office/drawing/2014/chart" uri="{C3380CC4-5D6E-409C-BE32-E72D297353CC}">
              <c16:uniqueId val="{00000000-9525-4DF9-B62B-CB0A7CA87BA3}"/>
            </c:ext>
          </c:extLst>
        </c:ser>
        <c:dLbls>
          <c:showLegendKey val="0"/>
          <c:showVal val="0"/>
          <c:showCatName val="0"/>
          <c:showSerName val="0"/>
          <c:showPercent val="0"/>
          <c:showBubbleSize val="0"/>
        </c:dLbls>
        <c:gapWidth val="150"/>
        <c:axId val="126553600"/>
        <c:axId val="105853440"/>
      </c:barChart>
      <c:catAx>
        <c:axId val="126553600"/>
        <c:scaling>
          <c:orientation val="minMax"/>
        </c:scaling>
        <c:delete val="0"/>
        <c:axPos val="b"/>
        <c:numFmt formatCode="General" sourceLinked="0"/>
        <c:majorTickMark val="out"/>
        <c:minorTickMark val="none"/>
        <c:tickLblPos val="nextTo"/>
        <c:crossAx val="105853440"/>
        <c:crosses val="autoZero"/>
        <c:auto val="1"/>
        <c:lblAlgn val="ctr"/>
        <c:lblOffset val="100"/>
        <c:noMultiLvlLbl val="0"/>
      </c:catAx>
      <c:valAx>
        <c:axId val="105853440"/>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6553600"/>
        <c:crosses val="autoZero"/>
        <c:crossBetween val="between"/>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Results!$E$2</c:f>
              <c:strCache>
                <c:ptCount val="1"/>
                <c:pt idx="0">
                  <c:v>אופי הפגיעה</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פרמטרים'!$C$3:$C$5</c:f>
              <c:strCache>
                <c:ptCount val="3"/>
                <c:pt idx="0">
                  <c:v>ללא נפגעים</c:v>
                </c:pt>
                <c:pt idx="1">
                  <c:v>נפגע יחיד</c:v>
                </c:pt>
                <c:pt idx="2">
                  <c:v>נפגעים מרובים</c:v>
                </c:pt>
              </c:strCache>
            </c:strRef>
          </c:cat>
          <c:val>
            <c:numRef>
              <c:f>Results!$E$3:$E$5</c:f>
              <c:numCache>
                <c:formatCode>General</c:formatCode>
                <c:ptCount val="3"/>
                <c:pt idx="0">
                  <c:v>705</c:v>
                </c:pt>
                <c:pt idx="1">
                  <c:v>150</c:v>
                </c:pt>
                <c:pt idx="2">
                  <c:v>10</c:v>
                </c:pt>
              </c:numCache>
            </c:numRef>
          </c:val>
          <c:extLst>
            <c:ext xmlns:c16="http://schemas.microsoft.com/office/drawing/2014/chart" uri="{C3380CC4-5D6E-409C-BE32-E72D297353CC}">
              <c16:uniqueId val="{00000000-8ED1-4F9F-B14D-F3AFE42E7040}"/>
            </c:ext>
          </c:extLst>
        </c:ser>
        <c:dLbls>
          <c:showLegendKey val="0"/>
          <c:showVal val="0"/>
          <c:showCatName val="0"/>
          <c:showSerName val="0"/>
          <c:showPercent val="0"/>
          <c:showBubbleSize val="0"/>
        </c:dLbls>
        <c:gapWidth val="150"/>
        <c:axId val="126652928"/>
        <c:axId val="105855168"/>
      </c:barChart>
      <c:catAx>
        <c:axId val="126652928"/>
        <c:scaling>
          <c:orientation val="minMax"/>
        </c:scaling>
        <c:delete val="0"/>
        <c:axPos val="b"/>
        <c:numFmt formatCode="General" sourceLinked="0"/>
        <c:majorTickMark val="out"/>
        <c:minorTickMark val="none"/>
        <c:tickLblPos val="nextTo"/>
        <c:crossAx val="105855168"/>
        <c:crosses val="autoZero"/>
        <c:auto val="1"/>
        <c:lblAlgn val="ctr"/>
        <c:lblOffset val="100"/>
        <c:noMultiLvlLbl val="0"/>
      </c:catAx>
      <c:valAx>
        <c:axId val="105855168"/>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6652928"/>
        <c:crosses val="autoZero"/>
        <c:crossBetween val="between"/>
      </c:valAx>
    </c:plotArea>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Results!$F$2</c:f>
              <c:strCache>
                <c:ptCount val="1"/>
                <c:pt idx="0">
                  <c:v>תדירות הפגיעה</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פרמטרים'!$D$2:$D$3</c:f>
              <c:strCache>
                <c:ptCount val="2"/>
                <c:pt idx="0">
                  <c:v>חד פעמי</c:v>
                </c:pt>
                <c:pt idx="1">
                  <c:v>רב פעמי</c:v>
                </c:pt>
              </c:strCache>
            </c:strRef>
          </c:cat>
          <c:val>
            <c:numRef>
              <c:f>Results!$F$3:$F$4</c:f>
              <c:numCache>
                <c:formatCode>General</c:formatCode>
                <c:ptCount val="2"/>
                <c:pt idx="0">
                  <c:v>777</c:v>
                </c:pt>
                <c:pt idx="1">
                  <c:v>87</c:v>
                </c:pt>
              </c:numCache>
            </c:numRef>
          </c:val>
          <c:extLst>
            <c:ext xmlns:c16="http://schemas.microsoft.com/office/drawing/2014/chart" uri="{C3380CC4-5D6E-409C-BE32-E72D297353CC}">
              <c16:uniqueId val="{00000000-12F3-41EC-9CB7-61402E2ABB48}"/>
            </c:ext>
          </c:extLst>
        </c:ser>
        <c:dLbls>
          <c:showLegendKey val="0"/>
          <c:showVal val="0"/>
          <c:showCatName val="0"/>
          <c:showSerName val="0"/>
          <c:showPercent val="0"/>
          <c:showBubbleSize val="0"/>
        </c:dLbls>
        <c:gapWidth val="150"/>
        <c:axId val="126653952"/>
        <c:axId val="126722048"/>
      </c:barChart>
      <c:catAx>
        <c:axId val="126653952"/>
        <c:scaling>
          <c:orientation val="minMax"/>
        </c:scaling>
        <c:delete val="0"/>
        <c:axPos val="b"/>
        <c:numFmt formatCode="General" sourceLinked="0"/>
        <c:majorTickMark val="out"/>
        <c:minorTickMark val="none"/>
        <c:tickLblPos val="nextTo"/>
        <c:crossAx val="126722048"/>
        <c:crosses val="autoZero"/>
        <c:auto val="1"/>
        <c:lblAlgn val="ctr"/>
        <c:lblOffset val="100"/>
        <c:noMultiLvlLbl val="0"/>
      </c:catAx>
      <c:valAx>
        <c:axId val="126722048"/>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6653952"/>
        <c:crosses val="autoZero"/>
        <c:crossBetween val="between"/>
      </c:valAx>
    </c:plotArea>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סיבת פגיעה עקרית</a:t>
            </a:r>
          </a:p>
        </c:rich>
      </c:tx>
      <c:overlay val="0"/>
    </c:title>
    <c:autoTitleDeleted val="0"/>
    <c:plotArea>
      <c:layout/>
      <c:barChart>
        <c:barDir val="col"/>
        <c:grouping val="clustered"/>
        <c:varyColors val="0"/>
        <c:ser>
          <c:idx val="0"/>
          <c:order val="0"/>
          <c:tx>
            <c:strRef>
              <c:f>Results!$G$2</c:f>
              <c:strCache>
                <c:ptCount val="1"/>
                <c:pt idx="0">
                  <c:v>פגיעה עקרית</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פרמטרים'!$E$2:$E$11</c:f>
              <c:strCache>
                <c:ptCount val="6"/>
                <c:pt idx="0">
                  <c:v>תקלה טכנית</c:v>
                </c:pt>
                <c:pt idx="1">
                  <c:v>טעות אנוש</c:v>
                </c:pt>
                <c:pt idx="2">
                  <c:v>תרבות עבודה</c:v>
                </c:pt>
                <c:pt idx="3">
                  <c:v>תקשורת</c:v>
                </c:pt>
                <c:pt idx="4">
                  <c:v>נהל עבודה</c:v>
                </c:pt>
                <c:pt idx="5">
                  <c:v>אחר</c:v>
                </c:pt>
              </c:strCache>
            </c:strRef>
          </c:cat>
          <c:val>
            <c:numRef>
              <c:f>Results!$G$3:$G$8</c:f>
              <c:numCache>
                <c:formatCode>General</c:formatCode>
                <c:ptCount val="6"/>
                <c:pt idx="0">
                  <c:v>29</c:v>
                </c:pt>
                <c:pt idx="1">
                  <c:v>233</c:v>
                </c:pt>
                <c:pt idx="2">
                  <c:v>275</c:v>
                </c:pt>
                <c:pt idx="3">
                  <c:v>194</c:v>
                </c:pt>
                <c:pt idx="4">
                  <c:v>124</c:v>
                </c:pt>
                <c:pt idx="5">
                  <c:v>11</c:v>
                </c:pt>
              </c:numCache>
            </c:numRef>
          </c:val>
          <c:extLst>
            <c:ext xmlns:c16="http://schemas.microsoft.com/office/drawing/2014/chart" uri="{C3380CC4-5D6E-409C-BE32-E72D297353CC}">
              <c16:uniqueId val="{00000000-5125-453F-94B4-CE697A3D7BBF}"/>
            </c:ext>
          </c:extLst>
        </c:ser>
        <c:dLbls>
          <c:showLegendKey val="0"/>
          <c:showVal val="0"/>
          <c:showCatName val="0"/>
          <c:showSerName val="0"/>
          <c:showPercent val="0"/>
          <c:showBubbleSize val="0"/>
        </c:dLbls>
        <c:gapWidth val="150"/>
        <c:axId val="126654976"/>
        <c:axId val="126723776"/>
      </c:barChart>
      <c:catAx>
        <c:axId val="126654976"/>
        <c:scaling>
          <c:orientation val="minMax"/>
        </c:scaling>
        <c:delete val="0"/>
        <c:axPos val="b"/>
        <c:numFmt formatCode="General" sourceLinked="0"/>
        <c:majorTickMark val="out"/>
        <c:minorTickMark val="none"/>
        <c:tickLblPos val="nextTo"/>
        <c:crossAx val="126723776"/>
        <c:crosses val="autoZero"/>
        <c:auto val="1"/>
        <c:lblAlgn val="ctr"/>
        <c:lblOffset val="100"/>
        <c:noMultiLvlLbl val="0"/>
      </c:catAx>
      <c:valAx>
        <c:axId val="126723776"/>
        <c:scaling>
          <c:orientation val="minMax"/>
        </c:scaling>
        <c:delete val="0"/>
        <c:axPos val="l"/>
        <c:majorGridlines/>
        <c:title>
          <c:tx>
            <c:rich>
              <a:bodyPr rot="-5400000" vert="horz"/>
              <a:lstStyle/>
              <a:p>
                <a:pPr>
                  <a:defRPr/>
                </a:pPr>
                <a:r>
                  <a:rPr lang="he-IL"/>
                  <a:t>מספר</a:t>
                </a:r>
                <a:r>
                  <a:rPr lang="he-IL" baseline="0"/>
                  <a:t> מקרים</a:t>
                </a:r>
                <a:endParaRPr lang="he-IL"/>
              </a:p>
            </c:rich>
          </c:tx>
          <c:overlay val="0"/>
        </c:title>
        <c:numFmt formatCode="General" sourceLinked="1"/>
        <c:majorTickMark val="out"/>
        <c:minorTickMark val="none"/>
        <c:tickLblPos val="nextTo"/>
        <c:crossAx val="126654976"/>
        <c:crosses val="autoZero"/>
        <c:crossBetween val="between"/>
      </c:valAx>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Results!$I$2</c:f>
              <c:strCache>
                <c:ptCount val="1"/>
                <c:pt idx="0">
                  <c:v>סוג מתקן</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פרמטרים'!$G$2:$G$12</c:f>
              <c:strCache>
                <c:ptCount val="11"/>
                <c:pt idx="0">
                  <c:v>סימולציה</c:v>
                </c:pt>
                <c:pt idx="1">
                  <c:v>מאיץ1/מאיץ2</c:v>
                </c:pt>
                <c:pt idx="2">
                  <c:v>מאיץ3</c:v>
                </c:pt>
                <c:pt idx="3">
                  <c:v>מאיץ4/מאיץ5</c:v>
                </c:pt>
                <c:pt idx="4">
                  <c:v>טיפול מגע</c:v>
                </c:pt>
                <c:pt idx="5">
                  <c:v>טיפול תוך ניתוחי</c:v>
                </c:pt>
                <c:pt idx="6">
                  <c:v>פלאק</c:v>
                </c:pt>
                <c:pt idx="7">
                  <c:v>ברכיתרפיה</c:v>
                </c:pt>
                <c:pt idx="8">
                  <c:v>חדר אחות</c:v>
                </c:pt>
                <c:pt idx="9">
                  <c:v>חדר רופא</c:v>
                </c:pt>
                <c:pt idx="10">
                  <c:v>אזור קבלה ומסדרון</c:v>
                </c:pt>
              </c:strCache>
            </c:strRef>
          </c:cat>
          <c:val>
            <c:numRef>
              <c:f>Results!$I$3:$I$13</c:f>
              <c:numCache>
                <c:formatCode>General</c:formatCode>
                <c:ptCount val="11"/>
                <c:pt idx="0">
                  <c:v>141</c:v>
                </c:pt>
                <c:pt idx="1">
                  <c:v>148</c:v>
                </c:pt>
                <c:pt idx="2">
                  <c:v>39</c:v>
                </c:pt>
                <c:pt idx="3">
                  <c:v>129</c:v>
                </c:pt>
                <c:pt idx="4">
                  <c:v>15</c:v>
                </c:pt>
                <c:pt idx="5">
                  <c:v>1</c:v>
                </c:pt>
                <c:pt idx="6">
                  <c:v>0</c:v>
                </c:pt>
                <c:pt idx="7">
                  <c:v>21</c:v>
                </c:pt>
                <c:pt idx="8">
                  <c:v>16</c:v>
                </c:pt>
                <c:pt idx="9">
                  <c:v>34</c:v>
                </c:pt>
                <c:pt idx="10">
                  <c:v>30</c:v>
                </c:pt>
              </c:numCache>
            </c:numRef>
          </c:val>
          <c:extLst>
            <c:ext xmlns:c16="http://schemas.microsoft.com/office/drawing/2014/chart" uri="{C3380CC4-5D6E-409C-BE32-E72D297353CC}">
              <c16:uniqueId val="{00000000-E996-4CAD-AFA7-25A7195BAFBF}"/>
            </c:ext>
          </c:extLst>
        </c:ser>
        <c:dLbls>
          <c:showLegendKey val="0"/>
          <c:showVal val="0"/>
          <c:showCatName val="0"/>
          <c:showSerName val="0"/>
          <c:showPercent val="0"/>
          <c:showBubbleSize val="0"/>
        </c:dLbls>
        <c:gapWidth val="150"/>
        <c:axId val="126656000"/>
        <c:axId val="126725504"/>
      </c:barChart>
      <c:catAx>
        <c:axId val="126656000"/>
        <c:scaling>
          <c:orientation val="minMax"/>
        </c:scaling>
        <c:delete val="0"/>
        <c:axPos val="b"/>
        <c:numFmt formatCode="General" sourceLinked="0"/>
        <c:majorTickMark val="out"/>
        <c:minorTickMark val="none"/>
        <c:tickLblPos val="nextTo"/>
        <c:crossAx val="126725504"/>
        <c:crosses val="autoZero"/>
        <c:auto val="1"/>
        <c:lblAlgn val="ctr"/>
        <c:lblOffset val="100"/>
        <c:noMultiLvlLbl val="0"/>
      </c:catAx>
      <c:valAx>
        <c:axId val="126725504"/>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6656000"/>
        <c:crosses val="autoZero"/>
        <c:crossBetween val="between"/>
      </c:valAx>
    </c:plotArea>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Results!$J$2</c:f>
              <c:strCache>
                <c:ptCount val="1"/>
                <c:pt idx="0">
                  <c:v>שיטת טיפול</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פרמטרים'!$H$2:$H$10</c:f>
              <c:strCache>
                <c:ptCount val="9"/>
                <c:pt idx="0">
                  <c:v>3D</c:v>
                </c:pt>
                <c:pt idx="1">
                  <c:v>ברכיתרפיה</c:v>
                </c:pt>
                <c:pt idx="2">
                  <c:v>IMRT</c:v>
                </c:pt>
                <c:pt idx="3">
                  <c:v>SBRT</c:v>
                </c:pt>
                <c:pt idx="4">
                  <c:v>SRS\SRT</c:v>
                </c:pt>
                <c:pt idx="5">
                  <c:v>TBI\TLI</c:v>
                </c:pt>
                <c:pt idx="6">
                  <c:v>TSI</c:v>
                </c:pt>
                <c:pt idx="7">
                  <c:v>סימון קליני</c:v>
                </c:pt>
                <c:pt idx="8">
                  <c:v>טיפול מגע</c:v>
                </c:pt>
              </c:strCache>
            </c:strRef>
          </c:cat>
          <c:val>
            <c:numRef>
              <c:f>Results!$J$3:$J$10</c:f>
              <c:numCache>
                <c:formatCode>General</c:formatCode>
                <c:ptCount val="8"/>
                <c:pt idx="0">
                  <c:v>186</c:v>
                </c:pt>
                <c:pt idx="1">
                  <c:v>24</c:v>
                </c:pt>
                <c:pt idx="2">
                  <c:v>155</c:v>
                </c:pt>
                <c:pt idx="3">
                  <c:v>116</c:v>
                </c:pt>
                <c:pt idx="4">
                  <c:v>40</c:v>
                </c:pt>
                <c:pt idx="5">
                  <c:v>5</c:v>
                </c:pt>
                <c:pt idx="6">
                  <c:v>20</c:v>
                </c:pt>
                <c:pt idx="7">
                  <c:v>15</c:v>
                </c:pt>
              </c:numCache>
            </c:numRef>
          </c:val>
          <c:extLst>
            <c:ext xmlns:c16="http://schemas.microsoft.com/office/drawing/2014/chart" uri="{C3380CC4-5D6E-409C-BE32-E72D297353CC}">
              <c16:uniqueId val="{00000000-210A-4E19-B80F-F5423944B5C8}"/>
            </c:ext>
          </c:extLst>
        </c:ser>
        <c:dLbls>
          <c:dLblPos val="outEnd"/>
          <c:showLegendKey val="0"/>
          <c:showVal val="1"/>
          <c:showCatName val="0"/>
          <c:showSerName val="0"/>
          <c:showPercent val="0"/>
          <c:showBubbleSize val="0"/>
        </c:dLbls>
        <c:gapWidth val="150"/>
        <c:axId val="128737792"/>
        <c:axId val="126727232"/>
      </c:barChart>
      <c:catAx>
        <c:axId val="128737792"/>
        <c:scaling>
          <c:orientation val="minMax"/>
        </c:scaling>
        <c:delete val="0"/>
        <c:axPos val="b"/>
        <c:numFmt formatCode="General" sourceLinked="0"/>
        <c:majorTickMark val="out"/>
        <c:minorTickMark val="none"/>
        <c:tickLblPos val="nextTo"/>
        <c:crossAx val="126727232"/>
        <c:crosses val="autoZero"/>
        <c:auto val="1"/>
        <c:lblAlgn val="ctr"/>
        <c:lblOffset val="100"/>
        <c:noMultiLvlLbl val="0"/>
      </c:catAx>
      <c:valAx>
        <c:axId val="126727232"/>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8737792"/>
        <c:crosses val="autoZero"/>
        <c:crossBetween val="between"/>
      </c:valAx>
    </c:plotArea>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Results!$K$2</c:f>
              <c:strCache>
                <c:ptCount val="1"/>
                <c:pt idx="0">
                  <c:v>דחיפות טיפול</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פרמטרים'!$I$2:$I$5</c:f>
              <c:strCache>
                <c:ptCount val="4"/>
                <c:pt idx="0">
                  <c:v>תיק דחוף</c:v>
                </c:pt>
                <c:pt idx="1">
                  <c:v>תיק מהיר</c:v>
                </c:pt>
                <c:pt idx="2">
                  <c:v>תיק רגיל</c:v>
                </c:pt>
                <c:pt idx="3">
                  <c:v>לא ישים</c:v>
                </c:pt>
              </c:strCache>
            </c:strRef>
          </c:cat>
          <c:val>
            <c:numRef>
              <c:f>Results!$K$3:$K$6</c:f>
              <c:numCache>
                <c:formatCode>General</c:formatCode>
                <c:ptCount val="4"/>
                <c:pt idx="0">
                  <c:v>94</c:v>
                </c:pt>
                <c:pt idx="1">
                  <c:v>75</c:v>
                </c:pt>
                <c:pt idx="2">
                  <c:v>444</c:v>
                </c:pt>
                <c:pt idx="3">
                  <c:v>9</c:v>
                </c:pt>
              </c:numCache>
            </c:numRef>
          </c:val>
          <c:extLst>
            <c:ext xmlns:c16="http://schemas.microsoft.com/office/drawing/2014/chart" uri="{C3380CC4-5D6E-409C-BE32-E72D297353CC}">
              <c16:uniqueId val="{00000000-4EA0-446E-A81E-BDADAC14BA02}"/>
            </c:ext>
          </c:extLst>
        </c:ser>
        <c:dLbls>
          <c:dLblPos val="outEnd"/>
          <c:showLegendKey val="0"/>
          <c:showVal val="1"/>
          <c:showCatName val="0"/>
          <c:showSerName val="0"/>
          <c:showPercent val="0"/>
          <c:showBubbleSize val="0"/>
        </c:dLbls>
        <c:gapWidth val="150"/>
        <c:axId val="128738816"/>
        <c:axId val="126728960"/>
      </c:barChart>
      <c:catAx>
        <c:axId val="128738816"/>
        <c:scaling>
          <c:orientation val="minMax"/>
        </c:scaling>
        <c:delete val="0"/>
        <c:axPos val="b"/>
        <c:numFmt formatCode="General" sourceLinked="0"/>
        <c:majorTickMark val="out"/>
        <c:minorTickMark val="none"/>
        <c:tickLblPos val="nextTo"/>
        <c:crossAx val="126728960"/>
        <c:crosses val="autoZero"/>
        <c:auto val="1"/>
        <c:lblAlgn val="ctr"/>
        <c:lblOffset val="100"/>
        <c:noMultiLvlLbl val="0"/>
      </c:catAx>
      <c:valAx>
        <c:axId val="126728960"/>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8738816"/>
        <c:crosses val="autoZero"/>
        <c:crossBetween val="between"/>
      </c:valAx>
    </c:plotArea>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Results!$L$2</c:f>
              <c:strCache>
                <c:ptCount val="1"/>
                <c:pt idx="0">
                  <c:v>פרמטרים תומכים</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פרמטרים'!$J$2:$J$4</c:f>
              <c:strCache>
                <c:ptCount val="3"/>
                <c:pt idx="0">
                  <c:v>ללא</c:v>
                </c:pt>
                <c:pt idx="1">
                  <c:v>פרמטר יחיד</c:v>
                </c:pt>
                <c:pt idx="2">
                  <c:v>יותר מפרמטר אחד</c:v>
                </c:pt>
              </c:strCache>
            </c:strRef>
          </c:cat>
          <c:val>
            <c:numRef>
              <c:f>Results!$L$3:$L$5</c:f>
              <c:numCache>
                <c:formatCode>General</c:formatCode>
                <c:ptCount val="3"/>
                <c:pt idx="0">
                  <c:v>223</c:v>
                </c:pt>
                <c:pt idx="1">
                  <c:v>327</c:v>
                </c:pt>
                <c:pt idx="2">
                  <c:v>287</c:v>
                </c:pt>
              </c:numCache>
            </c:numRef>
          </c:val>
          <c:extLst>
            <c:ext xmlns:c16="http://schemas.microsoft.com/office/drawing/2014/chart" uri="{C3380CC4-5D6E-409C-BE32-E72D297353CC}">
              <c16:uniqueId val="{00000000-76CF-4286-B0CC-8DD0C85B2111}"/>
            </c:ext>
          </c:extLst>
        </c:ser>
        <c:dLbls>
          <c:dLblPos val="outEnd"/>
          <c:showLegendKey val="0"/>
          <c:showVal val="1"/>
          <c:showCatName val="0"/>
          <c:showSerName val="0"/>
          <c:showPercent val="0"/>
          <c:showBubbleSize val="0"/>
        </c:dLbls>
        <c:gapWidth val="150"/>
        <c:axId val="128739840"/>
        <c:axId val="129409600"/>
      </c:barChart>
      <c:catAx>
        <c:axId val="128739840"/>
        <c:scaling>
          <c:orientation val="minMax"/>
        </c:scaling>
        <c:delete val="0"/>
        <c:axPos val="b"/>
        <c:numFmt formatCode="General" sourceLinked="0"/>
        <c:majorTickMark val="out"/>
        <c:minorTickMark val="none"/>
        <c:tickLblPos val="nextTo"/>
        <c:crossAx val="129409600"/>
        <c:crosses val="autoZero"/>
        <c:auto val="1"/>
        <c:lblAlgn val="ctr"/>
        <c:lblOffset val="100"/>
        <c:noMultiLvlLbl val="0"/>
      </c:catAx>
      <c:valAx>
        <c:axId val="129409600"/>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8739840"/>
        <c:crosses val="autoZero"/>
        <c:crossBetween val="between"/>
      </c:valAx>
    </c:plotArea>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Results!$M$2</c:f>
              <c:strCache>
                <c:ptCount val="1"/>
                <c:pt idx="0">
                  <c:v>מסקנות</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פרמטרים'!$K$2:$K$6</c:f>
              <c:strCache>
                <c:ptCount val="5"/>
                <c:pt idx="0">
                  <c:v>ללא שינוי</c:v>
                </c:pt>
                <c:pt idx="1">
                  <c:v>חידוד נהל קיים</c:v>
                </c:pt>
                <c:pt idx="2">
                  <c:v>שינוי נוהל קיים</c:v>
                </c:pt>
                <c:pt idx="3">
                  <c:v>נהל חדש</c:v>
                </c:pt>
                <c:pt idx="4">
                  <c:v>המשך חקירת ארוע</c:v>
                </c:pt>
              </c:strCache>
            </c:strRef>
          </c:cat>
          <c:val>
            <c:numRef>
              <c:f>Results!$M$3:$M$7</c:f>
              <c:numCache>
                <c:formatCode>General</c:formatCode>
                <c:ptCount val="5"/>
                <c:pt idx="0">
                  <c:v>63</c:v>
                </c:pt>
                <c:pt idx="1">
                  <c:v>385</c:v>
                </c:pt>
                <c:pt idx="2">
                  <c:v>213</c:v>
                </c:pt>
                <c:pt idx="3">
                  <c:v>55</c:v>
                </c:pt>
                <c:pt idx="4">
                  <c:v>16</c:v>
                </c:pt>
              </c:numCache>
            </c:numRef>
          </c:val>
          <c:extLst>
            <c:ext xmlns:c16="http://schemas.microsoft.com/office/drawing/2014/chart" uri="{C3380CC4-5D6E-409C-BE32-E72D297353CC}">
              <c16:uniqueId val="{00000000-4B3C-4FB3-96EC-B1E2B451E7F3}"/>
            </c:ext>
          </c:extLst>
        </c:ser>
        <c:dLbls>
          <c:dLblPos val="outEnd"/>
          <c:showLegendKey val="0"/>
          <c:showVal val="1"/>
          <c:showCatName val="0"/>
          <c:showSerName val="0"/>
          <c:showPercent val="0"/>
          <c:showBubbleSize val="0"/>
        </c:dLbls>
        <c:gapWidth val="150"/>
        <c:axId val="128740864"/>
        <c:axId val="129411328"/>
      </c:barChart>
      <c:catAx>
        <c:axId val="128740864"/>
        <c:scaling>
          <c:orientation val="minMax"/>
        </c:scaling>
        <c:delete val="0"/>
        <c:axPos val="b"/>
        <c:numFmt formatCode="General" sourceLinked="0"/>
        <c:majorTickMark val="out"/>
        <c:minorTickMark val="none"/>
        <c:tickLblPos val="nextTo"/>
        <c:crossAx val="129411328"/>
        <c:crosses val="autoZero"/>
        <c:auto val="1"/>
        <c:lblAlgn val="ctr"/>
        <c:lblOffset val="100"/>
        <c:noMultiLvlLbl val="0"/>
      </c:catAx>
      <c:valAx>
        <c:axId val="129411328"/>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8740864"/>
        <c:crosses val="autoZero"/>
        <c:crossBetween val="between"/>
      </c:valAx>
    </c:plotArea>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Results!$H$2</c:f>
              <c:strCache>
                <c:ptCount val="1"/>
                <c:pt idx="0">
                  <c:v>מועד פגיעה</c:v>
                </c:pt>
              </c:strCache>
            </c:strRef>
          </c:tx>
          <c:invertIfNegative val="0"/>
          <c:cat>
            <c:strRef>
              <c:f>'טבלת פרמטרים'!$F$2:$F$3</c:f>
              <c:strCache>
                <c:ptCount val="2"/>
                <c:pt idx="0">
                  <c:v>עבודת בוקר</c:v>
                </c:pt>
                <c:pt idx="1">
                  <c:v>עבודת ערב</c:v>
                </c:pt>
              </c:strCache>
            </c:strRef>
          </c:cat>
          <c:val>
            <c:numRef>
              <c:f>Results!$H$3:$H$4</c:f>
              <c:numCache>
                <c:formatCode>General</c:formatCode>
                <c:ptCount val="2"/>
                <c:pt idx="0">
                  <c:v>353</c:v>
                </c:pt>
                <c:pt idx="1">
                  <c:v>119</c:v>
                </c:pt>
              </c:numCache>
            </c:numRef>
          </c:val>
          <c:extLst>
            <c:ext xmlns:c16="http://schemas.microsoft.com/office/drawing/2014/chart" uri="{C3380CC4-5D6E-409C-BE32-E72D297353CC}">
              <c16:uniqueId val="{00000000-578D-4CD0-8078-12670FE7C2DE}"/>
            </c:ext>
          </c:extLst>
        </c:ser>
        <c:dLbls>
          <c:showLegendKey val="0"/>
          <c:showVal val="0"/>
          <c:showCatName val="0"/>
          <c:showSerName val="0"/>
          <c:showPercent val="0"/>
          <c:showBubbleSize val="0"/>
        </c:dLbls>
        <c:gapWidth val="150"/>
        <c:axId val="129511936"/>
        <c:axId val="129413056"/>
      </c:barChart>
      <c:catAx>
        <c:axId val="129511936"/>
        <c:scaling>
          <c:orientation val="minMax"/>
        </c:scaling>
        <c:delete val="0"/>
        <c:axPos val="b"/>
        <c:numFmt formatCode="General" sourceLinked="0"/>
        <c:majorTickMark val="out"/>
        <c:minorTickMark val="none"/>
        <c:tickLblPos val="nextTo"/>
        <c:crossAx val="129413056"/>
        <c:crosses val="autoZero"/>
        <c:auto val="1"/>
        <c:lblAlgn val="ctr"/>
        <c:lblOffset val="100"/>
        <c:noMultiLvlLbl val="0"/>
      </c:catAx>
      <c:valAx>
        <c:axId val="129413056"/>
        <c:scaling>
          <c:orientation val="minMax"/>
        </c:scaling>
        <c:delete val="0"/>
        <c:axPos val="l"/>
        <c:majorGridlines/>
        <c:title>
          <c:tx>
            <c:rich>
              <a:bodyPr rot="-5400000" vert="horz"/>
              <a:lstStyle/>
              <a:p>
                <a:pPr>
                  <a:defRPr/>
                </a:pPr>
                <a:r>
                  <a:rPr lang="he-IL"/>
                  <a:t>מספר מקרים</a:t>
                </a:r>
              </a:p>
            </c:rich>
          </c:tx>
          <c:overlay val="0"/>
        </c:title>
        <c:numFmt formatCode="General" sourceLinked="1"/>
        <c:majorTickMark val="out"/>
        <c:minorTickMark val="none"/>
        <c:tickLblPos val="nextTo"/>
        <c:crossAx val="129511936"/>
        <c:crosses val="autoZero"/>
        <c:crossBetween val="between"/>
      </c:valAx>
    </c:plotArea>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Primary</a:t>
            </a:r>
            <a:r>
              <a:rPr lang="en-US" baseline="0"/>
              <a:t> Reason for Incident Occurrence</a:t>
            </a:r>
            <a:endParaRPr lang="he-IL"/>
          </a:p>
        </c:rich>
      </c:tx>
      <c:overlay val="0"/>
    </c:title>
    <c:autoTitleDeleted val="0"/>
    <c:plotArea>
      <c:layout/>
      <c:barChart>
        <c:barDir val="col"/>
        <c:grouping val="clustered"/>
        <c:varyColors val="0"/>
        <c:ser>
          <c:idx val="0"/>
          <c:order val="0"/>
          <c:tx>
            <c:strRef>
              <c:f>Results!$G$2</c:f>
              <c:strCache>
                <c:ptCount val="1"/>
                <c:pt idx="0">
                  <c:v>פגיעה עקרית</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פרמטרים'!$E$16:$E$21</c:f>
              <c:strCache>
                <c:ptCount val="6"/>
                <c:pt idx="0">
                  <c:v>Technical error</c:v>
                </c:pt>
                <c:pt idx="1">
                  <c:v>Human error</c:v>
                </c:pt>
                <c:pt idx="2">
                  <c:v>Work culture</c:v>
                </c:pt>
                <c:pt idx="3">
                  <c:v>Communication</c:v>
                </c:pt>
                <c:pt idx="4">
                  <c:v>Work proccedure</c:v>
                </c:pt>
                <c:pt idx="5">
                  <c:v>Other</c:v>
                </c:pt>
              </c:strCache>
            </c:strRef>
          </c:cat>
          <c:val>
            <c:numRef>
              <c:f>Results!$G$3:$G$8</c:f>
              <c:numCache>
                <c:formatCode>General</c:formatCode>
                <c:ptCount val="6"/>
                <c:pt idx="0">
                  <c:v>29</c:v>
                </c:pt>
                <c:pt idx="1">
                  <c:v>233</c:v>
                </c:pt>
                <c:pt idx="2">
                  <c:v>275</c:v>
                </c:pt>
                <c:pt idx="3">
                  <c:v>194</c:v>
                </c:pt>
                <c:pt idx="4">
                  <c:v>124</c:v>
                </c:pt>
                <c:pt idx="5">
                  <c:v>11</c:v>
                </c:pt>
              </c:numCache>
            </c:numRef>
          </c:val>
          <c:extLst>
            <c:ext xmlns:c16="http://schemas.microsoft.com/office/drawing/2014/chart" uri="{C3380CC4-5D6E-409C-BE32-E72D297353CC}">
              <c16:uniqueId val="{00000000-E46D-4311-81BD-FC8670E9D8BA}"/>
            </c:ext>
          </c:extLst>
        </c:ser>
        <c:dLbls>
          <c:showLegendKey val="0"/>
          <c:showVal val="0"/>
          <c:showCatName val="0"/>
          <c:showSerName val="0"/>
          <c:showPercent val="0"/>
          <c:showBubbleSize val="0"/>
        </c:dLbls>
        <c:gapWidth val="150"/>
        <c:axId val="129513984"/>
        <c:axId val="129414784"/>
      </c:barChart>
      <c:catAx>
        <c:axId val="129513984"/>
        <c:scaling>
          <c:orientation val="minMax"/>
        </c:scaling>
        <c:delete val="0"/>
        <c:axPos val="b"/>
        <c:numFmt formatCode="General" sourceLinked="0"/>
        <c:majorTickMark val="out"/>
        <c:minorTickMark val="none"/>
        <c:tickLblPos val="nextTo"/>
        <c:crossAx val="129414784"/>
        <c:crosses val="autoZero"/>
        <c:auto val="1"/>
        <c:lblAlgn val="ctr"/>
        <c:lblOffset val="100"/>
        <c:noMultiLvlLbl val="0"/>
      </c:catAx>
      <c:valAx>
        <c:axId val="129414784"/>
        <c:scaling>
          <c:orientation val="minMax"/>
        </c:scaling>
        <c:delete val="0"/>
        <c:axPos val="l"/>
        <c:majorGridlines/>
        <c:title>
          <c:tx>
            <c:rich>
              <a:bodyPr rot="-5400000" vert="horz"/>
              <a:lstStyle/>
              <a:p>
                <a:pPr>
                  <a:defRPr/>
                </a:pPr>
                <a:r>
                  <a:rPr lang="en-US"/>
                  <a:t>number</a:t>
                </a:r>
                <a:r>
                  <a:rPr lang="en-US" baseline="0"/>
                  <a:t> of events</a:t>
                </a:r>
                <a:endParaRPr lang="he-IL"/>
              </a:p>
            </c:rich>
          </c:tx>
          <c:overlay val="0"/>
        </c:title>
        <c:numFmt formatCode="General" sourceLinked="1"/>
        <c:majorTickMark val="out"/>
        <c:minorTickMark val="none"/>
        <c:tickLblPos val="nextTo"/>
        <c:crossAx val="129513984"/>
        <c:crosses val="autoZero"/>
        <c:crossBetween val="between"/>
      </c:valAx>
    </c:plotArea>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סיבת פגיעה עקרית</a:t>
            </a:r>
          </a:p>
        </c:rich>
      </c:tx>
      <c:overlay val="0"/>
    </c:title>
    <c:autoTitleDeleted val="0"/>
    <c:plotArea>
      <c:layout/>
      <c:barChart>
        <c:barDir val="col"/>
        <c:grouping val="clustered"/>
        <c:varyColors val="0"/>
        <c:ser>
          <c:idx val="0"/>
          <c:order val="0"/>
          <c:tx>
            <c:strRef>
              <c:f>Results!$W$2</c:f>
              <c:strCache>
                <c:ptCount val="1"/>
                <c:pt idx="0">
                  <c:v>פגיעה עקרית</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פרמטרים'!$E$2:$E$11</c:f>
              <c:strCache>
                <c:ptCount val="6"/>
                <c:pt idx="0">
                  <c:v>תקלה טכנית</c:v>
                </c:pt>
                <c:pt idx="1">
                  <c:v>טעות אנוש</c:v>
                </c:pt>
                <c:pt idx="2">
                  <c:v>תרבות עבודה</c:v>
                </c:pt>
                <c:pt idx="3">
                  <c:v>תקשורת</c:v>
                </c:pt>
                <c:pt idx="4">
                  <c:v>נהל עבודה</c:v>
                </c:pt>
                <c:pt idx="5">
                  <c:v>אחר</c:v>
                </c:pt>
              </c:strCache>
            </c:strRef>
          </c:cat>
          <c:val>
            <c:numRef>
              <c:f>Results!$W$3:$W$8</c:f>
              <c:numCache>
                <c:formatCode>0%</c:formatCode>
                <c:ptCount val="6"/>
                <c:pt idx="0">
                  <c:v>3.348729792147806E-2</c:v>
                </c:pt>
                <c:pt idx="1">
                  <c:v>0.26905311778290991</c:v>
                </c:pt>
                <c:pt idx="2">
                  <c:v>0.31755196304849886</c:v>
                </c:pt>
                <c:pt idx="3">
                  <c:v>0.22401847575057737</c:v>
                </c:pt>
                <c:pt idx="4">
                  <c:v>0.14318706697459585</c:v>
                </c:pt>
                <c:pt idx="5">
                  <c:v>1.2702078521939953E-2</c:v>
                </c:pt>
              </c:numCache>
            </c:numRef>
          </c:val>
          <c:extLst>
            <c:ext xmlns:c16="http://schemas.microsoft.com/office/drawing/2014/chart" uri="{C3380CC4-5D6E-409C-BE32-E72D297353CC}">
              <c16:uniqueId val="{00000000-16C3-4BFC-BE98-555B8A5C7ACE}"/>
            </c:ext>
          </c:extLst>
        </c:ser>
        <c:dLbls>
          <c:showLegendKey val="0"/>
          <c:showVal val="0"/>
          <c:showCatName val="0"/>
          <c:showSerName val="0"/>
          <c:showPercent val="0"/>
          <c:showBubbleSize val="0"/>
        </c:dLbls>
        <c:gapWidth val="150"/>
        <c:axId val="130527744"/>
        <c:axId val="129416512"/>
      </c:barChart>
      <c:catAx>
        <c:axId val="130527744"/>
        <c:scaling>
          <c:orientation val="minMax"/>
        </c:scaling>
        <c:delete val="0"/>
        <c:axPos val="b"/>
        <c:numFmt formatCode="General" sourceLinked="0"/>
        <c:majorTickMark val="out"/>
        <c:minorTickMark val="none"/>
        <c:tickLblPos val="nextTo"/>
        <c:crossAx val="129416512"/>
        <c:crosses val="autoZero"/>
        <c:auto val="1"/>
        <c:lblAlgn val="ctr"/>
        <c:lblOffset val="100"/>
        <c:noMultiLvlLbl val="0"/>
      </c:catAx>
      <c:valAx>
        <c:axId val="129416512"/>
        <c:scaling>
          <c:orientation val="minMax"/>
        </c:scaling>
        <c:delete val="0"/>
        <c:axPos val="l"/>
        <c:majorGridlines/>
        <c:title>
          <c:tx>
            <c:rich>
              <a:bodyPr rot="-5400000" vert="horz"/>
              <a:lstStyle/>
              <a:p>
                <a:pPr>
                  <a:defRPr/>
                </a:pPr>
                <a:r>
                  <a:rPr lang="he-IL"/>
                  <a:t>מספר</a:t>
                </a:r>
                <a:r>
                  <a:rPr lang="he-IL" baseline="0"/>
                  <a:t> מקרים [%]</a:t>
                </a:r>
                <a:endParaRPr lang="he-IL"/>
              </a:p>
            </c:rich>
          </c:tx>
          <c:overlay val="0"/>
        </c:title>
        <c:numFmt formatCode="0%" sourceLinked="1"/>
        <c:majorTickMark val="out"/>
        <c:minorTickMark val="none"/>
        <c:tickLblPos val="nextTo"/>
        <c:crossAx val="130527744"/>
        <c:crosses val="autoZero"/>
        <c:crossBetween val="between"/>
      </c:valAx>
    </c:plotArea>
    <c:plotVisOnly val="1"/>
    <c:dispBlanksAs val="gap"/>
    <c:showDLblsOverMax val="0"/>
  </c:chart>
  <c:printSettings>
    <c:headerFooter/>
    <c:pageMargins b="0.75" l="0.7" r="0.7" t="0.75" header="0.3" footer="0.3"/>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Results!$Z$2</c:f>
              <c:strCache>
                <c:ptCount val="1"/>
                <c:pt idx="0">
                  <c:v>שיטת טיפול</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פרמטרים'!$H$2:$H$10</c:f>
              <c:strCache>
                <c:ptCount val="9"/>
                <c:pt idx="0">
                  <c:v>3D</c:v>
                </c:pt>
                <c:pt idx="1">
                  <c:v>ברכיתרפיה</c:v>
                </c:pt>
                <c:pt idx="2">
                  <c:v>IMRT</c:v>
                </c:pt>
                <c:pt idx="3">
                  <c:v>SBRT</c:v>
                </c:pt>
                <c:pt idx="4">
                  <c:v>SRS\SRT</c:v>
                </c:pt>
                <c:pt idx="5">
                  <c:v>TBI\TLI</c:v>
                </c:pt>
                <c:pt idx="6">
                  <c:v>TSI</c:v>
                </c:pt>
                <c:pt idx="7">
                  <c:v>סימון קליני</c:v>
                </c:pt>
                <c:pt idx="8">
                  <c:v>טיפול מגע</c:v>
                </c:pt>
              </c:strCache>
            </c:strRef>
          </c:cat>
          <c:val>
            <c:numRef>
              <c:f>Results!$Z$3:$Z$10</c:f>
              <c:numCache>
                <c:formatCode>0%</c:formatCode>
                <c:ptCount val="8"/>
                <c:pt idx="0">
                  <c:v>0.33155080213903743</c:v>
                </c:pt>
                <c:pt idx="1">
                  <c:v>4.2780748663101602E-2</c:v>
                </c:pt>
                <c:pt idx="2">
                  <c:v>0.27629233511586454</c:v>
                </c:pt>
                <c:pt idx="3">
                  <c:v>0.20677361853832443</c:v>
                </c:pt>
                <c:pt idx="4">
                  <c:v>7.130124777183601E-2</c:v>
                </c:pt>
                <c:pt idx="5">
                  <c:v>8.9126559714795012E-3</c:v>
                </c:pt>
                <c:pt idx="6">
                  <c:v>3.5650623885918005E-2</c:v>
                </c:pt>
                <c:pt idx="7">
                  <c:v>2.6737967914438502E-2</c:v>
                </c:pt>
              </c:numCache>
            </c:numRef>
          </c:val>
          <c:extLst>
            <c:ext xmlns:c16="http://schemas.microsoft.com/office/drawing/2014/chart" uri="{C3380CC4-5D6E-409C-BE32-E72D297353CC}">
              <c16:uniqueId val="{00000000-00DD-480D-B5CC-21AE1AF91E47}"/>
            </c:ext>
          </c:extLst>
        </c:ser>
        <c:dLbls>
          <c:dLblPos val="outEnd"/>
          <c:showLegendKey val="0"/>
          <c:showVal val="1"/>
          <c:showCatName val="0"/>
          <c:showSerName val="0"/>
          <c:showPercent val="0"/>
          <c:showBubbleSize val="0"/>
        </c:dLbls>
        <c:gapWidth val="150"/>
        <c:axId val="130529792"/>
        <c:axId val="129696896"/>
      </c:barChart>
      <c:catAx>
        <c:axId val="130529792"/>
        <c:scaling>
          <c:orientation val="minMax"/>
        </c:scaling>
        <c:delete val="0"/>
        <c:axPos val="b"/>
        <c:numFmt formatCode="General" sourceLinked="0"/>
        <c:majorTickMark val="out"/>
        <c:minorTickMark val="none"/>
        <c:tickLblPos val="nextTo"/>
        <c:crossAx val="129696896"/>
        <c:crosses val="autoZero"/>
        <c:auto val="1"/>
        <c:lblAlgn val="ctr"/>
        <c:lblOffset val="100"/>
        <c:noMultiLvlLbl val="0"/>
      </c:catAx>
      <c:valAx>
        <c:axId val="129696896"/>
        <c:scaling>
          <c:orientation val="minMax"/>
        </c:scaling>
        <c:delete val="0"/>
        <c:axPos val="l"/>
        <c:majorGridlines/>
        <c:title>
          <c:tx>
            <c:rich>
              <a:bodyPr rot="-5400000" vert="horz"/>
              <a:lstStyle/>
              <a:p>
                <a:pPr>
                  <a:defRPr/>
                </a:pPr>
                <a:r>
                  <a:rPr lang="he-IL"/>
                  <a:t>מספר מקרים</a:t>
                </a:r>
              </a:p>
            </c:rich>
          </c:tx>
          <c:overlay val="0"/>
        </c:title>
        <c:numFmt formatCode="0%" sourceLinked="1"/>
        <c:majorTickMark val="out"/>
        <c:minorTickMark val="none"/>
        <c:tickLblPos val="nextTo"/>
        <c:crossAx val="130529792"/>
        <c:crosses val="autoZero"/>
        <c:crossBetween val="between"/>
      </c:valAx>
    </c:plotArea>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Results!$S$2</c:f>
          <c:strCache>
            <c:ptCount val="1"/>
            <c:pt idx="0">
              <c:v>שלב בו הארוע קרה</c:v>
            </c:pt>
          </c:strCache>
        </c:strRef>
      </c:tx>
      <c:overlay val="0"/>
    </c:title>
    <c:autoTitleDeleted val="0"/>
    <c:plotArea>
      <c:layout/>
      <c:barChart>
        <c:barDir val="col"/>
        <c:grouping val="clustered"/>
        <c:varyColors val="0"/>
        <c:ser>
          <c:idx val="0"/>
          <c:order val="0"/>
          <c:tx>
            <c:strRef>
              <c:f>Results!$S$2</c:f>
              <c:strCache>
                <c:ptCount val="1"/>
                <c:pt idx="0">
                  <c:v>שלב בו הארוע קרה</c:v>
                </c:pt>
              </c:strCache>
            </c:strRef>
          </c:tx>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'טבלת פרמטרים'!$A$2:$A$11</c:f>
              <c:strCache>
                <c:ptCount val="10"/>
                <c:pt idx="0">
                  <c:v>קבלה</c:v>
                </c:pt>
                <c:pt idx="1">
                  <c:v>סימולציה</c:v>
                </c:pt>
                <c:pt idx="2">
                  <c:v>סימון</c:v>
                </c:pt>
                <c:pt idx="3">
                  <c:v>מרשם</c:v>
                </c:pt>
                <c:pt idx="4">
                  <c:v>תכנון</c:v>
                </c:pt>
                <c:pt idx="5">
                  <c:v>בקרת איכות</c:v>
                </c:pt>
                <c:pt idx="6">
                  <c:v>לפני טיפול</c:v>
                </c:pt>
                <c:pt idx="7">
                  <c:v>מהלך טיפול</c:v>
                </c:pt>
                <c:pt idx="8">
                  <c:v>מעקב</c:v>
                </c:pt>
                <c:pt idx="9">
                  <c:v>אחר</c:v>
                </c:pt>
              </c:strCache>
            </c:strRef>
          </c:cat>
          <c:val>
            <c:numRef>
              <c:f>Results!$S$3:$S$12</c:f>
              <c:numCache>
                <c:formatCode>0%</c:formatCode>
                <c:ptCount val="10"/>
                <c:pt idx="0">
                  <c:v>0.14827586206896551</c:v>
                </c:pt>
                <c:pt idx="1">
                  <c:v>0.1793103448275862</c:v>
                </c:pt>
                <c:pt idx="2">
                  <c:v>3.4482758620689655E-2</c:v>
                </c:pt>
                <c:pt idx="3">
                  <c:v>8.9655172413793102E-2</c:v>
                </c:pt>
                <c:pt idx="4">
                  <c:v>5.7471264367816091E-2</c:v>
                </c:pt>
                <c:pt idx="5">
                  <c:v>7.3563218390804597E-2</c:v>
                </c:pt>
                <c:pt idx="6">
                  <c:v>0.10919540229885058</c:v>
                </c:pt>
                <c:pt idx="7">
                  <c:v>0.27011494252873564</c:v>
                </c:pt>
                <c:pt idx="8">
                  <c:v>1.3793103448275862E-2</c:v>
                </c:pt>
                <c:pt idx="9">
                  <c:v>2.4137931034482758E-2</c:v>
                </c:pt>
              </c:numCache>
            </c:numRef>
          </c:val>
          <c:extLst>
            <c:ext xmlns:c16="http://schemas.microsoft.com/office/drawing/2014/chart" uri="{C3380CC4-5D6E-409C-BE32-E72D297353CC}">
              <c16:uniqueId val="{00000000-3B80-4FC3-99CE-1D35CF29F7AB}"/>
            </c:ext>
          </c:extLst>
        </c:ser>
        <c:dLbls>
          <c:showLegendKey val="0"/>
          <c:showVal val="0"/>
          <c:showCatName val="0"/>
          <c:showSerName val="0"/>
          <c:showPercent val="0"/>
          <c:showBubbleSize val="0"/>
        </c:dLbls>
        <c:gapWidth val="150"/>
        <c:axId val="129835008"/>
        <c:axId val="129698624"/>
      </c:barChart>
      <c:catAx>
        <c:axId val="129835008"/>
        <c:scaling>
          <c:orientation val="minMax"/>
        </c:scaling>
        <c:delete val="0"/>
        <c:axPos val="b"/>
        <c:numFmt formatCode="General" sourceLinked="0"/>
        <c:majorTickMark val="out"/>
        <c:minorTickMark val="none"/>
        <c:tickLblPos val="nextTo"/>
        <c:crossAx val="129698624"/>
        <c:crosses val="autoZero"/>
        <c:auto val="1"/>
        <c:lblAlgn val="ctr"/>
        <c:lblOffset val="100"/>
        <c:noMultiLvlLbl val="0"/>
      </c:catAx>
      <c:valAx>
        <c:axId val="129698624"/>
        <c:scaling>
          <c:orientation val="minMax"/>
        </c:scaling>
        <c:delete val="0"/>
        <c:axPos val="l"/>
        <c:majorGridlines/>
        <c:title>
          <c:tx>
            <c:rich>
              <a:bodyPr rot="-5400000" vert="horz"/>
              <a:lstStyle/>
              <a:p>
                <a:pPr>
                  <a:defRPr/>
                </a:pPr>
                <a:r>
                  <a:rPr lang="he-IL"/>
                  <a:t>מספר מקרים</a:t>
                </a:r>
              </a:p>
            </c:rich>
          </c:tx>
          <c:overlay val="0"/>
        </c:title>
        <c:numFmt formatCode="0%" sourceLinked="1"/>
        <c:majorTickMark val="out"/>
        <c:minorTickMark val="none"/>
        <c:tickLblPos val="nextTo"/>
        <c:crossAx val="129835008"/>
        <c:crosses val="autoZero"/>
        <c:crossBetween val="between"/>
      </c:valAx>
    </c:plotArea>
    <c:plotVisOnly val="1"/>
    <c:dispBlanksAs val="gap"/>
    <c:showDLblsOverMax val="0"/>
  </c:chart>
  <c:printSettings>
    <c:headerFooter/>
    <c:pageMargins b="0.75" l="0.7" r="0.7" t="0.75" header="0.3" footer="0.3"/>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a:t>
            </a:r>
            <a:r>
              <a:rPr lang="en-US" baseline="0"/>
              <a:t> o</a:t>
            </a:r>
            <a:r>
              <a:rPr lang="en-US"/>
              <a:t>f monthly</a:t>
            </a:r>
            <a:r>
              <a:rPr lang="en-US" baseline="0"/>
              <a:t> </a:t>
            </a:r>
            <a:r>
              <a:rPr lang="en-US"/>
              <a:t>reports Jan 2015-Dec</a:t>
            </a:r>
            <a:r>
              <a:rPr lang="en-US" baseline="0"/>
              <a:t> May 2024</a:t>
            </a:r>
            <a:endParaRPr lang="en-US"/>
          </a:p>
        </c:rich>
      </c:tx>
      <c:overlay val="0"/>
    </c:title>
    <c:autoTitleDeleted val="0"/>
    <c:plotArea>
      <c:layout/>
      <c:barChart>
        <c:barDir val="col"/>
        <c:grouping val="clustered"/>
        <c:varyColors val="0"/>
        <c:ser>
          <c:idx val="0"/>
          <c:order val="0"/>
          <c:tx>
            <c:strRef>
              <c:f>'results new'!$C$2</c:f>
              <c:strCache>
                <c:ptCount val="1"/>
                <c:pt idx="0">
                  <c:v>#of reports</c:v>
                </c:pt>
              </c:strCache>
            </c:strRef>
          </c:tx>
          <c:invertIfNegative val="0"/>
          <c:cat>
            <c:numRef>
              <c:f>'results new'!$B$3:$B$122</c:f>
              <c:numCache>
                <c:formatCode>B1mmm\-yy</c:formatCode>
                <c:ptCount val="120"/>
                <c:pt idx="0">
                  <c:v>42005</c:v>
                </c:pt>
                <c:pt idx="1">
                  <c:v>42037</c:v>
                </c:pt>
                <c:pt idx="2">
                  <c:v>42069</c:v>
                </c:pt>
                <c:pt idx="3">
                  <c:v>42101</c:v>
                </c:pt>
                <c:pt idx="4">
                  <c:v>42133</c:v>
                </c:pt>
                <c:pt idx="5">
                  <c:v>42165</c:v>
                </c:pt>
                <c:pt idx="6">
                  <c:v>42197</c:v>
                </c:pt>
                <c:pt idx="7">
                  <c:v>42229</c:v>
                </c:pt>
                <c:pt idx="8">
                  <c:v>42261</c:v>
                </c:pt>
                <c:pt idx="9">
                  <c:v>42293</c:v>
                </c:pt>
                <c:pt idx="10">
                  <c:v>42325</c:v>
                </c:pt>
                <c:pt idx="11">
                  <c:v>42357</c:v>
                </c:pt>
                <c:pt idx="12">
                  <c:v>42389</c:v>
                </c:pt>
                <c:pt idx="13">
                  <c:v>42421</c:v>
                </c:pt>
                <c:pt idx="14">
                  <c:v>42453</c:v>
                </c:pt>
                <c:pt idx="15">
                  <c:v>42485</c:v>
                </c:pt>
                <c:pt idx="16">
                  <c:v>42517</c:v>
                </c:pt>
                <c:pt idx="17">
                  <c:v>42549</c:v>
                </c:pt>
                <c:pt idx="18">
                  <c:v>42581</c:v>
                </c:pt>
                <c:pt idx="19">
                  <c:v>42613</c:v>
                </c:pt>
                <c:pt idx="20">
                  <c:v>42614</c:v>
                </c:pt>
                <c:pt idx="21">
                  <c:v>42645</c:v>
                </c:pt>
                <c:pt idx="22">
                  <c:v>42677</c:v>
                </c:pt>
                <c:pt idx="23">
                  <c:v>42709</c:v>
                </c:pt>
                <c:pt idx="24">
                  <c:v>42741</c:v>
                </c:pt>
                <c:pt idx="25">
                  <c:v>42773</c:v>
                </c:pt>
                <c:pt idx="26">
                  <c:v>42805</c:v>
                </c:pt>
                <c:pt idx="27">
                  <c:v>42837</c:v>
                </c:pt>
                <c:pt idx="28">
                  <c:v>42869</c:v>
                </c:pt>
                <c:pt idx="29">
                  <c:v>42901</c:v>
                </c:pt>
                <c:pt idx="30">
                  <c:v>42933</c:v>
                </c:pt>
                <c:pt idx="31">
                  <c:v>42965</c:v>
                </c:pt>
                <c:pt idx="32">
                  <c:v>42997</c:v>
                </c:pt>
                <c:pt idx="33">
                  <c:v>43029</c:v>
                </c:pt>
                <c:pt idx="34">
                  <c:v>43061</c:v>
                </c:pt>
                <c:pt idx="35">
                  <c:v>43093</c:v>
                </c:pt>
                <c:pt idx="36">
                  <c:v>43125</c:v>
                </c:pt>
                <c:pt idx="37">
                  <c:v>43157</c:v>
                </c:pt>
                <c:pt idx="38">
                  <c:v>43189</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numCache>
            </c:numRef>
          </c:cat>
          <c:val>
            <c:numRef>
              <c:f>'results new'!$C$3:$C$122</c:f>
              <c:numCache>
                <c:formatCode>General</c:formatCode>
                <c:ptCount val="120"/>
                <c:pt idx="0">
                  <c:v>5</c:v>
                </c:pt>
                <c:pt idx="1">
                  <c:v>0</c:v>
                </c:pt>
                <c:pt idx="2">
                  <c:v>1</c:v>
                </c:pt>
                <c:pt idx="3">
                  <c:v>1</c:v>
                </c:pt>
                <c:pt idx="4">
                  <c:v>0</c:v>
                </c:pt>
                <c:pt idx="5">
                  <c:v>2</c:v>
                </c:pt>
                <c:pt idx="6">
                  <c:v>2</c:v>
                </c:pt>
                <c:pt idx="7">
                  <c:v>1</c:v>
                </c:pt>
                <c:pt idx="8">
                  <c:v>2</c:v>
                </c:pt>
                <c:pt idx="9">
                  <c:v>2</c:v>
                </c:pt>
                <c:pt idx="10">
                  <c:v>1</c:v>
                </c:pt>
                <c:pt idx="11">
                  <c:v>0</c:v>
                </c:pt>
                <c:pt idx="12">
                  <c:v>0</c:v>
                </c:pt>
                <c:pt idx="13">
                  <c:v>0</c:v>
                </c:pt>
                <c:pt idx="14">
                  <c:v>0</c:v>
                </c:pt>
                <c:pt idx="15">
                  <c:v>1</c:v>
                </c:pt>
                <c:pt idx="16">
                  <c:v>1</c:v>
                </c:pt>
                <c:pt idx="17">
                  <c:v>2</c:v>
                </c:pt>
                <c:pt idx="18">
                  <c:v>2</c:v>
                </c:pt>
                <c:pt idx="19">
                  <c:v>0</c:v>
                </c:pt>
                <c:pt idx="20">
                  <c:v>0</c:v>
                </c:pt>
                <c:pt idx="21">
                  <c:v>1</c:v>
                </c:pt>
                <c:pt idx="22">
                  <c:v>1</c:v>
                </c:pt>
                <c:pt idx="23">
                  <c:v>0</c:v>
                </c:pt>
                <c:pt idx="24">
                  <c:v>1</c:v>
                </c:pt>
                <c:pt idx="25">
                  <c:v>0</c:v>
                </c:pt>
                <c:pt idx="26">
                  <c:v>1</c:v>
                </c:pt>
                <c:pt idx="27">
                  <c:v>2</c:v>
                </c:pt>
                <c:pt idx="28">
                  <c:v>2</c:v>
                </c:pt>
                <c:pt idx="29">
                  <c:v>6</c:v>
                </c:pt>
                <c:pt idx="30">
                  <c:v>1</c:v>
                </c:pt>
                <c:pt idx="31">
                  <c:v>0</c:v>
                </c:pt>
                <c:pt idx="32">
                  <c:v>0</c:v>
                </c:pt>
                <c:pt idx="33">
                  <c:v>5</c:v>
                </c:pt>
                <c:pt idx="34">
                  <c:v>2</c:v>
                </c:pt>
                <c:pt idx="35">
                  <c:v>3</c:v>
                </c:pt>
                <c:pt idx="36">
                  <c:v>6</c:v>
                </c:pt>
                <c:pt idx="37">
                  <c:v>6</c:v>
                </c:pt>
                <c:pt idx="38">
                  <c:v>5</c:v>
                </c:pt>
                <c:pt idx="39">
                  <c:v>1</c:v>
                </c:pt>
                <c:pt idx="40">
                  <c:v>4</c:v>
                </c:pt>
                <c:pt idx="41">
                  <c:v>10</c:v>
                </c:pt>
                <c:pt idx="42">
                  <c:v>3</c:v>
                </c:pt>
                <c:pt idx="43">
                  <c:v>6</c:v>
                </c:pt>
                <c:pt idx="44">
                  <c:v>5</c:v>
                </c:pt>
                <c:pt idx="45">
                  <c:v>4</c:v>
                </c:pt>
                <c:pt idx="46">
                  <c:v>3</c:v>
                </c:pt>
                <c:pt idx="47">
                  <c:v>7</c:v>
                </c:pt>
                <c:pt idx="48">
                  <c:v>16</c:v>
                </c:pt>
                <c:pt idx="49">
                  <c:v>4</c:v>
                </c:pt>
                <c:pt idx="50">
                  <c:v>5</c:v>
                </c:pt>
                <c:pt idx="51">
                  <c:v>2</c:v>
                </c:pt>
                <c:pt idx="52">
                  <c:v>4</c:v>
                </c:pt>
                <c:pt idx="53">
                  <c:v>7</c:v>
                </c:pt>
                <c:pt idx="54">
                  <c:v>9</c:v>
                </c:pt>
                <c:pt idx="55">
                  <c:v>7</c:v>
                </c:pt>
                <c:pt idx="56">
                  <c:v>4</c:v>
                </c:pt>
                <c:pt idx="57">
                  <c:v>3</c:v>
                </c:pt>
                <c:pt idx="58">
                  <c:v>5</c:v>
                </c:pt>
                <c:pt idx="59">
                  <c:v>2</c:v>
                </c:pt>
                <c:pt idx="60">
                  <c:v>7</c:v>
                </c:pt>
                <c:pt idx="61">
                  <c:v>6</c:v>
                </c:pt>
                <c:pt idx="62">
                  <c:v>4</c:v>
                </c:pt>
                <c:pt idx="63">
                  <c:v>2</c:v>
                </c:pt>
                <c:pt idx="64">
                  <c:v>5</c:v>
                </c:pt>
                <c:pt idx="65">
                  <c:v>3</c:v>
                </c:pt>
                <c:pt idx="66">
                  <c:v>2</c:v>
                </c:pt>
                <c:pt idx="67">
                  <c:v>6</c:v>
                </c:pt>
                <c:pt idx="68">
                  <c:v>7</c:v>
                </c:pt>
                <c:pt idx="69">
                  <c:v>4</c:v>
                </c:pt>
                <c:pt idx="70">
                  <c:v>5</c:v>
                </c:pt>
                <c:pt idx="71">
                  <c:v>1</c:v>
                </c:pt>
                <c:pt idx="72">
                  <c:v>6</c:v>
                </c:pt>
                <c:pt idx="73">
                  <c:v>5</c:v>
                </c:pt>
                <c:pt idx="74">
                  <c:v>12</c:v>
                </c:pt>
                <c:pt idx="75">
                  <c:v>8</c:v>
                </c:pt>
                <c:pt idx="76">
                  <c:v>3</c:v>
                </c:pt>
                <c:pt idx="77">
                  <c:v>12</c:v>
                </c:pt>
                <c:pt idx="78">
                  <c:v>9</c:v>
                </c:pt>
                <c:pt idx="79">
                  <c:v>6</c:v>
                </c:pt>
                <c:pt idx="80">
                  <c:v>5</c:v>
                </c:pt>
                <c:pt idx="81">
                  <c:v>11</c:v>
                </c:pt>
                <c:pt idx="82">
                  <c:v>7</c:v>
                </c:pt>
                <c:pt idx="83">
                  <c:v>6</c:v>
                </c:pt>
                <c:pt idx="84">
                  <c:v>3</c:v>
                </c:pt>
                <c:pt idx="85">
                  <c:v>20</c:v>
                </c:pt>
                <c:pt idx="86">
                  <c:v>21</c:v>
                </c:pt>
                <c:pt idx="87">
                  <c:v>11</c:v>
                </c:pt>
                <c:pt idx="88">
                  <c:v>12</c:v>
                </c:pt>
                <c:pt idx="89">
                  <c:v>10</c:v>
                </c:pt>
                <c:pt idx="90">
                  <c:v>6</c:v>
                </c:pt>
                <c:pt idx="91">
                  <c:v>7</c:v>
                </c:pt>
                <c:pt idx="92">
                  <c:v>12</c:v>
                </c:pt>
                <c:pt idx="93">
                  <c:v>6</c:v>
                </c:pt>
                <c:pt idx="94">
                  <c:v>11</c:v>
                </c:pt>
                <c:pt idx="95">
                  <c:v>9</c:v>
                </c:pt>
                <c:pt idx="96">
                  <c:v>10</c:v>
                </c:pt>
                <c:pt idx="97">
                  <c:v>11</c:v>
                </c:pt>
                <c:pt idx="98">
                  <c:v>6</c:v>
                </c:pt>
                <c:pt idx="99">
                  <c:v>7</c:v>
                </c:pt>
                <c:pt idx="100">
                  <c:v>4</c:v>
                </c:pt>
                <c:pt idx="101">
                  <c:v>13</c:v>
                </c:pt>
                <c:pt idx="102">
                  <c:v>17</c:v>
                </c:pt>
                <c:pt idx="103">
                  <c:v>6</c:v>
                </c:pt>
                <c:pt idx="104">
                  <c:v>3</c:v>
                </c:pt>
                <c:pt idx="105">
                  <c:v>4</c:v>
                </c:pt>
                <c:pt idx="106">
                  <c:v>7</c:v>
                </c:pt>
                <c:pt idx="107">
                  <c:v>2</c:v>
                </c:pt>
                <c:pt idx="108">
                  <c:v>1</c:v>
                </c:pt>
                <c:pt idx="109">
                  <c:v>7</c:v>
                </c:pt>
                <c:pt idx="110">
                  <c:v>9</c:v>
                </c:pt>
                <c:pt idx="111">
                  <c:v>10</c:v>
                </c:pt>
                <c:pt idx="112">
                  <c:v>13</c:v>
                </c:pt>
                <c:pt idx="113">
                  <c:v>5</c:v>
                </c:pt>
                <c:pt idx="114">
                  <c:v>22</c:v>
                </c:pt>
                <c:pt idx="115">
                  <c:v>14</c:v>
                </c:pt>
                <c:pt idx="116">
                  <c:v>5</c:v>
                </c:pt>
                <c:pt idx="117">
                  <c:v>10</c:v>
                </c:pt>
                <c:pt idx="118">
                  <c:v>12</c:v>
                </c:pt>
                <c:pt idx="119">
                  <c:v>7</c:v>
                </c:pt>
              </c:numCache>
            </c:numRef>
          </c:val>
          <c:extLst>
            <c:ext xmlns:c16="http://schemas.microsoft.com/office/drawing/2014/chart" uri="{C3380CC4-5D6E-409C-BE32-E72D297353CC}">
              <c16:uniqueId val="{00000000-B224-406D-8D72-9122D0B55EAE}"/>
            </c:ext>
          </c:extLst>
        </c:ser>
        <c:dLbls>
          <c:showLegendKey val="0"/>
          <c:showVal val="0"/>
          <c:showCatName val="0"/>
          <c:showSerName val="0"/>
          <c:showPercent val="0"/>
          <c:showBubbleSize val="0"/>
        </c:dLbls>
        <c:gapWidth val="150"/>
        <c:axId val="129836544"/>
        <c:axId val="129702656"/>
      </c:barChart>
      <c:dateAx>
        <c:axId val="129836544"/>
        <c:scaling>
          <c:orientation val="minMax"/>
        </c:scaling>
        <c:delete val="0"/>
        <c:axPos val="b"/>
        <c:numFmt formatCode="B1mmm\-yy" sourceLinked="1"/>
        <c:majorTickMark val="out"/>
        <c:minorTickMark val="none"/>
        <c:tickLblPos val="nextTo"/>
        <c:crossAx val="129702656"/>
        <c:crosses val="autoZero"/>
        <c:auto val="1"/>
        <c:lblOffset val="100"/>
        <c:baseTimeUnit val="months"/>
        <c:majorUnit val="1"/>
        <c:majorTimeUnit val="months"/>
      </c:dateAx>
      <c:valAx>
        <c:axId val="129702656"/>
        <c:scaling>
          <c:orientation val="minMax"/>
        </c:scaling>
        <c:delete val="0"/>
        <c:axPos val="l"/>
        <c:majorGridlines/>
        <c:numFmt formatCode="General" sourceLinked="1"/>
        <c:majorTickMark val="out"/>
        <c:minorTickMark val="none"/>
        <c:tickLblPos val="nextTo"/>
        <c:crossAx val="129836544"/>
        <c:crosses val="autoZero"/>
        <c:crossBetween val="between"/>
      </c:valAx>
    </c:plotArea>
    <c:plotVisOnly val="1"/>
    <c:dispBlanksAs val="gap"/>
    <c:showDLblsOverMax val="0"/>
  </c:chart>
  <c:printSettings>
    <c:headerFooter/>
    <c:pageMargins b="0.75" l="0.7" r="0.7" t="0.75" header="0.3" footer="0.3"/>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rtl="1">
              <a:defRPr/>
            </a:pPr>
            <a:r>
              <a:rPr lang="he-IL"/>
              <a:t>חומרת דיווח </a:t>
            </a:r>
            <a:r>
              <a:rPr lang="en-US"/>
              <a:t>(1-13) </a:t>
            </a:r>
            <a:r>
              <a:rPr lang="en-US" baseline="0"/>
              <a:t> </a:t>
            </a:r>
            <a:r>
              <a:rPr lang="he-IL"/>
              <a:t> </a:t>
            </a:r>
          </a:p>
          <a:p>
            <a:pPr rtl="1">
              <a:defRPr/>
            </a:pPr>
            <a:r>
              <a:rPr lang="he-IL"/>
              <a:t>חומרה ממוצעת 4.0</a:t>
            </a:r>
          </a:p>
        </c:rich>
      </c:tx>
      <c:layout>
        <c:manualLayout>
          <c:xMode val="edge"/>
          <c:yMode val="edge"/>
          <c:x val="0.36699833333333332"/>
          <c:y val="1.1730201667104881E-2"/>
        </c:manualLayout>
      </c:layout>
      <c:overlay val="0"/>
    </c:title>
    <c:autoTitleDeleted val="0"/>
    <c:plotArea>
      <c:layout/>
      <c:barChart>
        <c:barDir val="col"/>
        <c:grouping val="clustered"/>
        <c:varyColors val="0"/>
        <c:ser>
          <c:idx val="0"/>
          <c:order val="0"/>
          <c:tx>
            <c:strRef>
              <c:f>'results new'!$L$2</c:f>
              <c:strCache>
                <c:ptCount val="1"/>
                <c:pt idx="0">
                  <c:v>חומרת דיווח מלא</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'results new'!$M$4:$M$16</c:f>
              <c:numCache>
                <c:formatCode>General</c:formatCode>
                <c:ptCount val="13"/>
                <c:pt idx="0">
                  <c:v>44</c:v>
                </c:pt>
                <c:pt idx="1">
                  <c:v>133</c:v>
                </c:pt>
                <c:pt idx="2">
                  <c:v>235</c:v>
                </c:pt>
                <c:pt idx="3">
                  <c:v>183</c:v>
                </c:pt>
                <c:pt idx="4">
                  <c:v>119</c:v>
                </c:pt>
                <c:pt idx="5">
                  <c:v>64</c:v>
                </c:pt>
                <c:pt idx="6">
                  <c:v>32</c:v>
                </c:pt>
                <c:pt idx="7">
                  <c:v>33</c:v>
                </c:pt>
                <c:pt idx="8">
                  <c:v>18</c:v>
                </c:pt>
                <c:pt idx="9">
                  <c:v>8</c:v>
                </c:pt>
                <c:pt idx="10">
                  <c:v>1</c:v>
                </c:pt>
                <c:pt idx="11">
                  <c:v>0</c:v>
                </c:pt>
                <c:pt idx="12">
                  <c:v>0</c:v>
                </c:pt>
              </c:numCache>
            </c:numRef>
          </c:val>
          <c:extLst>
            <c:ext xmlns:c16="http://schemas.microsoft.com/office/drawing/2014/chart" uri="{C3380CC4-5D6E-409C-BE32-E72D297353CC}">
              <c16:uniqueId val="{00000000-2BC9-4861-B3AF-B9FF6B5C2D24}"/>
            </c:ext>
          </c:extLst>
        </c:ser>
        <c:dLbls>
          <c:showLegendKey val="0"/>
          <c:showVal val="0"/>
          <c:showCatName val="0"/>
          <c:showSerName val="0"/>
          <c:showPercent val="0"/>
          <c:showBubbleSize val="0"/>
        </c:dLbls>
        <c:gapWidth val="150"/>
        <c:axId val="129838080"/>
        <c:axId val="129918080"/>
      </c:barChart>
      <c:catAx>
        <c:axId val="129838080"/>
        <c:scaling>
          <c:orientation val="minMax"/>
        </c:scaling>
        <c:delete val="0"/>
        <c:axPos val="b"/>
        <c:title>
          <c:tx>
            <c:rich>
              <a:bodyPr/>
              <a:lstStyle/>
              <a:p>
                <a:pPr>
                  <a:defRPr/>
                </a:pPr>
                <a:r>
                  <a:rPr lang="he-IL"/>
                  <a:t>חומרה</a:t>
                </a:r>
              </a:p>
            </c:rich>
          </c:tx>
          <c:overlay val="0"/>
        </c:title>
        <c:majorTickMark val="out"/>
        <c:minorTickMark val="none"/>
        <c:tickLblPos val="nextTo"/>
        <c:crossAx val="129918080"/>
        <c:crosses val="autoZero"/>
        <c:auto val="1"/>
        <c:lblAlgn val="ctr"/>
        <c:lblOffset val="100"/>
        <c:noMultiLvlLbl val="0"/>
      </c:catAx>
      <c:valAx>
        <c:axId val="129918080"/>
        <c:scaling>
          <c:orientation val="minMax"/>
        </c:scaling>
        <c:delete val="0"/>
        <c:axPos val="l"/>
        <c:majorGridlines/>
        <c:title>
          <c:tx>
            <c:rich>
              <a:bodyPr rot="-5400000" vert="horz"/>
              <a:lstStyle/>
              <a:p>
                <a:pPr>
                  <a:defRPr/>
                </a:pPr>
                <a:r>
                  <a:rPr lang="he-IL"/>
                  <a:t>שכיחות</a:t>
                </a:r>
              </a:p>
            </c:rich>
          </c:tx>
          <c:overlay val="0"/>
        </c:title>
        <c:numFmt formatCode="General" sourceLinked="1"/>
        <c:majorTickMark val="out"/>
        <c:minorTickMark val="none"/>
        <c:tickLblPos val="nextTo"/>
        <c:crossAx val="129838080"/>
        <c:crosses val="autoZero"/>
        <c:crossBetween val="between"/>
      </c:valAx>
    </c:plotArea>
    <c:plotVisOnly val="1"/>
    <c:dispBlanksAs val="gap"/>
    <c:showDLblsOverMax val="0"/>
  </c:chart>
  <c:printSettings>
    <c:headerFooter/>
    <c:pageMargins b="0.75" l="0.7" r="0.7" t="0.75" header="0.3" footer="0.3"/>
    <c:pageSetup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חומרה כוללת (1-</a:t>
            </a:r>
            <a:r>
              <a:rPr lang="en-US"/>
              <a:t>2</a:t>
            </a:r>
            <a:r>
              <a:rPr lang="he-IL"/>
              <a:t>3)</a:t>
            </a:r>
          </a:p>
          <a:p>
            <a:pPr>
              <a:defRPr/>
            </a:pPr>
            <a:r>
              <a:rPr lang="he-IL"/>
              <a:t>חומרה ממוצעת 4.2</a:t>
            </a:r>
          </a:p>
        </c:rich>
      </c:tx>
      <c:layout>
        <c:manualLayout>
          <c:xMode val="edge"/>
          <c:yMode val="edge"/>
          <c:x val="0.36361611111111103"/>
          <c:y val="7.0555555555555554E-3"/>
        </c:manualLayout>
      </c:layout>
      <c:overlay val="0"/>
    </c:title>
    <c:autoTitleDeleted val="0"/>
    <c:plotArea>
      <c:layout/>
      <c:barChart>
        <c:barDir val="col"/>
        <c:grouping val="clustered"/>
        <c:varyColors val="0"/>
        <c:ser>
          <c:idx val="0"/>
          <c:order val="0"/>
          <c:tx>
            <c:strRef>
              <c:f>'results new'!$L$18</c:f>
              <c:strCache>
                <c:ptCount val="1"/>
                <c:pt idx="0">
                  <c:v>חומרה כוללת מלא</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'results new'!$M$20:$M$42</c:f>
              <c:numCache>
                <c:formatCode>General</c:formatCode>
                <c:ptCount val="23"/>
                <c:pt idx="0">
                  <c:v>44</c:v>
                </c:pt>
                <c:pt idx="1">
                  <c:v>133</c:v>
                </c:pt>
                <c:pt idx="2">
                  <c:v>235</c:v>
                </c:pt>
                <c:pt idx="3">
                  <c:v>180</c:v>
                </c:pt>
                <c:pt idx="4">
                  <c:v>117</c:v>
                </c:pt>
                <c:pt idx="5">
                  <c:v>51</c:v>
                </c:pt>
                <c:pt idx="6">
                  <c:v>36</c:v>
                </c:pt>
                <c:pt idx="7">
                  <c:v>19</c:v>
                </c:pt>
                <c:pt idx="8">
                  <c:v>23</c:v>
                </c:pt>
                <c:pt idx="9">
                  <c:v>10</c:v>
                </c:pt>
                <c:pt idx="10">
                  <c:v>1</c:v>
                </c:pt>
                <c:pt idx="11">
                  <c:v>5</c:v>
                </c:pt>
                <c:pt idx="12">
                  <c:v>3</c:v>
                </c:pt>
                <c:pt idx="13">
                  <c:v>5</c:v>
                </c:pt>
                <c:pt idx="14">
                  <c:v>1</c:v>
                </c:pt>
                <c:pt idx="15">
                  <c:v>2</c:v>
                </c:pt>
                <c:pt idx="16">
                  <c:v>1</c:v>
                </c:pt>
                <c:pt idx="17">
                  <c:v>3</c:v>
                </c:pt>
                <c:pt idx="18">
                  <c:v>1</c:v>
                </c:pt>
                <c:pt idx="19">
                  <c:v>0</c:v>
                </c:pt>
                <c:pt idx="20">
                  <c:v>0</c:v>
                </c:pt>
                <c:pt idx="21">
                  <c:v>0</c:v>
                </c:pt>
                <c:pt idx="22">
                  <c:v>0</c:v>
                </c:pt>
              </c:numCache>
            </c:numRef>
          </c:val>
          <c:extLst>
            <c:ext xmlns:c16="http://schemas.microsoft.com/office/drawing/2014/chart" uri="{C3380CC4-5D6E-409C-BE32-E72D297353CC}">
              <c16:uniqueId val="{00000000-992F-4329-808A-E9172402B7B1}"/>
            </c:ext>
          </c:extLst>
        </c:ser>
        <c:dLbls>
          <c:showLegendKey val="0"/>
          <c:showVal val="0"/>
          <c:showCatName val="0"/>
          <c:showSerName val="0"/>
          <c:showPercent val="0"/>
          <c:showBubbleSize val="0"/>
        </c:dLbls>
        <c:gapWidth val="150"/>
        <c:axId val="128312320"/>
        <c:axId val="129920384"/>
      </c:barChart>
      <c:catAx>
        <c:axId val="128312320"/>
        <c:scaling>
          <c:orientation val="minMax"/>
        </c:scaling>
        <c:delete val="0"/>
        <c:axPos val="b"/>
        <c:title>
          <c:tx>
            <c:rich>
              <a:bodyPr/>
              <a:lstStyle/>
              <a:p>
                <a:pPr>
                  <a:defRPr/>
                </a:pPr>
                <a:r>
                  <a:rPr lang="he-IL"/>
                  <a:t>חומרה</a:t>
                </a:r>
              </a:p>
            </c:rich>
          </c:tx>
          <c:overlay val="0"/>
        </c:title>
        <c:majorTickMark val="out"/>
        <c:minorTickMark val="none"/>
        <c:tickLblPos val="nextTo"/>
        <c:crossAx val="129920384"/>
        <c:crosses val="autoZero"/>
        <c:auto val="1"/>
        <c:lblAlgn val="ctr"/>
        <c:lblOffset val="100"/>
        <c:noMultiLvlLbl val="0"/>
      </c:catAx>
      <c:valAx>
        <c:axId val="129920384"/>
        <c:scaling>
          <c:orientation val="minMax"/>
        </c:scaling>
        <c:delete val="0"/>
        <c:axPos val="l"/>
        <c:majorGridlines/>
        <c:title>
          <c:tx>
            <c:rich>
              <a:bodyPr rot="-5400000" vert="horz"/>
              <a:lstStyle/>
              <a:p>
                <a:pPr>
                  <a:defRPr/>
                </a:pPr>
                <a:r>
                  <a:rPr lang="he-IL"/>
                  <a:t>שכיחות</a:t>
                </a:r>
              </a:p>
            </c:rich>
          </c:tx>
          <c:overlay val="0"/>
        </c:title>
        <c:numFmt formatCode="General" sourceLinked="1"/>
        <c:majorTickMark val="out"/>
        <c:minorTickMark val="none"/>
        <c:tickLblPos val="nextTo"/>
        <c:crossAx val="128312320"/>
        <c:crosses val="autoZero"/>
        <c:crossBetween val="between"/>
      </c:valAx>
    </c:plotArea>
    <c:plotVisOnly val="1"/>
    <c:dispBlanksAs val="gap"/>
    <c:showDLblsOverMax val="0"/>
  </c:chart>
  <c:printSettings>
    <c:headerFooter/>
    <c:pageMargins b="0.75" l="0.7" r="0.7" t="0.75" header="0.3" footer="0.3"/>
    <c:pageSetup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שכיחות</a:t>
            </a:r>
            <a:r>
              <a:rPr lang="he-IL" baseline="0"/>
              <a:t> דיווח אירועים בפילוג רבעוני</a:t>
            </a:r>
            <a:endParaRPr lang="he-IL"/>
          </a:p>
        </c:rich>
      </c:tx>
      <c:overlay val="0"/>
    </c:title>
    <c:autoTitleDeleted val="0"/>
    <c:plotArea>
      <c:layout/>
      <c:barChart>
        <c:barDir val="col"/>
        <c:grouping val="clustered"/>
        <c:varyColors val="0"/>
        <c:ser>
          <c:idx val="0"/>
          <c:order val="0"/>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'results new'!$F$3:$F$46</c:f>
              <c:strCache>
                <c:ptCount val="44"/>
                <c:pt idx="0">
                  <c:v>1Q15</c:v>
                </c:pt>
                <c:pt idx="1">
                  <c:v>2Q15</c:v>
                </c:pt>
                <c:pt idx="2">
                  <c:v>3Q15</c:v>
                </c:pt>
                <c:pt idx="3">
                  <c:v>4Q15</c:v>
                </c:pt>
                <c:pt idx="4">
                  <c:v>1Q16</c:v>
                </c:pt>
                <c:pt idx="5">
                  <c:v>2Q16</c:v>
                </c:pt>
                <c:pt idx="6">
                  <c:v>3Q16</c:v>
                </c:pt>
                <c:pt idx="7">
                  <c:v>4Q16</c:v>
                </c:pt>
                <c:pt idx="8">
                  <c:v>1Q17</c:v>
                </c:pt>
                <c:pt idx="9">
                  <c:v>2Q17</c:v>
                </c:pt>
                <c:pt idx="10">
                  <c:v>3Q17</c:v>
                </c:pt>
                <c:pt idx="11">
                  <c:v>4Q17</c:v>
                </c:pt>
                <c:pt idx="12">
                  <c:v>1Q18</c:v>
                </c:pt>
                <c:pt idx="13">
                  <c:v>2Q18</c:v>
                </c:pt>
                <c:pt idx="14">
                  <c:v>3Q18</c:v>
                </c:pt>
                <c:pt idx="15">
                  <c:v>4Q18</c:v>
                </c:pt>
                <c:pt idx="16">
                  <c:v>1Q19</c:v>
                </c:pt>
                <c:pt idx="17">
                  <c:v>2Q19</c:v>
                </c:pt>
                <c:pt idx="18">
                  <c:v>3Q19</c:v>
                </c:pt>
                <c:pt idx="19">
                  <c:v>4Q19</c:v>
                </c:pt>
                <c:pt idx="20">
                  <c:v>1Q20</c:v>
                </c:pt>
                <c:pt idx="21">
                  <c:v>2Q20</c:v>
                </c:pt>
                <c:pt idx="22">
                  <c:v>3Q20</c:v>
                </c:pt>
                <c:pt idx="23">
                  <c:v>4Q20</c:v>
                </c:pt>
                <c:pt idx="24">
                  <c:v>1Q21</c:v>
                </c:pt>
                <c:pt idx="25">
                  <c:v>2Q21</c:v>
                </c:pt>
                <c:pt idx="26">
                  <c:v>3Q21</c:v>
                </c:pt>
                <c:pt idx="27">
                  <c:v>4Q21</c:v>
                </c:pt>
                <c:pt idx="28">
                  <c:v>1Q22</c:v>
                </c:pt>
                <c:pt idx="29">
                  <c:v>2Q22</c:v>
                </c:pt>
                <c:pt idx="30">
                  <c:v>3Q22</c:v>
                </c:pt>
                <c:pt idx="31">
                  <c:v>4Q22</c:v>
                </c:pt>
                <c:pt idx="32">
                  <c:v>1Q23</c:v>
                </c:pt>
                <c:pt idx="33">
                  <c:v>2Q23</c:v>
                </c:pt>
                <c:pt idx="34">
                  <c:v>3Q23</c:v>
                </c:pt>
                <c:pt idx="35">
                  <c:v>4Q23</c:v>
                </c:pt>
                <c:pt idx="36">
                  <c:v>1Q24</c:v>
                </c:pt>
                <c:pt idx="37">
                  <c:v>2Q24</c:v>
                </c:pt>
                <c:pt idx="38">
                  <c:v>3Q24</c:v>
                </c:pt>
                <c:pt idx="39">
                  <c:v>4Q24</c:v>
                </c:pt>
                <c:pt idx="40">
                  <c:v>1Q25</c:v>
                </c:pt>
                <c:pt idx="41">
                  <c:v>2Q25</c:v>
                </c:pt>
                <c:pt idx="42">
                  <c:v>3Q25</c:v>
                </c:pt>
                <c:pt idx="43">
                  <c:v>4Q25</c:v>
                </c:pt>
              </c:strCache>
            </c:strRef>
          </c:cat>
          <c:val>
            <c:numRef>
              <c:f>'results new'!$G$3:$G$46</c:f>
              <c:numCache>
                <c:formatCode>0</c:formatCode>
                <c:ptCount val="44"/>
                <c:pt idx="0">
                  <c:v>6</c:v>
                </c:pt>
                <c:pt idx="1">
                  <c:v>3</c:v>
                </c:pt>
                <c:pt idx="2">
                  <c:v>5</c:v>
                </c:pt>
                <c:pt idx="3">
                  <c:v>3</c:v>
                </c:pt>
                <c:pt idx="4">
                  <c:v>0</c:v>
                </c:pt>
                <c:pt idx="5">
                  <c:v>4</c:v>
                </c:pt>
                <c:pt idx="6">
                  <c:v>2</c:v>
                </c:pt>
                <c:pt idx="7">
                  <c:v>2</c:v>
                </c:pt>
                <c:pt idx="8">
                  <c:v>2</c:v>
                </c:pt>
                <c:pt idx="9">
                  <c:v>10</c:v>
                </c:pt>
                <c:pt idx="10">
                  <c:v>1</c:v>
                </c:pt>
                <c:pt idx="11">
                  <c:v>10</c:v>
                </c:pt>
                <c:pt idx="12">
                  <c:v>17</c:v>
                </c:pt>
                <c:pt idx="13">
                  <c:v>15</c:v>
                </c:pt>
                <c:pt idx="14">
                  <c:v>14</c:v>
                </c:pt>
                <c:pt idx="15">
                  <c:v>14</c:v>
                </c:pt>
                <c:pt idx="16">
                  <c:v>25</c:v>
                </c:pt>
                <c:pt idx="17">
                  <c:v>13</c:v>
                </c:pt>
                <c:pt idx="18">
                  <c:v>20</c:v>
                </c:pt>
                <c:pt idx="19">
                  <c:v>10</c:v>
                </c:pt>
                <c:pt idx="20">
                  <c:v>17</c:v>
                </c:pt>
                <c:pt idx="21">
                  <c:v>10</c:v>
                </c:pt>
                <c:pt idx="22">
                  <c:v>15</c:v>
                </c:pt>
                <c:pt idx="23">
                  <c:v>10</c:v>
                </c:pt>
                <c:pt idx="24">
                  <c:v>23</c:v>
                </c:pt>
                <c:pt idx="25">
                  <c:v>23</c:v>
                </c:pt>
                <c:pt idx="26">
                  <c:v>20</c:v>
                </c:pt>
                <c:pt idx="27">
                  <c:v>24</c:v>
                </c:pt>
                <c:pt idx="28">
                  <c:v>44</c:v>
                </c:pt>
                <c:pt idx="29">
                  <c:v>33</c:v>
                </c:pt>
                <c:pt idx="30">
                  <c:v>25</c:v>
                </c:pt>
                <c:pt idx="31">
                  <c:v>26</c:v>
                </c:pt>
                <c:pt idx="32">
                  <c:v>27</c:v>
                </c:pt>
                <c:pt idx="33">
                  <c:v>24</c:v>
                </c:pt>
                <c:pt idx="34">
                  <c:v>26</c:v>
                </c:pt>
                <c:pt idx="35">
                  <c:v>13</c:v>
                </c:pt>
                <c:pt idx="36">
                  <c:v>17</c:v>
                </c:pt>
                <c:pt idx="37">
                  <c:v>28</c:v>
                </c:pt>
                <c:pt idx="38">
                  <c:v>41</c:v>
                </c:pt>
                <c:pt idx="39">
                  <c:v>29</c:v>
                </c:pt>
                <c:pt idx="40">
                  <c:v>45</c:v>
                </c:pt>
                <c:pt idx="41">
                  <c:v>42</c:v>
                </c:pt>
                <c:pt idx="42">
                  <c:v>21</c:v>
                </c:pt>
                <c:pt idx="43">
                  <c:v>21</c:v>
                </c:pt>
              </c:numCache>
            </c:numRef>
          </c:val>
          <c:extLst>
            <c:ext xmlns:c16="http://schemas.microsoft.com/office/drawing/2014/chart" uri="{C3380CC4-5D6E-409C-BE32-E72D297353CC}">
              <c16:uniqueId val="{00000000-57A6-4668-BC34-D9E290BC825D}"/>
            </c:ext>
          </c:extLst>
        </c:ser>
        <c:dLbls>
          <c:showLegendKey val="0"/>
          <c:showVal val="0"/>
          <c:showCatName val="0"/>
          <c:showSerName val="0"/>
          <c:showPercent val="0"/>
          <c:showBubbleSize val="0"/>
        </c:dLbls>
        <c:gapWidth val="150"/>
        <c:axId val="128312832"/>
        <c:axId val="129921536"/>
      </c:barChart>
      <c:catAx>
        <c:axId val="128312832"/>
        <c:scaling>
          <c:orientation val="minMax"/>
        </c:scaling>
        <c:delete val="0"/>
        <c:axPos val="b"/>
        <c:numFmt formatCode="General" sourceLinked="0"/>
        <c:majorTickMark val="out"/>
        <c:minorTickMark val="none"/>
        <c:tickLblPos val="nextTo"/>
        <c:txPr>
          <a:bodyPr rot="2700000" vert="horz"/>
          <a:lstStyle/>
          <a:p>
            <a:pPr>
              <a:defRPr/>
            </a:pPr>
            <a:endParaRPr lang="he-IL"/>
          </a:p>
        </c:txPr>
        <c:crossAx val="129921536"/>
        <c:crosses val="autoZero"/>
        <c:auto val="1"/>
        <c:lblAlgn val="ctr"/>
        <c:lblOffset val="100"/>
        <c:noMultiLvlLbl val="0"/>
      </c:catAx>
      <c:valAx>
        <c:axId val="129921536"/>
        <c:scaling>
          <c:orientation val="minMax"/>
        </c:scaling>
        <c:delete val="0"/>
        <c:axPos val="l"/>
        <c:majorGridlines/>
        <c:title>
          <c:tx>
            <c:rich>
              <a:bodyPr rot="-5400000" vert="horz"/>
              <a:lstStyle/>
              <a:p>
                <a:pPr>
                  <a:defRPr/>
                </a:pPr>
                <a:r>
                  <a:rPr lang="he-IL"/>
                  <a:t>מספר דיווחים לרבעון</a:t>
                </a:r>
              </a:p>
            </c:rich>
          </c:tx>
          <c:overlay val="0"/>
        </c:title>
        <c:numFmt formatCode="0" sourceLinked="1"/>
        <c:majorTickMark val="out"/>
        <c:minorTickMark val="none"/>
        <c:tickLblPos val="nextTo"/>
        <c:crossAx val="128312832"/>
        <c:crosses val="autoZero"/>
        <c:crossBetween val="between"/>
      </c:valAx>
    </c:plotArea>
    <c:plotVisOnly val="1"/>
    <c:dispBlanksAs val="gap"/>
    <c:showDLblsOverMax val="0"/>
  </c:chart>
  <c:printSettings>
    <c:headerFooter/>
    <c:pageMargins b="0.75" l="0.7" r="0.7" t="0.75" header="0.3" footer="0.3"/>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Quarterly</a:t>
            </a:r>
            <a:r>
              <a:rPr lang="en-US" baseline="0"/>
              <a:t> Summary of Report Numbers</a:t>
            </a:r>
            <a:endParaRPr lang="he-IL"/>
          </a:p>
        </c:rich>
      </c:tx>
      <c:overlay val="0"/>
    </c:title>
    <c:autoTitleDeleted val="0"/>
    <c:plotArea>
      <c:layout/>
      <c:barChart>
        <c:barDir val="col"/>
        <c:grouping val="clustered"/>
        <c:varyColors val="0"/>
        <c:ser>
          <c:idx val="0"/>
          <c:order val="0"/>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'results new'!$F$3:$F$46</c:f>
              <c:strCache>
                <c:ptCount val="44"/>
                <c:pt idx="0">
                  <c:v>1Q15</c:v>
                </c:pt>
                <c:pt idx="1">
                  <c:v>2Q15</c:v>
                </c:pt>
                <c:pt idx="2">
                  <c:v>3Q15</c:v>
                </c:pt>
                <c:pt idx="3">
                  <c:v>4Q15</c:v>
                </c:pt>
                <c:pt idx="4">
                  <c:v>1Q16</c:v>
                </c:pt>
                <c:pt idx="5">
                  <c:v>2Q16</c:v>
                </c:pt>
                <c:pt idx="6">
                  <c:v>3Q16</c:v>
                </c:pt>
                <c:pt idx="7">
                  <c:v>4Q16</c:v>
                </c:pt>
                <c:pt idx="8">
                  <c:v>1Q17</c:v>
                </c:pt>
                <c:pt idx="9">
                  <c:v>2Q17</c:v>
                </c:pt>
                <c:pt idx="10">
                  <c:v>3Q17</c:v>
                </c:pt>
                <c:pt idx="11">
                  <c:v>4Q17</c:v>
                </c:pt>
                <c:pt idx="12">
                  <c:v>1Q18</c:v>
                </c:pt>
                <c:pt idx="13">
                  <c:v>2Q18</c:v>
                </c:pt>
                <c:pt idx="14">
                  <c:v>3Q18</c:v>
                </c:pt>
                <c:pt idx="15">
                  <c:v>4Q18</c:v>
                </c:pt>
                <c:pt idx="16">
                  <c:v>1Q19</c:v>
                </c:pt>
                <c:pt idx="17">
                  <c:v>2Q19</c:v>
                </c:pt>
                <c:pt idx="18">
                  <c:v>3Q19</c:v>
                </c:pt>
                <c:pt idx="19">
                  <c:v>4Q19</c:v>
                </c:pt>
                <c:pt idx="20">
                  <c:v>1Q20</c:v>
                </c:pt>
                <c:pt idx="21">
                  <c:v>2Q20</c:v>
                </c:pt>
                <c:pt idx="22">
                  <c:v>3Q20</c:v>
                </c:pt>
                <c:pt idx="23">
                  <c:v>4Q20</c:v>
                </c:pt>
                <c:pt idx="24">
                  <c:v>1Q21</c:v>
                </c:pt>
                <c:pt idx="25">
                  <c:v>2Q21</c:v>
                </c:pt>
                <c:pt idx="26">
                  <c:v>3Q21</c:v>
                </c:pt>
                <c:pt idx="27">
                  <c:v>4Q21</c:v>
                </c:pt>
                <c:pt idx="28">
                  <c:v>1Q22</c:v>
                </c:pt>
                <c:pt idx="29">
                  <c:v>2Q22</c:v>
                </c:pt>
                <c:pt idx="30">
                  <c:v>3Q22</c:v>
                </c:pt>
                <c:pt idx="31">
                  <c:v>4Q22</c:v>
                </c:pt>
                <c:pt idx="32">
                  <c:v>1Q23</c:v>
                </c:pt>
                <c:pt idx="33">
                  <c:v>2Q23</c:v>
                </c:pt>
                <c:pt idx="34">
                  <c:v>3Q23</c:v>
                </c:pt>
                <c:pt idx="35">
                  <c:v>4Q23</c:v>
                </c:pt>
                <c:pt idx="36">
                  <c:v>1Q24</c:v>
                </c:pt>
                <c:pt idx="37">
                  <c:v>2Q24</c:v>
                </c:pt>
                <c:pt idx="38">
                  <c:v>3Q24</c:v>
                </c:pt>
                <c:pt idx="39">
                  <c:v>4Q24</c:v>
                </c:pt>
                <c:pt idx="40">
                  <c:v>1Q25</c:v>
                </c:pt>
                <c:pt idx="41">
                  <c:v>2Q25</c:v>
                </c:pt>
                <c:pt idx="42">
                  <c:v>3Q25</c:v>
                </c:pt>
                <c:pt idx="43">
                  <c:v>4Q25</c:v>
                </c:pt>
              </c:strCache>
            </c:strRef>
          </c:cat>
          <c:val>
            <c:numRef>
              <c:f>'results new'!$G$3:$G$46</c:f>
              <c:numCache>
                <c:formatCode>0</c:formatCode>
                <c:ptCount val="44"/>
                <c:pt idx="0">
                  <c:v>6</c:v>
                </c:pt>
                <c:pt idx="1">
                  <c:v>3</c:v>
                </c:pt>
                <c:pt idx="2">
                  <c:v>5</c:v>
                </c:pt>
                <c:pt idx="3">
                  <c:v>3</c:v>
                </c:pt>
                <c:pt idx="4">
                  <c:v>0</c:v>
                </c:pt>
                <c:pt idx="5">
                  <c:v>4</c:v>
                </c:pt>
                <c:pt idx="6">
                  <c:v>2</c:v>
                </c:pt>
                <c:pt idx="7">
                  <c:v>2</c:v>
                </c:pt>
                <c:pt idx="8">
                  <c:v>2</c:v>
                </c:pt>
                <c:pt idx="9">
                  <c:v>10</c:v>
                </c:pt>
                <c:pt idx="10">
                  <c:v>1</c:v>
                </c:pt>
                <c:pt idx="11">
                  <c:v>10</c:v>
                </c:pt>
                <c:pt idx="12">
                  <c:v>17</c:v>
                </c:pt>
                <c:pt idx="13">
                  <c:v>15</c:v>
                </c:pt>
                <c:pt idx="14">
                  <c:v>14</c:v>
                </c:pt>
                <c:pt idx="15">
                  <c:v>14</c:v>
                </c:pt>
                <c:pt idx="16">
                  <c:v>25</c:v>
                </c:pt>
                <c:pt idx="17">
                  <c:v>13</c:v>
                </c:pt>
                <c:pt idx="18">
                  <c:v>20</c:v>
                </c:pt>
                <c:pt idx="19">
                  <c:v>10</c:v>
                </c:pt>
                <c:pt idx="20">
                  <c:v>17</c:v>
                </c:pt>
                <c:pt idx="21">
                  <c:v>10</c:v>
                </c:pt>
                <c:pt idx="22">
                  <c:v>15</c:v>
                </c:pt>
                <c:pt idx="23">
                  <c:v>10</c:v>
                </c:pt>
                <c:pt idx="24">
                  <c:v>23</c:v>
                </c:pt>
                <c:pt idx="25">
                  <c:v>23</c:v>
                </c:pt>
                <c:pt idx="26">
                  <c:v>20</c:v>
                </c:pt>
                <c:pt idx="27">
                  <c:v>24</c:v>
                </c:pt>
                <c:pt idx="28">
                  <c:v>44</c:v>
                </c:pt>
                <c:pt idx="29">
                  <c:v>33</c:v>
                </c:pt>
                <c:pt idx="30">
                  <c:v>25</c:v>
                </c:pt>
                <c:pt idx="31">
                  <c:v>26</c:v>
                </c:pt>
                <c:pt idx="32">
                  <c:v>27</c:v>
                </c:pt>
                <c:pt idx="33">
                  <c:v>24</c:v>
                </c:pt>
                <c:pt idx="34">
                  <c:v>26</c:v>
                </c:pt>
                <c:pt idx="35">
                  <c:v>13</c:v>
                </c:pt>
                <c:pt idx="36">
                  <c:v>17</c:v>
                </c:pt>
                <c:pt idx="37">
                  <c:v>28</c:v>
                </c:pt>
                <c:pt idx="38">
                  <c:v>41</c:v>
                </c:pt>
                <c:pt idx="39">
                  <c:v>29</c:v>
                </c:pt>
                <c:pt idx="40">
                  <c:v>45</c:v>
                </c:pt>
                <c:pt idx="41">
                  <c:v>42</c:v>
                </c:pt>
                <c:pt idx="42">
                  <c:v>21</c:v>
                </c:pt>
                <c:pt idx="43">
                  <c:v>21</c:v>
                </c:pt>
              </c:numCache>
            </c:numRef>
          </c:val>
          <c:extLst>
            <c:ext xmlns:c16="http://schemas.microsoft.com/office/drawing/2014/chart" uri="{C3380CC4-5D6E-409C-BE32-E72D297353CC}">
              <c16:uniqueId val="{00000000-528C-4B56-9AE1-688C1BD090B4}"/>
            </c:ext>
          </c:extLst>
        </c:ser>
        <c:dLbls>
          <c:showLegendKey val="0"/>
          <c:showVal val="0"/>
          <c:showCatName val="0"/>
          <c:showSerName val="0"/>
          <c:showPercent val="0"/>
          <c:showBubbleSize val="0"/>
        </c:dLbls>
        <c:gapWidth val="150"/>
        <c:axId val="128313856"/>
        <c:axId val="129923264"/>
      </c:barChart>
      <c:catAx>
        <c:axId val="128313856"/>
        <c:scaling>
          <c:orientation val="minMax"/>
        </c:scaling>
        <c:delete val="0"/>
        <c:axPos val="b"/>
        <c:numFmt formatCode="General" sourceLinked="0"/>
        <c:majorTickMark val="out"/>
        <c:minorTickMark val="none"/>
        <c:tickLblPos val="nextTo"/>
        <c:txPr>
          <a:bodyPr rot="2700000" vert="horz"/>
          <a:lstStyle/>
          <a:p>
            <a:pPr>
              <a:defRPr/>
            </a:pPr>
            <a:endParaRPr lang="he-IL"/>
          </a:p>
        </c:txPr>
        <c:crossAx val="129923264"/>
        <c:crosses val="autoZero"/>
        <c:auto val="1"/>
        <c:lblAlgn val="ctr"/>
        <c:lblOffset val="100"/>
        <c:noMultiLvlLbl val="0"/>
      </c:catAx>
      <c:valAx>
        <c:axId val="129923264"/>
        <c:scaling>
          <c:orientation val="minMax"/>
        </c:scaling>
        <c:delete val="0"/>
        <c:axPos val="l"/>
        <c:majorGridlines/>
        <c:title>
          <c:tx>
            <c:rich>
              <a:bodyPr rot="-5400000" vert="horz"/>
              <a:lstStyle/>
              <a:p>
                <a:pPr>
                  <a:defRPr/>
                </a:pPr>
                <a:r>
                  <a:rPr lang="en-US"/>
                  <a:t>Number of Reports</a:t>
                </a:r>
                <a:endParaRPr lang="he-IL"/>
              </a:p>
            </c:rich>
          </c:tx>
          <c:overlay val="0"/>
        </c:title>
        <c:numFmt formatCode="0" sourceLinked="1"/>
        <c:majorTickMark val="out"/>
        <c:minorTickMark val="none"/>
        <c:tickLblPos val="nextTo"/>
        <c:crossAx val="128313856"/>
        <c:crosses val="autoZero"/>
        <c:crossBetween val="between"/>
      </c:valAx>
    </c:plotArea>
    <c:plotVisOnly val="1"/>
    <c:dispBlanksAs val="gap"/>
    <c:showDLblsOverMax val="0"/>
  </c:chart>
  <c:printSettings>
    <c:headerFooter/>
    <c:pageMargins b="0.75" l="0.7" r="0.7" t="0.75" header="0.3" footer="0.3"/>
    <c:pageSetup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rtl="0">
              <a:defRPr/>
            </a:pPr>
            <a:r>
              <a:rPr lang="en-US"/>
              <a:t>Report</a:t>
            </a:r>
            <a:r>
              <a:rPr lang="en-US" baseline="0"/>
              <a:t> Severity </a:t>
            </a:r>
            <a:r>
              <a:rPr lang="en-US"/>
              <a:t>(Range</a:t>
            </a:r>
            <a:r>
              <a:rPr lang="en-US" baseline="0"/>
              <a:t> </a:t>
            </a:r>
            <a:r>
              <a:rPr lang="en-US"/>
              <a:t>1-23)</a:t>
            </a:r>
          </a:p>
          <a:p>
            <a:pPr rtl="0">
              <a:defRPr/>
            </a:pPr>
            <a:r>
              <a:rPr lang="en-US"/>
              <a:t>Current Average </a:t>
            </a:r>
            <a:r>
              <a:rPr lang="he-IL"/>
              <a:t>4.4</a:t>
            </a:r>
          </a:p>
        </c:rich>
      </c:tx>
      <c:overlay val="0"/>
    </c:title>
    <c:autoTitleDeleted val="0"/>
    <c:plotArea>
      <c:layout/>
      <c:barChart>
        <c:barDir val="col"/>
        <c:grouping val="clustered"/>
        <c:varyColors val="0"/>
        <c:ser>
          <c:idx val="0"/>
          <c:order val="0"/>
          <c:tx>
            <c:strRef>
              <c:f>'results new'!$L$18</c:f>
              <c:strCache>
                <c:ptCount val="1"/>
                <c:pt idx="0">
                  <c:v>חומרה כוללת מלא</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'results new'!$M$20:$M$52</c:f>
              <c:numCache>
                <c:formatCode>General</c:formatCode>
                <c:ptCount val="33"/>
                <c:pt idx="0">
                  <c:v>44</c:v>
                </c:pt>
                <c:pt idx="1">
                  <c:v>133</c:v>
                </c:pt>
                <c:pt idx="2">
                  <c:v>235</c:v>
                </c:pt>
                <c:pt idx="3">
                  <c:v>180</c:v>
                </c:pt>
                <c:pt idx="4">
                  <c:v>117</c:v>
                </c:pt>
                <c:pt idx="5">
                  <c:v>51</c:v>
                </c:pt>
                <c:pt idx="6">
                  <c:v>36</c:v>
                </c:pt>
                <c:pt idx="7">
                  <c:v>19</c:v>
                </c:pt>
                <c:pt idx="8">
                  <c:v>23</c:v>
                </c:pt>
                <c:pt idx="9">
                  <c:v>10</c:v>
                </c:pt>
                <c:pt idx="10">
                  <c:v>1</c:v>
                </c:pt>
                <c:pt idx="11">
                  <c:v>5</c:v>
                </c:pt>
                <c:pt idx="12">
                  <c:v>3</c:v>
                </c:pt>
                <c:pt idx="13">
                  <c:v>5</c:v>
                </c:pt>
                <c:pt idx="14">
                  <c:v>1</c:v>
                </c:pt>
                <c:pt idx="15">
                  <c:v>2</c:v>
                </c:pt>
                <c:pt idx="16">
                  <c:v>1</c:v>
                </c:pt>
                <c:pt idx="17">
                  <c:v>3</c:v>
                </c:pt>
                <c:pt idx="18">
                  <c:v>1</c:v>
                </c:pt>
                <c:pt idx="19">
                  <c:v>0</c:v>
                </c:pt>
                <c:pt idx="20">
                  <c:v>0</c:v>
                </c:pt>
                <c:pt idx="21">
                  <c:v>0</c:v>
                </c:pt>
                <c:pt idx="22">
                  <c:v>0</c:v>
                </c:pt>
              </c:numCache>
            </c:numRef>
          </c:val>
          <c:extLst>
            <c:ext xmlns:c16="http://schemas.microsoft.com/office/drawing/2014/chart" uri="{C3380CC4-5D6E-409C-BE32-E72D297353CC}">
              <c16:uniqueId val="{00000000-589B-459C-9325-F0729E2ED035}"/>
            </c:ext>
          </c:extLst>
        </c:ser>
        <c:dLbls>
          <c:showLegendKey val="0"/>
          <c:showVal val="0"/>
          <c:showCatName val="0"/>
          <c:showSerName val="0"/>
          <c:showPercent val="0"/>
          <c:showBubbleSize val="0"/>
        </c:dLbls>
        <c:gapWidth val="150"/>
        <c:axId val="128314880"/>
        <c:axId val="137994240"/>
      </c:barChart>
      <c:catAx>
        <c:axId val="128314880"/>
        <c:scaling>
          <c:orientation val="minMax"/>
        </c:scaling>
        <c:delete val="0"/>
        <c:axPos val="b"/>
        <c:title>
          <c:tx>
            <c:rich>
              <a:bodyPr/>
              <a:lstStyle/>
              <a:p>
                <a:pPr>
                  <a:defRPr/>
                </a:pPr>
                <a:r>
                  <a:rPr lang="en-US"/>
                  <a:t>Severity</a:t>
                </a:r>
                <a:endParaRPr lang="he-IL"/>
              </a:p>
            </c:rich>
          </c:tx>
          <c:overlay val="0"/>
        </c:title>
        <c:majorTickMark val="out"/>
        <c:minorTickMark val="none"/>
        <c:tickLblPos val="nextTo"/>
        <c:crossAx val="137994240"/>
        <c:crosses val="autoZero"/>
        <c:auto val="1"/>
        <c:lblAlgn val="ctr"/>
        <c:lblOffset val="100"/>
        <c:noMultiLvlLbl val="0"/>
      </c:catAx>
      <c:valAx>
        <c:axId val="137994240"/>
        <c:scaling>
          <c:orientation val="minMax"/>
        </c:scaling>
        <c:delete val="0"/>
        <c:axPos val="l"/>
        <c:majorGridlines/>
        <c:title>
          <c:tx>
            <c:rich>
              <a:bodyPr rot="-5400000" vert="horz"/>
              <a:lstStyle/>
              <a:p>
                <a:pPr>
                  <a:defRPr/>
                </a:pPr>
                <a:r>
                  <a:rPr lang="en-US"/>
                  <a:t>Occurrence</a:t>
                </a:r>
                <a:r>
                  <a:rPr lang="en-US" baseline="0"/>
                  <a:t> Frequency</a:t>
                </a:r>
                <a:endParaRPr lang="he-IL"/>
              </a:p>
            </c:rich>
          </c:tx>
          <c:overlay val="0"/>
        </c:title>
        <c:numFmt formatCode="General" sourceLinked="1"/>
        <c:majorTickMark val="out"/>
        <c:minorTickMark val="none"/>
        <c:tickLblPos val="nextTo"/>
        <c:crossAx val="128314880"/>
        <c:crosses val="autoZero"/>
        <c:crossBetween val="between"/>
        <c:majorUnit val="2"/>
      </c:valAx>
    </c:plotArea>
    <c:plotVisOnly val="1"/>
    <c:dispBlanksAs val="gap"/>
    <c:showDLblsOverMax val="0"/>
  </c:chart>
  <c:printSettings>
    <c:headerFooter/>
    <c:pageMargins b="0.75" l="0.7" r="0.7" t="0.75" header="0.3" footer="0.3"/>
    <c:pageSetup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US"/>
              <a:t>Number of Reports</a:t>
            </a:r>
            <a:r>
              <a:rPr lang="en-US" baseline="0"/>
              <a:t> 2019 - 2021</a:t>
            </a:r>
          </a:p>
        </c:rich>
      </c:tx>
      <c:overlay val="0"/>
    </c:title>
    <c:autoTitleDeleted val="0"/>
    <c:plotArea>
      <c:layout/>
      <c:barChart>
        <c:barDir val="col"/>
        <c:grouping val="clustered"/>
        <c:varyColors val="0"/>
        <c:ser>
          <c:idx val="0"/>
          <c:order val="0"/>
          <c:tx>
            <c:v>Number of reports 2019</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new'!$C$51:$C$62</c:f>
              <c:numCache>
                <c:formatCode>General</c:formatCode>
                <c:ptCount val="12"/>
                <c:pt idx="0">
                  <c:v>16</c:v>
                </c:pt>
                <c:pt idx="1">
                  <c:v>4</c:v>
                </c:pt>
                <c:pt idx="2">
                  <c:v>5</c:v>
                </c:pt>
                <c:pt idx="3">
                  <c:v>2</c:v>
                </c:pt>
                <c:pt idx="4">
                  <c:v>4</c:v>
                </c:pt>
                <c:pt idx="5">
                  <c:v>7</c:v>
                </c:pt>
                <c:pt idx="6">
                  <c:v>9</c:v>
                </c:pt>
                <c:pt idx="7">
                  <c:v>7</c:v>
                </c:pt>
                <c:pt idx="8">
                  <c:v>4</c:v>
                </c:pt>
                <c:pt idx="9">
                  <c:v>3</c:v>
                </c:pt>
                <c:pt idx="10">
                  <c:v>5</c:v>
                </c:pt>
                <c:pt idx="11">
                  <c:v>2</c:v>
                </c:pt>
              </c:numCache>
            </c:numRef>
          </c:val>
          <c:extLst>
            <c:ext xmlns:c16="http://schemas.microsoft.com/office/drawing/2014/chart" uri="{C3380CC4-5D6E-409C-BE32-E72D297353CC}">
              <c16:uniqueId val="{00000000-B224-406D-8D72-9122D0B55EAE}"/>
            </c:ext>
          </c:extLst>
        </c:ser>
        <c:ser>
          <c:idx val="1"/>
          <c:order val="1"/>
          <c:tx>
            <c:v>Number of reports 2020</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new'!$C$63:$C$74</c:f>
              <c:numCache>
                <c:formatCode>General</c:formatCode>
                <c:ptCount val="12"/>
                <c:pt idx="0">
                  <c:v>7</c:v>
                </c:pt>
                <c:pt idx="1">
                  <c:v>6</c:v>
                </c:pt>
                <c:pt idx="2">
                  <c:v>4</c:v>
                </c:pt>
                <c:pt idx="3">
                  <c:v>2</c:v>
                </c:pt>
                <c:pt idx="4">
                  <c:v>5</c:v>
                </c:pt>
                <c:pt idx="5">
                  <c:v>3</c:v>
                </c:pt>
                <c:pt idx="6">
                  <c:v>2</c:v>
                </c:pt>
                <c:pt idx="7">
                  <c:v>6</c:v>
                </c:pt>
                <c:pt idx="8">
                  <c:v>7</c:v>
                </c:pt>
                <c:pt idx="9">
                  <c:v>4</c:v>
                </c:pt>
                <c:pt idx="10">
                  <c:v>5</c:v>
                </c:pt>
                <c:pt idx="11">
                  <c:v>1</c:v>
                </c:pt>
              </c:numCache>
            </c:numRef>
          </c:val>
          <c:extLst>
            <c:ext xmlns:c16="http://schemas.microsoft.com/office/drawing/2014/chart" uri="{C3380CC4-5D6E-409C-BE32-E72D297353CC}">
              <c16:uniqueId val="{00000000-214C-41DE-A9B2-59F908A4F06C}"/>
            </c:ext>
          </c:extLst>
        </c:ser>
        <c:ser>
          <c:idx val="2"/>
          <c:order val="2"/>
          <c:tx>
            <c:v>Number of reports 2021</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new'!$C$75:$C$86</c:f>
              <c:numCache>
                <c:formatCode>General</c:formatCode>
                <c:ptCount val="12"/>
                <c:pt idx="0">
                  <c:v>6</c:v>
                </c:pt>
                <c:pt idx="1">
                  <c:v>5</c:v>
                </c:pt>
                <c:pt idx="2">
                  <c:v>12</c:v>
                </c:pt>
                <c:pt idx="3">
                  <c:v>8</c:v>
                </c:pt>
                <c:pt idx="4">
                  <c:v>3</c:v>
                </c:pt>
                <c:pt idx="5">
                  <c:v>12</c:v>
                </c:pt>
                <c:pt idx="6">
                  <c:v>9</c:v>
                </c:pt>
                <c:pt idx="7">
                  <c:v>6</c:v>
                </c:pt>
                <c:pt idx="8">
                  <c:v>5</c:v>
                </c:pt>
                <c:pt idx="9">
                  <c:v>11</c:v>
                </c:pt>
                <c:pt idx="10">
                  <c:v>7</c:v>
                </c:pt>
                <c:pt idx="11">
                  <c:v>6</c:v>
                </c:pt>
              </c:numCache>
            </c:numRef>
          </c:val>
          <c:extLst>
            <c:ext xmlns:c16="http://schemas.microsoft.com/office/drawing/2014/chart" uri="{C3380CC4-5D6E-409C-BE32-E72D297353CC}">
              <c16:uniqueId val="{00000000-AACC-4EC9-BCBB-ADB56F9503A2}"/>
            </c:ext>
          </c:extLst>
        </c:ser>
        <c:ser>
          <c:idx val="3"/>
          <c:order val="3"/>
          <c:tx>
            <c:v>Number of reports 2022</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new'!$C$87:$C$98</c:f>
              <c:numCache>
                <c:formatCode>General</c:formatCode>
                <c:ptCount val="12"/>
                <c:pt idx="0">
                  <c:v>3</c:v>
                </c:pt>
                <c:pt idx="1">
                  <c:v>20</c:v>
                </c:pt>
                <c:pt idx="2">
                  <c:v>21</c:v>
                </c:pt>
                <c:pt idx="3">
                  <c:v>11</c:v>
                </c:pt>
                <c:pt idx="4">
                  <c:v>12</c:v>
                </c:pt>
                <c:pt idx="5">
                  <c:v>10</c:v>
                </c:pt>
                <c:pt idx="6">
                  <c:v>6</c:v>
                </c:pt>
                <c:pt idx="7">
                  <c:v>7</c:v>
                </c:pt>
                <c:pt idx="8">
                  <c:v>12</c:v>
                </c:pt>
                <c:pt idx="9">
                  <c:v>6</c:v>
                </c:pt>
                <c:pt idx="10">
                  <c:v>11</c:v>
                </c:pt>
                <c:pt idx="11">
                  <c:v>9</c:v>
                </c:pt>
              </c:numCache>
            </c:numRef>
          </c:val>
          <c:extLst>
            <c:ext xmlns:c16="http://schemas.microsoft.com/office/drawing/2014/chart" uri="{C3380CC4-5D6E-409C-BE32-E72D297353CC}">
              <c16:uniqueId val="{00000001-9F4C-42AF-B87F-F9864928FF65}"/>
            </c:ext>
          </c:extLst>
        </c:ser>
        <c:ser>
          <c:idx val="4"/>
          <c:order val="4"/>
          <c:tx>
            <c:v>Number of reports 2023</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new'!$C$99:$C$110</c:f>
              <c:numCache>
                <c:formatCode>General</c:formatCode>
                <c:ptCount val="12"/>
                <c:pt idx="0">
                  <c:v>10</c:v>
                </c:pt>
                <c:pt idx="1">
                  <c:v>11</c:v>
                </c:pt>
                <c:pt idx="2">
                  <c:v>6</c:v>
                </c:pt>
                <c:pt idx="3">
                  <c:v>7</c:v>
                </c:pt>
                <c:pt idx="4">
                  <c:v>4</c:v>
                </c:pt>
                <c:pt idx="5">
                  <c:v>13</c:v>
                </c:pt>
                <c:pt idx="6">
                  <c:v>17</c:v>
                </c:pt>
                <c:pt idx="7">
                  <c:v>6</c:v>
                </c:pt>
                <c:pt idx="8">
                  <c:v>3</c:v>
                </c:pt>
                <c:pt idx="9">
                  <c:v>4</c:v>
                </c:pt>
                <c:pt idx="10">
                  <c:v>7</c:v>
                </c:pt>
                <c:pt idx="11">
                  <c:v>2</c:v>
                </c:pt>
              </c:numCache>
            </c:numRef>
          </c:val>
          <c:extLst>
            <c:ext xmlns:c16="http://schemas.microsoft.com/office/drawing/2014/chart" uri="{C3380CC4-5D6E-409C-BE32-E72D297353CC}">
              <c16:uniqueId val="{00000002-9F4C-42AF-B87F-F9864928FF65}"/>
            </c:ext>
          </c:extLst>
        </c:ser>
        <c:ser>
          <c:idx val="5"/>
          <c:order val="5"/>
          <c:tx>
            <c:v>Number of reports 2024</c:v>
          </c:tx>
          <c:invertIfNegative val="0"/>
          <c:cat>
            <c:strRef>
              <c:f>'results new'!$A$3:$A$14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'results new'!$C$111:$C$122</c:f>
              <c:numCache>
                <c:formatCode>General</c:formatCode>
                <c:ptCount val="12"/>
                <c:pt idx="0">
                  <c:v>1</c:v>
                </c:pt>
                <c:pt idx="1">
                  <c:v>7</c:v>
                </c:pt>
                <c:pt idx="2">
                  <c:v>9</c:v>
                </c:pt>
                <c:pt idx="3">
                  <c:v>10</c:v>
                </c:pt>
                <c:pt idx="4">
                  <c:v>13</c:v>
                </c:pt>
                <c:pt idx="5">
                  <c:v>5</c:v>
                </c:pt>
                <c:pt idx="6">
                  <c:v>22</c:v>
                </c:pt>
                <c:pt idx="7">
                  <c:v>14</c:v>
                </c:pt>
                <c:pt idx="8">
                  <c:v>5</c:v>
                </c:pt>
                <c:pt idx="9">
                  <c:v>10</c:v>
                </c:pt>
                <c:pt idx="10">
                  <c:v>12</c:v>
                </c:pt>
                <c:pt idx="11">
                  <c:v>7</c:v>
                </c:pt>
              </c:numCache>
            </c:numRef>
          </c:val>
          <c:extLst>
            <c:ext xmlns:c16="http://schemas.microsoft.com/office/drawing/2014/chart" uri="{C3380CC4-5D6E-409C-BE32-E72D297353CC}">
              <c16:uniqueId val="{00000003-9F4C-42AF-B87F-F9864928FF65}"/>
            </c:ext>
          </c:extLst>
        </c:ser>
        <c:dLbls>
          <c:showLegendKey val="0"/>
          <c:showVal val="0"/>
          <c:showCatName val="0"/>
          <c:showSerName val="0"/>
          <c:showPercent val="0"/>
          <c:showBubbleSize val="0"/>
        </c:dLbls>
        <c:gapWidth val="150"/>
        <c:axId val="137786880"/>
        <c:axId val="137995392"/>
      </c:barChart>
      <c:catAx>
        <c:axId val="137786880"/>
        <c:scaling>
          <c:orientation val="minMax"/>
        </c:scaling>
        <c:delete val="0"/>
        <c:axPos val="b"/>
        <c:numFmt formatCode="General" sourceLinked="1"/>
        <c:majorTickMark val="out"/>
        <c:minorTickMark val="none"/>
        <c:tickLblPos val="nextTo"/>
        <c:crossAx val="137995392"/>
        <c:crosses val="autoZero"/>
        <c:auto val="1"/>
        <c:lblAlgn val="ctr"/>
        <c:lblOffset val="100"/>
        <c:tickLblSkip val="1"/>
        <c:noMultiLvlLbl val="0"/>
      </c:catAx>
      <c:valAx>
        <c:axId val="137995392"/>
        <c:scaling>
          <c:orientation val="minMax"/>
        </c:scaling>
        <c:delete val="0"/>
        <c:axPos val="l"/>
        <c:majorGridlines/>
        <c:numFmt formatCode="General" sourceLinked="1"/>
        <c:majorTickMark val="out"/>
        <c:minorTickMark val="none"/>
        <c:tickLblPos val="nextTo"/>
        <c:crossAx val="137786880"/>
        <c:crosses val="autoZero"/>
        <c:crossBetween val="between"/>
      </c:valAx>
    </c:plotArea>
    <c:legend>
      <c:legendPos val="t"/>
      <c:overlay val="0"/>
    </c:legend>
    <c:plotVisOnly val="1"/>
    <c:dispBlanksAs val="gap"/>
    <c:showDLblsOverMax val="0"/>
  </c:chart>
  <c:printSettings>
    <c:headerFooter/>
    <c:pageMargins b="0.75" l="0.7" r="0.7" t="0.75" header="0.3" footer="0.3"/>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he-IL"/>
              <a:t>מספר דיווחי אירועים ברדיותרפיה בשנים </a:t>
            </a:r>
          </a:p>
          <a:p>
            <a:pPr>
              <a:defRPr/>
            </a:pPr>
            <a:r>
              <a:rPr lang="he-IL"/>
              <a:t>2017-2025</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lotArea>
      <c:layout/>
      <c:barChart>
        <c:barDir val="col"/>
        <c:grouping val="clustered"/>
        <c:varyColors val="0"/>
        <c:ser>
          <c:idx val="0"/>
          <c:order val="0"/>
          <c:tx>
            <c:strRef>
              <c:f>'results new'!$J$2</c:f>
              <c:strCache>
                <c:ptCount val="1"/>
                <c:pt idx="0">
                  <c:v>מספר דיווחים לשנה</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'results new'!$H$5:$H$13</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f>'results new'!$J$5:$J$13</c:f>
              <c:numCache>
                <c:formatCode>0</c:formatCode>
                <c:ptCount val="9"/>
                <c:pt idx="0">
                  <c:v>23</c:v>
                </c:pt>
                <c:pt idx="1">
                  <c:v>60</c:v>
                </c:pt>
                <c:pt idx="2">
                  <c:v>68</c:v>
                </c:pt>
                <c:pt idx="3">
                  <c:v>52</c:v>
                </c:pt>
                <c:pt idx="4">
                  <c:v>90</c:v>
                </c:pt>
                <c:pt idx="5">
                  <c:v>128</c:v>
                </c:pt>
                <c:pt idx="6">
                  <c:v>90</c:v>
                </c:pt>
                <c:pt idx="7">
                  <c:v>115</c:v>
                </c:pt>
                <c:pt idx="8">
                  <c:v>129</c:v>
                </c:pt>
              </c:numCache>
            </c:numRef>
          </c:val>
          <c:extLst>
            <c:ext xmlns:c16="http://schemas.microsoft.com/office/drawing/2014/chart" uri="{C3380CC4-5D6E-409C-BE32-E72D297353CC}">
              <c16:uniqueId val="{00000000-4FA1-415A-A0F0-B4A5CE2324FD}"/>
            </c:ext>
          </c:extLst>
        </c:ser>
        <c:dLbls>
          <c:showLegendKey val="0"/>
          <c:showVal val="1"/>
          <c:showCatName val="0"/>
          <c:showSerName val="0"/>
          <c:showPercent val="0"/>
          <c:showBubbleSize val="0"/>
        </c:dLbls>
        <c:gapWidth val="150"/>
        <c:overlap val="-25"/>
        <c:axId val="251987424"/>
        <c:axId val="251987840"/>
      </c:barChart>
      <c:lineChart>
        <c:grouping val="stacked"/>
        <c:varyColors val="0"/>
        <c:ser>
          <c:idx val="1"/>
          <c:order val="1"/>
          <c:tx>
            <c:strRef>
              <c:f>'results new'!$I$2</c:f>
              <c:strCache>
                <c:ptCount val="1"/>
                <c:pt idx="0">
                  <c:v>ממוצע דיווחים לרבעון</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'results new'!$I$5:$I$13</c:f>
              <c:numCache>
                <c:formatCode>0</c:formatCode>
                <c:ptCount val="9"/>
                <c:pt idx="0">
                  <c:v>5.75</c:v>
                </c:pt>
                <c:pt idx="1">
                  <c:v>15</c:v>
                </c:pt>
                <c:pt idx="2">
                  <c:v>17</c:v>
                </c:pt>
                <c:pt idx="3">
                  <c:v>13</c:v>
                </c:pt>
                <c:pt idx="4">
                  <c:v>22.5</c:v>
                </c:pt>
                <c:pt idx="5">
                  <c:v>32</c:v>
                </c:pt>
                <c:pt idx="6">
                  <c:v>22.5</c:v>
                </c:pt>
                <c:pt idx="7">
                  <c:v>32.25</c:v>
                </c:pt>
                <c:pt idx="8">
                  <c:v>35.75</c:v>
                </c:pt>
              </c:numCache>
            </c:numRef>
          </c:val>
          <c:smooth val="0"/>
          <c:extLst>
            <c:ext xmlns:c16="http://schemas.microsoft.com/office/drawing/2014/chart" uri="{C3380CC4-5D6E-409C-BE32-E72D297353CC}">
              <c16:uniqueId val="{00000001-4FA1-415A-A0F0-B4A5CE2324FD}"/>
            </c:ext>
          </c:extLst>
        </c:ser>
        <c:dLbls>
          <c:showLegendKey val="0"/>
          <c:showVal val="1"/>
          <c:showCatName val="0"/>
          <c:showSerName val="0"/>
          <c:showPercent val="0"/>
          <c:showBubbleSize val="0"/>
        </c:dLbls>
        <c:marker val="1"/>
        <c:smooth val="0"/>
        <c:axId val="251987424"/>
        <c:axId val="251987840"/>
      </c:lineChart>
      <c:catAx>
        <c:axId val="251987424"/>
        <c:scaling>
          <c:orientation val="minMax"/>
        </c:scaling>
        <c:delete val="0"/>
        <c:axPos val="b"/>
        <c:numFmt formatCode="0"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he-IL"/>
          </a:p>
        </c:txPr>
        <c:crossAx val="251987840"/>
        <c:crosses val="autoZero"/>
        <c:auto val="1"/>
        <c:lblAlgn val="ctr"/>
        <c:lblOffset val="100"/>
        <c:noMultiLvlLbl val="0"/>
      </c:catAx>
      <c:valAx>
        <c:axId val="251987840"/>
        <c:scaling>
          <c:orientation val="minMax"/>
        </c:scaling>
        <c:delete val="1"/>
        <c:axPos val="l"/>
        <c:numFmt formatCode="0" sourceLinked="1"/>
        <c:majorTickMark val="none"/>
        <c:minorTickMark val="none"/>
        <c:tickLblPos val="nextTo"/>
        <c:crossAx val="251987424"/>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Radiotherapy Yearly report</a:t>
            </a:r>
            <a:r>
              <a:rPr lang="en-US" baseline="0"/>
              <a:t> numbers</a:t>
            </a:r>
          </a:p>
          <a:p>
            <a:pPr>
              <a:defRPr/>
            </a:pPr>
            <a:r>
              <a:rPr lang="en-US" baseline="0"/>
              <a:t>2017-202</a:t>
            </a:r>
            <a:r>
              <a:rPr lang="he-IL" baseline="0"/>
              <a:t>5</a:t>
            </a:r>
            <a:endParaRPr lang="he-IL"/>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he-IL"/>
        </a:p>
      </c:txPr>
    </c:title>
    <c:autoTitleDeleted val="0"/>
    <c:plotArea>
      <c:layout/>
      <c:barChart>
        <c:barDir val="col"/>
        <c:grouping val="clustered"/>
        <c:varyColors val="0"/>
        <c:ser>
          <c:idx val="0"/>
          <c:order val="0"/>
          <c:tx>
            <c:v>Number of yearly reports</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he-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'results new'!$H$5:$H$13</c:f>
              <c:numCache>
                <c:formatCode>0</c:formatCode>
                <c:ptCount val="9"/>
                <c:pt idx="0">
                  <c:v>2017</c:v>
                </c:pt>
                <c:pt idx="1">
                  <c:v>2018</c:v>
                </c:pt>
                <c:pt idx="2">
                  <c:v>2019</c:v>
                </c:pt>
                <c:pt idx="3">
                  <c:v>2020</c:v>
                </c:pt>
                <c:pt idx="4">
                  <c:v>2021</c:v>
                </c:pt>
                <c:pt idx="5">
                  <c:v>2022</c:v>
                </c:pt>
                <c:pt idx="6">
                  <c:v>2023</c:v>
                </c:pt>
                <c:pt idx="7">
                  <c:v>2024</c:v>
                </c:pt>
                <c:pt idx="8">
                  <c:v>2025</c:v>
                </c:pt>
              </c:numCache>
            </c:numRef>
          </c:cat>
          <c:val>
            <c:numRef>
              <c:f>'results new'!$J$5:$J$13</c:f>
              <c:numCache>
                <c:formatCode>0</c:formatCode>
                <c:ptCount val="9"/>
                <c:pt idx="0">
                  <c:v>23</c:v>
                </c:pt>
                <c:pt idx="1">
                  <c:v>60</c:v>
                </c:pt>
                <c:pt idx="2">
                  <c:v>68</c:v>
                </c:pt>
                <c:pt idx="3">
                  <c:v>52</c:v>
                </c:pt>
                <c:pt idx="4">
                  <c:v>90</c:v>
                </c:pt>
                <c:pt idx="5">
                  <c:v>128</c:v>
                </c:pt>
                <c:pt idx="6">
                  <c:v>90</c:v>
                </c:pt>
                <c:pt idx="7">
                  <c:v>115</c:v>
                </c:pt>
                <c:pt idx="8">
                  <c:v>129</c:v>
                </c:pt>
              </c:numCache>
            </c:numRef>
          </c:val>
          <c:extLst>
            <c:ext xmlns:c16="http://schemas.microsoft.com/office/drawing/2014/chart" uri="{C3380CC4-5D6E-409C-BE32-E72D297353CC}">
              <c16:uniqueId val="{00000000-290A-4369-91C2-4481E13BC6EE}"/>
            </c:ext>
          </c:extLst>
        </c:ser>
        <c:dLbls>
          <c:showLegendKey val="0"/>
          <c:showVal val="1"/>
          <c:showCatName val="0"/>
          <c:showSerName val="0"/>
          <c:showPercent val="0"/>
          <c:showBubbleSize val="0"/>
        </c:dLbls>
        <c:gapWidth val="150"/>
        <c:overlap val="-25"/>
        <c:axId val="251987424"/>
        <c:axId val="251987840"/>
      </c:barChart>
      <c:lineChart>
        <c:grouping val="stacked"/>
        <c:varyColors val="0"/>
        <c:ser>
          <c:idx val="1"/>
          <c:order val="1"/>
          <c:tx>
            <c:v>Average Quaterly Number of Reports</c:v>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he-IL"/>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'results new'!$I$5:$I$13</c:f>
              <c:numCache>
                <c:formatCode>0</c:formatCode>
                <c:ptCount val="9"/>
                <c:pt idx="0">
                  <c:v>5.75</c:v>
                </c:pt>
                <c:pt idx="1">
                  <c:v>15</c:v>
                </c:pt>
                <c:pt idx="2">
                  <c:v>17</c:v>
                </c:pt>
                <c:pt idx="3">
                  <c:v>13</c:v>
                </c:pt>
                <c:pt idx="4">
                  <c:v>22.5</c:v>
                </c:pt>
                <c:pt idx="5">
                  <c:v>32</c:v>
                </c:pt>
                <c:pt idx="6">
                  <c:v>22.5</c:v>
                </c:pt>
                <c:pt idx="7">
                  <c:v>32.25</c:v>
                </c:pt>
                <c:pt idx="8">
                  <c:v>35.75</c:v>
                </c:pt>
              </c:numCache>
            </c:numRef>
          </c:val>
          <c:smooth val="0"/>
          <c:extLst>
            <c:ext xmlns:c16="http://schemas.microsoft.com/office/drawing/2014/chart" uri="{C3380CC4-5D6E-409C-BE32-E72D297353CC}">
              <c16:uniqueId val="{00000001-290A-4369-91C2-4481E13BC6EE}"/>
            </c:ext>
          </c:extLst>
        </c:ser>
        <c:dLbls>
          <c:showLegendKey val="0"/>
          <c:showVal val="1"/>
          <c:showCatName val="0"/>
          <c:showSerName val="0"/>
          <c:showPercent val="0"/>
          <c:showBubbleSize val="0"/>
        </c:dLbls>
        <c:marker val="1"/>
        <c:smooth val="0"/>
        <c:axId val="251987424"/>
        <c:axId val="251987840"/>
      </c:lineChart>
      <c:catAx>
        <c:axId val="251987424"/>
        <c:scaling>
          <c:orientation val="minMax"/>
        </c:scaling>
        <c:delete val="0"/>
        <c:axPos val="b"/>
        <c:numFmt formatCode="0"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he-IL"/>
          </a:p>
        </c:txPr>
        <c:crossAx val="251987840"/>
        <c:crosses val="autoZero"/>
        <c:auto val="1"/>
        <c:lblAlgn val="ctr"/>
        <c:lblOffset val="100"/>
        <c:noMultiLvlLbl val="0"/>
      </c:catAx>
      <c:valAx>
        <c:axId val="251987840"/>
        <c:scaling>
          <c:orientation val="minMax"/>
        </c:scaling>
        <c:delete val="1"/>
        <c:axPos val="l"/>
        <c:numFmt formatCode="0" sourceLinked="1"/>
        <c:majorTickMark val="none"/>
        <c:minorTickMark val="none"/>
        <c:tickLblPos val="nextTo"/>
        <c:crossAx val="251987424"/>
        <c:crosses val="autoZero"/>
        <c:crossBetween val="between"/>
      </c:valAx>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he-IL"/>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he-IL"/>
    </a:p>
  </c:txPr>
  <c:printSettings>
    <c:headerFooter/>
    <c:pageMargins b="0.75" l="0.7" r="0.7" t="0.75" header="0.3" footer="0.3"/>
    <c:pageSetup paperSize="9"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4</xdr:col>
      <xdr:colOff>58616</xdr:colOff>
      <xdr:row>2</xdr:row>
      <xdr:rowOff>0</xdr:rowOff>
    </xdr:from>
    <xdr:to>
      <xdr:col>15</xdr:col>
      <xdr:colOff>624987</xdr:colOff>
      <xdr:row>22</xdr:row>
      <xdr:rowOff>29308</xdr:rowOff>
    </xdr:to>
    <xdr:graphicFrame macro="">
      <xdr:nvGraphicFramePr>
        <xdr:cNvPr id="3" name="תרשים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190500</xdr:colOff>
      <xdr:row>17</xdr:row>
      <xdr:rowOff>80962</xdr:rowOff>
    </xdr:from>
    <xdr:to>
      <xdr:col>8</xdr:col>
      <xdr:colOff>327196</xdr:colOff>
      <xdr:row>37</xdr:row>
      <xdr:rowOff>36614</xdr:rowOff>
    </xdr:to>
    <xdr:graphicFrame macro="">
      <xdr:nvGraphicFramePr>
        <xdr:cNvPr id="5" name="תרשים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417738</xdr:colOff>
      <xdr:row>17</xdr:row>
      <xdr:rowOff>90486</xdr:rowOff>
    </xdr:from>
    <xdr:to>
      <xdr:col>15</xdr:col>
      <xdr:colOff>536093</xdr:colOff>
      <xdr:row>37</xdr:row>
      <xdr:rowOff>46138</xdr:rowOff>
    </xdr:to>
    <xdr:graphicFrame macro="">
      <xdr:nvGraphicFramePr>
        <xdr:cNvPr id="6" name="תרשים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200025</xdr:colOff>
      <xdr:row>37</xdr:row>
      <xdr:rowOff>119062</xdr:rowOff>
    </xdr:from>
    <xdr:to>
      <xdr:col>8</xdr:col>
      <xdr:colOff>336721</xdr:colOff>
      <xdr:row>57</xdr:row>
      <xdr:rowOff>74714</xdr:rowOff>
    </xdr:to>
    <xdr:graphicFrame macro="">
      <xdr:nvGraphicFramePr>
        <xdr:cNvPr id="7" name="תרשים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417738</xdr:colOff>
      <xdr:row>37</xdr:row>
      <xdr:rowOff>119062</xdr:rowOff>
    </xdr:from>
    <xdr:to>
      <xdr:col>15</xdr:col>
      <xdr:colOff>536093</xdr:colOff>
      <xdr:row>57</xdr:row>
      <xdr:rowOff>74714</xdr:rowOff>
    </xdr:to>
    <xdr:graphicFrame macro="">
      <xdr:nvGraphicFramePr>
        <xdr:cNvPr id="8" name="תרשים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209550</xdr:colOff>
      <xdr:row>57</xdr:row>
      <xdr:rowOff>128587</xdr:rowOff>
    </xdr:from>
    <xdr:to>
      <xdr:col>8</xdr:col>
      <xdr:colOff>346246</xdr:colOff>
      <xdr:row>77</xdr:row>
      <xdr:rowOff>93764</xdr:rowOff>
    </xdr:to>
    <xdr:graphicFrame macro="">
      <xdr:nvGraphicFramePr>
        <xdr:cNvPr id="9" name="תרשים 8">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219075</xdr:colOff>
      <xdr:row>79</xdr:row>
      <xdr:rowOff>42861</xdr:rowOff>
    </xdr:from>
    <xdr:to>
      <xdr:col>8</xdr:col>
      <xdr:colOff>355771</xdr:colOff>
      <xdr:row>98</xdr:row>
      <xdr:rowOff>179488</xdr:rowOff>
    </xdr:to>
    <xdr:graphicFrame macro="">
      <xdr:nvGraphicFramePr>
        <xdr:cNvPr id="10" name="תרשים 9">
          <a:extLst>
            <a:ext uri="{FF2B5EF4-FFF2-40B4-BE49-F238E27FC236}">
              <a16:creationId xmlns:a16="http://schemas.microsoft.com/office/drawing/2014/main" id="{00000000-0008-0000-05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446313</xdr:colOff>
      <xdr:row>79</xdr:row>
      <xdr:rowOff>52386</xdr:rowOff>
    </xdr:from>
    <xdr:to>
      <xdr:col>15</xdr:col>
      <xdr:colOff>564668</xdr:colOff>
      <xdr:row>99</xdr:row>
      <xdr:rowOff>8038</xdr:rowOff>
    </xdr:to>
    <xdr:graphicFrame macro="">
      <xdr:nvGraphicFramePr>
        <xdr:cNvPr id="11" name="תרשים 10">
          <a:extLst>
            <a:ext uri="{FF2B5EF4-FFF2-40B4-BE49-F238E27FC236}">
              <a16:creationId xmlns:a16="http://schemas.microsoft.com/office/drawing/2014/main" id="{00000000-0008-0000-05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238125</xdr:colOff>
      <xdr:row>99</xdr:row>
      <xdr:rowOff>52386</xdr:rowOff>
    </xdr:from>
    <xdr:to>
      <xdr:col>8</xdr:col>
      <xdr:colOff>374821</xdr:colOff>
      <xdr:row>119</xdr:row>
      <xdr:rowOff>8039</xdr:rowOff>
    </xdr:to>
    <xdr:graphicFrame macro="">
      <xdr:nvGraphicFramePr>
        <xdr:cNvPr id="12" name="תרשים 11">
          <a:extLst>
            <a:ext uri="{FF2B5EF4-FFF2-40B4-BE49-F238E27FC236}">
              <a16:creationId xmlns:a16="http://schemas.microsoft.com/office/drawing/2014/main" id="{00000000-0008-0000-05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436788</xdr:colOff>
      <xdr:row>99</xdr:row>
      <xdr:rowOff>61911</xdr:rowOff>
    </xdr:from>
    <xdr:to>
      <xdr:col>15</xdr:col>
      <xdr:colOff>555143</xdr:colOff>
      <xdr:row>119</xdr:row>
      <xdr:rowOff>18806</xdr:rowOff>
    </xdr:to>
    <xdr:graphicFrame macro="">
      <xdr:nvGraphicFramePr>
        <xdr:cNvPr id="13" name="תרשים 12">
          <a:extLst>
            <a:ext uri="{FF2B5EF4-FFF2-40B4-BE49-F238E27FC236}">
              <a16:creationId xmlns:a16="http://schemas.microsoft.com/office/drawing/2014/main" id="{00000000-0008-0000-05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247650</xdr:colOff>
      <xdr:row>119</xdr:row>
      <xdr:rowOff>52386</xdr:rowOff>
    </xdr:from>
    <xdr:to>
      <xdr:col>8</xdr:col>
      <xdr:colOff>393871</xdr:colOff>
      <xdr:row>138</xdr:row>
      <xdr:rowOff>172448</xdr:rowOff>
    </xdr:to>
    <xdr:graphicFrame macro="">
      <xdr:nvGraphicFramePr>
        <xdr:cNvPr id="14" name="תרשים 13">
          <a:extLst>
            <a:ext uri="{FF2B5EF4-FFF2-40B4-BE49-F238E27FC236}">
              <a16:creationId xmlns:a16="http://schemas.microsoft.com/office/drawing/2014/main" id="{00000000-0008-0000-05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419778</xdr:colOff>
      <xdr:row>57</xdr:row>
      <xdr:rowOff>125186</xdr:rowOff>
    </xdr:from>
    <xdr:to>
      <xdr:col>15</xdr:col>
      <xdr:colOff>538133</xdr:colOff>
      <xdr:row>77</xdr:row>
      <xdr:rowOff>80838</xdr:rowOff>
    </xdr:to>
    <xdr:graphicFrame macro="">
      <xdr:nvGraphicFramePr>
        <xdr:cNvPr id="15" name="תרשים 14">
          <a:extLst>
            <a:ext uri="{FF2B5EF4-FFF2-40B4-BE49-F238E27FC236}">
              <a16:creationId xmlns:a16="http://schemas.microsoft.com/office/drawing/2014/main" id="{00000000-0008-0000-05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209550</xdr:colOff>
      <xdr:row>69</xdr:row>
      <xdr:rowOff>19050</xdr:rowOff>
    </xdr:from>
    <xdr:to>
      <xdr:col>25</xdr:col>
      <xdr:colOff>523875</xdr:colOff>
      <xdr:row>88</xdr:row>
      <xdr:rowOff>165202</xdr:rowOff>
    </xdr:to>
    <xdr:graphicFrame macro="">
      <xdr:nvGraphicFramePr>
        <xdr:cNvPr id="16" name="תרשים 8">
          <a:extLst>
            <a:ext uri="{FF2B5EF4-FFF2-40B4-BE49-F238E27FC236}">
              <a16:creationId xmlns:a16="http://schemas.microsoft.com/office/drawing/2014/main" id="{00000000-0008-0000-05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466725</xdr:colOff>
      <xdr:row>38</xdr:row>
      <xdr:rowOff>104775</xdr:rowOff>
    </xdr:from>
    <xdr:to>
      <xdr:col>23</xdr:col>
      <xdr:colOff>584371</xdr:colOff>
      <xdr:row>58</xdr:row>
      <xdr:rowOff>69952</xdr:rowOff>
    </xdr:to>
    <xdr:graphicFrame macro="">
      <xdr:nvGraphicFramePr>
        <xdr:cNvPr id="17" name="תרשים 8">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504825</xdr:colOff>
      <xdr:row>17</xdr:row>
      <xdr:rowOff>76200</xdr:rowOff>
    </xdr:from>
    <xdr:to>
      <xdr:col>23</xdr:col>
      <xdr:colOff>613655</xdr:colOff>
      <xdr:row>37</xdr:row>
      <xdr:rowOff>31852</xdr:rowOff>
    </xdr:to>
    <xdr:graphicFrame macro="">
      <xdr:nvGraphicFramePr>
        <xdr:cNvPr id="18" name="תרשים 10">
          <a:extLst>
            <a:ext uri="{FF2B5EF4-FFF2-40B4-BE49-F238E27FC236}">
              <a16:creationId xmlns:a16="http://schemas.microsoft.com/office/drawing/2014/main" id="{00000000-0008-0000-05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24</xdr:col>
      <xdr:colOff>371475</xdr:colOff>
      <xdr:row>17</xdr:row>
      <xdr:rowOff>95250</xdr:rowOff>
    </xdr:from>
    <xdr:to>
      <xdr:col>31</xdr:col>
      <xdr:colOff>517696</xdr:colOff>
      <xdr:row>37</xdr:row>
      <xdr:rowOff>60427</xdr:rowOff>
    </xdr:to>
    <xdr:graphicFrame macro="">
      <xdr:nvGraphicFramePr>
        <xdr:cNvPr id="20" name="תרשים 4">
          <a:extLst>
            <a:ext uri="{FF2B5EF4-FFF2-40B4-BE49-F238E27FC236}">
              <a16:creationId xmlns:a16="http://schemas.microsoft.com/office/drawing/2014/main" id="{00000000-0008-0000-05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238125</xdr:colOff>
      <xdr:row>21</xdr:row>
      <xdr:rowOff>9525</xdr:rowOff>
    </xdr:from>
    <xdr:to>
      <xdr:col>25</xdr:col>
      <xdr:colOff>580125</xdr:colOff>
      <xdr:row>41</xdr:row>
      <xdr:rowOff>171000</xdr:rowOff>
    </xdr:to>
    <xdr:graphicFrame macro="">
      <xdr:nvGraphicFramePr>
        <xdr:cNvPr id="2" name="תרשים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300037</xdr:colOff>
      <xdr:row>42</xdr:row>
      <xdr:rowOff>76199</xdr:rowOff>
    </xdr:from>
    <xdr:to>
      <xdr:col>25</xdr:col>
      <xdr:colOff>642037</xdr:colOff>
      <xdr:row>60</xdr:row>
      <xdr:rowOff>66675</xdr:rowOff>
    </xdr:to>
    <xdr:graphicFrame macro="">
      <xdr:nvGraphicFramePr>
        <xdr:cNvPr id="3" name="תרשים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300037</xdr:colOff>
      <xdr:row>60</xdr:row>
      <xdr:rowOff>66675</xdr:rowOff>
    </xdr:from>
    <xdr:to>
      <xdr:col>25</xdr:col>
      <xdr:colOff>642037</xdr:colOff>
      <xdr:row>80</xdr:row>
      <xdr:rowOff>94800</xdr:rowOff>
    </xdr:to>
    <xdr:graphicFrame macro="">
      <xdr:nvGraphicFramePr>
        <xdr:cNvPr id="4" name="תרשים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271462</xdr:colOff>
      <xdr:row>0</xdr:row>
      <xdr:rowOff>166687</xdr:rowOff>
    </xdr:from>
    <xdr:to>
      <xdr:col>25</xdr:col>
      <xdr:colOff>609790</xdr:colOff>
      <xdr:row>20</xdr:row>
      <xdr:rowOff>149923</xdr:rowOff>
    </xdr:to>
    <xdr:graphicFrame macro="">
      <xdr:nvGraphicFramePr>
        <xdr:cNvPr id="5" name="תרשים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619125</xdr:colOff>
      <xdr:row>2</xdr:row>
      <xdr:rowOff>114300</xdr:rowOff>
    </xdr:from>
    <xdr:to>
      <xdr:col>37</xdr:col>
      <xdr:colOff>271653</xdr:colOff>
      <xdr:row>22</xdr:row>
      <xdr:rowOff>97536</xdr:rowOff>
    </xdr:to>
    <xdr:graphicFrame macro="">
      <xdr:nvGraphicFramePr>
        <xdr:cNvPr id="7" name="תרשים 4">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600075</xdr:colOff>
      <xdr:row>61</xdr:row>
      <xdr:rowOff>104775</xdr:rowOff>
    </xdr:from>
    <xdr:to>
      <xdr:col>37</xdr:col>
      <xdr:colOff>256275</xdr:colOff>
      <xdr:row>81</xdr:row>
      <xdr:rowOff>85275</xdr:rowOff>
    </xdr:to>
    <xdr:graphicFrame macro="">
      <xdr:nvGraphicFramePr>
        <xdr:cNvPr id="9" name="תרשים 3">
          <a:extLst>
            <a:ext uri="{FF2B5EF4-FFF2-40B4-BE49-F238E27FC236}">
              <a16:creationId xmlns:a16="http://schemas.microsoft.com/office/drawing/2014/main" id="{00000000-0008-0000-0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23</xdr:row>
      <xdr:rowOff>38100</xdr:rowOff>
    </xdr:from>
    <xdr:to>
      <xdr:col>37</xdr:col>
      <xdr:colOff>342000</xdr:colOff>
      <xdr:row>44</xdr:row>
      <xdr:rowOff>18600</xdr:rowOff>
    </xdr:to>
    <xdr:graphicFrame macro="">
      <xdr:nvGraphicFramePr>
        <xdr:cNvPr id="8" name="תרשים 7">
          <a:extLst>
            <a:ext uri="{FF2B5EF4-FFF2-40B4-BE49-F238E27FC236}">
              <a16:creationId xmlns:a16="http://schemas.microsoft.com/office/drawing/2014/main" id="{00000000-0008-0000-0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xdr:colOff>
      <xdr:row>45</xdr:row>
      <xdr:rowOff>66674</xdr:rowOff>
    </xdr:from>
    <xdr:to>
      <xdr:col>34</xdr:col>
      <xdr:colOff>228600</xdr:colOff>
      <xdr:row>60</xdr:row>
      <xdr:rowOff>171450</xdr:rowOff>
    </xdr:to>
    <xdr:graphicFrame macro="">
      <xdr:nvGraphicFramePr>
        <xdr:cNvPr id="11" name="תרשים 10">
          <a:extLst>
            <a:ext uri="{FF2B5EF4-FFF2-40B4-BE49-F238E27FC236}">
              <a16:creationId xmlns:a16="http://schemas.microsoft.com/office/drawing/2014/main" id="{00000000-0008-0000-0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314325</xdr:colOff>
      <xdr:row>45</xdr:row>
      <xdr:rowOff>76200</xdr:rowOff>
    </xdr:from>
    <xdr:to>
      <xdr:col>41</xdr:col>
      <xdr:colOff>542924</xdr:colOff>
      <xdr:row>61</xdr:row>
      <xdr:rowOff>1</xdr:rowOff>
    </xdr:to>
    <xdr:graphicFrame macro="">
      <xdr:nvGraphicFramePr>
        <xdr:cNvPr id="10" name="תרשים 9">
          <a:extLst>
            <a:ext uri="{FF2B5EF4-FFF2-40B4-BE49-F238E27FC236}">
              <a16:creationId xmlns:a16="http://schemas.microsoft.com/office/drawing/2014/main" id="{00000000-0008-0000-0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0.2798</cdr:x>
      <cdr:y>0.18182</cdr:y>
    </cdr:from>
    <cdr:to>
      <cdr:x>1</cdr:x>
      <cdr:y>0.2231</cdr:y>
    </cdr:to>
    <cdr:sp macro="" textlink="">
      <cdr:nvSpPr>
        <cdr:cNvPr id="2" name="TextBox 1"/>
        <cdr:cNvSpPr txBox="1"/>
      </cdr:nvSpPr>
      <cdr:spPr>
        <a:xfrm xmlns:a="http://schemas.openxmlformats.org/drawingml/2006/main">
          <a:off x="2014538" y="590551"/>
          <a:ext cx="5185462" cy="134083"/>
        </a:xfrm>
        <a:prstGeom xmlns:a="http://schemas.openxmlformats.org/drawingml/2006/main" prst="rect">
          <a:avLst/>
        </a:prstGeom>
        <a:solidFill xmlns:a="http://schemas.openxmlformats.org/drawingml/2006/main">
          <a:schemeClr val="bg1"/>
        </a:solidFill>
      </cdr:spPr>
      <cdr:txBody>
        <a:bodyPr xmlns:a="http://schemas.openxmlformats.org/drawingml/2006/main" vertOverflow="clip" wrap="none" rtlCol="1" anchor="ctr"/>
        <a:lstStyle xmlns:a="http://schemas.openxmlformats.org/drawingml/2006/main"/>
        <a:p xmlns:a="http://schemas.openxmlformats.org/drawingml/2006/main">
          <a:pPr algn="ctr" rtl="0"/>
          <a:r>
            <a:rPr lang="he-IL" sz="1100"/>
            <a:t>*חומרת</a:t>
          </a:r>
          <a:r>
            <a:rPr lang="he-IL" sz="1100" baseline="0"/>
            <a:t> הדיווח עבור מקרים </a:t>
          </a:r>
          <a:r>
            <a:rPr lang="he-IL" sz="1000" baseline="0"/>
            <a:t>שטרם</a:t>
          </a:r>
          <a:r>
            <a:rPr lang="he-IL" sz="1100" baseline="0"/>
            <a:t> עברו ועדת איכות, עשויים להשתנות לאחר הדיון במקרה</a:t>
          </a:r>
          <a:endParaRPr lang="he-IL" sz="1100"/>
        </a:p>
      </cdr:txBody>
    </cdr:sp>
  </cdr:relSizeAnchor>
</c:userShapes>
</file>

<file path=xl/drawings/drawing5.xml><?xml version="1.0" encoding="utf-8"?>
<c:userShapes xmlns:c="http://schemas.openxmlformats.org/drawingml/2006/chart">
  <cdr:relSizeAnchor xmlns:cdr="http://schemas.openxmlformats.org/drawingml/2006/chartDrawing">
    <cdr:from>
      <cdr:x>0.24443</cdr:x>
      <cdr:y>0.16664</cdr:y>
    </cdr:from>
    <cdr:to>
      <cdr:x>0.99864</cdr:x>
      <cdr:y>0.20631</cdr:y>
    </cdr:to>
    <cdr:sp macro="" textlink="">
      <cdr:nvSpPr>
        <cdr:cNvPr id="2" name="TextBox 1"/>
        <cdr:cNvSpPr txBox="1"/>
      </cdr:nvSpPr>
      <cdr:spPr>
        <a:xfrm xmlns:a="http://schemas.openxmlformats.org/drawingml/2006/main">
          <a:off x="1759869" y="599907"/>
          <a:ext cx="5430312" cy="142812"/>
        </a:xfrm>
        <a:prstGeom xmlns:a="http://schemas.openxmlformats.org/drawingml/2006/main" prst="rect">
          <a:avLst/>
        </a:prstGeom>
        <a:solidFill xmlns:a="http://schemas.openxmlformats.org/drawingml/2006/main">
          <a:schemeClr val="bg1"/>
        </a:solidFill>
      </cdr:spPr>
      <cdr:txBody>
        <a:bodyPr xmlns:a="http://schemas.openxmlformats.org/drawingml/2006/main" wrap="none" rtlCol="1"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he-IL" sz="1100"/>
            <a:t>*חומרת</a:t>
          </a:r>
          <a:r>
            <a:rPr lang="he-IL" sz="1100" baseline="0"/>
            <a:t> הדיווח עבור מקרים </a:t>
          </a:r>
          <a:r>
            <a:rPr lang="he-IL" sz="1000" baseline="0"/>
            <a:t>שטרם</a:t>
          </a:r>
          <a:r>
            <a:rPr lang="he-IL" sz="1100" baseline="0"/>
            <a:t> עברו ועדת איכות, עשויים להשתנות לאחר הדיון במקרה</a:t>
          </a:r>
          <a:endParaRPr lang="he-IL" sz="1100"/>
        </a:p>
      </cdr:txBody>
    </cdr:sp>
  </cdr:relSizeAnchor>
</c:userShapes>
</file>

<file path=xl/drawings/drawing6.xml><?xml version="1.0" encoding="utf-8"?>
<c:userShapes xmlns:c="http://schemas.openxmlformats.org/drawingml/2006/chart">
  <cdr:relSizeAnchor xmlns:cdr="http://schemas.openxmlformats.org/drawingml/2006/chartDrawing">
    <cdr:from>
      <cdr:x>0.37581</cdr:x>
      <cdr:y>0.21305</cdr:y>
    </cdr:from>
    <cdr:to>
      <cdr:x>0.97918</cdr:x>
      <cdr:y>0.25948</cdr:y>
    </cdr:to>
    <cdr:sp macro="" textlink="">
      <cdr:nvSpPr>
        <cdr:cNvPr id="2" name="TextBox 1"/>
        <cdr:cNvSpPr txBox="1"/>
      </cdr:nvSpPr>
      <cdr:spPr>
        <a:xfrm xmlns:a="http://schemas.openxmlformats.org/drawingml/2006/main">
          <a:off x="2390798" y="805549"/>
          <a:ext cx="3838552" cy="175526"/>
        </a:xfrm>
        <a:prstGeom xmlns:a="http://schemas.openxmlformats.org/drawingml/2006/main" prst="rect">
          <a:avLst/>
        </a:prstGeom>
        <a:solidFill xmlns:a="http://schemas.openxmlformats.org/drawingml/2006/main">
          <a:schemeClr val="bg1"/>
        </a:solidFill>
        <a:ln xmlns:a="http://schemas.openxmlformats.org/drawingml/2006/main">
          <a:solidFill>
            <a:sysClr val="windowText" lastClr="000000"/>
          </a:solidFill>
        </a:ln>
      </cdr:spPr>
      <cdr:txBody>
        <a:bodyPr xmlns:a="http://schemas.openxmlformats.org/drawingml/2006/main" wrap="none" rtlCol="1"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r>
            <a:rPr lang="he-IL" sz="1100"/>
            <a:t>*</a:t>
          </a:r>
          <a:r>
            <a:rPr lang="en-US" sz="1100"/>
            <a:t>Report Severity values may change for cases  not</a:t>
          </a:r>
          <a:r>
            <a:rPr lang="en-US" sz="1100" baseline="0"/>
            <a:t> yet discussed.</a:t>
          </a:r>
          <a:endParaRPr lang="he-IL" sz="1100"/>
        </a:p>
      </cdr:txBody>
    </cdr:sp>
  </cdr:relSizeAnchor>
</c:userShape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016"/>
  <sheetViews>
    <sheetView rightToLeft="1" zoomScale="90" zoomScaleNormal="90" workbookViewId="0">
      <pane ySplit="1" topLeftCell="A848" activePane="bottomLeft" state="frozen"/>
      <selection pane="bottomLeft" activeCell="B1" sqref="B1:B1048576"/>
    </sheetView>
  </sheetViews>
  <sheetFormatPr defaultColWidth="10.375" defaultRowHeight="20.25" x14ac:dyDescent="0.2"/>
  <cols>
    <col min="1" max="1" width="7.125" style="18" customWidth="1"/>
    <col min="2" max="2" width="12.375" style="30" customWidth="1"/>
    <col min="3" max="3" width="14.75" style="30" customWidth="1"/>
    <col min="4" max="4" width="10.375" style="21" customWidth="1"/>
    <col min="5" max="5" width="14.375" style="21" customWidth="1"/>
    <col min="6" max="6" width="11.75" style="21" customWidth="1"/>
    <col min="7" max="7" width="10.375" style="21" customWidth="1"/>
    <col min="8" max="8" width="13.375" style="21" customWidth="1"/>
    <col min="9" max="9" width="10.625" style="21" customWidth="1"/>
    <col min="10" max="10" width="14.375" style="21" customWidth="1"/>
    <col min="11" max="12" width="10.375" style="21" customWidth="1"/>
    <col min="13" max="13" width="16.625" style="21" customWidth="1"/>
    <col min="14" max="14" width="14.875" style="21" customWidth="1"/>
    <col min="15" max="15" width="6" style="19" customWidth="1"/>
    <col min="16" max="16" width="17.375" style="20" hidden="1" customWidth="1"/>
    <col min="17" max="17" width="30.5" style="20" customWidth="1"/>
    <col min="18" max="18" width="8.25" style="19" customWidth="1"/>
    <col min="19" max="20" width="8.25" style="19" hidden="1" customWidth="1"/>
    <col min="21" max="21" width="8.25" style="19" customWidth="1"/>
    <col min="22" max="16384" width="10.375" style="19"/>
  </cols>
  <sheetData>
    <row r="1" spans="1:21" s="14" customFormat="1" ht="28.5" x14ac:dyDescent="0.2">
      <c r="A1" s="17" t="s">
        <v>0</v>
      </c>
      <c r="B1" s="52" t="s">
        <v>9</v>
      </c>
      <c r="C1" s="52" t="s">
        <v>128</v>
      </c>
      <c r="D1" s="14" t="s">
        <v>2</v>
      </c>
      <c r="E1" s="14" t="s">
        <v>3</v>
      </c>
      <c r="F1" s="14" t="s">
        <v>4</v>
      </c>
      <c r="G1" s="14" t="s">
        <v>5</v>
      </c>
      <c r="H1" s="14" t="s">
        <v>110</v>
      </c>
      <c r="I1" s="15" t="s">
        <v>125</v>
      </c>
      <c r="J1" s="14" t="s">
        <v>6</v>
      </c>
      <c r="K1" s="14" t="s">
        <v>7</v>
      </c>
      <c r="L1" s="14" t="s">
        <v>8</v>
      </c>
      <c r="M1" s="14" t="s">
        <v>52</v>
      </c>
      <c r="N1" s="14" t="s">
        <v>56</v>
      </c>
      <c r="O1" s="14" t="s">
        <v>62</v>
      </c>
      <c r="P1" s="14" t="s">
        <v>114</v>
      </c>
      <c r="Q1" s="14" t="s">
        <v>113</v>
      </c>
      <c r="R1" s="14" t="s">
        <v>131</v>
      </c>
      <c r="U1" s="14" t="s">
        <v>323</v>
      </c>
    </row>
    <row r="2" spans="1:21" x14ac:dyDescent="0.2">
      <c r="A2" s="18">
        <v>1</v>
      </c>
      <c r="B2" s="30">
        <v>42005</v>
      </c>
      <c r="D2" s="21" t="s">
        <v>17</v>
      </c>
      <c r="E2" s="21" t="s">
        <v>22</v>
      </c>
      <c r="F2" s="21" t="s">
        <v>24</v>
      </c>
      <c r="G2" s="21" t="s">
        <v>26</v>
      </c>
      <c r="H2" s="21" t="s">
        <v>30</v>
      </c>
      <c r="J2" s="21" t="s">
        <v>33</v>
      </c>
      <c r="K2" s="21" t="s">
        <v>46</v>
      </c>
      <c r="L2" s="21" t="s">
        <v>50</v>
      </c>
      <c r="M2" s="21" t="s">
        <v>54</v>
      </c>
      <c r="N2" s="21" t="s">
        <v>58</v>
      </c>
      <c r="O2" s="19">
        <f>IF(ISBLANK(D2),"",IF(D2='טבלת פרמטרים'!$A$9,1,0)+IF(E2='טבלת פרמטרים'!$B$5,2,1)+IF(F2='טבלת פרמטרים'!$C$5,3,IF(F2='טבלת פרמטרים'!$C$4,1,0))+IF(G2='טבלת פרמטרים'!$D$3,2,0)+IF(M2='טבלת פרמטרים'!$J$4,2,IF(M2='טבלת פרמטרים'!$J$3,1,0))+IF(N2='טבלת פרמטרים'!$K$6,3,IF(OR(N2='טבלת פרמטרים'!$K$4,N2='טבלת פרמטרים'!$K$5),2,IF(N2='טבלת פרמטרים'!$K$3,1,0))))</f>
        <v>6</v>
      </c>
      <c r="R2" s="19">
        <f>IF(ISNUMBER(T2),T2+O2,O2)</f>
        <v>6</v>
      </c>
      <c r="S2" s="19" t="str">
        <f>IF(EXACT(P2,'טבלת פרמטרים'!$M$2),'טבלת פרמטרים'!$N$2,IF(EXACT(P2,'טבלת פרמטרים'!$M$3),'טבלת פרמטרים'!$N$3,IF(EXACT(P2,'טבלת פרמטרים'!$M$4),'טבלת פרמטרים'!$N$4,IF(EXACT(P2,'טבלת פרמטרים'!$M$5),'טבלת פרמטרים'!$N$5,IF(EXACT(P2,'טבלת פרמטרים'!$M$6),'טבלת פרמטרים'!$N$6,IF(EXACT(P2,'טבלת פרמטרים'!$M$7),'טבלת פרמטרים'!$N$7,IF(EXACT(P2,'טבלת פרמטרים'!$M$8),'טבלת פרמטרים'!$N$8,IF(EXACT(P2,'טבלת פרמטרים'!$M$9),'טבלת פרמטרים'!$N$9,""))))))))</f>
        <v/>
      </c>
      <c r="T2" s="19" t="str">
        <f>IF(EXACT(Q2,'טבלת פרמטרים'!$O$2),'טבלת פרמטרים'!$P$2,IF(EXACT(Q2,'טבלת פרמטרים'!$O$3),'טבלת פרמטרים'!$P$3,IF(EXACT(Q2,'טבלת פרמטרים'!$O$4),'טבלת פרמטרים'!$P$4,IF(EXACT(Q2,'טבלת פרמטרים'!$O$5),'טבלת פרמטרים'!$P$5,IF(EXACT(Q2,'טבלת פרמטרים'!$O$6),'טבלת פרמטרים'!$P$6,IF(EXACT(Q2,'טבלת פרמטרים'!$O$7),'טבלת פרמטרים'!$P$7,""))))))</f>
        <v/>
      </c>
    </row>
    <row r="3" spans="1:21" x14ac:dyDescent="0.2">
      <c r="A3" s="18">
        <v>2</v>
      </c>
      <c r="B3" s="30">
        <v>42008</v>
      </c>
      <c r="D3" s="21" t="s">
        <v>16</v>
      </c>
      <c r="E3" s="21" t="s">
        <v>20</v>
      </c>
      <c r="F3" s="21" t="s">
        <v>23</v>
      </c>
      <c r="G3" s="21" t="s">
        <v>26</v>
      </c>
      <c r="H3" s="21" t="s">
        <v>31</v>
      </c>
      <c r="J3" s="21" t="s">
        <v>35</v>
      </c>
      <c r="K3" s="21" t="s">
        <v>44</v>
      </c>
      <c r="L3" s="21" t="s">
        <v>51</v>
      </c>
      <c r="M3" s="21" t="s">
        <v>53</v>
      </c>
      <c r="N3" s="21" t="s">
        <v>58</v>
      </c>
      <c r="O3" s="19">
        <f>IF(ISBLANK(D3),"",IF(D3='טבלת פרמטרים'!$A$9,1,0)+IF(E3='טבלת פרמטרים'!$B$5,2,1)+IF(F3='טבלת פרמטרים'!$C$5,3,IF(F3='טבלת פרמטרים'!$C$4,1,0))+IF(G3='טבלת פרמטרים'!$D$3,2,0)+IF(M3='טבלת פרמטרים'!$J$4,2,IF(M3='טבלת פרמטרים'!$J$3,1,0))+IF(N3='טבלת פרמטרים'!$K$6,3,IF(OR(N3='טבלת פרמטרים'!$K$4,N3='טבלת פרמטרים'!$K$5),2,IF(N3='טבלת פרמטרים'!$K$3,1,0))))</f>
        <v>2</v>
      </c>
      <c r="R3" s="19">
        <f t="shared" ref="R3:R66" si="0">IF(ISNUMBER(T3),T3+O3,O3)</f>
        <v>2</v>
      </c>
      <c r="S3" s="19" t="str">
        <f>IF(EXACT(P3,'טבלת פרמטרים'!$M$2),'טבלת פרמטרים'!$N$2,IF(EXACT(P3,'טבלת פרמטרים'!$M$3),'טבלת פרמטרים'!$N$3,IF(EXACT(P3,'טבלת פרמטרים'!$M$4),'טבלת פרמטרים'!$N$4,IF(EXACT(P3,'טבלת פרמטרים'!$M$5),'טבלת פרמטרים'!$N$5,IF(EXACT(P3,'טבלת פרמטרים'!$M$6),'טבלת פרמטרים'!$N$6,IF(EXACT(P3,'טבלת פרמטרים'!$M$7),'טבלת פרמטרים'!$N$7,IF(EXACT(P3,'טבלת פרמטרים'!$M$8),'טבלת פרמטרים'!$N$8,IF(EXACT(P3,'טבלת פרמטרים'!$M$9),'טבלת פרמטרים'!$N$9,""))))))))</f>
        <v/>
      </c>
      <c r="T3" s="19" t="str">
        <f>IF(EXACT(Q3,'טבלת פרמטרים'!$O$2),'טבלת פרמטרים'!$P$2,IF(EXACT(Q3,'טבלת פרמטרים'!$O$3),'טבלת פרמטרים'!$P$3,IF(EXACT(Q3,'טבלת פרמטרים'!$O$4),'טבלת פרמטרים'!$P$4,IF(EXACT(Q3,'טבלת פרמטרים'!$O$5),'טבלת פרמטרים'!$P$5,IF(EXACT(Q3,'טבלת פרמטרים'!$O$6),'טבלת פרמטרים'!$P$6,IF(EXACT(Q3,'טבלת פרמטרים'!$O$7),'טבלת פרמטרים'!$P$7,""))))))</f>
        <v/>
      </c>
    </row>
    <row r="4" spans="1:21" x14ac:dyDescent="0.2">
      <c r="A4" s="18">
        <v>3</v>
      </c>
      <c r="B4" s="30">
        <v>42022</v>
      </c>
      <c r="D4" s="21" t="s">
        <v>17</v>
      </c>
      <c r="E4" s="21" t="s">
        <v>21</v>
      </c>
      <c r="F4" s="21" t="s">
        <v>24</v>
      </c>
      <c r="G4" s="21" t="s">
        <v>26</v>
      </c>
      <c r="H4" s="21" t="s">
        <v>32</v>
      </c>
      <c r="J4" s="21" t="s">
        <v>34</v>
      </c>
      <c r="K4" s="21" t="s">
        <v>43</v>
      </c>
      <c r="L4" s="21" t="s">
        <v>63</v>
      </c>
      <c r="M4" s="21" t="s">
        <v>53</v>
      </c>
      <c r="N4" s="21" t="s">
        <v>59</v>
      </c>
      <c r="O4" s="19">
        <f>IF(ISBLANK(D4),"",IF(D4='טבלת פרמטרים'!$A$9,1,0)+IF(E4='טבלת פרמטרים'!$B$5,2,1)+IF(F4='טבלת פרמטרים'!$C$5,3,IF(F4='טבלת פרמטרים'!$C$4,1,0))+IF(G4='טבלת פרמטרים'!$D$3,2,0)+IF(M4='טבלת פרמטרים'!$J$4,2,IF(M4='טבלת פרמטרים'!$J$3,1,0))+IF(N4='טבלת פרמטרים'!$K$6,3,IF(OR(N4='טבלת פרמטרים'!$K$4,N4='טבלת פרמטרים'!$K$5),2,IF(N4='טבלת פרמטרים'!$K$3,1,0))))</f>
        <v>5</v>
      </c>
      <c r="R4" s="19">
        <f t="shared" si="0"/>
        <v>5</v>
      </c>
      <c r="S4" s="19" t="str">
        <f>IF(EXACT(P4,'טבלת פרמטרים'!$M$2),'טבלת פרמטרים'!$N$2,IF(EXACT(P4,'טבלת פרמטרים'!$M$3),'טבלת פרמטרים'!$N$3,IF(EXACT(P4,'טבלת פרמטרים'!$M$4),'טבלת פרמטרים'!$N$4,IF(EXACT(P4,'טבלת פרמטרים'!$M$5),'טבלת פרמטרים'!$N$5,IF(EXACT(P4,'טבלת פרמטרים'!$M$6),'טבלת פרמטרים'!$N$6,IF(EXACT(P4,'טבלת פרמטרים'!$M$7),'טבלת פרמטרים'!$N$7,IF(EXACT(P4,'טבלת פרמטרים'!$M$8),'טבלת פרמטרים'!$N$8,IF(EXACT(P4,'טבלת פרמטרים'!$M$9),'טבלת פרמטרים'!$N$9,""))))))))</f>
        <v/>
      </c>
      <c r="T4" s="19" t="str">
        <f>IF(EXACT(Q4,'טבלת פרמטרים'!$O$2),'טבלת פרמטרים'!$P$2,IF(EXACT(Q4,'טבלת פרמטרים'!$O$3),'טבלת פרמטרים'!$P$3,IF(EXACT(Q4,'טבלת פרמטרים'!$O$4),'טבלת פרמטרים'!$P$4,IF(EXACT(Q4,'טבלת פרמטרים'!$O$5),'טבלת פרמטרים'!$P$5,IF(EXACT(Q4,'טבלת פרמטרים'!$O$6),'טבלת פרמטרים'!$P$6,IF(EXACT(Q4,'טבלת פרמטרים'!$O$7),'טבלת פרמטרים'!$P$7,""))))))</f>
        <v/>
      </c>
    </row>
    <row r="5" spans="1:21" x14ac:dyDescent="0.2">
      <c r="A5" s="18">
        <v>4</v>
      </c>
      <c r="B5" s="30">
        <v>42024</v>
      </c>
      <c r="D5" s="21" t="s">
        <v>16</v>
      </c>
      <c r="E5" s="21" t="s">
        <v>20</v>
      </c>
      <c r="F5" s="21" t="s">
        <v>23</v>
      </c>
      <c r="G5" s="21" t="s">
        <v>26</v>
      </c>
      <c r="H5" s="21" t="s">
        <v>29</v>
      </c>
      <c r="J5" s="21" t="s">
        <v>33</v>
      </c>
      <c r="K5" s="21" t="s">
        <v>44</v>
      </c>
      <c r="L5" s="21" t="s">
        <v>51</v>
      </c>
      <c r="M5" s="21" t="s">
        <v>54</v>
      </c>
      <c r="N5" s="21" t="s">
        <v>57</v>
      </c>
      <c r="O5" s="19">
        <f>IF(ISBLANK(D5),"",IF(D5='טבלת פרמטרים'!$A$9,1,0)+IF(E5='טבלת פרמטרים'!$B$5,2,1)+IF(F5='טבלת פרמטרים'!$C$5,3,IF(F5='טבלת פרמטרים'!$C$4,1,0))+IF(G5='טבלת פרמטרים'!$D$3,2,0)+IF(M5='טבלת פרמטרים'!$J$4,2,IF(M5='טבלת פרמטרים'!$J$3,1,0))+IF(N5='טבלת פרמטרים'!$K$6,3,IF(OR(N5='טבלת פרמטרים'!$K$4,N5='טבלת פרמטרים'!$K$5),2,IF(N5='טבלת פרמטרים'!$K$3,1,0))))</f>
        <v>2</v>
      </c>
      <c r="R5" s="19">
        <f t="shared" si="0"/>
        <v>2</v>
      </c>
      <c r="S5" s="19" t="str">
        <f>IF(EXACT(P5,'טבלת פרמטרים'!$M$2),'טבלת פרמטרים'!$N$2,IF(EXACT(P5,'טבלת פרמטרים'!$M$3),'טבלת פרמטרים'!$N$3,IF(EXACT(P5,'טבלת פרמטרים'!$M$4),'טבלת פרמטרים'!$N$4,IF(EXACT(P5,'טבלת פרמטרים'!$M$5),'טבלת פרמטרים'!$N$5,IF(EXACT(P5,'טבלת פרמטרים'!$M$6),'טבלת פרמטרים'!$N$6,IF(EXACT(P5,'טבלת פרמטרים'!$M$7),'טבלת פרמטרים'!$N$7,IF(EXACT(P5,'טבלת פרמטרים'!$M$8),'טבלת פרמטרים'!$N$8,IF(EXACT(P5,'טבלת פרמטרים'!$M$9),'טבלת פרמטרים'!$N$9,""))))))))</f>
        <v/>
      </c>
      <c r="T5" s="19" t="str">
        <f>IF(EXACT(Q5,'טבלת פרמטרים'!$O$2),'טבלת פרמטרים'!$P$2,IF(EXACT(Q5,'טבלת פרמטרים'!$O$3),'טבלת פרמטרים'!$P$3,IF(EXACT(Q5,'טבלת פרמטרים'!$O$4),'טבלת פרמטרים'!$P$4,IF(EXACT(Q5,'טבלת פרמטרים'!$O$5),'טבלת פרמטרים'!$P$5,IF(EXACT(Q5,'טבלת פרמטרים'!$O$6),'טבלת פרמטרים'!$P$6,IF(EXACT(Q5,'טבלת פרמטרים'!$O$7),'טבלת פרמטרים'!$P$7,""))))))</f>
        <v/>
      </c>
    </row>
    <row r="6" spans="1:21" x14ac:dyDescent="0.2">
      <c r="A6" s="18">
        <v>5</v>
      </c>
      <c r="B6" s="30">
        <v>42024</v>
      </c>
      <c r="D6" s="21" t="s">
        <v>17</v>
      </c>
      <c r="E6" s="21" t="s">
        <v>20</v>
      </c>
      <c r="F6" s="21" t="s">
        <v>23</v>
      </c>
      <c r="G6" s="21" t="s">
        <v>26</v>
      </c>
      <c r="H6" s="21" t="s">
        <v>31</v>
      </c>
      <c r="J6" s="21" t="s">
        <v>33</v>
      </c>
      <c r="K6" s="21" t="s">
        <v>44</v>
      </c>
      <c r="L6" s="21" t="s">
        <v>51</v>
      </c>
      <c r="M6" s="21" t="s">
        <v>54</v>
      </c>
      <c r="N6" s="21" t="s">
        <v>57</v>
      </c>
      <c r="O6" s="19">
        <f>IF(ISBLANK(D6),"",IF(D6='טבלת פרמטרים'!$A$9,1,0)+IF(E6='טבלת פרמטרים'!$B$5,2,1)+IF(F6='טבלת פרמטרים'!$C$5,3,IF(F6='טבלת פרמטרים'!$C$4,1,0))+IF(G6='טבלת פרמטרים'!$D$3,2,0)+IF(M6='טבלת פרמטרים'!$J$4,2,IF(M6='טבלת פרמטרים'!$J$3,1,0))+IF(N6='טבלת פרמטרים'!$K$6,3,IF(OR(N6='טבלת פרמטרים'!$K$4,N6='טבלת פרמטרים'!$K$5),2,IF(N6='טבלת פרמטרים'!$K$3,1,0))))</f>
        <v>3</v>
      </c>
      <c r="R6" s="19">
        <f t="shared" si="0"/>
        <v>3</v>
      </c>
      <c r="S6" s="19" t="str">
        <f>IF(EXACT(P6,'טבלת פרמטרים'!$M$2),'טבלת פרמטרים'!$N$2,IF(EXACT(P6,'טבלת פרמטרים'!$M$3),'טבלת פרמטרים'!$N$3,IF(EXACT(P6,'טבלת פרמטרים'!$M$4),'טבלת פרמטרים'!$N$4,IF(EXACT(P6,'טבלת פרמטרים'!$M$5),'טבלת פרמטרים'!$N$5,IF(EXACT(P6,'טבלת פרמטרים'!$M$6),'טבלת פרמטרים'!$N$6,IF(EXACT(P6,'טבלת פרמטרים'!$M$7),'טבלת פרמטרים'!$N$7,IF(EXACT(P6,'טבלת פרמטרים'!$M$8),'טבלת פרמטרים'!$N$8,IF(EXACT(P6,'טבלת פרמטרים'!$M$9),'טבלת פרמטרים'!$N$9,""))))))))</f>
        <v/>
      </c>
      <c r="T6" s="19" t="str">
        <f>IF(EXACT(Q6,'טבלת פרמטרים'!$O$2),'טבלת פרמטרים'!$P$2,IF(EXACT(Q6,'טבלת פרמטרים'!$O$3),'טבלת פרמטרים'!$P$3,IF(EXACT(Q6,'טבלת פרמטרים'!$O$4),'טבלת פרמטרים'!$P$4,IF(EXACT(Q6,'טבלת פרמטרים'!$O$5),'טבלת פרמטרים'!$P$5,IF(EXACT(Q6,'טבלת פרמטרים'!$O$6),'טבלת פרמטרים'!$P$6,IF(EXACT(Q6,'טבלת פרמטרים'!$O$7),'טבלת פרמטרים'!$P$7,""))))))</f>
        <v/>
      </c>
    </row>
    <row r="7" spans="1:21" x14ac:dyDescent="0.2">
      <c r="A7" s="18">
        <v>6</v>
      </c>
      <c r="B7" s="30">
        <v>42089</v>
      </c>
      <c r="D7" s="21" t="s">
        <v>17</v>
      </c>
      <c r="E7" s="21" t="s">
        <v>22</v>
      </c>
      <c r="F7" s="21" t="s">
        <v>24</v>
      </c>
      <c r="G7" s="21" t="s">
        <v>26</v>
      </c>
      <c r="H7" s="21" t="s">
        <v>29</v>
      </c>
      <c r="J7" s="21" t="s">
        <v>35</v>
      </c>
      <c r="K7" s="21" t="s">
        <v>43</v>
      </c>
      <c r="L7" s="21" t="s">
        <v>51</v>
      </c>
      <c r="M7" s="21" t="s">
        <v>55</v>
      </c>
      <c r="N7" s="21" t="s">
        <v>58</v>
      </c>
      <c r="O7" s="19">
        <f>IF(ISBLANK(D7),"",IF(D7='טבלת פרמטרים'!$A$9,1,0)+IF(E7='טבלת פרמטרים'!$B$5,2,1)+IF(F7='טבלת פרמטרים'!$C$5,3,IF(F7='טבלת פרמטרים'!$C$4,1,0))+IF(G7='טבלת פרמטרים'!$D$3,2,0)+IF(M7='טבלת פרמטרים'!$J$4,2,IF(M7='טבלת פרמטרים'!$J$3,1,0))+IF(N7='טבלת פרמטרים'!$K$6,3,IF(OR(N7='טבלת פרמטרים'!$K$4,N7='טבלת פרמטרים'!$K$5),2,IF(N7='טבלת פרמטרים'!$K$3,1,0))))</f>
        <v>7</v>
      </c>
      <c r="R7" s="19">
        <f t="shared" si="0"/>
        <v>7</v>
      </c>
      <c r="S7" s="19" t="str">
        <f>IF(EXACT(P7,'טבלת פרמטרים'!$M$2),'טבלת פרמטרים'!$N$2,IF(EXACT(P7,'טבלת פרמטרים'!$M$3),'טבלת פרמטרים'!$N$3,IF(EXACT(P7,'טבלת פרמטרים'!$M$4),'טבלת פרמטרים'!$N$4,IF(EXACT(P7,'טבלת פרמטרים'!$M$5),'טבלת פרמטרים'!$N$5,IF(EXACT(P7,'טבלת פרמטרים'!$M$6),'טבלת פרמטרים'!$N$6,IF(EXACT(P7,'טבלת פרמטרים'!$M$7),'טבלת פרמטרים'!$N$7,IF(EXACT(P7,'טבלת פרמטרים'!$M$8),'טבלת פרמטרים'!$N$8,IF(EXACT(P7,'טבלת פרמטרים'!$M$9),'טבלת פרמטרים'!$N$9,""))))))))</f>
        <v/>
      </c>
      <c r="T7" s="19" t="str">
        <f>IF(EXACT(Q7,'טבלת פרמטרים'!$O$2),'טבלת פרמטרים'!$P$2,IF(EXACT(Q7,'טבלת פרמטרים'!$O$3),'טבלת פרמטרים'!$P$3,IF(EXACT(Q7,'טבלת פרמטרים'!$O$4),'טבלת פרמטרים'!$P$4,IF(EXACT(Q7,'טבלת פרמטרים'!$O$5),'טבלת פרמטרים'!$P$5,IF(EXACT(Q7,'טבלת פרמטרים'!$O$6),'טבלת פרמטרים'!$P$6,IF(EXACT(Q7,'טבלת פרמטרים'!$O$7),'טבלת פרמטרים'!$P$7,""))))))</f>
        <v/>
      </c>
    </row>
    <row r="8" spans="1:21" x14ac:dyDescent="0.2">
      <c r="A8" s="18">
        <v>7</v>
      </c>
      <c r="B8" s="30">
        <v>42121</v>
      </c>
      <c r="D8" s="21" t="s">
        <v>17</v>
      </c>
      <c r="E8" s="21" t="s">
        <v>22</v>
      </c>
      <c r="F8" s="21" t="s">
        <v>24</v>
      </c>
      <c r="G8" s="21" t="s">
        <v>26</v>
      </c>
      <c r="H8" s="21" t="s">
        <v>30</v>
      </c>
      <c r="J8" s="21" t="s">
        <v>34</v>
      </c>
      <c r="K8" s="21" t="s">
        <v>43</v>
      </c>
      <c r="L8" s="21" t="s">
        <v>49</v>
      </c>
      <c r="M8" s="21" t="s">
        <v>53</v>
      </c>
      <c r="N8" s="21" t="s">
        <v>58</v>
      </c>
      <c r="O8" s="19">
        <f>IF(ISBLANK(D8),"",IF(D8='טבלת פרמטרים'!$A$9,1,0)+IF(E8='טבלת פרמטרים'!$B$5,2,1)+IF(F8='טבלת פרמטרים'!$C$5,3,IF(F8='טבלת פרמטרים'!$C$4,1,0))+IF(G8='טבלת פרמטרים'!$D$3,2,0)+IF(M8='טבלת פרמטרים'!$J$4,2,IF(M8='טבלת פרמטרים'!$J$3,1,0))+IF(N8='טבלת פרמטרים'!$K$6,3,IF(OR(N8='טבלת פרמטרים'!$K$4,N8='טבלת פרמטרים'!$K$5),2,IF(N8='טבלת פרמטרים'!$K$3,1,0))))</f>
        <v>5</v>
      </c>
      <c r="R8" s="19">
        <f t="shared" si="0"/>
        <v>5</v>
      </c>
      <c r="S8" s="19" t="str">
        <f>IF(EXACT(P8,'טבלת פרמטרים'!$M$2),'טבלת פרמטרים'!$N$2,IF(EXACT(P8,'טבלת פרמטרים'!$M$3),'טבלת פרמטרים'!$N$3,IF(EXACT(P8,'טבלת פרמטרים'!$M$4),'טבלת פרמטרים'!$N$4,IF(EXACT(P8,'טבלת פרמטרים'!$M$5),'טבלת פרמטרים'!$N$5,IF(EXACT(P8,'טבלת פרמטרים'!$M$6),'טבלת פרמטרים'!$N$6,IF(EXACT(P8,'טבלת פרמטרים'!$M$7),'טבלת פרמטרים'!$N$7,IF(EXACT(P8,'טבלת פרמטרים'!$M$8),'טבלת פרמטרים'!$N$8,IF(EXACT(P8,'טבלת פרמטרים'!$M$9),'טבלת פרמטרים'!$N$9,""))))))))</f>
        <v/>
      </c>
      <c r="T8" s="19" t="str">
        <f>IF(EXACT(Q8,'טבלת פרמטרים'!$O$2),'טבלת פרמטרים'!$P$2,IF(EXACT(Q8,'טבלת פרמטרים'!$O$3),'טבלת פרמטרים'!$P$3,IF(EXACT(Q8,'טבלת פרמטרים'!$O$4),'טבלת פרמטרים'!$P$4,IF(EXACT(Q8,'טבלת פרמטרים'!$O$5),'טבלת פרמטרים'!$P$5,IF(EXACT(Q8,'טבלת פרמטרים'!$O$6),'טבלת פרמטרים'!$P$6,IF(EXACT(Q8,'טבלת פרמטרים'!$O$7),'טבלת פרמטרים'!$P$7,""))))))</f>
        <v/>
      </c>
    </row>
    <row r="9" spans="1:21" x14ac:dyDescent="0.2">
      <c r="A9" s="18">
        <v>8</v>
      </c>
      <c r="B9" s="30">
        <v>42156</v>
      </c>
      <c r="D9" s="21" t="s">
        <v>17</v>
      </c>
      <c r="E9" s="21" t="s">
        <v>20</v>
      </c>
      <c r="F9" s="21" t="s">
        <v>24</v>
      </c>
      <c r="G9" s="21" t="s">
        <v>26</v>
      </c>
      <c r="H9" s="21" t="s">
        <v>31</v>
      </c>
      <c r="J9" s="21" t="s">
        <v>33</v>
      </c>
      <c r="K9" s="21" t="s">
        <v>44</v>
      </c>
      <c r="L9" s="21" t="s">
        <v>51</v>
      </c>
      <c r="M9" s="21" t="s">
        <v>54</v>
      </c>
      <c r="N9" s="21" t="s">
        <v>57</v>
      </c>
      <c r="O9" s="19">
        <f>IF(ISBLANK(D9),"",IF(D9='טבלת פרמטרים'!$A$9,1,0)+IF(E9='טבלת פרמטרים'!$B$5,2,1)+IF(F9='טבלת פרמטרים'!$C$5,3,IF(F9='טבלת פרמטרים'!$C$4,1,0))+IF(G9='טבלת פרמטרים'!$D$3,2,0)+IF(M9='טבלת פרמטרים'!$J$4,2,IF(M9='טבלת פרמטרים'!$J$3,1,0))+IF(N9='טבלת פרמטרים'!$K$6,3,IF(OR(N9='טבלת פרמטרים'!$K$4,N9='טבלת פרמטרים'!$K$5),2,IF(N9='טבלת פרמטרים'!$K$3,1,0))))</f>
        <v>4</v>
      </c>
      <c r="R9" s="19">
        <f t="shared" si="0"/>
        <v>4</v>
      </c>
      <c r="S9" s="19" t="str">
        <f>IF(EXACT(P9,'טבלת פרמטרים'!$M$2),'טבלת פרמטרים'!$N$2,IF(EXACT(P9,'טבלת פרמטרים'!$M$3),'טבלת פרמטרים'!$N$3,IF(EXACT(P9,'טבלת פרמטרים'!$M$4),'טבלת פרמטרים'!$N$4,IF(EXACT(P9,'טבלת פרמטרים'!$M$5),'טבלת פרמטרים'!$N$5,IF(EXACT(P9,'טבלת פרמטרים'!$M$6),'טבלת פרמטרים'!$N$6,IF(EXACT(P9,'טבלת פרמטרים'!$M$7),'טבלת פרמטרים'!$N$7,IF(EXACT(P9,'טבלת פרמטרים'!$M$8),'טבלת פרמטרים'!$N$8,IF(EXACT(P9,'טבלת פרמטרים'!$M$9),'טבלת פרמטרים'!$N$9,""))))))))</f>
        <v/>
      </c>
      <c r="T9" s="19" t="str">
        <f>IF(EXACT(Q9,'טבלת פרמטרים'!$O$2),'טבלת פרמטרים'!$P$2,IF(EXACT(Q9,'טבלת פרמטרים'!$O$3),'טבלת פרמטרים'!$P$3,IF(EXACT(Q9,'טבלת פרמטרים'!$O$4),'טבלת פרמטרים'!$P$4,IF(EXACT(Q9,'טבלת פרמטרים'!$O$5),'טבלת פרמטרים'!$P$5,IF(EXACT(Q9,'טבלת פרמטרים'!$O$6),'טבלת פרמטרים'!$P$6,IF(EXACT(Q9,'טבלת פרמטרים'!$O$7),'טבלת פרמטרים'!$P$7,""))))))</f>
        <v/>
      </c>
    </row>
    <row r="10" spans="1:21" x14ac:dyDescent="0.2">
      <c r="A10" s="18">
        <v>9</v>
      </c>
      <c r="B10" s="30">
        <v>42173</v>
      </c>
      <c r="D10" s="21" t="s">
        <v>17</v>
      </c>
      <c r="E10" s="21" t="s">
        <v>22</v>
      </c>
      <c r="F10" s="21" t="s">
        <v>24</v>
      </c>
      <c r="G10" s="21" t="s">
        <v>26</v>
      </c>
      <c r="H10" s="21" t="s">
        <v>31</v>
      </c>
      <c r="J10" s="21" t="s">
        <v>35</v>
      </c>
      <c r="K10" s="21" t="s">
        <v>44</v>
      </c>
      <c r="L10" s="21" t="s">
        <v>51</v>
      </c>
      <c r="M10" s="21" t="s">
        <v>54</v>
      </c>
      <c r="N10" s="21" t="s">
        <v>58</v>
      </c>
      <c r="O10" s="19">
        <f>IF(ISBLANK(D10),"",IF(D10='טבלת פרמטרים'!$A$9,1,0)+IF(E10='טבלת פרמטרים'!$B$5,2,1)+IF(F10='טבלת פרמטרים'!$C$5,3,IF(F10='טבלת פרמטרים'!$C$4,1,0))+IF(G10='טבלת פרמטרים'!$D$3,2,0)+IF(M10='טבלת פרמטרים'!$J$4,2,IF(M10='טבלת פרמטרים'!$J$3,1,0))+IF(N10='טבלת פרמטרים'!$K$6,3,IF(OR(N10='טבלת פרמטרים'!$K$4,N10='טבלת פרמטרים'!$K$5),2,IF(N10='טבלת פרמטרים'!$K$3,1,0))))</f>
        <v>6</v>
      </c>
      <c r="R10" s="19">
        <f t="shared" si="0"/>
        <v>6</v>
      </c>
      <c r="S10" s="19" t="str">
        <f>IF(EXACT(P10,'טבלת פרמטרים'!$M$2),'טבלת פרמטרים'!$N$2,IF(EXACT(P10,'טבלת פרמטרים'!$M$3),'טבלת פרמטרים'!$N$3,IF(EXACT(P10,'טבלת פרמטרים'!$M$4),'טבלת פרמטרים'!$N$4,IF(EXACT(P10,'טבלת פרמטרים'!$M$5),'טבלת פרמטרים'!$N$5,IF(EXACT(P10,'טבלת פרמטרים'!$M$6),'טבלת פרמטרים'!$N$6,IF(EXACT(P10,'טבלת פרמטרים'!$M$7),'טבלת פרמטרים'!$N$7,IF(EXACT(P10,'טבלת פרמטרים'!$M$8),'טבלת פרמטרים'!$N$8,IF(EXACT(P10,'טבלת פרמטרים'!$M$9),'טבלת פרמטרים'!$N$9,""))))))))</f>
        <v/>
      </c>
      <c r="T10" s="19" t="str">
        <f>IF(EXACT(Q10,'טבלת פרמטרים'!$O$2),'טבלת פרמטרים'!$P$2,IF(EXACT(Q10,'טבלת פרמטרים'!$O$3),'טבלת פרמטרים'!$P$3,IF(EXACT(Q10,'טבלת פרמטרים'!$O$4),'טבלת פרמטרים'!$P$4,IF(EXACT(Q10,'טבלת פרמטרים'!$O$5),'טבלת פרמטרים'!$P$5,IF(EXACT(Q10,'טבלת פרמטרים'!$O$6),'טבלת פרמטרים'!$P$6,IF(EXACT(Q10,'טבלת פרמטרים'!$O$7),'טבלת פרמטרים'!$P$7,""))))))</f>
        <v/>
      </c>
    </row>
    <row r="11" spans="1:21" x14ac:dyDescent="0.2">
      <c r="A11" s="18">
        <v>10</v>
      </c>
      <c r="B11" s="30">
        <v>42198</v>
      </c>
      <c r="D11" s="21" t="s">
        <v>16</v>
      </c>
      <c r="E11" s="21" t="s">
        <v>20</v>
      </c>
      <c r="F11" s="21" t="s">
        <v>23</v>
      </c>
      <c r="G11" s="21" t="s">
        <v>26</v>
      </c>
      <c r="H11" s="21" t="s">
        <v>31</v>
      </c>
      <c r="J11" s="21" t="s">
        <v>34</v>
      </c>
      <c r="K11" s="21" t="s">
        <v>43</v>
      </c>
      <c r="L11" s="21" t="s">
        <v>51</v>
      </c>
      <c r="M11" s="21" t="s">
        <v>54</v>
      </c>
      <c r="N11" s="21" t="s">
        <v>57</v>
      </c>
      <c r="O11" s="19">
        <f>IF(ISBLANK(D11),"",IF(D11='טבלת פרמטרים'!$A$9,1,0)+IF(E11='טבלת פרמטרים'!$B$5,2,1)+IF(F11='טבלת פרמטרים'!$C$5,3,IF(F11='טבלת פרמטרים'!$C$4,1,0))+IF(G11='טבלת פרמטרים'!$D$3,2,0)+IF(M11='טבלת פרמטרים'!$J$4,2,IF(M11='טבלת פרמטרים'!$J$3,1,0))+IF(N11='טבלת פרמטרים'!$K$6,3,IF(OR(N11='טבלת פרמטרים'!$K$4,N11='טבלת פרמטרים'!$K$5),2,IF(N11='טבלת פרמטרים'!$K$3,1,0))))</f>
        <v>2</v>
      </c>
      <c r="R11" s="19">
        <f t="shared" si="0"/>
        <v>2</v>
      </c>
      <c r="S11" s="19" t="str">
        <f>IF(EXACT(P11,'טבלת פרמטרים'!$M$2),'טבלת פרמטרים'!$N$2,IF(EXACT(P11,'טבלת פרמטרים'!$M$3),'טבלת פרמטרים'!$N$3,IF(EXACT(P11,'טבלת פרמטרים'!$M$4),'טבלת פרמטרים'!$N$4,IF(EXACT(P11,'טבלת פרמטרים'!$M$5),'טבלת פרמטרים'!$N$5,IF(EXACT(P11,'טבלת פרמטרים'!$M$6),'טבלת פרמטרים'!$N$6,IF(EXACT(P11,'טבלת פרמטרים'!$M$7),'טבלת פרמטרים'!$N$7,IF(EXACT(P11,'טבלת פרמטרים'!$M$8),'טבלת פרמטרים'!$N$8,IF(EXACT(P11,'טבלת פרמטרים'!$M$9),'טבלת פרמטרים'!$N$9,""))))))))</f>
        <v/>
      </c>
      <c r="T11" s="19" t="str">
        <f>IF(EXACT(Q11,'טבלת פרמטרים'!$O$2),'טבלת פרמטרים'!$P$2,IF(EXACT(Q11,'טבלת פרמטרים'!$O$3),'טבלת פרמטרים'!$P$3,IF(EXACT(Q11,'טבלת פרמטרים'!$O$4),'טבלת פרמטרים'!$P$4,IF(EXACT(Q11,'טבלת פרמטרים'!$O$5),'טבלת פרמטרים'!$P$5,IF(EXACT(Q11,'טבלת פרמטרים'!$O$6),'טבלת פרמטרים'!$P$6,IF(EXACT(Q11,'טבלת פרמטרים'!$O$7),'טבלת פרמטרים'!$P$7,""))))))</f>
        <v/>
      </c>
    </row>
    <row r="12" spans="1:21" x14ac:dyDescent="0.2">
      <c r="A12" s="18">
        <v>11</v>
      </c>
      <c r="B12" s="30">
        <v>42212</v>
      </c>
      <c r="D12" s="21" t="s">
        <v>17</v>
      </c>
      <c r="E12" s="21" t="s">
        <v>22</v>
      </c>
      <c r="F12" s="21" t="s">
        <v>24</v>
      </c>
      <c r="G12" s="21" t="s">
        <v>26</v>
      </c>
      <c r="H12" s="21" t="s">
        <v>31</v>
      </c>
      <c r="J12" s="21" t="s">
        <v>39</v>
      </c>
      <c r="K12" s="21" t="s">
        <v>39</v>
      </c>
      <c r="L12" s="21" t="s">
        <v>51</v>
      </c>
      <c r="M12" s="21" t="s">
        <v>55</v>
      </c>
      <c r="N12" s="21" t="s">
        <v>58</v>
      </c>
      <c r="O12" s="19">
        <f>IF(ISBLANK(D12),"",IF(D12='טבלת פרמטרים'!$A$9,1,0)+IF(E12='טבלת פרמטרים'!$B$5,2,1)+IF(F12='טבלת פרמטרים'!$C$5,3,IF(F12='טבלת פרמטרים'!$C$4,1,0))+IF(G12='טבלת פרמטרים'!$D$3,2,0)+IF(M12='טבלת פרמטרים'!$J$4,2,IF(M12='טבלת פרמטרים'!$J$3,1,0))+IF(N12='טבלת פרמטרים'!$K$6,3,IF(OR(N12='טבלת פרמטרים'!$K$4,N12='טבלת פרמטרים'!$K$5),2,IF(N12='טבלת פרמטרים'!$K$3,1,0))))</f>
        <v>7</v>
      </c>
      <c r="R12" s="19">
        <f t="shared" si="0"/>
        <v>7</v>
      </c>
      <c r="S12" s="19" t="str">
        <f>IF(EXACT(P12,'טבלת פרמטרים'!$M$2),'טבלת פרמטרים'!$N$2,IF(EXACT(P12,'טבלת פרמטרים'!$M$3),'טבלת פרמטרים'!$N$3,IF(EXACT(P12,'טבלת פרמטרים'!$M$4),'טבלת פרמטרים'!$N$4,IF(EXACT(P12,'טבלת פרמטרים'!$M$5),'טבלת פרמטרים'!$N$5,IF(EXACT(P12,'טבלת פרמטרים'!$M$6),'טבלת פרמטרים'!$N$6,IF(EXACT(P12,'טבלת פרמטרים'!$M$7),'טבלת פרמטרים'!$N$7,IF(EXACT(P12,'טבלת פרמטרים'!$M$8),'טבלת פרמטרים'!$N$8,IF(EXACT(P12,'טבלת פרמטרים'!$M$9),'טבלת פרמטרים'!$N$9,""))))))))</f>
        <v/>
      </c>
      <c r="T12" s="19" t="str">
        <f>IF(EXACT(Q12,'טבלת פרמטרים'!$O$2),'טבלת פרמטרים'!$P$2,IF(EXACT(Q12,'טבלת פרמטרים'!$O$3),'טבלת פרמטרים'!$P$3,IF(EXACT(Q12,'טבלת פרמטרים'!$O$4),'טבלת פרמטרים'!$P$4,IF(EXACT(Q12,'טבלת פרמטרים'!$O$5),'טבלת פרמטרים'!$P$5,IF(EXACT(Q12,'טבלת פרמטרים'!$O$6),'טבלת פרמטרים'!$P$6,IF(EXACT(Q12,'טבלת פרמטרים'!$O$7),'טבלת פרמטרים'!$P$7,""))))))</f>
        <v/>
      </c>
    </row>
    <row r="13" spans="1:21" x14ac:dyDescent="0.2">
      <c r="A13" s="18">
        <v>12</v>
      </c>
      <c r="B13" s="30">
        <v>42226</v>
      </c>
      <c r="D13" s="21" t="s">
        <v>17</v>
      </c>
      <c r="E13" s="21" t="s">
        <v>20</v>
      </c>
      <c r="F13" s="21" t="s">
        <v>24</v>
      </c>
      <c r="G13" s="21" t="s">
        <v>26</v>
      </c>
      <c r="H13" s="21" t="s">
        <v>29</v>
      </c>
      <c r="J13" s="21" t="s">
        <v>35</v>
      </c>
      <c r="K13" s="21" t="s">
        <v>43</v>
      </c>
      <c r="L13" s="21" t="s">
        <v>51</v>
      </c>
      <c r="M13" s="21" t="s">
        <v>53</v>
      </c>
      <c r="N13" s="21" t="s">
        <v>58</v>
      </c>
      <c r="O13" s="19">
        <f>IF(ISBLANK(D13),"",IF(D13='טבלת פרמטרים'!$A$9,1,0)+IF(E13='טבלת פרמטרים'!$B$5,2,1)+IF(F13='טבלת פרמטרים'!$C$5,3,IF(F13='טבלת פרמטרים'!$C$4,1,0))+IF(G13='טבלת פרמטרים'!$D$3,2,0)+IF(M13='טבלת פרמטרים'!$J$4,2,IF(M13='טבלת פרמטרים'!$J$3,1,0))+IF(N13='טבלת פרמטרים'!$K$6,3,IF(OR(N13='טבלת פרמטרים'!$K$4,N13='טבלת פרמטרים'!$K$5),2,IF(N13='טבלת פרמטרים'!$K$3,1,0))))</f>
        <v>4</v>
      </c>
      <c r="R13" s="19">
        <f t="shared" si="0"/>
        <v>4</v>
      </c>
      <c r="S13" s="19" t="str">
        <f>IF(EXACT(P13,'טבלת פרמטרים'!$M$2),'טבלת פרמטרים'!$N$2,IF(EXACT(P13,'טבלת פרמטרים'!$M$3),'טבלת פרמטרים'!$N$3,IF(EXACT(P13,'טבלת פרמטרים'!$M$4),'טבלת פרמטרים'!$N$4,IF(EXACT(P13,'טבלת פרמטרים'!$M$5),'טבלת פרמטרים'!$N$5,IF(EXACT(P13,'טבלת פרמטרים'!$M$6),'טבלת פרמטרים'!$N$6,IF(EXACT(P13,'טבלת פרמטרים'!$M$7),'טבלת פרמטרים'!$N$7,IF(EXACT(P13,'טבלת פרמטרים'!$M$8),'טבלת פרמטרים'!$N$8,IF(EXACT(P13,'טבלת פרמטרים'!$M$9),'טבלת פרמטרים'!$N$9,""))))))))</f>
        <v/>
      </c>
      <c r="T13" s="19" t="str">
        <f>IF(EXACT(Q13,'טבלת פרמטרים'!$O$2),'טבלת פרמטרים'!$P$2,IF(EXACT(Q13,'טבלת פרמטרים'!$O$3),'טבלת פרמטרים'!$P$3,IF(EXACT(Q13,'טבלת פרמטרים'!$O$4),'טבלת פרמטרים'!$P$4,IF(EXACT(Q13,'טבלת פרמטרים'!$O$5),'טבלת פרמטרים'!$P$5,IF(EXACT(Q13,'טבלת פרמטרים'!$O$6),'טבלת פרמטרים'!$P$6,IF(EXACT(Q13,'טבלת פרמטרים'!$O$7),'טבלת פרמטרים'!$P$7,""))))))</f>
        <v/>
      </c>
    </row>
    <row r="14" spans="1:21" x14ac:dyDescent="0.2">
      <c r="A14" s="18">
        <v>13</v>
      </c>
      <c r="B14" s="30">
        <v>42248</v>
      </c>
      <c r="D14" s="21" t="s">
        <v>17</v>
      </c>
      <c r="E14" s="21" t="s">
        <v>22</v>
      </c>
      <c r="F14" s="21" t="s">
        <v>24</v>
      </c>
      <c r="G14" s="21" t="s">
        <v>26</v>
      </c>
      <c r="H14" s="21" t="s">
        <v>29</v>
      </c>
      <c r="J14" s="21" t="s">
        <v>34</v>
      </c>
      <c r="K14" s="21" t="s">
        <v>43</v>
      </c>
      <c r="L14" s="21" t="s">
        <v>49</v>
      </c>
      <c r="M14" s="21" t="s">
        <v>53</v>
      </c>
      <c r="N14" s="21" t="s">
        <v>57</v>
      </c>
      <c r="O14" s="19">
        <f>IF(ISBLANK(D14),"",IF(D14='טבלת פרמטרים'!$A$9,1,0)+IF(E14='טבלת פרמטרים'!$B$5,2,1)+IF(F14='טבלת פרמטרים'!$C$5,3,IF(F14='טבלת פרמטרים'!$C$4,1,0))+IF(G14='טבלת פרמטרים'!$D$3,2,0)+IF(M14='טבלת פרמטרים'!$J$4,2,IF(M14='טבלת פרמטרים'!$J$3,1,0))+IF(N14='טבלת פרמטרים'!$K$6,3,IF(OR(N14='טבלת פרמטרים'!$K$4,N14='טבלת פרמטרים'!$K$5),2,IF(N14='טבלת פרמטרים'!$K$3,1,0))))</f>
        <v>4</v>
      </c>
      <c r="R14" s="19">
        <f t="shared" si="0"/>
        <v>4</v>
      </c>
      <c r="S14" s="19" t="str">
        <f>IF(EXACT(P14,'טבלת פרמטרים'!$M$2),'טבלת פרמטרים'!$N$2,IF(EXACT(P14,'טבלת פרמטרים'!$M$3),'טבלת פרמטרים'!$N$3,IF(EXACT(P14,'טבלת פרמטרים'!$M$4),'טבלת פרמטרים'!$N$4,IF(EXACT(P14,'טבלת פרמטרים'!$M$5),'טבלת פרמטרים'!$N$5,IF(EXACT(P14,'טבלת פרמטרים'!$M$6),'טבלת פרמטרים'!$N$6,IF(EXACT(P14,'טבלת פרמטרים'!$M$7),'טבלת פרמטרים'!$N$7,IF(EXACT(P14,'טבלת פרמטרים'!$M$8),'טבלת פרמטרים'!$N$8,IF(EXACT(P14,'טבלת פרמטרים'!$M$9),'טבלת פרמטרים'!$N$9,""))))))))</f>
        <v/>
      </c>
      <c r="T14" s="19" t="str">
        <f>IF(EXACT(Q14,'טבלת פרמטרים'!$O$2),'טבלת פרמטרים'!$P$2,IF(EXACT(Q14,'טבלת פרמטרים'!$O$3),'טבלת פרמטרים'!$P$3,IF(EXACT(Q14,'טבלת פרמטרים'!$O$4),'טבלת פרמטרים'!$P$4,IF(EXACT(Q14,'טבלת פרמטרים'!$O$5),'טבלת פרמטרים'!$P$5,IF(EXACT(Q14,'טבלת פרמטרים'!$O$6),'טבלת פרמטרים'!$P$6,IF(EXACT(Q14,'טבלת פרמטרים'!$O$7),'טבלת פרמטרים'!$P$7,""))))))</f>
        <v/>
      </c>
    </row>
    <row r="15" spans="1:21" x14ac:dyDescent="0.2">
      <c r="A15" s="18">
        <v>14</v>
      </c>
      <c r="B15" s="30">
        <v>42255</v>
      </c>
      <c r="D15" s="21" t="s">
        <v>17</v>
      </c>
      <c r="E15" s="21" t="s">
        <v>22</v>
      </c>
      <c r="F15" s="21" t="s">
        <v>24</v>
      </c>
      <c r="G15" s="21" t="s">
        <v>27</v>
      </c>
      <c r="H15" s="21" t="s">
        <v>32</v>
      </c>
      <c r="J15" s="21" t="s">
        <v>35</v>
      </c>
      <c r="K15" s="21" t="s">
        <v>43</v>
      </c>
      <c r="L15" s="21" t="s">
        <v>51</v>
      </c>
      <c r="M15" s="21" t="s">
        <v>55</v>
      </c>
      <c r="N15" s="21" t="s">
        <v>58</v>
      </c>
      <c r="O15" s="19">
        <f>IF(ISBLANK(D15),"",IF(D15='טבלת פרמטרים'!$A$9,1,0)+IF(E15='טבלת פרמטרים'!$B$5,2,1)+IF(F15='טבלת פרמטרים'!$C$5,3,IF(F15='טבלת פרמטרים'!$C$4,1,0))+IF(G15='טבלת פרמטרים'!$D$3,2,0)+IF(M15='טבלת פרמטרים'!$J$4,2,IF(M15='טבלת פרמטרים'!$J$3,1,0))+IF(N15='טבלת פרמטרים'!$K$6,3,IF(OR(N15='טבלת פרמטרים'!$K$4,N15='טבלת פרמטרים'!$K$5),2,IF(N15='טבלת פרמטרים'!$K$3,1,0))))</f>
        <v>9</v>
      </c>
      <c r="R15" s="19">
        <f t="shared" si="0"/>
        <v>9</v>
      </c>
      <c r="S15" s="19" t="str">
        <f>IF(EXACT(P15,'טבלת פרמטרים'!$M$2),'טבלת פרמטרים'!$N$2,IF(EXACT(P15,'טבלת פרמטרים'!$M$3),'טבלת פרמטרים'!$N$3,IF(EXACT(P15,'טבלת פרמטרים'!$M$4),'טבלת פרמטרים'!$N$4,IF(EXACT(P15,'טבלת פרמטרים'!$M$5),'טבלת פרמטרים'!$N$5,IF(EXACT(P15,'טבלת פרמטרים'!$M$6),'טבלת פרמטרים'!$N$6,IF(EXACT(P15,'טבלת פרמטרים'!$M$7),'טבלת פרמטרים'!$N$7,IF(EXACT(P15,'טבלת פרמטרים'!$M$8),'טבלת פרמטרים'!$N$8,IF(EXACT(P15,'טבלת פרמטרים'!$M$9),'טבלת פרמטרים'!$N$9,""))))))))</f>
        <v/>
      </c>
      <c r="T15" s="19" t="str">
        <f>IF(EXACT(Q15,'טבלת פרמטרים'!$O$2),'טבלת פרמטרים'!$P$2,IF(EXACT(Q15,'טבלת פרמטרים'!$O$3),'טבלת פרמטרים'!$P$3,IF(EXACT(Q15,'טבלת פרמטרים'!$O$4),'טבלת פרמטרים'!$P$4,IF(EXACT(Q15,'טבלת פרמטרים'!$O$5),'טבלת פרמטרים'!$P$5,IF(EXACT(Q15,'טבלת פרמטרים'!$O$6),'טבלת פרמטרים'!$P$6,IF(EXACT(Q15,'טבלת פרמטרים'!$O$7),'טבלת פרמטרים'!$P$7,""))))))</f>
        <v/>
      </c>
    </row>
    <row r="16" spans="1:21" x14ac:dyDescent="0.2">
      <c r="A16" s="18">
        <v>15</v>
      </c>
      <c r="B16" s="30">
        <v>42292</v>
      </c>
      <c r="D16" s="21" t="s">
        <v>17</v>
      </c>
      <c r="E16" s="21" t="s">
        <v>22</v>
      </c>
      <c r="F16" s="21" t="s">
        <v>24</v>
      </c>
      <c r="G16" s="21" t="s">
        <v>27</v>
      </c>
      <c r="H16" s="21" t="s">
        <v>29</v>
      </c>
      <c r="J16" s="21" t="s">
        <v>36</v>
      </c>
      <c r="K16" s="21" t="s">
        <v>36</v>
      </c>
      <c r="L16" s="21" t="s">
        <v>51</v>
      </c>
      <c r="M16" s="21" t="s">
        <v>54</v>
      </c>
      <c r="N16" s="21" t="s">
        <v>59</v>
      </c>
      <c r="O16" s="19">
        <f>IF(ISBLANK(D16),"",IF(D16='טבלת פרמטרים'!$A$9,1,0)+IF(E16='טבלת פרמטרים'!$B$5,2,1)+IF(F16='טבלת פרמטרים'!$C$5,3,IF(F16='טבלת פרמטרים'!$C$4,1,0))+IF(G16='טבלת פרמטרים'!$D$3,2,0)+IF(M16='טבלת פרמטרים'!$J$4,2,IF(M16='טבלת פרמטרים'!$J$3,1,0))+IF(N16='טבלת פרמטרים'!$K$6,3,IF(OR(N16='טבלת פרמטרים'!$K$4,N16='טבלת פרמטרים'!$K$5),2,IF(N16='טבלת פרמטרים'!$K$3,1,0))))</f>
        <v>9</v>
      </c>
      <c r="R16" s="19">
        <f t="shared" si="0"/>
        <v>9</v>
      </c>
      <c r="S16" s="19" t="str">
        <f>IF(EXACT(P16,'טבלת פרמטרים'!$M$2),'טבלת פרמטרים'!$N$2,IF(EXACT(P16,'טבלת פרמטרים'!$M$3),'טבלת פרמטרים'!$N$3,IF(EXACT(P16,'טבלת פרמטרים'!$M$4),'טבלת פרמטרים'!$N$4,IF(EXACT(P16,'טבלת פרמטרים'!$M$5),'טבלת פרמטרים'!$N$5,IF(EXACT(P16,'טבלת פרמטרים'!$M$6),'טבלת פרמטרים'!$N$6,IF(EXACT(P16,'טבלת פרמטרים'!$M$7),'טבלת פרמטרים'!$N$7,IF(EXACT(P16,'טבלת פרמטרים'!$M$8),'טבלת פרמטרים'!$N$8,IF(EXACT(P16,'טבלת פרמטרים'!$M$9),'טבלת פרמטרים'!$N$9,""))))))))</f>
        <v/>
      </c>
      <c r="T16" s="19" t="str">
        <f>IF(EXACT(Q16,'טבלת פרמטרים'!$O$2),'טבלת פרמטרים'!$P$2,IF(EXACT(Q16,'טבלת פרמטרים'!$O$3),'טבלת פרמטרים'!$P$3,IF(EXACT(Q16,'טבלת פרמטרים'!$O$4),'טבלת פרמטרים'!$P$4,IF(EXACT(Q16,'טבלת פרמטרים'!$O$5),'טבלת פרמטרים'!$P$5,IF(EXACT(Q16,'טבלת פרמטרים'!$O$6),'טבלת פרמטרים'!$P$6,IF(EXACT(Q16,'טבלת פרמטרים'!$O$7),'טבלת פרמטרים'!$P$7,""))))))</f>
        <v/>
      </c>
    </row>
    <row r="17" spans="1:20" x14ac:dyDescent="0.2">
      <c r="A17" s="18">
        <v>16</v>
      </c>
      <c r="B17" s="30">
        <v>42295</v>
      </c>
      <c r="D17" s="21" t="s">
        <v>17</v>
      </c>
      <c r="E17" s="21" t="s">
        <v>21</v>
      </c>
      <c r="F17" s="21" t="s">
        <v>23</v>
      </c>
      <c r="G17" s="21" t="s">
        <v>26</v>
      </c>
      <c r="H17" s="21" t="s">
        <v>30</v>
      </c>
      <c r="J17" s="21" t="s">
        <v>35</v>
      </c>
      <c r="K17" s="21" t="s">
        <v>44</v>
      </c>
      <c r="L17" s="21" t="s">
        <v>51</v>
      </c>
      <c r="M17" s="21" t="s">
        <v>53</v>
      </c>
      <c r="N17" s="21" t="s">
        <v>57</v>
      </c>
      <c r="O17" s="19">
        <f>IF(ISBLANK(D17),"",IF(D17='טבלת פרמטרים'!$A$9,1,0)+IF(E17='טבלת פרמטרים'!$B$5,2,1)+IF(F17='טבלת פרמטרים'!$C$5,3,IF(F17='טבלת פרמטרים'!$C$4,1,0))+IF(G17='טבלת פרמטרים'!$D$3,2,0)+IF(M17='טבלת פרמטרים'!$J$4,2,IF(M17='טבלת פרמטרים'!$J$3,1,0))+IF(N17='טבלת פרמטרים'!$K$6,3,IF(OR(N17='טבלת פרמטרים'!$K$4,N17='טבלת פרמטרים'!$K$5),2,IF(N17='טבלת פרמטרים'!$K$3,1,0))))</f>
        <v>2</v>
      </c>
      <c r="R17" s="19">
        <f t="shared" si="0"/>
        <v>2</v>
      </c>
      <c r="S17" s="19" t="str">
        <f>IF(EXACT(P17,'טבלת פרמטרים'!$M$2),'טבלת פרמטרים'!$N$2,IF(EXACT(P17,'טבלת פרמטרים'!$M$3),'טבלת פרמטרים'!$N$3,IF(EXACT(P17,'טבלת פרמטרים'!$M$4),'טבלת פרמטרים'!$N$4,IF(EXACT(P17,'טבלת פרמטרים'!$M$5),'טבלת פרמטרים'!$N$5,IF(EXACT(P17,'טבלת פרמטרים'!$M$6),'טבלת פרמטרים'!$N$6,IF(EXACT(P17,'טבלת פרמטרים'!$M$7),'טבלת פרמטרים'!$N$7,IF(EXACT(P17,'טבלת פרמטרים'!$M$8),'טבלת פרמטרים'!$N$8,IF(EXACT(P17,'טבלת פרמטרים'!$M$9),'טבלת פרמטרים'!$N$9,""))))))))</f>
        <v/>
      </c>
      <c r="T17" s="19" t="str">
        <f>IF(EXACT(Q17,'טבלת פרמטרים'!$O$2),'טבלת פרמטרים'!$P$2,IF(EXACT(Q17,'טבלת פרמטרים'!$O$3),'טבלת פרמטרים'!$P$3,IF(EXACT(Q17,'טבלת פרמטרים'!$O$4),'טבלת פרמטרים'!$P$4,IF(EXACT(Q17,'טבלת פרמטרים'!$O$5),'טבלת פרמטרים'!$P$5,IF(EXACT(Q17,'טבלת פרמטרים'!$O$6),'טבלת פרמטרים'!$P$6,IF(EXACT(Q17,'טבלת פרמטרים'!$O$7),'טבלת פרמטרים'!$P$7,""))))))</f>
        <v/>
      </c>
    </row>
    <row r="18" spans="1:20" x14ac:dyDescent="0.2">
      <c r="A18" s="18">
        <v>17</v>
      </c>
      <c r="B18" s="30">
        <v>42311</v>
      </c>
      <c r="D18" s="21" t="s">
        <v>17</v>
      </c>
      <c r="E18" s="21" t="s">
        <v>22</v>
      </c>
      <c r="F18" s="21" t="s">
        <v>24</v>
      </c>
      <c r="G18" s="21" t="s">
        <v>27</v>
      </c>
      <c r="H18" s="21" t="s">
        <v>30</v>
      </c>
      <c r="J18" s="21" t="s">
        <v>35</v>
      </c>
      <c r="K18" s="21" t="s">
        <v>48</v>
      </c>
      <c r="L18" s="21" t="s">
        <v>49</v>
      </c>
      <c r="M18" s="21" t="s">
        <v>54</v>
      </c>
      <c r="N18" s="21" t="s">
        <v>59</v>
      </c>
      <c r="O18" s="19">
        <f>IF(ISBLANK(D18),"",IF(D18='טבלת פרמטרים'!$A$9,1,0)+IF(E18='טבלת פרמטרים'!$B$5,2,1)+IF(F18='טבלת פרמטרים'!$C$5,3,IF(F18='טבלת פרמטרים'!$C$4,1,0))+IF(G18='טבלת פרמטרים'!$D$3,2,0)+IF(M18='טבלת פרמטרים'!$J$4,2,IF(M18='טבלת פרמטרים'!$J$3,1,0))+IF(N18='טבלת פרמטרים'!$K$6,3,IF(OR(N18='טבלת פרמטרים'!$K$4,N18='טבלת פרמטרים'!$K$5),2,IF(N18='טבלת פרמטרים'!$K$3,1,0))))</f>
        <v>9</v>
      </c>
      <c r="R18" s="19">
        <f t="shared" si="0"/>
        <v>9</v>
      </c>
      <c r="S18" s="19" t="str">
        <f>IF(EXACT(P18,'טבלת פרמטרים'!$M$2),'טבלת פרמטרים'!$N$2,IF(EXACT(P18,'טבלת פרמטרים'!$M$3),'טבלת פרמטרים'!$N$3,IF(EXACT(P18,'טבלת פרמטרים'!$M$4),'טבלת פרמטרים'!$N$4,IF(EXACT(P18,'טבלת פרמטרים'!$M$5),'טבלת פרמטרים'!$N$5,IF(EXACT(P18,'טבלת פרמטרים'!$M$6),'טבלת פרמטרים'!$N$6,IF(EXACT(P18,'טבלת פרמטרים'!$M$7),'טבלת פרמטרים'!$N$7,IF(EXACT(P18,'טבלת פרמטרים'!$M$8),'טבלת פרמטרים'!$N$8,IF(EXACT(P18,'טבלת פרמטרים'!$M$9),'טבלת פרמטרים'!$N$9,""))))))))</f>
        <v/>
      </c>
      <c r="T18" s="19" t="str">
        <f>IF(EXACT(Q18,'טבלת פרמטרים'!$O$2),'טבלת פרמטרים'!$P$2,IF(EXACT(Q18,'טבלת פרמטרים'!$O$3),'טבלת פרמטרים'!$P$3,IF(EXACT(Q18,'טבלת פרמטרים'!$O$4),'טבלת פרמטרים'!$P$4,IF(EXACT(Q18,'טבלת פרמטרים'!$O$5),'טבלת פרמטרים'!$P$5,IF(EXACT(Q18,'טבלת פרמטרים'!$O$6),'טבלת פרמטרים'!$P$6,IF(EXACT(Q18,'טבלת פרמטרים'!$O$7),'טבלת פרמטרים'!$P$7,""))))))</f>
        <v/>
      </c>
    </row>
    <row r="19" spans="1:20" x14ac:dyDescent="0.2">
      <c r="A19" s="18">
        <v>18</v>
      </c>
      <c r="B19" s="30">
        <v>42473</v>
      </c>
      <c r="D19" s="21" t="s">
        <v>17</v>
      </c>
      <c r="E19" s="21" t="s">
        <v>22</v>
      </c>
      <c r="F19" s="21" t="s">
        <v>24</v>
      </c>
      <c r="G19" s="21" t="s">
        <v>26</v>
      </c>
      <c r="H19" s="21" t="s">
        <v>29</v>
      </c>
      <c r="J19" s="21" t="s">
        <v>35</v>
      </c>
      <c r="K19" s="21" t="s">
        <v>43</v>
      </c>
      <c r="L19" s="21" t="s">
        <v>51</v>
      </c>
      <c r="M19" s="21" t="s">
        <v>54</v>
      </c>
      <c r="N19" s="21" t="s">
        <v>57</v>
      </c>
      <c r="O19" s="19">
        <f>IF(ISBLANK(D19),"",IF(D19='טבלת פרמטרים'!$A$9,1,0)+IF(E19='טבלת פרמטרים'!$B$5,2,1)+IF(F19='טבלת פרמטרים'!$C$5,3,IF(F19='טבלת פרמטרים'!$C$4,1,0))+IF(G19='טבלת פרמטרים'!$D$3,2,0)+IF(M19='טבלת פרמטרים'!$J$4,2,IF(M19='טבלת פרמטרים'!$J$3,1,0))+IF(N19='טבלת פרמטרים'!$K$6,3,IF(OR(N19='טבלת פרמטרים'!$K$4,N19='טבלת פרמטרים'!$K$5),2,IF(N19='טבלת פרמטרים'!$K$3,1,0))))</f>
        <v>5</v>
      </c>
      <c r="R19" s="19">
        <f t="shared" si="0"/>
        <v>5</v>
      </c>
      <c r="S19" s="19" t="str">
        <f>IF(EXACT(P19,'טבלת פרמטרים'!$M$2),'טבלת פרמטרים'!$N$2,IF(EXACT(P19,'טבלת פרמטרים'!$M$3),'טבלת פרמטרים'!$N$3,IF(EXACT(P19,'טבלת פרמטרים'!$M$4),'טבלת פרמטרים'!$N$4,IF(EXACT(P19,'טבלת פרמטרים'!$M$5),'טבלת פרמטרים'!$N$5,IF(EXACT(P19,'טבלת פרמטרים'!$M$6),'טבלת פרמטרים'!$N$6,IF(EXACT(P19,'טבלת פרמטרים'!$M$7),'טבלת פרמטרים'!$N$7,IF(EXACT(P19,'טבלת פרמטרים'!$M$8),'טבלת פרמטרים'!$N$8,IF(EXACT(P19,'טבלת פרמטרים'!$M$9),'טבלת פרמטרים'!$N$9,""))))))))</f>
        <v/>
      </c>
      <c r="T19" s="19" t="str">
        <f>IF(EXACT(Q19,'טבלת פרמטרים'!$O$2),'טבלת פרמטרים'!$P$2,IF(EXACT(Q19,'טבלת פרמטרים'!$O$3),'טבלת פרמטרים'!$P$3,IF(EXACT(Q19,'טבלת פרמטרים'!$O$4),'טבלת פרמטרים'!$P$4,IF(EXACT(Q19,'טבלת פרמטרים'!$O$5),'טבלת פרמטרים'!$P$5,IF(EXACT(Q19,'טבלת פרמטרים'!$O$6),'טבלת פרמטרים'!$P$6,IF(EXACT(Q19,'טבלת פרמטרים'!$O$7),'טבלת פרמטרים'!$P$7,""))))))</f>
        <v/>
      </c>
    </row>
    <row r="20" spans="1:20" x14ac:dyDescent="0.2">
      <c r="A20" s="18">
        <v>19</v>
      </c>
      <c r="B20" s="30">
        <v>42509</v>
      </c>
      <c r="D20" s="21" t="s">
        <v>17</v>
      </c>
      <c r="E20" s="21" t="s">
        <v>20</v>
      </c>
      <c r="F20" s="21" t="s">
        <v>23</v>
      </c>
      <c r="G20" s="21" t="s">
        <v>26</v>
      </c>
      <c r="H20" s="21" t="s">
        <v>29</v>
      </c>
      <c r="J20" s="21" t="s">
        <v>33</v>
      </c>
      <c r="K20" s="21" t="s">
        <v>44</v>
      </c>
      <c r="L20" s="21" t="s">
        <v>51</v>
      </c>
      <c r="M20" s="21" t="s">
        <v>54</v>
      </c>
      <c r="N20" s="21" t="s">
        <v>58</v>
      </c>
      <c r="O20" s="19">
        <f>IF(ISBLANK(D20),"",IF(D20='טבלת פרמטרים'!$A$9,1,0)+IF(E20='טבלת פרמטרים'!$B$5,2,1)+IF(F20='טבלת פרמטרים'!$C$5,3,IF(F20='טבלת פרמטרים'!$C$4,1,0))+IF(G20='טבלת פרמטרים'!$D$3,2,0)+IF(M20='טבלת פרמטרים'!$J$4,2,IF(M20='טבלת פרמטרים'!$J$3,1,0))+IF(N20='טבלת פרמטרים'!$K$6,3,IF(OR(N20='טבלת פרמטרים'!$K$4,N20='טבלת פרמטרים'!$K$5),2,IF(N20='טבלת פרמטרים'!$K$3,1,0))))</f>
        <v>4</v>
      </c>
      <c r="R20" s="19">
        <f t="shared" si="0"/>
        <v>4</v>
      </c>
      <c r="S20" s="19" t="str">
        <f>IF(EXACT(P20,'טבלת פרמטרים'!$M$2),'טבלת פרמטרים'!$N$2,IF(EXACT(P20,'טבלת פרמטרים'!$M$3),'טבלת פרמטרים'!$N$3,IF(EXACT(P20,'טבלת פרמטרים'!$M$4),'טבלת פרמטרים'!$N$4,IF(EXACT(P20,'טבלת פרמטרים'!$M$5),'טבלת פרמטרים'!$N$5,IF(EXACT(P20,'טבלת פרמטרים'!$M$6),'טבלת פרמטרים'!$N$6,IF(EXACT(P20,'טבלת פרמטרים'!$M$7),'טבלת פרמטרים'!$N$7,IF(EXACT(P20,'טבלת פרמטרים'!$M$8),'טבלת פרמטרים'!$N$8,IF(EXACT(P20,'טבלת פרמטרים'!$M$9),'טבלת פרמטרים'!$N$9,""))))))))</f>
        <v/>
      </c>
      <c r="T20" s="19" t="str">
        <f>IF(EXACT(Q20,'טבלת פרמטרים'!$O$2),'טבלת פרמטרים'!$P$2,IF(EXACT(Q20,'טבלת פרמטרים'!$O$3),'טבלת פרמטרים'!$P$3,IF(EXACT(Q20,'טבלת פרמטרים'!$O$4),'טבלת פרמטרים'!$P$4,IF(EXACT(Q20,'טבלת פרמטרים'!$O$5),'טבלת פרמטרים'!$P$5,IF(EXACT(Q20,'טבלת פרמטרים'!$O$6),'טבלת פרמטרים'!$P$6,IF(EXACT(Q20,'טבלת פרמטרים'!$O$7),'טבלת פרמטרים'!$P$7,""))))))</f>
        <v/>
      </c>
    </row>
    <row r="21" spans="1:20" x14ac:dyDescent="0.2">
      <c r="A21" s="18">
        <v>20</v>
      </c>
      <c r="B21" s="30">
        <v>42540</v>
      </c>
      <c r="D21" s="21" t="s">
        <v>19</v>
      </c>
      <c r="E21" s="21" t="s">
        <v>20</v>
      </c>
      <c r="F21" s="21" t="s">
        <v>23</v>
      </c>
      <c r="G21" s="21" t="s">
        <v>26</v>
      </c>
      <c r="H21" s="21" t="s">
        <v>31</v>
      </c>
      <c r="J21" s="21" t="s">
        <v>33</v>
      </c>
      <c r="K21" s="21" t="s">
        <v>44</v>
      </c>
      <c r="L21" s="21" t="s">
        <v>51</v>
      </c>
      <c r="M21" s="21" t="s">
        <v>55</v>
      </c>
      <c r="N21" s="21" t="s">
        <v>58</v>
      </c>
      <c r="O21" s="19">
        <f>IF(ISBLANK(D21),"",IF(D21='טבלת פרמטרים'!$A$9,1,0)+IF(E21='טבלת פרמטרים'!$B$5,2,1)+IF(F21='טבלת פרמטרים'!$C$5,3,IF(F21='טבלת פרמטרים'!$C$4,1,0))+IF(G21='טבלת פרמטרים'!$D$3,2,0)+IF(M21='טבלת פרמטרים'!$J$4,2,IF(M21='טבלת פרמטרים'!$J$3,1,0))+IF(N21='טבלת פרמטרים'!$K$6,3,IF(OR(N21='טבלת פרמטרים'!$K$4,N21='טבלת פרמטרים'!$K$5),2,IF(N21='טבלת פרמטרים'!$K$3,1,0))))</f>
        <v>4</v>
      </c>
      <c r="R21" s="19">
        <f t="shared" si="0"/>
        <v>4</v>
      </c>
      <c r="S21" s="19" t="str">
        <f>IF(EXACT(P21,'טבלת פרמטרים'!$M$2),'טבלת פרמטרים'!$N$2,IF(EXACT(P21,'טבלת פרמטרים'!$M$3),'טבלת פרמטרים'!$N$3,IF(EXACT(P21,'טבלת פרמטרים'!$M$4),'טבלת פרמטרים'!$N$4,IF(EXACT(P21,'טבלת פרמטרים'!$M$5),'טבלת פרמטרים'!$N$5,IF(EXACT(P21,'טבלת פרמטרים'!$M$6),'טבלת פרמטרים'!$N$6,IF(EXACT(P21,'טבלת פרמטרים'!$M$7),'טבלת פרמטרים'!$N$7,IF(EXACT(P21,'טבלת פרמטרים'!$M$8),'טבלת פרמטרים'!$N$8,IF(EXACT(P21,'טבלת פרמטרים'!$M$9),'טבלת פרמטרים'!$N$9,""))))))))</f>
        <v/>
      </c>
      <c r="T21" s="19" t="str">
        <f>IF(EXACT(Q21,'טבלת פרמטרים'!$O$2),'טבלת פרמטרים'!$P$2,IF(EXACT(Q21,'טבלת פרמטרים'!$O$3),'טבלת פרמטרים'!$P$3,IF(EXACT(Q21,'טבלת פרמטרים'!$O$4),'טבלת פרמטרים'!$P$4,IF(EXACT(Q21,'טבלת פרמטרים'!$O$5),'טבלת פרמטרים'!$P$5,IF(EXACT(Q21,'טבלת פרמטרים'!$O$6),'טבלת פרמטרים'!$P$6,IF(EXACT(Q21,'טבלת פרמטרים'!$O$7),'טבלת פרמטרים'!$P$7,""))))))</f>
        <v/>
      </c>
    </row>
    <row r="22" spans="1:20" x14ac:dyDescent="0.2">
      <c r="A22" s="18">
        <v>21</v>
      </c>
      <c r="B22" s="30">
        <v>42540</v>
      </c>
      <c r="D22" s="21" t="s">
        <v>17</v>
      </c>
      <c r="E22" s="21" t="s">
        <v>22</v>
      </c>
      <c r="F22" s="21" t="s">
        <v>24</v>
      </c>
      <c r="G22" s="21" t="s">
        <v>26</v>
      </c>
      <c r="H22" s="21" t="s">
        <v>31</v>
      </c>
      <c r="J22" s="21" t="s">
        <v>35</v>
      </c>
      <c r="K22" s="21" t="s">
        <v>43</v>
      </c>
      <c r="L22" s="21" t="s">
        <v>51</v>
      </c>
      <c r="M22" s="21" t="s">
        <v>54</v>
      </c>
      <c r="N22" s="21" t="s">
        <v>58</v>
      </c>
      <c r="O22" s="19">
        <f>IF(ISBLANK(D22),"",IF(D22='טבלת פרמטרים'!$A$9,1,0)+IF(E22='טבלת פרמטרים'!$B$5,2,1)+IF(F22='טבלת פרמטרים'!$C$5,3,IF(F22='טבלת פרמטרים'!$C$4,1,0))+IF(G22='טבלת פרמטרים'!$D$3,2,0)+IF(M22='טבלת פרמטרים'!$J$4,2,IF(M22='טבלת פרמטרים'!$J$3,1,0))+IF(N22='טבלת פרמטרים'!$K$6,3,IF(OR(N22='טבלת פרמטרים'!$K$4,N22='טבלת פרמטרים'!$K$5),2,IF(N22='טבלת פרמטרים'!$K$3,1,0))))</f>
        <v>6</v>
      </c>
      <c r="R22" s="19">
        <f t="shared" si="0"/>
        <v>6</v>
      </c>
      <c r="S22" s="19" t="str">
        <f>IF(EXACT(P22,'טבלת פרמטרים'!$M$2),'טבלת פרמטרים'!$N$2,IF(EXACT(P22,'טבלת פרמטרים'!$M$3),'טבלת פרמטרים'!$N$3,IF(EXACT(P22,'טבלת פרמטרים'!$M$4),'טבלת פרמטרים'!$N$4,IF(EXACT(P22,'טבלת פרמטרים'!$M$5),'טבלת פרמטרים'!$N$5,IF(EXACT(P22,'טבלת פרמטרים'!$M$6),'טבלת פרמטרים'!$N$6,IF(EXACT(P22,'טבלת פרמטרים'!$M$7),'טבלת פרמטרים'!$N$7,IF(EXACT(P22,'טבלת פרמטרים'!$M$8),'טבלת פרמטרים'!$N$8,IF(EXACT(P22,'טבלת פרמטרים'!$M$9),'טבלת פרמטרים'!$N$9,""))))))))</f>
        <v/>
      </c>
      <c r="T22" s="19" t="str">
        <f>IF(EXACT(Q22,'טבלת פרמטרים'!$O$2),'טבלת פרמטרים'!$P$2,IF(EXACT(Q22,'טבלת פרמטרים'!$O$3),'טבלת פרמטרים'!$P$3,IF(EXACT(Q22,'טבלת פרמטרים'!$O$4),'טבלת פרמטרים'!$P$4,IF(EXACT(Q22,'טבלת פרמטרים'!$O$5),'טבלת פרמטרים'!$P$5,IF(EXACT(Q22,'טבלת פרמטרים'!$O$6),'טבלת פרמטרים'!$P$6,IF(EXACT(Q22,'טבלת פרמטרים'!$O$7),'טבלת פרמטרים'!$P$7,""))))))</f>
        <v/>
      </c>
    </row>
    <row r="23" spans="1:20" x14ac:dyDescent="0.2">
      <c r="A23" s="18">
        <v>22</v>
      </c>
      <c r="B23" s="30">
        <v>42556</v>
      </c>
      <c r="D23" s="21" t="s">
        <v>17</v>
      </c>
      <c r="E23" s="21" t="s">
        <v>22</v>
      </c>
      <c r="F23" s="21" t="s">
        <v>24</v>
      </c>
      <c r="G23" s="21" t="s">
        <v>26</v>
      </c>
      <c r="H23" s="21" t="s">
        <v>29</v>
      </c>
      <c r="J23" s="21" t="s">
        <v>33</v>
      </c>
      <c r="K23" s="21" t="s">
        <v>44</v>
      </c>
      <c r="L23" s="21" t="s">
        <v>51</v>
      </c>
      <c r="M23" s="21" t="s">
        <v>55</v>
      </c>
      <c r="N23" s="21" t="s">
        <v>58</v>
      </c>
      <c r="O23" s="19">
        <f>IF(ISBLANK(D23),"",IF(D23='טבלת פרמטרים'!$A$9,1,0)+IF(E23='טבלת פרמטרים'!$B$5,2,1)+IF(F23='טבלת פרמטרים'!$C$5,3,IF(F23='טבלת פרמטרים'!$C$4,1,0))+IF(G23='טבלת פרמטרים'!$D$3,2,0)+IF(M23='טבלת פרמטרים'!$J$4,2,IF(M23='טבלת פרמטרים'!$J$3,1,0))+IF(N23='טבלת פרמטרים'!$K$6,3,IF(OR(N23='טבלת פרמטרים'!$K$4,N23='טבלת פרמטרים'!$K$5),2,IF(N23='טבלת פרמטרים'!$K$3,1,0))))</f>
        <v>7</v>
      </c>
      <c r="R23" s="19">
        <f t="shared" si="0"/>
        <v>7</v>
      </c>
      <c r="S23" s="19" t="str">
        <f>IF(EXACT(P23,'טבלת פרמטרים'!$M$2),'טבלת פרמטרים'!$N$2,IF(EXACT(P23,'טבלת פרמטרים'!$M$3),'טבלת פרמטרים'!$N$3,IF(EXACT(P23,'טבלת פרמטרים'!$M$4),'טבלת פרמטרים'!$N$4,IF(EXACT(P23,'טבלת פרמטרים'!$M$5),'טבלת פרמטרים'!$N$5,IF(EXACT(P23,'טבלת פרמטרים'!$M$6),'טבלת פרמטרים'!$N$6,IF(EXACT(P23,'טבלת פרמטרים'!$M$7),'טבלת פרמטרים'!$N$7,IF(EXACT(P23,'טבלת פרמטרים'!$M$8),'טבלת פרמטרים'!$N$8,IF(EXACT(P23,'טבלת פרמטרים'!$M$9),'טבלת פרמטרים'!$N$9,""))))))))</f>
        <v/>
      </c>
      <c r="T23" s="19" t="str">
        <f>IF(EXACT(Q23,'טבלת פרמטרים'!$O$2),'טבלת פרמטרים'!$P$2,IF(EXACT(Q23,'טבלת פרמטרים'!$O$3),'טבלת פרמטרים'!$P$3,IF(EXACT(Q23,'טבלת פרמטרים'!$O$4),'טבלת פרמטרים'!$P$4,IF(EXACT(Q23,'טבלת פרמטרים'!$O$5),'טבלת פרמטרים'!$P$5,IF(EXACT(Q23,'טבלת פרמטרים'!$O$6),'טבלת פרמטרים'!$P$6,IF(EXACT(Q23,'טבלת פרמטרים'!$O$7),'טבלת פרמטרים'!$P$7,""))))))</f>
        <v/>
      </c>
    </row>
    <row r="24" spans="1:20" x14ac:dyDescent="0.2">
      <c r="A24" s="18">
        <v>23</v>
      </c>
      <c r="B24" s="30">
        <v>42571</v>
      </c>
      <c r="D24" s="21" t="s">
        <v>16</v>
      </c>
      <c r="E24" s="21" t="s">
        <v>20</v>
      </c>
      <c r="F24" s="21" t="s">
        <v>23</v>
      </c>
      <c r="G24" s="21" t="s">
        <v>26</v>
      </c>
      <c r="H24" s="21" t="s">
        <v>32</v>
      </c>
      <c r="J24" s="21" t="s">
        <v>33</v>
      </c>
      <c r="K24" s="21" t="s">
        <v>44</v>
      </c>
      <c r="L24" s="21" t="s">
        <v>51</v>
      </c>
      <c r="M24" s="21" t="s">
        <v>54</v>
      </c>
      <c r="N24" s="21" t="s">
        <v>58</v>
      </c>
      <c r="O24" s="19">
        <f>IF(ISBLANK(D24),"",IF(D24='טבלת פרמטרים'!$A$9,1,0)+IF(E24='טבלת פרמטרים'!$B$5,2,1)+IF(F24='טבלת פרמטרים'!$C$5,3,IF(F24='טבלת פרמטרים'!$C$4,1,0))+IF(G24='טבלת פרמטרים'!$D$3,2,0)+IF(M24='טבלת פרמטרים'!$J$4,2,IF(M24='טבלת פרמטרים'!$J$3,1,0))+IF(N24='טבלת פרמטרים'!$K$6,3,IF(OR(N24='טבלת פרמטרים'!$K$4,N24='טבלת פרמטרים'!$K$5),2,IF(N24='טבלת פרמטרים'!$K$3,1,0))))</f>
        <v>3</v>
      </c>
      <c r="R24" s="19">
        <f t="shared" si="0"/>
        <v>3</v>
      </c>
      <c r="S24" s="19" t="str">
        <f>IF(EXACT(P24,'טבלת פרמטרים'!$M$2),'טבלת פרמטרים'!$N$2,IF(EXACT(P24,'טבלת פרמטרים'!$M$3),'טבלת פרמטרים'!$N$3,IF(EXACT(P24,'טבלת פרמטרים'!$M$4),'טבלת פרמטרים'!$N$4,IF(EXACT(P24,'טבלת פרמטרים'!$M$5),'טבלת פרמטרים'!$N$5,IF(EXACT(P24,'טבלת פרמטרים'!$M$6),'טבלת פרמטרים'!$N$6,IF(EXACT(P24,'טבלת פרמטרים'!$M$7),'טבלת פרמטרים'!$N$7,IF(EXACT(P24,'טבלת פרמטרים'!$M$8),'טבלת פרמטרים'!$N$8,IF(EXACT(P24,'טבלת פרמטרים'!$M$9),'טבלת פרמטרים'!$N$9,""))))))))</f>
        <v/>
      </c>
      <c r="T24" s="19" t="str">
        <f>IF(EXACT(Q24,'טבלת פרמטרים'!$O$2),'טבלת פרמטרים'!$P$2,IF(EXACT(Q24,'טבלת פרמטרים'!$O$3),'טבלת פרמטרים'!$P$3,IF(EXACT(Q24,'טבלת פרמטרים'!$O$4),'טבלת פרמטרים'!$P$4,IF(EXACT(Q24,'טבלת פרמטרים'!$O$5),'טבלת פרמטרים'!$P$5,IF(EXACT(Q24,'טבלת פרמטרים'!$O$6),'טבלת פרמטרים'!$P$6,IF(EXACT(Q24,'טבלת פרמטרים'!$O$7),'טבלת פרמטרים'!$P$7,""))))))</f>
        <v/>
      </c>
    </row>
    <row r="25" spans="1:20" x14ac:dyDescent="0.2">
      <c r="A25" s="18">
        <v>24</v>
      </c>
      <c r="B25" s="30">
        <v>42645</v>
      </c>
      <c r="D25" s="21" t="s">
        <v>17</v>
      </c>
      <c r="E25" s="21" t="s">
        <v>22</v>
      </c>
      <c r="F25" s="21" t="s">
        <v>24</v>
      </c>
      <c r="G25" s="21" t="s">
        <v>26</v>
      </c>
      <c r="H25" s="21" t="s">
        <v>31</v>
      </c>
      <c r="J25" s="21" t="s">
        <v>35</v>
      </c>
      <c r="K25" s="21" t="s">
        <v>43</v>
      </c>
      <c r="L25" s="21" t="s">
        <v>51</v>
      </c>
      <c r="M25" s="21" t="s">
        <v>55</v>
      </c>
      <c r="N25" s="21" t="s">
        <v>58</v>
      </c>
      <c r="O25" s="19">
        <f>IF(ISBLANK(D25),"",IF(D25='טבלת פרמטרים'!$A$9,1,0)+IF(E25='טבלת פרמטרים'!$B$5,2,1)+IF(F25='טבלת פרמטרים'!$C$5,3,IF(F25='טבלת פרמטרים'!$C$4,1,0))+IF(G25='טבלת פרמטרים'!$D$3,2,0)+IF(M25='טבלת פרמטרים'!$J$4,2,IF(M25='טבלת פרמטרים'!$J$3,1,0))+IF(N25='טבלת פרמטרים'!$K$6,3,IF(OR(N25='טבלת פרמטרים'!$K$4,N25='טבלת פרמטרים'!$K$5),2,IF(N25='טבלת פרמטרים'!$K$3,1,0))))</f>
        <v>7</v>
      </c>
      <c r="R25" s="19">
        <f t="shared" si="0"/>
        <v>7</v>
      </c>
      <c r="S25" s="19" t="str">
        <f>IF(EXACT(P25,'טבלת פרמטרים'!$M$2),'טבלת פרמטרים'!$N$2,IF(EXACT(P25,'טבלת פרמטרים'!$M$3),'טבלת פרמטרים'!$N$3,IF(EXACT(P25,'טבלת פרמטרים'!$M$4),'טבלת פרמטרים'!$N$4,IF(EXACT(P25,'טבלת פרמטרים'!$M$5),'טבלת פרמטרים'!$N$5,IF(EXACT(P25,'טבלת פרמטרים'!$M$6),'טבלת פרמטרים'!$N$6,IF(EXACT(P25,'טבלת פרמטרים'!$M$7),'טבלת פרמטרים'!$N$7,IF(EXACT(P25,'טבלת פרמטרים'!$M$8),'טבלת פרמטרים'!$N$8,IF(EXACT(P25,'טבלת פרמטרים'!$M$9),'טבלת פרמטרים'!$N$9,""))))))))</f>
        <v/>
      </c>
      <c r="T25" s="19" t="str">
        <f>IF(EXACT(Q25,'טבלת פרמטרים'!$O$2),'טבלת פרמטרים'!$P$2,IF(EXACT(Q25,'טבלת פרמטרים'!$O$3),'טבלת פרמטרים'!$P$3,IF(EXACT(Q25,'טבלת פרמטרים'!$O$4),'טבלת פרמטרים'!$P$4,IF(EXACT(Q25,'טבלת פרמטרים'!$O$5),'טבלת פרמטרים'!$P$5,IF(EXACT(Q25,'טבלת פרמטרים'!$O$6),'טבלת פרמטרים'!$P$6,IF(EXACT(Q25,'טבלת פרמטרים'!$O$7),'טבלת פרמטרים'!$P$7,""))))))</f>
        <v/>
      </c>
    </row>
    <row r="26" spans="1:20" x14ac:dyDescent="0.2">
      <c r="A26" s="18">
        <v>25</v>
      </c>
      <c r="B26" s="30">
        <v>42676</v>
      </c>
      <c r="D26" s="21" t="s">
        <v>11</v>
      </c>
      <c r="E26" s="21" t="s">
        <v>21</v>
      </c>
      <c r="F26" s="21" t="s">
        <v>24</v>
      </c>
      <c r="G26" s="21" t="s">
        <v>26</v>
      </c>
      <c r="H26" s="21" t="s">
        <v>29</v>
      </c>
      <c r="J26" s="21" t="s">
        <v>11</v>
      </c>
      <c r="K26" s="21" t="s">
        <v>19</v>
      </c>
      <c r="L26" s="21" t="s">
        <v>51</v>
      </c>
      <c r="M26" s="21" t="s">
        <v>54</v>
      </c>
      <c r="N26" s="21" t="s">
        <v>59</v>
      </c>
      <c r="O26" s="19">
        <f>IF(ISBLANK(D26),"",IF(D26='טבלת פרמטרים'!$A$9,1,0)+IF(E26='טבלת פרמטרים'!$B$5,2,1)+IF(F26='טבלת פרמטרים'!$C$5,3,IF(F26='טבלת פרמטרים'!$C$4,1,0))+IF(G26='טבלת פרמטרים'!$D$3,2,0)+IF(M26='טבלת פרמטרים'!$J$4,2,IF(M26='טבלת פרמטרים'!$J$3,1,0))+IF(N26='טבלת פרמטרים'!$K$6,3,IF(OR(N26='טבלת פרמטרים'!$K$4,N26='טבלת פרמטרים'!$K$5),2,IF(N26='טבלת פרמטרים'!$K$3,1,0))))</f>
        <v>5</v>
      </c>
      <c r="R26" s="19">
        <f t="shared" si="0"/>
        <v>5</v>
      </c>
      <c r="S26" s="19" t="str">
        <f>IF(EXACT(P26,'טבלת פרמטרים'!$M$2),'טבלת פרמטרים'!$N$2,IF(EXACT(P26,'טבלת פרמטרים'!$M$3),'טבלת פרמטרים'!$N$3,IF(EXACT(P26,'טבלת פרמטרים'!$M$4),'טבלת פרמטרים'!$N$4,IF(EXACT(P26,'טבלת פרמטרים'!$M$5),'טבלת פרמטרים'!$N$5,IF(EXACT(P26,'טבלת פרמטרים'!$M$6),'טבלת פרמטרים'!$N$6,IF(EXACT(P26,'טבלת פרמטרים'!$M$7),'טבלת פרמטרים'!$N$7,IF(EXACT(P26,'טבלת פרמטרים'!$M$8),'טבלת פרמטרים'!$N$8,IF(EXACT(P26,'טבלת פרמטרים'!$M$9),'טבלת פרמטרים'!$N$9,""))))))))</f>
        <v/>
      </c>
      <c r="T26" s="19" t="str">
        <f>IF(EXACT(Q26,'טבלת פרמטרים'!$O$2),'טבלת פרמטרים'!$P$2,IF(EXACT(Q26,'טבלת פרמטרים'!$O$3),'טבלת פרמטרים'!$P$3,IF(EXACT(Q26,'טבלת פרמטרים'!$O$4),'טבלת פרמטרים'!$P$4,IF(EXACT(Q26,'טבלת פרמטרים'!$O$5),'טבלת פרמטרים'!$P$5,IF(EXACT(Q26,'טבלת פרמטרים'!$O$6),'טבלת פרמטרים'!$P$6,IF(EXACT(Q26,'טבלת פרמטרים'!$O$7),'טבלת פרמטרים'!$P$7,""))))))</f>
        <v/>
      </c>
    </row>
    <row r="27" spans="1:20" x14ac:dyDescent="0.2">
      <c r="A27" s="18">
        <v>26</v>
      </c>
      <c r="B27" s="30">
        <v>42743</v>
      </c>
      <c r="D27" s="21" t="s">
        <v>17</v>
      </c>
      <c r="E27" s="21" t="s">
        <v>22</v>
      </c>
      <c r="F27" s="21" t="s">
        <v>24</v>
      </c>
      <c r="G27" s="21" t="s">
        <v>26</v>
      </c>
      <c r="H27" s="21" t="s">
        <v>29</v>
      </c>
      <c r="J27" s="21" t="s">
        <v>36</v>
      </c>
      <c r="K27" s="21" t="s">
        <v>36</v>
      </c>
      <c r="L27" s="21" t="s">
        <v>51</v>
      </c>
      <c r="M27" s="21" t="s">
        <v>53</v>
      </c>
      <c r="N27" s="21" t="s">
        <v>58</v>
      </c>
      <c r="O27" s="19">
        <f>IF(ISBLANK(D27),"",IF(D27='טבלת פרמטרים'!$A$9,1,0)+IF(E27='טבלת פרמטרים'!$B$5,2,1)+IF(F27='טבלת פרמטרים'!$C$5,3,IF(F27='טבלת פרמטרים'!$C$4,1,0))+IF(G27='טבלת פרמטרים'!$D$3,2,0)+IF(M27='טבלת פרמטרים'!$J$4,2,IF(M27='טבלת פרמטרים'!$J$3,1,0))+IF(N27='טבלת פרמטרים'!$K$6,3,IF(OR(N27='טבלת פרמטרים'!$K$4,N27='טבלת פרמטרים'!$K$5),2,IF(N27='טבלת פרמטרים'!$K$3,1,0))))</f>
        <v>5</v>
      </c>
      <c r="R27" s="19">
        <f t="shared" si="0"/>
        <v>5</v>
      </c>
      <c r="S27" s="19" t="str">
        <f>IF(EXACT(P27,'טבלת פרמטרים'!$M$2),'טבלת פרמטרים'!$N$2,IF(EXACT(P27,'טבלת פרמטרים'!$M$3),'טבלת פרמטרים'!$N$3,IF(EXACT(P27,'טבלת פרמטרים'!$M$4),'טבלת פרמטרים'!$N$4,IF(EXACT(P27,'טבלת פרמטרים'!$M$5),'טבלת פרמטרים'!$N$5,IF(EXACT(P27,'טבלת פרמטרים'!$M$6),'טבלת פרמטרים'!$N$6,IF(EXACT(P27,'טבלת פרמטרים'!$M$7),'טבלת פרמטרים'!$N$7,IF(EXACT(P27,'טבלת פרמטרים'!$M$8),'טבלת פרמטרים'!$N$8,IF(EXACT(P27,'טבלת פרמטרים'!$M$9),'טבלת פרמטרים'!$N$9,""))))))))</f>
        <v/>
      </c>
      <c r="T27" s="19" t="str">
        <f>IF(EXACT(Q27,'טבלת פרמטרים'!$O$2),'טבלת פרמטרים'!$P$2,IF(EXACT(Q27,'טבלת פרמטרים'!$O$3),'טבלת פרמטרים'!$P$3,IF(EXACT(Q27,'טבלת פרמטרים'!$O$4),'טבלת פרמטרים'!$P$4,IF(EXACT(Q27,'טבלת פרמטרים'!$O$5),'טבלת פרמטרים'!$P$5,IF(EXACT(Q27,'טבלת פרמטרים'!$O$6),'טבלת פרמטרים'!$P$6,IF(EXACT(Q27,'טבלת פרמטרים'!$O$7),'טבלת פרמטרים'!$P$7,""))))))</f>
        <v/>
      </c>
    </row>
    <row r="28" spans="1:20" x14ac:dyDescent="0.2">
      <c r="A28" s="18">
        <v>27</v>
      </c>
      <c r="B28" s="30">
        <v>42813</v>
      </c>
      <c r="D28" s="21" t="s">
        <v>17</v>
      </c>
      <c r="E28" s="21" t="s">
        <v>21</v>
      </c>
      <c r="F28" s="21" t="s">
        <v>24</v>
      </c>
      <c r="G28" s="21" t="s">
        <v>27</v>
      </c>
      <c r="H28" s="21" t="s">
        <v>30</v>
      </c>
      <c r="J28" s="21" t="s">
        <v>34</v>
      </c>
      <c r="K28" s="21" t="s">
        <v>44</v>
      </c>
      <c r="L28" s="21" t="s">
        <v>51</v>
      </c>
      <c r="M28" s="21" t="s">
        <v>54</v>
      </c>
      <c r="N28" s="21" t="s">
        <v>58</v>
      </c>
      <c r="O28" s="19">
        <f>IF(ISBLANK(D28),"",IF(D28='טבלת פרמטרים'!$A$9,1,0)+IF(E28='טבלת פרמטרים'!$B$5,2,1)+IF(F28='טבלת פרמטרים'!$C$5,3,IF(F28='טבלת פרמטרים'!$C$4,1,0))+IF(G28='טבלת פרמטרים'!$D$3,2,0)+IF(M28='טבלת פרמטרים'!$J$4,2,IF(M28='טבלת פרמטרים'!$J$3,1,0))+IF(N28='טבלת פרמטרים'!$K$6,3,IF(OR(N28='טבלת פרמטרים'!$K$4,N28='טבלת פרמטרים'!$K$5),2,IF(N28='טבלת פרמטרים'!$K$3,1,0))))</f>
        <v>7</v>
      </c>
      <c r="R28" s="19">
        <f t="shared" si="0"/>
        <v>7</v>
      </c>
      <c r="S28" s="19" t="str">
        <f>IF(EXACT(P28,'טבלת פרמטרים'!$M$2),'טבלת פרמטרים'!$N$2,IF(EXACT(P28,'טבלת פרמטרים'!$M$3),'טבלת פרמטרים'!$N$3,IF(EXACT(P28,'טבלת פרמטרים'!$M$4),'טבלת פרמטרים'!$N$4,IF(EXACT(P28,'טבלת פרמטרים'!$M$5),'טבלת פרמטרים'!$N$5,IF(EXACT(P28,'טבלת פרמטרים'!$M$6),'טבלת פרמטרים'!$N$6,IF(EXACT(P28,'טבלת פרמטרים'!$M$7),'טבלת פרמטרים'!$N$7,IF(EXACT(P28,'טבלת פרמטרים'!$M$8),'טבלת פרמטרים'!$N$8,IF(EXACT(P28,'טבלת פרמטרים'!$M$9),'טבלת פרמטרים'!$N$9,""))))))))</f>
        <v/>
      </c>
      <c r="T28" s="19" t="str">
        <f>IF(EXACT(Q28,'טבלת פרמטרים'!$O$2),'טבלת פרמטרים'!$P$2,IF(EXACT(Q28,'טבלת פרמטרים'!$O$3),'טבלת פרמטרים'!$P$3,IF(EXACT(Q28,'טבלת פרמטרים'!$O$4),'טבלת פרמטרים'!$P$4,IF(EXACT(Q28,'טבלת פרמטרים'!$O$5),'טבלת פרמטרים'!$P$5,IF(EXACT(Q28,'טבלת פרמטרים'!$O$6),'טבלת פרמטרים'!$P$6,IF(EXACT(Q28,'טבלת פרמטרים'!$O$7),'טבלת פרמטרים'!$P$7,""))))))</f>
        <v/>
      </c>
    </row>
    <row r="29" spans="1:20" x14ac:dyDescent="0.2">
      <c r="A29" s="18">
        <v>28</v>
      </c>
      <c r="B29" s="30">
        <v>42834</v>
      </c>
      <c r="D29" s="21" t="s">
        <v>11</v>
      </c>
      <c r="E29" s="21" t="s">
        <v>21</v>
      </c>
      <c r="F29" s="21" t="s">
        <v>24</v>
      </c>
      <c r="G29" s="21" t="s">
        <v>26</v>
      </c>
      <c r="H29" s="21" t="s">
        <v>31</v>
      </c>
      <c r="J29" s="21" t="s">
        <v>11</v>
      </c>
      <c r="K29" s="21" t="s">
        <v>19</v>
      </c>
      <c r="L29" s="21" t="s">
        <v>51</v>
      </c>
      <c r="M29" s="21" t="s">
        <v>55</v>
      </c>
      <c r="N29" s="21" t="s">
        <v>58</v>
      </c>
      <c r="O29" s="19">
        <f>IF(ISBLANK(D29),"",IF(D29='טבלת פרמטרים'!$A$9,1,0)+IF(E29='טבלת פרמטרים'!$B$5,2,1)+IF(F29='טבלת פרמטרים'!$C$5,3,IF(F29='טבלת פרמטרים'!$C$4,1,0))+IF(G29='טבלת פרמטרים'!$D$3,2,0)+IF(M29='טבלת פרמטרים'!$J$4,2,IF(M29='טבלת פרמטרים'!$J$3,1,0))+IF(N29='טבלת פרמטרים'!$K$6,3,IF(OR(N29='טבלת פרמטרים'!$K$4,N29='טבלת פרמטרים'!$K$5),2,IF(N29='טבלת פרמטרים'!$K$3,1,0))))</f>
        <v>5</v>
      </c>
      <c r="R29" s="19">
        <f t="shared" si="0"/>
        <v>5</v>
      </c>
      <c r="S29" s="19" t="str">
        <f>IF(EXACT(P29,'טבלת פרמטרים'!$M$2),'טבלת פרמטרים'!$N$2,IF(EXACT(P29,'טבלת פרמטרים'!$M$3),'טבלת פרמטרים'!$N$3,IF(EXACT(P29,'טבלת פרמטרים'!$M$4),'טבלת פרמטרים'!$N$4,IF(EXACT(P29,'טבלת פרמטרים'!$M$5),'טבלת פרמטרים'!$N$5,IF(EXACT(P29,'טבלת פרמטרים'!$M$6),'טבלת פרמטרים'!$N$6,IF(EXACT(P29,'טבלת פרמטרים'!$M$7),'טבלת פרמטרים'!$N$7,IF(EXACT(P29,'טבלת פרמטרים'!$M$8),'טבלת פרמטרים'!$N$8,IF(EXACT(P29,'טבלת פרמטרים'!$M$9),'טבלת פרמטרים'!$N$9,""))))))))</f>
        <v/>
      </c>
      <c r="T29" s="19" t="str">
        <f>IF(EXACT(Q29,'טבלת פרמטרים'!$O$2),'טבלת פרמטרים'!$P$2,IF(EXACT(Q29,'טבלת פרמטרים'!$O$3),'טבלת פרמטרים'!$P$3,IF(EXACT(Q29,'טבלת פרמטרים'!$O$4),'טבלת פרמטרים'!$P$4,IF(EXACT(Q29,'טבלת פרמטרים'!$O$5),'טבלת פרמטרים'!$P$5,IF(EXACT(Q29,'טבלת פרמטרים'!$O$6),'טבלת פרמטרים'!$P$6,IF(EXACT(Q29,'טבלת פרמטרים'!$O$7),'טבלת פרמטרים'!$P$7,""))))))</f>
        <v/>
      </c>
    </row>
    <row r="30" spans="1:20" x14ac:dyDescent="0.2">
      <c r="A30" s="18">
        <v>29</v>
      </c>
      <c r="B30" s="30">
        <v>42851</v>
      </c>
      <c r="D30" s="21" t="s">
        <v>11</v>
      </c>
      <c r="E30" s="21" t="s">
        <v>20</v>
      </c>
      <c r="F30" s="21" t="s">
        <v>23</v>
      </c>
      <c r="G30" s="21" t="s">
        <v>26</v>
      </c>
      <c r="H30" s="21" t="s">
        <v>30</v>
      </c>
      <c r="J30" s="21" t="s">
        <v>35</v>
      </c>
      <c r="K30" s="21" t="s">
        <v>43</v>
      </c>
      <c r="L30" s="21" t="s">
        <v>49</v>
      </c>
      <c r="M30" s="21" t="s">
        <v>55</v>
      </c>
      <c r="N30" s="21" t="s">
        <v>57</v>
      </c>
      <c r="O30" s="19">
        <f>IF(ISBLANK(D30),"",IF(D30='טבלת פרמטרים'!$A$9,1,0)+IF(E30='טבלת פרמטרים'!$B$5,2,1)+IF(F30='טבלת פרמטרים'!$C$5,3,IF(F30='טבלת פרמטרים'!$C$4,1,0))+IF(G30='טבלת פרמטרים'!$D$3,2,0)+IF(M30='טבלת פרמטרים'!$J$4,2,IF(M30='טבלת פרמטרים'!$J$3,1,0))+IF(N30='טבלת פרמטרים'!$K$6,3,IF(OR(N30='טבלת פרמטרים'!$K$4,N30='טבלת פרמטרים'!$K$5),2,IF(N30='טבלת פרמטרים'!$K$3,1,0))))</f>
        <v>3</v>
      </c>
      <c r="R30" s="19">
        <f t="shared" si="0"/>
        <v>3</v>
      </c>
      <c r="S30" s="19" t="str">
        <f>IF(EXACT(P30,'טבלת פרמטרים'!$M$2),'טבלת פרמטרים'!$N$2,IF(EXACT(P30,'טבלת פרמטרים'!$M$3),'טבלת פרמטרים'!$N$3,IF(EXACT(P30,'טבלת פרמטרים'!$M$4),'טבלת פרמטרים'!$N$4,IF(EXACT(P30,'טבלת פרמטרים'!$M$5),'טבלת פרמטרים'!$N$5,IF(EXACT(P30,'טבלת פרמטרים'!$M$6),'טבלת פרמטרים'!$N$6,IF(EXACT(P30,'טבלת פרמטרים'!$M$7),'טבלת פרמטרים'!$N$7,IF(EXACT(P30,'טבלת פרמטרים'!$M$8),'טבלת פרמטרים'!$N$8,IF(EXACT(P30,'טבלת פרמטרים'!$M$9),'טבלת פרמטרים'!$N$9,""))))))))</f>
        <v/>
      </c>
      <c r="T30" s="19" t="str">
        <f>IF(EXACT(Q30,'טבלת פרמטרים'!$O$2),'טבלת פרמטרים'!$P$2,IF(EXACT(Q30,'טבלת פרמטרים'!$O$3),'טבלת פרמטרים'!$P$3,IF(EXACT(Q30,'טבלת פרמטרים'!$O$4),'טבלת פרמטרים'!$P$4,IF(EXACT(Q30,'טבלת פרמטרים'!$O$5),'טבלת פרמטרים'!$P$5,IF(EXACT(Q30,'טבלת פרמטרים'!$O$6),'טבלת פרמטרים'!$P$6,IF(EXACT(Q30,'טבלת פרמטרים'!$O$7),'טבלת פרמטרים'!$P$7,""))))))</f>
        <v/>
      </c>
    </row>
    <row r="31" spans="1:20" x14ac:dyDescent="0.2">
      <c r="A31" s="18">
        <v>30</v>
      </c>
      <c r="B31" s="30">
        <v>42858</v>
      </c>
      <c r="D31" s="21" t="s">
        <v>17</v>
      </c>
      <c r="E31" s="21" t="s">
        <v>22</v>
      </c>
      <c r="F31" s="21" t="s">
        <v>24</v>
      </c>
      <c r="G31" s="21" t="s">
        <v>26</v>
      </c>
      <c r="H31" s="21" t="s">
        <v>28</v>
      </c>
      <c r="J31" s="21" t="s">
        <v>39</v>
      </c>
      <c r="K31" s="21" t="s">
        <v>39</v>
      </c>
      <c r="L31" s="21" t="s">
        <v>51</v>
      </c>
      <c r="M31" s="21" t="s">
        <v>54</v>
      </c>
      <c r="N31" s="21" t="s">
        <v>58</v>
      </c>
      <c r="O31" s="19">
        <f>IF(ISBLANK(D31),"",IF(D31='טבלת פרמטרים'!$A$9,1,0)+IF(E31='טבלת פרמטרים'!$B$5,2,1)+IF(F31='טבלת פרמטרים'!$C$5,3,IF(F31='טבלת פרמטרים'!$C$4,1,0))+IF(G31='טבלת פרמטרים'!$D$3,2,0)+IF(M31='טבלת פרמטרים'!$J$4,2,IF(M31='טבלת פרמטרים'!$J$3,1,0))+IF(N31='טבלת פרמטרים'!$K$6,3,IF(OR(N31='טבלת פרמטרים'!$K$4,N31='טבלת פרמטרים'!$K$5),2,IF(N31='טבלת פרמטרים'!$K$3,1,0))))</f>
        <v>6</v>
      </c>
      <c r="R31" s="19">
        <f t="shared" si="0"/>
        <v>6</v>
      </c>
      <c r="S31" s="19" t="str">
        <f>IF(EXACT(P31,'טבלת פרמטרים'!$M$2),'טבלת פרמטרים'!$N$2,IF(EXACT(P31,'טבלת פרמטרים'!$M$3),'טבלת פרמטרים'!$N$3,IF(EXACT(P31,'טבלת פרמטרים'!$M$4),'טבלת פרמטרים'!$N$4,IF(EXACT(P31,'טבלת פרמטרים'!$M$5),'טבלת פרמטרים'!$N$5,IF(EXACT(P31,'טבלת פרמטרים'!$M$6),'טבלת פרמטרים'!$N$6,IF(EXACT(P31,'טבלת פרמטרים'!$M$7),'טבלת פרמטרים'!$N$7,IF(EXACT(P31,'טבלת פרמטרים'!$M$8),'טבלת פרמטרים'!$N$8,IF(EXACT(P31,'טבלת פרמטרים'!$M$9),'טבלת פרמטרים'!$N$9,""))))))))</f>
        <v/>
      </c>
      <c r="T31" s="19" t="str">
        <f>IF(EXACT(Q31,'טבלת פרמטרים'!$O$2),'טבלת פרמטרים'!$P$2,IF(EXACT(Q31,'טבלת פרמטרים'!$O$3),'טבלת פרמטרים'!$P$3,IF(EXACT(Q31,'טבלת פרמטרים'!$O$4),'טבלת פרמטרים'!$P$4,IF(EXACT(Q31,'טבלת פרמטרים'!$O$5),'טבלת פרמטרים'!$P$5,IF(EXACT(Q31,'טבלת פרמטרים'!$O$6),'טבלת פרמטרים'!$P$6,IF(EXACT(Q31,'טבלת פרמטרים'!$O$7),'טבלת פרמטרים'!$P$7,""))))))</f>
        <v/>
      </c>
    </row>
    <row r="32" spans="1:20" x14ac:dyDescent="0.2">
      <c r="A32" s="18">
        <v>31</v>
      </c>
      <c r="B32" s="30">
        <v>42883</v>
      </c>
      <c r="D32" s="21" t="s">
        <v>11</v>
      </c>
      <c r="E32" s="21" t="s">
        <v>22</v>
      </c>
      <c r="F32" s="21" t="s">
        <v>24</v>
      </c>
      <c r="G32" s="21" t="s">
        <v>26</v>
      </c>
      <c r="H32" s="21" t="s">
        <v>29</v>
      </c>
      <c r="J32" s="21" t="s">
        <v>11</v>
      </c>
      <c r="K32" s="21" t="s">
        <v>44</v>
      </c>
      <c r="L32" s="21" t="s">
        <v>51</v>
      </c>
      <c r="M32" s="21" t="s">
        <v>54</v>
      </c>
      <c r="N32" s="21" t="s">
        <v>59</v>
      </c>
      <c r="O32" s="19">
        <f>IF(ISBLANK(D32),"",IF(D32='טבלת פרמטרים'!$A$9,1,0)+IF(E32='טבלת פרמטרים'!$B$5,2,1)+IF(F32='טבלת פרמטרים'!$C$5,3,IF(F32='טבלת פרמטרים'!$C$4,1,0))+IF(G32='טבלת פרמטרים'!$D$3,2,0)+IF(M32='טבלת פרמטרים'!$J$4,2,IF(M32='טבלת פרמטרים'!$J$3,1,0))+IF(N32='טבלת פרמטרים'!$K$6,3,IF(OR(N32='טבלת פרמטרים'!$K$4,N32='טבלת פרמטרים'!$K$5),2,IF(N32='טבלת פרמטרים'!$K$3,1,0))))</f>
        <v>6</v>
      </c>
      <c r="R32" s="19">
        <f t="shared" si="0"/>
        <v>6</v>
      </c>
      <c r="S32" s="19" t="str">
        <f>IF(EXACT(P32,'טבלת פרמטרים'!$M$2),'טבלת פרמטרים'!$N$2,IF(EXACT(P32,'טבלת פרמטרים'!$M$3),'טבלת פרמטרים'!$N$3,IF(EXACT(P32,'טבלת פרמטרים'!$M$4),'טבלת פרמטרים'!$N$4,IF(EXACT(P32,'טבלת פרמטרים'!$M$5),'טבלת פרמטרים'!$N$5,IF(EXACT(P32,'טבלת פרמטרים'!$M$6),'טבלת פרמטרים'!$N$6,IF(EXACT(P32,'טבלת פרמטרים'!$M$7),'טבלת פרמטרים'!$N$7,IF(EXACT(P32,'טבלת פרמטרים'!$M$8),'טבלת פרמטרים'!$N$8,IF(EXACT(P32,'טבלת פרמטרים'!$M$9),'טבלת פרמטרים'!$N$9,""))))))))</f>
        <v/>
      </c>
      <c r="T32" s="19" t="str">
        <f>IF(EXACT(Q32,'טבלת פרמטרים'!$O$2),'טבלת פרמטרים'!$P$2,IF(EXACT(Q32,'טבלת פרמטרים'!$O$3),'טבלת פרמטרים'!$P$3,IF(EXACT(Q32,'טבלת פרמטרים'!$O$4),'טבלת פרמטרים'!$P$4,IF(EXACT(Q32,'טבלת פרמטרים'!$O$5),'טבלת פרמטרים'!$P$5,IF(EXACT(Q32,'טבלת פרמטרים'!$O$6),'טבלת פרמטרים'!$P$6,IF(EXACT(Q32,'טבלת פרמטרים'!$O$7),'טבלת פרמטרים'!$P$7,""))))))</f>
        <v/>
      </c>
    </row>
    <row r="33" spans="1:20" x14ac:dyDescent="0.2">
      <c r="A33" s="18">
        <v>32</v>
      </c>
      <c r="B33" s="30">
        <v>42890</v>
      </c>
      <c r="D33" s="21" t="s">
        <v>11</v>
      </c>
      <c r="E33" s="21" t="s">
        <v>20</v>
      </c>
      <c r="F33" s="21" t="s">
        <v>23</v>
      </c>
      <c r="G33" s="21" t="s">
        <v>26</v>
      </c>
      <c r="H33" s="21" t="s">
        <v>30</v>
      </c>
      <c r="J33" s="21" t="s">
        <v>11</v>
      </c>
      <c r="K33" s="21" t="s">
        <v>19</v>
      </c>
      <c r="L33" s="21" t="s">
        <v>63</v>
      </c>
      <c r="M33" s="21" t="s">
        <v>55</v>
      </c>
      <c r="N33" s="21" t="s">
        <v>58</v>
      </c>
      <c r="O33" s="19">
        <f>IF(ISBLANK(D33),"",IF(D33='טבלת פרמטרים'!$A$9,1,0)+IF(E33='טבלת פרמטרים'!$B$5,2,1)+IF(F33='טבלת פרמטרים'!$C$5,3,IF(F33='טבלת פרמטרים'!$C$4,1,0))+IF(G33='טבלת פרמטרים'!$D$3,2,0)+IF(M33='טבלת פרמטרים'!$J$4,2,IF(M33='טבלת פרמטרים'!$J$3,1,0))+IF(N33='טבלת פרמטרים'!$K$6,3,IF(OR(N33='טבלת פרמטרים'!$K$4,N33='טבלת פרמטרים'!$K$5),2,IF(N33='טבלת פרמטרים'!$K$3,1,0))))</f>
        <v>4</v>
      </c>
      <c r="R33" s="19">
        <f t="shared" si="0"/>
        <v>4</v>
      </c>
      <c r="S33" s="19" t="str">
        <f>IF(EXACT(P33,'טבלת פרמטרים'!$M$2),'טבלת פרמטרים'!$N$2,IF(EXACT(P33,'טבלת פרמטרים'!$M$3),'טבלת פרמטרים'!$N$3,IF(EXACT(P33,'טבלת פרמטרים'!$M$4),'טבלת פרמטרים'!$N$4,IF(EXACT(P33,'טבלת פרמטרים'!$M$5),'טבלת פרמטרים'!$N$5,IF(EXACT(P33,'טבלת פרמטרים'!$M$6),'טבלת פרמטרים'!$N$6,IF(EXACT(P33,'טבלת פרמטרים'!$M$7),'טבלת פרמטרים'!$N$7,IF(EXACT(P33,'טבלת פרמטרים'!$M$8),'טבלת פרמטרים'!$N$8,IF(EXACT(P33,'טבלת פרמטרים'!$M$9),'טבלת פרמטרים'!$N$9,""))))))))</f>
        <v/>
      </c>
      <c r="T33" s="19" t="str">
        <f>IF(EXACT(Q33,'טבלת פרמטרים'!$O$2),'טבלת פרמטרים'!$P$2,IF(EXACT(Q33,'טבלת פרמטרים'!$O$3),'טבלת פרמטרים'!$P$3,IF(EXACT(Q33,'טבלת פרמטרים'!$O$4),'טבלת פרמטרים'!$P$4,IF(EXACT(Q33,'טבלת פרמטרים'!$O$5),'טבלת פרמטרים'!$P$5,IF(EXACT(Q33,'טבלת פרמטרים'!$O$6),'טבלת פרמטרים'!$P$6,IF(EXACT(Q33,'טבלת פרמטרים'!$O$7),'טבלת פרמטרים'!$P$7,""))))))</f>
        <v/>
      </c>
    </row>
    <row r="34" spans="1:20" x14ac:dyDescent="0.2">
      <c r="A34" s="18">
        <v>33</v>
      </c>
      <c r="B34" s="30">
        <v>42899</v>
      </c>
      <c r="D34" s="21" t="s">
        <v>16</v>
      </c>
      <c r="E34" s="21" t="s">
        <v>21</v>
      </c>
      <c r="F34" s="21" t="s">
        <v>23</v>
      </c>
      <c r="G34" s="21" t="s">
        <v>26</v>
      </c>
      <c r="H34" s="21" t="s">
        <v>31</v>
      </c>
      <c r="J34" s="21" t="s">
        <v>34</v>
      </c>
      <c r="K34" s="21" t="s">
        <v>43</v>
      </c>
      <c r="L34" s="21" t="s">
        <v>51</v>
      </c>
      <c r="M34" s="21" t="s">
        <v>55</v>
      </c>
      <c r="N34" s="21" t="s">
        <v>59</v>
      </c>
      <c r="O34" s="19">
        <f>IF(ISBLANK(D34),"",IF(D34='טבלת פרמטרים'!$A$9,1,0)+IF(E34='טבלת פרמטרים'!$B$5,2,1)+IF(F34='טבלת פרמטרים'!$C$5,3,IF(F34='טבלת פרמטרים'!$C$4,1,0))+IF(G34='טבלת פרמטרים'!$D$3,2,0)+IF(M34='טבלת פרמטרים'!$J$4,2,IF(M34='טבלת פרמטרים'!$J$3,1,0))+IF(N34='טבלת פרמטרים'!$K$6,3,IF(OR(N34='טבלת פרמטרים'!$K$4,N34='טבלת פרמטרים'!$K$5),2,IF(N34='טבלת פרמטרים'!$K$3,1,0))))</f>
        <v>5</v>
      </c>
      <c r="R34" s="19">
        <f t="shared" si="0"/>
        <v>5</v>
      </c>
      <c r="S34" s="19" t="str">
        <f>IF(EXACT(P34,'טבלת פרמטרים'!$M$2),'טבלת פרמטרים'!$N$2,IF(EXACT(P34,'טבלת פרמטרים'!$M$3),'טבלת פרמטרים'!$N$3,IF(EXACT(P34,'טבלת פרמטרים'!$M$4),'טבלת פרמטרים'!$N$4,IF(EXACT(P34,'טבלת פרמטרים'!$M$5),'טבלת פרמטרים'!$N$5,IF(EXACT(P34,'טבלת פרמטרים'!$M$6),'טבלת פרמטרים'!$N$6,IF(EXACT(P34,'טבלת פרמטרים'!$M$7),'טבלת פרמטרים'!$N$7,IF(EXACT(P34,'טבלת פרמטרים'!$M$8),'טבלת פרמטרים'!$N$8,IF(EXACT(P34,'טבלת פרמטרים'!$M$9),'טבלת פרמטרים'!$N$9,""))))))))</f>
        <v/>
      </c>
      <c r="T34" s="19" t="str">
        <f>IF(EXACT(Q34,'טבלת פרמטרים'!$O$2),'טבלת פרמטרים'!$P$2,IF(EXACT(Q34,'טבלת פרמטרים'!$O$3),'טבלת פרמטרים'!$P$3,IF(EXACT(Q34,'טבלת פרמטרים'!$O$4),'טבלת פרמטרים'!$P$4,IF(EXACT(Q34,'טבלת פרמטרים'!$O$5),'טבלת פרמטרים'!$P$5,IF(EXACT(Q34,'טבלת פרמטרים'!$O$6),'טבלת פרמטרים'!$P$6,IF(EXACT(Q34,'טבלת פרמטרים'!$O$7),'טבלת פרמטרים'!$P$7,""))))))</f>
        <v/>
      </c>
    </row>
    <row r="35" spans="1:20" x14ac:dyDescent="0.2">
      <c r="A35" s="18">
        <v>34</v>
      </c>
      <c r="B35" s="30">
        <v>42900</v>
      </c>
      <c r="D35" s="21" t="s">
        <v>17</v>
      </c>
      <c r="E35" s="21" t="s">
        <v>22</v>
      </c>
      <c r="F35" s="21" t="s">
        <v>24</v>
      </c>
      <c r="G35" s="21" t="s">
        <v>26</v>
      </c>
      <c r="H35" s="21" t="s">
        <v>31</v>
      </c>
      <c r="J35" s="21" t="s">
        <v>35</v>
      </c>
      <c r="K35" s="21" t="s">
        <v>43</v>
      </c>
      <c r="L35" s="21" t="s">
        <v>51</v>
      </c>
      <c r="M35" s="21" t="s">
        <v>54</v>
      </c>
      <c r="N35" s="21" t="s">
        <v>60</v>
      </c>
      <c r="O35" s="19">
        <f>IF(ISBLANK(D35),"",IF(D35='טבלת פרמטרים'!$A$9,1,0)+IF(E35='טבלת פרמטרים'!$B$5,2,1)+IF(F35='טבלת פרמטרים'!$C$5,3,IF(F35='טבלת פרמטרים'!$C$4,1,0))+IF(G35='טבלת פרמטרים'!$D$3,2,0)+IF(M35='טבלת פרמטרים'!$J$4,2,IF(M35='טבלת פרמטרים'!$J$3,1,0))+IF(N35='טבלת פרמטרים'!$K$6,3,IF(OR(N35='טבלת פרמטרים'!$K$4,N35='טבלת פרמטרים'!$K$5),2,IF(N35='טבלת פרמטרים'!$K$3,1,0))))</f>
        <v>5</v>
      </c>
      <c r="R35" s="19">
        <f t="shared" si="0"/>
        <v>5</v>
      </c>
      <c r="S35" s="19" t="str">
        <f>IF(EXACT(P35,'טבלת פרמטרים'!$M$2),'טבלת פרמטרים'!$N$2,IF(EXACT(P35,'טבלת פרמטרים'!$M$3),'טבלת פרמטרים'!$N$3,IF(EXACT(P35,'טבלת פרמטרים'!$M$4),'טבלת פרמטרים'!$N$4,IF(EXACT(P35,'טבלת פרמטרים'!$M$5),'טבלת פרמטרים'!$N$5,IF(EXACT(P35,'טבלת פרמטרים'!$M$6),'טבלת פרמטרים'!$N$6,IF(EXACT(P35,'טבלת פרמטרים'!$M$7),'טבלת פרמטרים'!$N$7,IF(EXACT(P35,'טבלת פרמטרים'!$M$8),'טבלת פרמטרים'!$N$8,IF(EXACT(P35,'טבלת פרמטרים'!$M$9),'טבלת פרמטרים'!$N$9,""))))))))</f>
        <v/>
      </c>
      <c r="T35" s="19" t="str">
        <f>IF(EXACT(Q35,'טבלת פרמטרים'!$O$2),'טבלת פרמטרים'!$P$2,IF(EXACT(Q35,'טבלת פרמטרים'!$O$3),'טבלת פרמטרים'!$P$3,IF(EXACT(Q35,'טבלת פרמטרים'!$O$4),'טבלת פרמטרים'!$P$4,IF(EXACT(Q35,'טבלת פרמטרים'!$O$5),'טבלת פרמטרים'!$P$5,IF(EXACT(Q35,'טבלת פרמטרים'!$O$6),'טבלת פרמטרים'!$P$6,IF(EXACT(Q35,'טבלת פרמטרים'!$O$7),'טבלת פרמטרים'!$P$7,""))))))</f>
        <v/>
      </c>
    </row>
    <row r="36" spans="1:20" x14ac:dyDescent="0.2">
      <c r="A36" s="18">
        <v>35</v>
      </c>
      <c r="B36" s="30">
        <v>42900</v>
      </c>
      <c r="D36" s="21" t="s">
        <v>10</v>
      </c>
      <c r="E36" s="21" t="s">
        <v>20</v>
      </c>
      <c r="F36" s="21" t="s">
        <v>23</v>
      </c>
      <c r="G36" s="21" t="s">
        <v>27</v>
      </c>
      <c r="H36" s="21" t="s">
        <v>32</v>
      </c>
      <c r="J36" s="21" t="s">
        <v>11</v>
      </c>
      <c r="K36" s="21" t="s">
        <v>19</v>
      </c>
      <c r="L36" s="21" t="s">
        <v>63</v>
      </c>
      <c r="M36" s="21" t="s">
        <v>53</v>
      </c>
      <c r="N36" s="21" t="s">
        <v>59</v>
      </c>
      <c r="O36" s="19">
        <f>IF(ISBLANK(D36),"",IF(D36='טבלת פרמטרים'!$A$9,1,0)+IF(E36='טבלת פרמטרים'!$B$5,2,1)+IF(F36='טבלת פרמטרים'!$C$5,3,IF(F36='טבלת פרמטרים'!$C$4,1,0))+IF(G36='טבלת פרמטרים'!$D$3,2,0)+IF(M36='טבלת פרמטרים'!$J$4,2,IF(M36='טבלת פרמטרים'!$J$3,1,0))+IF(N36='טבלת פרמטרים'!$K$6,3,IF(OR(N36='טבלת פרמטרים'!$K$4,N36='טבלת פרמטרים'!$K$5),2,IF(N36='טבלת פרמטרים'!$K$3,1,0))))</f>
        <v>5</v>
      </c>
      <c r="R36" s="19">
        <f t="shared" si="0"/>
        <v>5</v>
      </c>
      <c r="S36" s="19" t="str">
        <f>IF(EXACT(P36,'טבלת פרמטרים'!$M$2),'טבלת פרמטרים'!$N$2,IF(EXACT(P36,'טבלת פרמטרים'!$M$3),'טבלת פרמטרים'!$N$3,IF(EXACT(P36,'טבלת פרמטרים'!$M$4),'טבלת פרמטרים'!$N$4,IF(EXACT(P36,'טבלת פרמטרים'!$M$5),'טבלת פרמטרים'!$N$5,IF(EXACT(P36,'טבלת פרמטרים'!$M$6),'טבלת פרמטרים'!$N$6,IF(EXACT(P36,'טבלת פרמטרים'!$M$7),'טבלת פרמטרים'!$N$7,IF(EXACT(P36,'טבלת פרמטרים'!$M$8),'טבלת פרמטרים'!$N$8,IF(EXACT(P36,'טבלת פרמטרים'!$M$9),'טבלת פרמטרים'!$N$9,""))))))))</f>
        <v/>
      </c>
      <c r="T36" s="19" t="str">
        <f>IF(EXACT(Q36,'טבלת פרמטרים'!$O$2),'טבלת פרמטרים'!$P$2,IF(EXACT(Q36,'טבלת פרמטרים'!$O$3),'טבלת פרמטרים'!$P$3,IF(EXACT(Q36,'טבלת פרמטרים'!$O$4),'טבלת פרמטרים'!$P$4,IF(EXACT(Q36,'טבלת פרמטרים'!$O$5),'טבלת פרמטרים'!$P$5,IF(EXACT(Q36,'טבלת פרמטרים'!$O$6),'טבלת פרמטרים'!$P$6,IF(EXACT(Q36,'טבלת פרמטרים'!$O$7),'טבלת פרמטרים'!$P$7,""))))))</f>
        <v/>
      </c>
    </row>
    <row r="37" spans="1:20" x14ac:dyDescent="0.2">
      <c r="A37" s="18">
        <v>36</v>
      </c>
      <c r="B37" s="30">
        <v>42905</v>
      </c>
      <c r="D37" s="21" t="s">
        <v>12</v>
      </c>
      <c r="E37" s="21" t="s">
        <v>21</v>
      </c>
      <c r="F37" s="21" t="s">
        <v>23</v>
      </c>
      <c r="G37" s="21" t="s">
        <v>26</v>
      </c>
      <c r="H37" s="21" t="s">
        <v>29</v>
      </c>
      <c r="J37" s="21" t="s">
        <v>33</v>
      </c>
      <c r="K37" s="21" t="s">
        <v>44</v>
      </c>
      <c r="L37" s="21" t="s">
        <v>51</v>
      </c>
      <c r="M37" s="21" t="s">
        <v>54</v>
      </c>
      <c r="N37" s="21" t="s">
        <v>59</v>
      </c>
      <c r="O37" s="19">
        <f>IF(ISBLANK(D37),"",IF(D37='טבלת פרמטרים'!$A$9,1,0)+IF(E37='טבלת פרמטרים'!$B$5,2,1)+IF(F37='טבלת פרמטרים'!$C$5,3,IF(F37='טבלת פרמטרים'!$C$4,1,0))+IF(G37='טבלת פרמטרים'!$D$3,2,0)+IF(M37='טבלת פרמטרים'!$J$4,2,IF(M37='טבלת פרמטרים'!$J$3,1,0))+IF(N37='טבלת פרמטרים'!$K$6,3,IF(OR(N37='טבלת פרמטרים'!$K$4,N37='טבלת פרמטרים'!$K$5),2,IF(N37='טבלת פרמטרים'!$K$3,1,0))))</f>
        <v>4</v>
      </c>
      <c r="R37" s="19">
        <f t="shared" si="0"/>
        <v>4</v>
      </c>
      <c r="S37" s="19" t="str">
        <f>IF(EXACT(P37,'טבלת פרמטרים'!$M$2),'טבלת פרמטרים'!$N$2,IF(EXACT(P37,'טבלת פרמטרים'!$M$3),'טבלת פרמטרים'!$N$3,IF(EXACT(P37,'טבלת פרמטרים'!$M$4),'טבלת פרמטרים'!$N$4,IF(EXACT(P37,'טבלת פרמטרים'!$M$5),'טבלת פרמטרים'!$N$5,IF(EXACT(P37,'טבלת פרמטרים'!$M$6),'טבלת פרמטרים'!$N$6,IF(EXACT(P37,'טבלת פרמטרים'!$M$7),'טבלת פרמטרים'!$N$7,IF(EXACT(P37,'טבלת פרמטרים'!$M$8),'טבלת פרמטרים'!$N$8,IF(EXACT(P37,'טבלת פרמטרים'!$M$9),'טבלת פרמטרים'!$N$9,""))))))))</f>
        <v/>
      </c>
      <c r="T37" s="19" t="str">
        <f>IF(EXACT(Q37,'טבלת פרמטרים'!$O$2),'טבלת פרמטרים'!$P$2,IF(EXACT(Q37,'טבלת פרמטרים'!$O$3),'טבלת פרמטרים'!$P$3,IF(EXACT(Q37,'טבלת פרמטרים'!$O$4),'טבלת פרמטרים'!$P$4,IF(EXACT(Q37,'טבלת פרמטרים'!$O$5),'טבלת פרמטרים'!$P$5,IF(EXACT(Q37,'טבלת פרמטרים'!$O$6),'טבלת פרמטרים'!$P$6,IF(EXACT(Q37,'טבלת פרמטרים'!$O$7),'טבלת פרמטרים'!$P$7,""))))))</f>
        <v/>
      </c>
    </row>
    <row r="38" spans="1:20" x14ac:dyDescent="0.2">
      <c r="A38" s="18">
        <v>37</v>
      </c>
      <c r="B38" s="30">
        <v>43052</v>
      </c>
      <c r="D38" s="21" t="s">
        <v>11</v>
      </c>
      <c r="E38" s="21" t="s">
        <v>20</v>
      </c>
      <c r="F38" s="21" t="s">
        <v>23</v>
      </c>
      <c r="G38" s="21" t="s">
        <v>26</v>
      </c>
      <c r="H38" s="21" t="s">
        <v>29</v>
      </c>
      <c r="J38" s="21" t="s">
        <v>11</v>
      </c>
      <c r="K38" s="21" t="s">
        <v>43</v>
      </c>
      <c r="L38" s="21" t="s">
        <v>51</v>
      </c>
      <c r="M38" s="21" t="s">
        <v>53</v>
      </c>
      <c r="N38" s="21" t="s">
        <v>58</v>
      </c>
      <c r="O38" s="19">
        <f>IF(ISBLANK(D38),"",IF(D38='טבלת פרמטרים'!$A$9,1,0)+IF(E38='טבלת פרמטרים'!$B$5,2,1)+IF(F38='טבלת פרמטרים'!$C$5,3,IF(F38='טבלת פרמטרים'!$C$4,1,0))+IF(G38='טבלת פרמטרים'!$D$3,2,0)+IF(M38='טבלת פרמטרים'!$J$4,2,IF(M38='טבלת פרמטרים'!$J$3,1,0))+IF(N38='טבלת פרמטרים'!$K$6,3,IF(OR(N38='טבלת פרמטרים'!$K$4,N38='טבלת פרמטרים'!$K$5),2,IF(N38='טבלת פרמטרים'!$K$3,1,0))))</f>
        <v>2</v>
      </c>
      <c r="R38" s="19">
        <f t="shared" si="0"/>
        <v>2</v>
      </c>
      <c r="S38" s="19" t="str">
        <f>IF(EXACT(P38,'טבלת פרמטרים'!$M$2),'טבלת פרמטרים'!$N$2,IF(EXACT(P38,'טבלת פרמטרים'!$M$3),'טבלת פרמטרים'!$N$3,IF(EXACT(P38,'טבלת פרמטרים'!$M$4),'טבלת פרמטרים'!$N$4,IF(EXACT(P38,'טבלת פרמטרים'!$M$5),'טבלת פרמטרים'!$N$5,IF(EXACT(P38,'טבלת פרמטרים'!$M$6),'טבלת פרמטרים'!$N$6,IF(EXACT(P38,'טבלת פרמטרים'!$M$7),'טבלת פרמטרים'!$N$7,IF(EXACT(P38,'טבלת פרמטרים'!$M$8),'טבלת פרמטרים'!$N$8,IF(EXACT(P38,'טבלת פרמטרים'!$M$9),'טבלת פרמטרים'!$N$9,""))))))))</f>
        <v/>
      </c>
      <c r="T38" s="19" t="str">
        <f>IF(EXACT(Q38,'טבלת פרמטרים'!$O$2),'טבלת פרמטרים'!$P$2,IF(EXACT(Q38,'טבלת פרמטרים'!$O$3),'טבלת פרמטרים'!$P$3,IF(EXACT(Q38,'טבלת פרמטרים'!$O$4),'טבלת פרמטרים'!$P$4,IF(EXACT(Q38,'טבלת פרמטרים'!$O$5),'טבלת פרמטרים'!$P$5,IF(EXACT(Q38,'טבלת פרמטרים'!$O$6),'טבלת פרמטרים'!$P$6,IF(EXACT(Q38,'טבלת פרמטרים'!$O$7),'טבלת פרמטרים'!$P$7,""))))))</f>
        <v/>
      </c>
    </row>
    <row r="39" spans="1:20" x14ac:dyDescent="0.2">
      <c r="A39" s="18">
        <v>38</v>
      </c>
      <c r="B39" s="30">
        <v>43038</v>
      </c>
      <c r="D39" s="21" t="s">
        <v>17</v>
      </c>
      <c r="E39" s="21" t="s">
        <v>22</v>
      </c>
      <c r="F39" s="21" t="s">
        <v>24</v>
      </c>
      <c r="G39" s="21" t="s">
        <v>26</v>
      </c>
      <c r="H39" s="21" t="s">
        <v>29</v>
      </c>
      <c r="J39" s="21" t="s">
        <v>35</v>
      </c>
      <c r="K39" s="21" t="s">
        <v>48</v>
      </c>
      <c r="L39" s="21" t="s">
        <v>49</v>
      </c>
      <c r="M39" s="21" t="s">
        <v>55</v>
      </c>
      <c r="N39" s="21" t="s">
        <v>57</v>
      </c>
      <c r="O39" s="19">
        <f>IF(ISBLANK(D39),"",IF(D39='טבלת פרמטרים'!$A$9,1,0)+IF(E39='טבלת פרמטרים'!$B$5,2,1)+IF(F39='טבלת פרמטרים'!$C$5,3,IF(F39='טבלת פרמטרים'!$C$4,1,0))+IF(G39='טבלת פרמטרים'!$D$3,2,0)+IF(M39='טבלת פרמטרים'!$J$4,2,IF(M39='טבלת פרמטרים'!$J$3,1,0))+IF(N39='טבלת פרמטרים'!$K$6,3,IF(OR(N39='טבלת פרמטרים'!$K$4,N39='טבלת פרמטרים'!$K$5),2,IF(N39='טבלת פרמטרים'!$K$3,1,0))))</f>
        <v>6</v>
      </c>
      <c r="R39" s="19">
        <f t="shared" si="0"/>
        <v>6</v>
      </c>
      <c r="S39" s="19" t="str">
        <f>IF(EXACT(P39,'טבלת פרמטרים'!$M$2),'טבלת פרמטרים'!$N$2,IF(EXACT(P39,'טבלת פרמטרים'!$M$3),'טבלת פרמטרים'!$N$3,IF(EXACT(P39,'טבלת פרמטרים'!$M$4),'טבלת פרמטרים'!$N$4,IF(EXACT(P39,'טבלת פרמטרים'!$M$5),'טבלת פרמטרים'!$N$5,IF(EXACT(P39,'טבלת פרמטרים'!$M$6),'טבלת פרמטרים'!$N$6,IF(EXACT(P39,'טבלת פרמטרים'!$M$7),'טבלת פרמטרים'!$N$7,IF(EXACT(P39,'טבלת פרמטרים'!$M$8),'טבלת פרמטרים'!$N$8,IF(EXACT(P39,'טבלת פרמטרים'!$M$9),'טבלת פרמטרים'!$N$9,""))))))))</f>
        <v/>
      </c>
      <c r="T39" s="19" t="str">
        <f>IF(EXACT(Q39,'טבלת פרמטרים'!$O$2),'טבלת פרמטרים'!$P$2,IF(EXACT(Q39,'טבלת פרמטרים'!$O$3),'טבלת פרמטרים'!$P$3,IF(EXACT(Q39,'טבלת פרמטרים'!$O$4),'טבלת פרמטרים'!$P$4,IF(EXACT(Q39,'טבלת פרמטרים'!$O$5),'טבלת פרמטרים'!$P$5,IF(EXACT(Q39,'טבלת פרמטרים'!$O$6),'טבלת פרמטרים'!$P$6,IF(EXACT(Q39,'טבלת פרמטרים'!$O$7),'טבלת פרמטרים'!$P$7,""))))))</f>
        <v/>
      </c>
    </row>
    <row r="40" spans="1:20" x14ac:dyDescent="0.2">
      <c r="A40" s="18">
        <v>39</v>
      </c>
      <c r="B40" s="30">
        <v>43030</v>
      </c>
      <c r="D40" s="21" t="s">
        <v>15</v>
      </c>
      <c r="E40" s="21" t="s">
        <v>21</v>
      </c>
      <c r="F40" s="21" t="s">
        <v>23</v>
      </c>
      <c r="G40" s="21" t="s">
        <v>26</v>
      </c>
      <c r="H40" s="21" t="s">
        <v>29</v>
      </c>
      <c r="J40" s="21" t="s">
        <v>34</v>
      </c>
      <c r="K40" s="21" t="s">
        <v>44</v>
      </c>
      <c r="L40" s="21" t="s">
        <v>51</v>
      </c>
      <c r="M40" s="21" t="s">
        <v>53</v>
      </c>
      <c r="N40" s="21" t="s">
        <v>57</v>
      </c>
      <c r="O40" s="19">
        <f>IF(ISBLANK(D40),"",IF(D40='טבלת פרמטרים'!$A$9,1,0)+IF(E40='טבלת פרמטרים'!$B$5,2,1)+IF(F40='טבלת פרמטרים'!$C$5,3,IF(F40='טבלת פרמטרים'!$C$4,1,0))+IF(G40='טבלת פרמטרים'!$D$3,2,0)+IF(M40='טבלת פרמטרים'!$J$4,2,IF(M40='טבלת פרמטרים'!$J$3,1,0))+IF(N40='טבלת פרמטרים'!$K$6,3,IF(OR(N40='טבלת פרמטרים'!$K$4,N40='טבלת פרמטרים'!$K$5),2,IF(N40='טבלת פרמטרים'!$K$3,1,0))))</f>
        <v>1</v>
      </c>
      <c r="R40" s="19">
        <f t="shared" si="0"/>
        <v>1</v>
      </c>
      <c r="S40" s="19" t="str">
        <f>IF(EXACT(P40,'טבלת פרמטרים'!$M$2),'טבלת פרמטרים'!$N$2,IF(EXACT(P40,'טבלת פרמטרים'!$M$3),'טבלת פרמטרים'!$N$3,IF(EXACT(P40,'טבלת פרמטרים'!$M$4),'טבלת פרמטרים'!$N$4,IF(EXACT(P40,'טבלת פרמטרים'!$M$5),'טבלת פרמטרים'!$N$5,IF(EXACT(P40,'טבלת פרמטרים'!$M$6),'טבלת פרמטרים'!$N$6,IF(EXACT(P40,'טבלת פרמטרים'!$M$7),'טבלת פרמטרים'!$N$7,IF(EXACT(P40,'טבלת פרמטרים'!$M$8),'טבלת פרמטרים'!$N$8,IF(EXACT(P40,'טבלת פרמטרים'!$M$9),'טבלת פרמטרים'!$N$9,""))))))))</f>
        <v/>
      </c>
      <c r="T40" s="19" t="str">
        <f>IF(EXACT(Q40,'טבלת פרמטרים'!$O$2),'טבלת פרמטרים'!$P$2,IF(EXACT(Q40,'טבלת פרמטרים'!$O$3),'טבלת פרמטרים'!$P$3,IF(EXACT(Q40,'טבלת פרמטרים'!$O$4),'טבלת פרמטרים'!$P$4,IF(EXACT(Q40,'טבלת פרמטרים'!$O$5),'טבלת פרמטרים'!$P$5,IF(EXACT(Q40,'טבלת פרמטרים'!$O$6),'טבלת פרמטרים'!$P$6,IF(EXACT(Q40,'טבלת פרמטרים'!$O$7),'טבלת פרמטרים'!$P$7,""))))))</f>
        <v/>
      </c>
    </row>
    <row r="41" spans="1:20" x14ac:dyDescent="0.2">
      <c r="A41" s="18">
        <v>40</v>
      </c>
      <c r="B41" s="30">
        <v>43025</v>
      </c>
      <c r="D41" s="21" t="s">
        <v>13</v>
      </c>
      <c r="E41" s="21" t="s">
        <v>22</v>
      </c>
      <c r="F41" s="21" t="s">
        <v>24</v>
      </c>
      <c r="G41" s="21" t="s">
        <v>26</v>
      </c>
      <c r="H41" s="21" t="s">
        <v>30</v>
      </c>
      <c r="I41" s="21" t="s">
        <v>126</v>
      </c>
      <c r="J41" s="21" t="s">
        <v>39</v>
      </c>
      <c r="K41" s="21" t="s">
        <v>39</v>
      </c>
      <c r="L41" s="21" t="s">
        <v>49</v>
      </c>
      <c r="M41" s="21" t="s">
        <v>53</v>
      </c>
      <c r="N41" s="21" t="s">
        <v>57</v>
      </c>
      <c r="O41" s="19">
        <f>IF(ISBLANK(D41),"",IF(D41='טבלת פרמטרים'!$A$9,1,0)+IF(E41='טבלת פרמטרים'!$B$5,2,1)+IF(F41='טבלת פרמטרים'!$C$5,3,IF(F41='טבלת פרמטרים'!$C$4,1,0))+IF(G41='טבלת פרמטרים'!$D$3,2,0)+IF(M41='טבלת פרמטרים'!$J$4,2,IF(M41='טבלת פרמטרים'!$J$3,1,0))+IF(N41='טבלת פרמטרים'!$K$6,3,IF(OR(N41='טבלת פרמטרים'!$K$4,N41='טבלת פרמטרים'!$K$5),2,IF(N41='טבלת פרמטרים'!$K$3,1,0))))</f>
        <v>3</v>
      </c>
      <c r="P41" s="20" t="s">
        <v>115</v>
      </c>
      <c r="Q41" s="20" t="s">
        <v>123</v>
      </c>
      <c r="R41" s="19">
        <f t="shared" si="0"/>
        <v>3</v>
      </c>
      <c r="S41" s="19">
        <f>IF(EXACT(P41,'טבלת פרמטרים'!$M$2),'טבלת פרמטרים'!$N$2,IF(EXACT(P41,'טבלת פרמטרים'!$M$3),'טבלת פרמטרים'!$N$3,IF(EXACT(P41,'טבלת פרמטרים'!$M$4),'טבלת פרמטרים'!$N$4,IF(EXACT(P41,'טבלת פרמטרים'!$M$5),'טבלת פרמטרים'!$N$5,IF(EXACT(P41,'טבלת פרמטרים'!$M$6),'טבלת פרמטרים'!$N$6,IF(EXACT(P41,'טבלת פרמטרים'!$M$7),'טבלת פרמטרים'!$N$7,IF(EXACT(P41,'טבלת פרמטרים'!$M$8),'טבלת פרמטרים'!$N$8,IF(EXACT(P41,'טבלת פרמטרים'!$M$9),'טבלת פרמטרים'!$N$9,""))))))))</f>
        <v>0</v>
      </c>
      <c r="T41" s="19">
        <f>IF(EXACT(Q41,'טבלת פרמטרים'!$O$2),'טבלת פרמטרים'!$P$2,IF(EXACT(Q41,'טבלת פרמטרים'!$O$3),'טבלת פרמטרים'!$P$3,IF(EXACT(Q41,'טבלת פרמטרים'!$O$4),'טבלת פרמטרים'!$P$4,IF(EXACT(Q41,'טבלת פרמטרים'!$O$5),'טבלת פרמטרים'!$P$5,IF(EXACT(Q41,'טבלת פרמטרים'!$O$6),'טבלת פרמטרים'!$P$6,IF(EXACT(Q41,'טבלת פרמטרים'!$O$7),'טבלת פרמטרים'!$P$7,""))))))</f>
        <v>0</v>
      </c>
    </row>
    <row r="42" spans="1:20" x14ac:dyDescent="0.2">
      <c r="A42" s="18">
        <v>41</v>
      </c>
      <c r="B42" s="30">
        <v>43023</v>
      </c>
      <c r="D42" s="21" t="s">
        <v>13</v>
      </c>
      <c r="E42" s="21" t="s">
        <v>21</v>
      </c>
      <c r="F42" s="21" t="s">
        <v>23</v>
      </c>
      <c r="G42" s="21" t="s">
        <v>26</v>
      </c>
      <c r="H42" s="21" t="s">
        <v>30</v>
      </c>
      <c r="I42" s="21" t="s">
        <v>127</v>
      </c>
      <c r="J42" s="21" t="s">
        <v>35</v>
      </c>
      <c r="K42" s="21" t="s">
        <v>48</v>
      </c>
      <c r="L42" s="21" t="s">
        <v>51</v>
      </c>
      <c r="M42" s="21" t="s">
        <v>55</v>
      </c>
      <c r="N42" s="21" t="s">
        <v>58</v>
      </c>
      <c r="O42" s="19">
        <f>IF(ISBLANK(D42),"",IF(D42='טבלת פרמטרים'!$A$9,1,0)+IF(E42='טבלת פרמטרים'!$B$5,2,1)+IF(F42='טבלת פרמטרים'!$C$5,3,IF(F42='טבלת פרמטרים'!$C$4,1,0))+IF(G42='טבלת פרמטרים'!$D$3,2,0)+IF(M42='טבלת פרמטרים'!$J$4,2,IF(M42='טבלת פרמטרים'!$J$3,1,0))+IF(N42='טבלת פרמטרים'!$K$6,3,IF(OR(N42='טבלת פרמטרים'!$K$4,N42='טבלת פרמטרים'!$K$5),2,IF(N42='טבלת פרמטרים'!$K$3,1,0))))</f>
        <v>4</v>
      </c>
      <c r="R42" s="19">
        <f t="shared" si="0"/>
        <v>4</v>
      </c>
      <c r="S42" s="19" t="str">
        <f>IF(EXACT(P42,'טבלת פרמטרים'!$M$2),'טבלת פרמטרים'!$N$2,IF(EXACT(P42,'טבלת פרמטרים'!$M$3),'טבלת פרמטרים'!$N$3,IF(EXACT(P42,'טבלת פרמטרים'!$M$4),'טבלת פרמטרים'!$N$4,IF(EXACT(P42,'טבלת פרמטרים'!$M$5),'טבלת פרמטרים'!$N$5,IF(EXACT(P42,'טבלת פרמטרים'!$M$6),'טבלת פרמטרים'!$N$6,IF(EXACT(P42,'טבלת פרמטרים'!$M$7),'טבלת פרמטרים'!$N$7,IF(EXACT(P42,'טבלת פרמטרים'!$M$8),'טבלת פרמטרים'!$N$8,IF(EXACT(P42,'טבלת פרמטרים'!$M$9),'טבלת פרמטרים'!$N$9,""))))))))</f>
        <v/>
      </c>
      <c r="T42" s="19" t="str">
        <f>IF(EXACT(Q42,'טבלת פרמטרים'!$O$2),'טבלת פרמטרים'!$P$2,IF(EXACT(Q42,'טבלת פרמטרים'!$O$3),'טבלת פרמטרים'!$P$3,IF(EXACT(Q42,'טבלת פרמטרים'!$O$4),'טבלת פרמטרים'!$P$4,IF(EXACT(Q42,'טבלת פרמטרים'!$O$5),'טבלת פרמטרים'!$P$5,IF(EXACT(Q42,'טבלת פרמטרים'!$O$6),'טבלת פרמטרים'!$P$6,IF(EXACT(Q42,'טבלת פרמטרים'!$O$7),'טבלת פרמטרים'!$P$7,""))))))</f>
        <v/>
      </c>
    </row>
    <row r="43" spans="1:20" ht="28.5" x14ac:dyDescent="0.2">
      <c r="A43" s="18">
        <v>42</v>
      </c>
      <c r="B43" s="30">
        <v>43018</v>
      </c>
      <c r="D43" s="21" t="s">
        <v>17</v>
      </c>
      <c r="E43" s="21" t="s">
        <v>22</v>
      </c>
      <c r="F43" s="21" t="s">
        <v>24</v>
      </c>
      <c r="G43" s="21" t="s">
        <v>26</v>
      </c>
      <c r="H43" s="21" t="s">
        <v>29</v>
      </c>
      <c r="I43" s="21" t="s">
        <v>126</v>
      </c>
      <c r="J43" s="21" t="s">
        <v>33</v>
      </c>
      <c r="K43" s="21" t="s">
        <v>44</v>
      </c>
      <c r="L43" s="21" t="s">
        <v>51</v>
      </c>
      <c r="M43" s="21" t="s">
        <v>55</v>
      </c>
      <c r="N43" s="21" t="s">
        <v>59</v>
      </c>
      <c r="O43" s="19">
        <f>IF(ISBLANK(D43),"",IF(D43='טבלת פרמטרים'!$A$9,1,0)+IF(E43='טבלת פרמטרים'!$B$5,2,1)+IF(F43='טבלת פרמטרים'!$C$5,3,IF(F43='טבלת פרמטרים'!$C$4,1,0))+IF(G43='טבלת פרמטרים'!$D$3,2,0)+IF(M43='טבלת פרמטרים'!$J$4,2,IF(M43='טבלת פרמטרים'!$J$3,1,0))+IF(N43='טבלת פרמטרים'!$K$6,3,IF(OR(N43='טבלת פרמטרים'!$K$4,N43='טבלת פרמטרים'!$K$5),2,IF(N43='טבלת פרמטרים'!$K$3,1,0))))</f>
        <v>8</v>
      </c>
      <c r="P43" s="20" t="s">
        <v>115</v>
      </c>
      <c r="Q43" s="20" t="s">
        <v>329</v>
      </c>
      <c r="R43" s="19">
        <f t="shared" si="0"/>
        <v>9</v>
      </c>
      <c r="S43" s="19">
        <f>IF(EXACT(P43,'טבלת פרמטרים'!$M$2),'טבלת פרמטרים'!$N$2,IF(EXACT(P43,'טבלת פרמטרים'!$M$3),'טבלת פרמטרים'!$N$3,IF(EXACT(P43,'טבלת פרמטרים'!$M$4),'טבלת פרמטרים'!$N$4,IF(EXACT(P43,'טבלת פרמטרים'!$M$5),'טבלת פרמטרים'!$N$5,IF(EXACT(P43,'טבלת פרמטרים'!$M$6),'טבלת פרמטרים'!$N$6,IF(EXACT(P43,'טבלת פרמטרים'!$M$7),'טבלת פרמטרים'!$N$7,IF(EXACT(P43,'טבלת פרמטרים'!$M$8),'טבלת פרמטרים'!$N$8,IF(EXACT(P43,'טבלת פרמטרים'!$M$9),'טבלת פרמטרים'!$N$9,""))))))))</f>
        <v>0</v>
      </c>
      <c r="T43" s="19">
        <f>IF(EXACT(Q43,'טבלת פרמטרים'!$O$2),'טבלת פרמטרים'!$P$2,IF(EXACT(Q43,'טבלת פרמטרים'!$O$3),'טבלת פרמטרים'!$P$3,IF(EXACT(Q43,'טבלת פרמטרים'!$O$4),'טבלת פרמטרים'!$P$4,IF(EXACT(Q43,'טבלת פרמטרים'!$O$5),'טבלת פרמטרים'!$P$5,IF(EXACT(Q43,'טבלת פרמטרים'!$O$6),'טבלת פרמטרים'!$P$6,IF(EXACT(Q43,'טבלת פרמטרים'!$O$7),'טבלת פרמטרים'!$P$7,""))))))</f>
        <v>1</v>
      </c>
    </row>
    <row r="44" spans="1:20" x14ac:dyDescent="0.2">
      <c r="A44" s="18">
        <v>43</v>
      </c>
      <c r="B44" s="30">
        <v>43051</v>
      </c>
      <c r="D44" s="21" t="s">
        <v>15</v>
      </c>
      <c r="E44" s="21" t="s">
        <v>20</v>
      </c>
      <c r="F44" s="21" t="s">
        <v>23</v>
      </c>
      <c r="G44" s="21" t="s">
        <v>27</v>
      </c>
      <c r="H44" s="21" t="s">
        <v>29</v>
      </c>
      <c r="I44" s="21" t="s">
        <v>126</v>
      </c>
      <c r="J44" s="21" t="s">
        <v>35</v>
      </c>
      <c r="K44" s="21" t="s">
        <v>43</v>
      </c>
      <c r="L44" s="21" t="s">
        <v>51</v>
      </c>
      <c r="M44" s="21" t="s">
        <v>55</v>
      </c>
      <c r="N44" s="21" t="s">
        <v>58</v>
      </c>
      <c r="O44" s="19">
        <f>IF(ISBLANK(D44),"",IF(D44='טבלת פרמטרים'!$A$9,1,0)+IF(E44='טבלת פרמטרים'!$B$5,2,1)+IF(F44='טבלת פרמטרים'!$C$5,3,IF(F44='טבלת פרמטרים'!$C$4,1,0))+IF(G44='טבלת פרמטרים'!$D$3,2,0)+IF(M44='טבלת פרמטרים'!$J$4,2,IF(M44='טבלת פרמטרים'!$J$3,1,0))+IF(N44='טבלת פרמטרים'!$K$6,3,IF(OR(N44='טבלת פרמטרים'!$K$4,N44='טבלת פרמטרים'!$K$5),2,IF(N44='טבלת פרמטרים'!$K$3,1,0))))</f>
        <v>6</v>
      </c>
      <c r="P44" s="20" t="s">
        <v>115</v>
      </c>
      <c r="Q44" s="20" t="s">
        <v>123</v>
      </c>
      <c r="R44" s="19">
        <f t="shared" si="0"/>
        <v>6</v>
      </c>
      <c r="S44" s="19">
        <f>IF(EXACT(P44,'טבלת פרמטרים'!$M$2),'טבלת פרמטרים'!$N$2,IF(EXACT(P44,'טבלת פרמטרים'!$M$3),'טבלת פרמטרים'!$N$3,IF(EXACT(P44,'טבלת פרמטרים'!$M$4),'טבלת פרמטרים'!$N$4,IF(EXACT(P44,'טבלת פרמטרים'!$M$5),'טבלת פרמטרים'!$N$5,IF(EXACT(P44,'טבלת פרמטרים'!$M$6),'טבלת פרמטרים'!$N$6,IF(EXACT(P44,'טבלת פרמטרים'!$M$7),'טבלת פרמטרים'!$N$7,IF(EXACT(P44,'טבלת פרמטרים'!$M$8),'טבלת פרמטרים'!$N$8,IF(EXACT(P44,'טבלת פרמטרים'!$M$9),'טבלת פרמטרים'!$N$9,""))))))))</f>
        <v>0</v>
      </c>
      <c r="T44" s="19">
        <f>IF(EXACT(Q44,'טבלת פרמטרים'!$O$2),'טבלת פרמטרים'!$P$2,IF(EXACT(Q44,'טבלת פרמטרים'!$O$3),'טבלת פרמטרים'!$P$3,IF(EXACT(Q44,'טבלת פרמטרים'!$O$4),'טבלת פרמטרים'!$P$4,IF(EXACT(Q44,'טבלת פרמטרים'!$O$5),'טבלת פרמטרים'!$P$5,IF(EXACT(Q44,'טבלת פרמטרים'!$O$6),'טבלת פרמטרים'!$P$6,IF(EXACT(Q44,'טבלת פרמטרים'!$O$7),'טבלת פרמטרים'!$P$7,""))))))</f>
        <v>0</v>
      </c>
    </row>
    <row r="45" spans="1:20" x14ac:dyDescent="0.2">
      <c r="A45" s="18">
        <v>44</v>
      </c>
      <c r="B45" s="30">
        <v>43076</v>
      </c>
      <c r="D45" s="21" t="s">
        <v>17</v>
      </c>
      <c r="E45" s="21" t="s">
        <v>20</v>
      </c>
      <c r="F45" s="21" t="s">
        <v>23</v>
      </c>
      <c r="G45" s="21" t="s">
        <v>27</v>
      </c>
      <c r="H45" s="21" t="s">
        <v>30</v>
      </c>
      <c r="I45" s="21" t="s">
        <v>127</v>
      </c>
      <c r="J45" s="21" t="s">
        <v>35</v>
      </c>
      <c r="K45" s="21" t="s">
        <v>43</v>
      </c>
      <c r="L45" s="21" t="s">
        <v>51</v>
      </c>
      <c r="M45" s="21" t="s">
        <v>54</v>
      </c>
      <c r="N45" s="21" t="s">
        <v>58</v>
      </c>
      <c r="O45" s="19">
        <f>IF(ISBLANK(D45),"",IF(D45='טבלת פרמטרים'!$A$9,1,0)+IF(E45='טבלת פרמטרים'!$B$5,2,1)+IF(F45='טבלת פרמטרים'!$C$5,3,IF(F45='טבלת פרמטרים'!$C$4,1,0))+IF(G45='טבלת פרמטרים'!$D$3,2,0)+IF(M45='טבלת פרמטרים'!$J$4,2,IF(M45='טבלת פרמטרים'!$J$3,1,0))+IF(N45='טבלת פרמטרים'!$K$6,3,IF(OR(N45='טבלת פרמטרים'!$K$4,N45='טבלת פרמטרים'!$K$5),2,IF(N45='טבלת פרמטרים'!$K$3,1,0))))</f>
        <v>6</v>
      </c>
      <c r="P45" s="20" t="s">
        <v>115</v>
      </c>
      <c r="Q45" s="20" t="s">
        <v>123</v>
      </c>
      <c r="R45" s="19">
        <f t="shared" si="0"/>
        <v>6</v>
      </c>
      <c r="S45" s="19">
        <f>IF(EXACT(P45,'טבלת פרמטרים'!$M$2),'טבלת פרמטרים'!$N$2,IF(EXACT(P45,'טבלת פרמטרים'!$M$3),'טבלת פרמטרים'!$N$3,IF(EXACT(P45,'טבלת פרמטרים'!$M$4),'טבלת פרמטרים'!$N$4,IF(EXACT(P45,'טבלת פרמטרים'!$M$5),'טבלת פרמטרים'!$N$5,IF(EXACT(P45,'טבלת פרמטרים'!$M$6),'טבלת פרמטרים'!$N$6,IF(EXACT(P45,'טבלת פרמטרים'!$M$7),'טבלת פרמטרים'!$N$7,IF(EXACT(P45,'טבלת פרמטרים'!$M$8),'טבלת פרמטרים'!$N$8,IF(EXACT(P45,'טבלת פרמטרים'!$M$9),'טבלת פרמטרים'!$N$9,""))))))))</f>
        <v>0</v>
      </c>
      <c r="T45" s="19">
        <f>IF(EXACT(Q45,'טבלת פרמטרים'!$O$2),'טבלת פרמטרים'!$P$2,IF(EXACT(Q45,'טבלת פרמטרים'!$O$3),'טבלת פרמטרים'!$P$3,IF(EXACT(Q45,'טבלת פרמטרים'!$O$4),'טבלת פרמטרים'!$P$4,IF(EXACT(Q45,'טבלת פרמטרים'!$O$5),'טבלת פרמטרים'!$P$5,IF(EXACT(Q45,'טבלת פרמטרים'!$O$6),'טבלת פרמטרים'!$P$6,IF(EXACT(Q45,'טבלת פרמטרים'!$O$7),'טבלת פרמטרים'!$P$7,""))))))</f>
        <v>0</v>
      </c>
    </row>
    <row r="46" spans="1:20" x14ac:dyDescent="0.2">
      <c r="A46" s="18">
        <v>45</v>
      </c>
      <c r="B46" s="30">
        <v>43065</v>
      </c>
      <c r="D46" s="21" t="s">
        <v>11</v>
      </c>
      <c r="E46" s="21" t="s">
        <v>20</v>
      </c>
      <c r="F46" s="21" t="s">
        <v>23</v>
      </c>
      <c r="G46" s="21" t="s">
        <v>26</v>
      </c>
      <c r="H46" s="21" t="s">
        <v>30</v>
      </c>
      <c r="I46" s="21" t="s">
        <v>126</v>
      </c>
      <c r="J46" s="21" t="s">
        <v>11</v>
      </c>
      <c r="K46" s="21" t="s">
        <v>45</v>
      </c>
      <c r="L46" s="21" t="s">
        <v>51</v>
      </c>
      <c r="M46" s="21" t="s">
        <v>53</v>
      </c>
      <c r="N46" s="21" t="s">
        <v>58</v>
      </c>
      <c r="O46" s="19">
        <f>IF(ISBLANK(D46),"",IF(D46='טבלת פרמטרים'!$A$9,1,0)+IF(E46='טבלת פרמטרים'!$B$5,2,1)+IF(F46='טבלת פרמטרים'!$C$5,3,IF(F46='טבלת פרמטרים'!$C$4,1,0))+IF(G46='טבלת פרמטרים'!$D$3,2,0)+IF(M46='טבלת פרמטרים'!$J$4,2,IF(M46='טבלת פרמטרים'!$J$3,1,0))+IF(N46='טבלת פרמטרים'!$K$6,3,IF(OR(N46='טבלת פרמטרים'!$K$4,N46='טבלת פרמטרים'!$K$5),2,IF(N46='טבלת פרמטרים'!$K$3,1,0))))</f>
        <v>2</v>
      </c>
      <c r="P46" s="20" t="s">
        <v>115</v>
      </c>
      <c r="Q46" s="20" t="s">
        <v>123</v>
      </c>
      <c r="R46" s="19">
        <f t="shared" si="0"/>
        <v>2</v>
      </c>
      <c r="S46" s="19">
        <f>IF(EXACT(P46,'טבלת פרמטרים'!$M$2),'טבלת פרמטרים'!$N$2,IF(EXACT(P46,'טבלת פרמטרים'!$M$3),'טבלת פרמטרים'!$N$3,IF(EXACT(P46,'טבלת פרמטרים'!$M$4),'טבלת פרמטרים'!$N$4,IF(EXACT(P46,'טבלת פרמטרים'!$M$5),'טבלת פרמטרים'!$N$5,IF(EXACT(P46,'טבלת פרמטרים'!$M$6),'טבלת פרמטרים'!$N$6,IF(EXACT(P46,'טבלת פרמטרים'!$M$7),'טבלת פרמטרים'!$N$7,IF(EXACT(P46,'טבלת פרמטרים'!$M$8),'טבלת פרמטרים'!$N$8,IF(EXACT(P46,'טבלת פרמטרים'!$M$9),'טבלת פרמטרים'!$N$9,""))))))))</f>
        <v>0</v>
      </c>
      <c r="T46" s="19">
        <f>IF(EXACT(Q46,'טבלת פרמטרים'!$O$2),'טבלת פרמטרים'!$P$2,IF(EXACT(Q46,'טבלת פרמטרים'!$O$3),'טבלת פרמטרים'!$P$3,IF(EXACT(Q46,'טבלת פרמטרים'!$O$4),'טבלת פרמטרים'!$P$4,IF(EXACT(Q46,'טבלת פרמטרים'!$O$5),'טבלת פרמטרים'!$P$5,IF(EXACT(Q46,'טבלת פרמטרים'!$O$6),'טבלת פרמטרים'!$P$6,IF(EXACT(Q46,'טבלת פרמטרים'!$O$7),'טבלת פרמטרים'!$P$7,""))))))</f>
        <v>0</v>
      </c>
    </row>
    <row r="47" spans="1:20" x14ac:dyDescent="0.2">
      <c r="A47" s="18">
        <v>46</v>
      </c>
      <c r="B47" s="30">
        <v>43116</v>
      </c>
      <c r="D47" s="21" t="s">
        <v>16</v>
      </c>
      <c r="E47" s="21" t="s">
        <v>111</v>
      </c>
      <c r="F47" s="21" t="s">
        <v>23</v>
      </c>
      <c r="G47" s="21" t="s">
        <v>26</v>
      </c>
      <c r="H47" s="21" t="s">
        <v>31</v>
      </c>
      <c r="I47" s="21" t="s">
        <v>126</v>
      </c>
      <c r="J47" s="21" t="s">
        <v>35</v>
      </c>
      <c r="K47" s="21" t="s">
        <v>44</v>
      </c>
      <c r="L47" s="21" t="s">
        <v>51</v>
      </c>
      <c r="M47" s="21" t="s">
        <v>54</v>
      </c>
      <c r="N47" s="21" t="s">
        <v>58</v>
      </c>
      <c r="O47" s="19">
        <f>IF(ISBLANK(D47),"",IF(D47='טבלת פרמטרים'!$A$9,1,0)+IF(E47='טבלת פרמטרים'!$B$5,2,1)+IF(F47='טבלת פרמטרים'!$C$5,3,IF(F47='טבלת פרמטרים'!$C$4,1,0))+IF(G47='טבלת פרמטרים'!$D$3,2,0)+IF(M47='טבלת פרמטרים'!$J$4,2,IF(M47='טבלת פרמטרים'!$J$3,1,0))+IF(N47='טבלת פרמטרים'!$K$6,3,IF(OR(N47='טבלת פרמטרים'!$K$4,N47='טבלת פרמטרים'!$K$5),2,IF(N47='טבלת פרמטרים'!$K$3,1,0))))</f>
        <v>3</v>
      </c>
      <c r="P47" s="20" t="s">
        <v>115</v>
      </c>
      <c r="Q47" s="20" t="s">
        <v>123</v>
      </c>
      <c r="R47" s="19">
        <f t="shared" si="0"/>
        <v>3</v>
      </c>
      <c r="S47" s="19">
        <f>IF(EXACT(P47,'טבלת פרמטרים'!$M$2),'טבלת פרמטרים'!$N$2,IF(EXACT(P47,'טבלת פרמטרים'!$M$3),'טבלת פרמטרים'!$N$3,IF(EXACT(P47,'טבלת פרמטרים'!$M$4),'טבלת פרמטרים'!$N$4,IF(EXACT(P47,'טבלת פרמטרים'!$M$5),'טבלת פרמטרים'!$N$5,IF(EXACT(P47,'טבלת פרמטרים'!$M$6),'טבלת פרמטרים'!$N$6,IF(EXACT(P47,'טבלת פרמטרים'!$M$7),'טבלת פרמטרים'!$N$7,IF(EXACT(P47,'טבלת פרמטרים'!$M$8),'טבלת פרמטרים'!$N$8,IF(EXACT(P47,'טבלת פרמטרים'!$M$9),'טבלת פרמטרים'!$N$9,""))))))))</f>
        <v>0</v>
      </c>
      <c r="T47" s="19">
        <f>IF(EXACT(Q47,'טבלת פרמטרים'!$O$2),'טבלת פרמטרים'!$P$2,IF(EXACT(Q47,'טבלת פרמטרים'!$O$3),'טבלת פרמטרים'!$P$3,IF(EXACT(Q47,'טבלת פרמטרים'!$O$4),'טבלת פרמטרים'!$P$4,IF(EXACT(Q47,'טבלת פרמטרים'!$O$5),'טבלת פרמטרים'!$P$5,IF(EXACT(Q47,'טבלת פרמטרים'!$O$6),'טבלת פרמטרים'!$P$6,IF(EXACT(Q47,'טבלת פרמטרים'!$O$7),'טבלת פרמטרים'!$P$7,""))))))</f>
        <v>0</v>
      </c>
    </row>
    <row r="48" spans="1:20" x14ac:dyDescent="0.2">
      <c r="A48" s="18">
        <v>47</v>
      </c>
      <c r="B48" s="30">
        <v>43070</v>
      </c>
      <c r="D48" s="21" t="s">
        <v>17</v>
      </c>
      <c r="E48" s="21" t="s">
        <v>22</v>
      </c>
      <c r="F48" s="21" t="s">
        <v>24</v>
      </c>
      <c r="G48" s="21" t="s">
        <v>27</v>
      </c>
      <c r="H48" s="21" t="s">
        <v>31</v>
      </c>
      <c r="I48" s="21" t="s">
        <v>126</v>
      </c>
      <c r="J48" s="21" t="s">
        <v>33</v>
      </c>
      <c r="K48" s="21" t="s">
        <v>44</v>
      </c>
      <c r="L48" s="21" t="s">
        <v>51</v>
      </c>
      <c r="M48" s="21" t="s">
        <v>55</v>
      </c>
      <c r="N48" s="21" t="s">
        <v>59</v>
      </c>
      <c r="O48" s="19">
        <f>IF(ISBLANK(D48),"",IF(D48='טבלת פרמטרים'!$A$9,1,0)+IF(E48='טבלת פרמטרים'!$B$5,2,1)+IF(F48='טבלת פרמטרים'!$C$5,3,IF(F48='טבלת פרמטרים'!$C$4,1,0))+IF(G48='טבלת פרמטרים'!$D$3,2,0)+IF(M48='טבלת פרמטרים'!$J$4,2,IF(M48='טבלת פרמטרים'!$J$3,1,0))+IF(N48='טבלת פרמטרים'!$K$6,3,IF(OR(N48='טבלת פרמטרים'!$K$4,N48='טבלת פרמטרים'!$K$5),2,IF(N48='טבלת פרמטרים'!$K$3,1,0))))</f>
        <v>10</v>
      </c>
      <c r="R48" s="19">
        <f t="shared" si="0"/>
        <v>10</v>
      </c>
      <c r="S48" s="19" t="str">
        <f>IF(EXACT(P48,'טבלת פרמטרים'!$M$2),'טבלת פרמטרים'!$N$2,IF(EXACT(P48,'טבלת פרמטרים'!$M$3),'טבלת פרמטרים'!$N$3,IF(EXACT(P48,'טבלת פרמטרים'!$M$4),'טבלת פרמטרים'!$N$4,IF(EXACT(P48,'טבלת פרמטרים'!$M$5),'טבלת פרמטרים'!$N$5,IF(EXACT(P48,'טבלת פרמטרים'!$M$6),'טבלת פרמטרים'!$N$6,IF(EXACT(P48,'טבלת פרמטרים'!$M$7),'טבלת פרמטרים'!$N$7,IF(EXACT(P48,'טבלת פרמטרים'!$M$8),'טבלת פרמטרים'!$N$8,IF(EXACT(P48,'טבלת פרמטרים'!$M$9),'טבלת פרמטרים'!$N$9,""))))))))</f>
        <v/>
      </c>
      <c r="T48" s="19" t="str">
        <f>IF(EXACT(Q48,'טבלת פרמטרים'!$O$2),'טבלת פרמטרים'!$P$2,IF(EXACT(Q48,'טבלת פרמטרים'!$O$3),'טבלת פרמטרים'!$P$3,IF(EXACT(Q48,'טבלת פרמטרים'!$O$4),'טבלת פרמטרים'!$P$4,IF(EXACT(Q48,'טבלת פרמטרים'!$O$5),'טבלת פרמטרים'!$P$5,IF(EXACT(Q48,'טבלת פרמטרים'!$O$6),'טבלת פרמטרים'!$P$6,IF(EXACT(Q48,'טבלת פרמטרים'!$O$7),'טבלת פרמטרים'!$P$7,""))))))</f>
        <v/>
      </c>
    </row>
    <row r="49" spans="1:20" x14ac:dyDescent="0.2">
      <c r="A49" s="18">
        <v>48</v>
      </c>
      <c r="B49" s="30">
        <v>43107</v>
      </c>
      <c r="D49" s="21" t="s">
        <v>17</v>
      </c>
      <c r="E49" s="21" t="s">
        <v>20</v>
      </c>
      <c r="F49" s="21" t="s">
        <v>23</v>
      </c>
      <c r="G49" s="21" t="s">
        <v>26</v>
      </c>
      <c r="H49" s="21" t="s">
        <v>31</v>
      </c>
      <c r="I49" s="21" t="s">
        <v>126</v>
      </c>
      <c r="J49" s="21" t="s">
        <v>35</v>
      </c>
      <c r="K49" s="21" t="s">
        <v>43</v>
      </c>
      <c r="L49" s="21" t="s">
        <v>51</v>
      </c>
      <c r="M49" s="21" t="s">
        <v>55</v>
      </c>
      <c r="N49" s="21" t="s">
        <v>58</v>
      </c>
      <c r="O49" s="19">
        <f>IF(ISBLANK(D49),"",IF(D49='טבלת פרמטרים'!$A$9,1,0)+IF(E49='טבלת פרמטרים'!$B$5,2,1)+IF(F49='טבלת פרמטרים'!$C$5,3,IF(F49='טבלת פרמטרים'!$C$4,1,0))+IF(G49='טבלת פרמטרים'!$D$3,2,0)+IF(M49='טבלת פרמטרים'!$J$4,2,IF(M49='טבלת פרמטרים'!$J$3,1,0))+IF(N49='טבלת פרמטרים'!$K$6,3,IF(OR(N49='טבלת פרמטרים'!$K$4,N49='טבלת פרמטרים'!$K$5),2,IF(N49='טבלת פרמטרים'!$K$3,1,0))))</f>
        <v>5</v>
      </c>
      <c r="P49" s="20" t="s">
        <v>115</v>
      </c>
      <c r="Q49" s="20" t="s">
        <v>123</v>
      </c>
      <c r="R49" s="19">
        <f t="shared" si="0"/>
        <v>5</v>
      </c>
      <c r="S49" s="19">
        <f>IF(EXACT(P49,'טבלת פרמטרים'!$M$2),'טבלת פרמטרים'!$N$2,IF(EXACT(P49,'טבלת פרמטרים'!$M$3),'טבלת פרמטרים'!$N$3,IF(EXACT(P49,'טבלת פרמטרים'!$M$4),'טבלת פרמטרים'!$N$4,IF(EXACT(P49,'טבלת פרמטרים'!$M$5),'טבלת פרמטרים'!$N$5,IF(EXACT(P49,'טבלת פרמטרים'!$M$6),'טבלת פרמטרים'!$N$6,IF(EXACT(P49,'טבלת פרמטרים'!$M$7),'טבלת פרמטרים'!$N$7,IF(EXACT(P49,'טבלת פרמטרים'!$M$8),'טבלת פרמטרים'!$N$8,IF(EXACT(P49,'טבלת פרמטרים'!$M$9),'טבלת פרמטרים'!$N$9,""))))))))</f>
        <v>0</v>
      </c>
      <c r="T49" s="19">
        <f>IF(EXACT(Q49,'טבלת פרמטרים'!$O$2),'טבלת פרמטרים'!$P$2,IF(EXACT(Q49,'טבלת פרמטרים'!$O$3),'טבלת פרמטרים'!$P$3,IF(EXACT(Q49,'טבלת פרמטרים'!$O$4),'טבלת פרמטרים'!$P$4,IF(EXACT(Q49,'טבלת פרמטרים'!$O$5),'טבלת פרמטרים'!$P$5,IF(EXACT(Q49,'טבלת פרמטרים'!$O$6),'טבלת פרמטרים'!$P$6,IF(EXACT(Q49,'טבלת פרמטרים'!$O$7),'טבלת פרמטרים'!$P$7,""))))))</f>
        <v>0</v>
      </c>
    </row>
    <row r="50" spans="1:20" x14ac:dyDescent="0.2">
      <c r="A50" s="18">
        <v>49</v>
      </c>
      <c r="B50" s="30">
        <v>43101</v>
      </c>
      <c r="D50" s="21" t="s">
        <v>19</v>
      </c>
      <c r="E50" s="21" t="s">
        <v>111</v>
      </c>
      <c r="F50" s="21" t="s">
        <v>23</v>
      </c>
      <c r="G50" s="21" t="s">
        <v>26</v>
      </c>
      <c r="H50" s="21" t="s">
        <v>30</v>
      </c>
      <c r="I50" s="21" t="s">
        <v>127</v>
      </c>
      <c r="J50" s="21" t="s">
        <v>35</v>
      </c>
      <c r="K50" s="21" t="s">
        <v>48</v>
      </c>
      <c r="L50" s="21" t="s">
        <v>50</v>
      </c>
      <c r="M50" s="21" t="s">
        <v>53</v>
      </c>
      <c r="N50" s="21" t="s">
        <v>59</v>
      </c>
      <c r="O50" s="19">
        <f>IF(ISBLANK(D50),"",IF(D50='טבלת פרמטרים'!$A$9,1,0)+IF(E50='טבלת פרמטרים'!$B$5,2,1)+IF(F50='טבלת פרמטרים'!$C$5,3,IF(F50='טבלת פרמטרים'!$C$4,1,0))+IF(G50='טבלת פרמטרים'!$D$3,2,0)+IF(M50='טבלת פרמטרים'!$J$4,2,IF(M50='טבלת פרמטרים'!$J$3,1,0))+IF(N50='טבלת פרמטרים'!$K$6,3,IF(OR(N50='טבלת פרמטרים'!$K$4,N50='טבלת פרמטרים'!$K$5),2,IF(N50='טבלת פרמטרים'!$K$3,1,0))))</f>
        <v>3</v>
      </c>
      <c r="P50" s="20" t="s">
        <v>115</v>
      </c>
      <c r="Q50" s="20" t="s">
        <v>123</v>
      </c>
      <c r="R50" s="19">
        <f t="shared" si="0"/>
        <v>3</v>
      </c>
      <c r="S50" s="19">
        <f>IF(EXACT(P50,'טבלת פרמטרים'!$M$2),'טבלת פרמטרים'!$N$2,IF(EXACT(P50,'טבלת פרמטרים'!$M$3),'טבלת פרמטרים'!$N$3,IF(EXACT(P50,'טבלת פרמטרים'!$M$4),'טבלת פרמטרים'!$N$4,IF(EXACT(P50,'טבלת פרמטרים'!$M$5),'טבלת פרמטרים'!$N$5,IF(EXACT(P50,'טבלת פרמטרים'!$M$6),'טבלת פרמטרים'!$N$6,IF(EXACT(P50,'טבלת פרמטרים'!$M$7),'טבלת פרמטרים'!$N$7,IF(EXACT(P50,'טבלת פרמטרים'!$M$8),'טבלת פרמטרים'!$N$8,IF(EXACT(P50,'טבלת פרמטרים'!$M$9),'טבלת פרמטרים'!$N$9,""))))))))</f>
        <v>0</v>
      </c>
      <c r="T50" s="19">
        <f>IF(EXACT(Q50,'טבלת פרמטרים'!$O$2),'טבלת פרמטרים'!$P$2,IF(EXACT(Q50,'טבלת פרמטרים'!$O$3),'טבלת פרמטרים'!$P$3,IF(EXACT(Q50,'טבלת פרמטרים'!$O$4),'טבלת פרמטרים'!$P$4,IF(EXACT(Q50,'טבלת פרמטרים'!$O$5),'טבלת פרמטרים'!$P$5,IF(EXACT(Q50,'טבלת פרמטרים'!$O$6),'טבלת פרמטרים'!$P$6,IF(EXACT(Q50,'טבלת פרמטרים'!$O$7),'טבלת פרמטרים'!$P$7,""))))))</f>
        <v>0</v>
      </c>
    </row>
    <row r="51" spans="1:20" ht="28.5" x14ac:dyDescent="0.2">
      <c r="A51" s="18">
        <v>50</v>
      </c>
      <c r="B51" s="30">
        <v>43090</v>
      </c>
      <c r="D51" s="21" t="s">
        <v>17</v>
      </c>
      <c r="E51" s="21" t="s">
        <v>22</v>
      </c>
      <c r="F51" s="21" t="s">
        <v>24</v>
      </c>
      <c r="G51" s="21" t="s">
        <v>26</v>
      </c>
      <c r="H51" s="21" t="s">
        <v>31</v>
      </c>
      <c r="I51" s="21" t="s">
        <v>127</v>
      </c>
      <c r="J51" s="21" t="s">
        <v>35</v>
      </c>
      <c r="K51" s="21" t="s">
        <v>43</v>
      </c>
      <c r="L51" s="21" t="s">
        <v>51</v>
      </c>
      <c r="M51" s="21" t="s">
        <v>55</v>
      </c>
      <c r="N51" s="21" t="s">
        <v>59</v>
      </c>
      <c r="O51" s="19">
        <f>IF(ISBLANK(D51),"",IF(D51='טבלת פרמטרים'!$A$9,1,0)+IF(E51='טבלת פרמטרים'!$B$5,2,1)+IF(F51='טבלת פרמטרים'!$C$5,3,IF(F51='טבלת פרמטרים'!$C$4,1,0))+IF(G51='טבלת פרמטרים'!$D$3,2,0)+IF(M51='טבלת פרמטרים'!$J$4,2,IF(M51='טבלת פרמטרים'!$J$3,1,0))+IF(N51='טבלת פרמטרים'!$K$6,3,IF(OR(N51='טבלת פרמטרים'!$K$4,N51='טבלת פרמטרים'!$K$5),2,IF(N51='טבלת פרמטרים'!$K$3,1,0))))</f>
        <v>8</v>
      </c>
      <c r="P51" s="20" t="s">
        <v>115</v>
      </c>
      <c r="Q51" s="20" t="s">
        <v>329</v>
      </c>
      <c r="R51" s="19">
        <f t="shared" si="0"/>
        <v>9</v>
      </c>
      <c r="S51" s="19">
        <f>IF(EXACT(P51,'טבלת פרמטרים'!$M$2),'טבלת פרמטרים'!$N$2,IF(EXACT(P51,'טבלת פרמטרים'!$M$3),'טבלת פרמטרים'!$N$3,IF(EXACT(P51,'טבלת פרמטרים'!$M$4),'טבלת פרמטרים'!$N$4,IF(EXACT(P51,'טבלת פרמטרים'!$M$5),'טבלת פרמטרים'!$N$5,IF(EXACT(P51,'טבלת פרמטרים'!$M$6),'טבלת פרמטרים'!$N$6,IF(EXACT(P51,'טבלת פרמטרים'!$M$7),'טבלת פרמטרים'!$N$7,IF(EXACT(P51,'טבלת פרמטרים'!$M$8),'טבלת פרמטרים'!$N$8,IF(EXACT(P51,'טבלת פרמטרים'!$M$9),'טבלת פרמטרים'!$N$9,""))))))))</f>
        <v>0</v>
      </c>
      <c r="T51" s="19">
        <f>IF(EXACT(Q51,'טבלת פרמטרים'!$O$2),'טבלת פרמטרים'!$P$2,IF(EXACT(Q51,'טבלת פרמטרים'!$O$3),'טבלת פרמטרים'!$P$3,IF(EXACT(Q51,'טבלת פרמטרים'!$O$4),'טבלת פרמטרים'!$P$4,IF(EXACT(Q51,'טבלת פרמטרים'!$O$5),'טבלת פרמטרים'!$P$5,IF(EXACT(Q51,'טבלת פרמטרים'!$O$6),'טבלת פרמטרים'!$P$6,IF(EXACT(Q51,'טבלת פרמטרים'!$O$7),'טבלת פרמטרים'!$P$7,""))))))</f>
        <v>1</v>
      </c>
    </row>
    <row r="52" spans="1:20" x14ac:dyDescent="0.2">
      <c r="A52" s="18">
        <v>51</v>
      </c>
      <c r="B52" s="30">
        <v>43110</v>
      </c>
      <c r="C52" s="30">
        <v>43110</v>
      </c>
      <c r="D52" s="21" t="s">
        <v>11</v>
      </c>
      <c r="E52" s="21" t="s">
        <v>111</v>
      </c>
      <c r="F52" s="21" t="s">
        <v>23</v>
      </c>
      <c r="G52" s="21" t="s">
        <v>26</v>
      </c>
      <c r="H52" s="21" t="s">
        <v>31</v>
      </c>
      <c r="I52" s="21" t="s">
        <v>126</v>
      </c>
      <c r="J52" s="21" t="s">
        <v>11</v>
      </c>
      <c r="K52" s="21" t="s">
        <v>44</v>
      </c>
      <c r="L52" s="21" t="s">
        <v>51</v>
      </c>
      <c r="M52" s="21" t="s">
        <v>53</v>
      </c>
      <c r="N52" s="21" t="s">
        <v>57</v>
      </c>
      <c r="O52" s="19">
        <f>IF(ISBLANK(D52),"",IF(D52='טבלת פרמטרים'!$A$9,1,0)+IF(E52='טבלת פרמטרים'!$B$5,2,1)+IF(F52='טבלת פרמטרים'!$C$5,3,IF(F52='טבלת פרמטרים'!$C$4,1,0))+IF(G52='טבלת פרמטרים'!$D$3,2,0)+IF(M52='טבלת פרמטרים'!$J$4,2,IF(M52='טבלת פרמטרים'!$J$3,1,0))+IF(N52='טבלת פרמטרים'!$K$6,3,IF(OR(N52='טבלת פרמטרים'!$K$4,N52='טבלת פרמטרים'!$K$5),2,IF(N52='טבלת פרמטרים'!$K$3,1,0))))</f>
        <v>1</v>
      </c>
      <c r="P52" s="20" t="s">
        <v>115</v>
      </c>
      <c r="Q52" s="20" t="s">
        <v>123</v>
      </c>
      <c r="R52" s="19">
        <f t="shared" si="0"/>
        <v>1</v>
      </c>
      <c r="S52" s="19">
        <f>IF(EXACT(P52,'טבלת פרמטרים'!$M$2),'טבלת פרמטרים'!$N$2,IF(EXACT(P52,'טבלת פרמטרים'!$M$3),'טבלת פרמטרים'!$N$3,IF(EXACT(P52,'טבלת פרמטרים'!$M$4),'טבלת פרמטרים'!$N$4,IF(EXACT(P52,'טבלת פרמטרים'!$M$5),'טבלת פרמטרים'!$N$5,IF(EXACT(P52,'טבלת פרמטרים'!$M$6),'טבלת פרמטרים'!$N$6,IF(EXACT(P52,'טבלת פרמטרים'!$M$7),'טבלת פרמטרים'!$N$7,IF(EXACT(P52,'טבלת פרמטרים'!$M$8),'טבלת פרמטרים'!$N$8,IF(EXACT(P52,'טבלת פרמטרים'!$M$9),'טבלת פרמטרים'!$N$9,""))))))))</f>
        <v>0</v>
      </c>
      <c r="T52" s="19">
        <f>IF(EXACT(Q52,'טבלת פרמטרים'!$O$2),'טבלת פרמטרים'!$P$2,IF(EXACT(Q52,'טבלת פרמטרים'!$O$3),'טבלת פרמטרים'!$P$3,IF(EXACT(Q52,'טבלת פרמטרים'!$O$4),'טבלת פרמטרים'!$P$4,IF(EXACT(Q52,'טבלת פרמטרים'!$O$5),'טבלת פרמטרים'!$P$5,IF(EXACT(Q52,'טבלת פרמטרים'!$O$6),'טבלת פרמטרים'!$P$6,IF(EXACT(Q52,'טבלת פרמטרים'!$O$7),'טבלת פרמטרים'!$P$7,""))))))</f>
        <v>0</v>
      </c>
    </row>
    <row r="53" spans="1:20" x14ac:dyDescent="0.2">
      <c r="A53" s="18">
        <v>52</v>
      </c>
      <c r="B53" s="30">
        <v>43102</v>
      </c>
      <c r="D53" s="21" t="s">
        <v>14</v>
      </c>
      <c r="E53" s="21" t="s">
        <v>111</v>
      </c>
      <c r="F53" s="21" t="s">
        <v>23</v>
      </c>
      <c r="G53" s="21" t="s">
        <v>26</v>
      </c>
      <c r="H53" s="21" t="s">
        <v>29</v>
      </c>
      <c r="I53" s="21" t="s">
        <v>127</v>
      </c>
      <c r="J53" s="21" t="s">
        <v>35</v>
      </c>
      <c r="K53" s="21" t="s">
        <v>43</v>
      </c>
      <c r="L53" s="21" t="s">
        <v>49</v>
      </c>
      <c r="M53" s="21" t="s">
        <v>54</v>
      </c>
      <c r="N53" s="21" t="s">
        <v>57</v>
      </c>
      <c r="O53" s="19">
        <f>IF(ISBLANK(D53),"",IF(D53='טבלת פרמטרים'!$A$9,1,0)+IF(E53='טבלת פרמטרים'!$B$5,2,1)+IF(F53='טבלת פרמטרים'!$C$5,3,IF(F53='טבלת פרמטרים'!$C$4,1,0))+IF(G53='טבלת פרמטרים'!$D$3,2,0)+IF(M53='טבלת פרמטרים'!$J$4,2,IF(M53='טבלת פרמטרים'!$J$3,1,0))+IF(N53='טבלת פרמטרים'!$K$6,3,IF(OR(N53='טבלת פרמטרים'!$K$4,N53='טבלת פרמטרים'!$K$5),2,IF(N53='טבלת פרמטרים'!$K$3,1,0))))</f>
        <v>2</v>
      </c>
      <c r="P53" s="20" t="s">
        <v>115</v>
      </c>
      <c r="Q53" s="20" t="s">
        <v>123</v>
      </c>
      <c r="R53" s="19">
        <f t="shared" si="0"/>
        <v>2</v>
      </c>
      <c r="S53" s="19">
        <f>IF(EXACT(P53,'טבלת פרמטרים'!$M$2),'טבלת פרמטרים'!$N$2,IF(EXACT(P53,'טבלת פרמטרים'!$M$3),'טבלת פרמטרים'!$N$3,IF(EXACT(P53,'טבלת פרמטרים'!$M$4),'טבלת פרמטרים'!$N$4,IF(EXACT(P53,'טבלת פרמטרים'!$M$5),'טבלת פרמטרים'!$N$5,IF(EXACT(P53,'טבלת פרמטרים'!$M$6),'טבלת פרמטרים'!$N$6,IF(EXACT(P53,'טבלת פרמטרים'!$M$7),'טבלת פרמטרים'!$N$7,IF(EXACT(P53,'טבלת פרמטרים'!$M$8),'טבלת פרמטרים'!$N$8,IF(EXACT(P53,'טבלת פרמטרים'!$M$9),'טבלת פרמטרים'!$N$9,""))))))))</f>
        <v>0</v>
      </c>
      <c r="T53" s="19">
        <f>IF(EXACT(Q53,'טבלת פרמטרים'!$O$2),'טבלת פרמטרים'!$P$2,IF(EXACT(Q53,'טבלת פרמטרים'!$O$3),'טבלת פרמטרים'!$P$3,IF(EXACT(Q53,'טבלת פרמטרים'!$O$4),'טבלת פרמטרים'!$P$4,IF(EXACT(Q53,'טבלת פרמטרים'!$O$5),'טבלת פרמטרים'!$P$5,IF(EXACT(Q53,'טבלת פרמטרים'!$O$6),'טבלת פרמטרים'!$P$6,IF(EXACT(Q53,'טבלת פרמטרים'!$O$7),'טבלת פרמטרים'!$P$7,""))))))</f>
        <v>0</v>
      </c>
    </row>
    <row r="54" spans="1:20" x14ac:dyDescent="0.2">
      <c r="A54" s="18">
        <v>53</v>
      </c>
      <c r="B54" s="30">
        <v>42932</v>
      </c>
      <c r="D54" s="21" t="s">
        <v>17</v>
      </c>
      <c r="E54" s="21" t="s">
        <v>20</v>
      </c>
      <c r="F54" s="21" t="s">
        <v>23</v>
      </c>
      <c r="G54" s="21" t="s">
        <v>26</v>
      </c>
      <c r="H54" s="21" t="s">
        <v>28</v>
      </c>
      <c r="I54" s="21" t="s">
        <v>126</v>
      </c>
      <c r="J54" s="21" t="s">
        <v>33</v>
      </c>
      <c r="K54" s="21" t="s">
        <v>45</v>
      </c>
      <c r="L54" s="21" t="s">
        <v>51</v>
      </c>
      <c r="M54" s="21" t="s">
        <v>53</v>
      </c>
      <c r="N54" s="21" t="s">
        <v>112</v>
      </c>
      <c r="O54" s="19">
        <f>IF(ISBLANK(D54),"",IF(D54='טבלת פרמטרים'!$A$9,1,0)+IF(E54='טבלת פרמטרים'!$B$5,2,1)+IF(F54='טבלת פרמטרים'!$C$5,3,IF(F54='טבלת פרמטרים'!$C$4,1,0))+IF(G54='טבלת פרמטרים'!$D$3,2,0)+IF(M54='טבלת פרמטרים'!$J$4,2,IF(M54='טבלת פרמטרים'!$J$3,1,0))+IF(N54='טבלת פרמטרים'!$K$6,3,IF(OR(N54='טבלת פרמטרים'!$K$4,N54='טבלת פרמטרים'!$K$5),2,IF(N54='טבלת פרמטרים'!$K$3,1,0))))</f>
        <v>4</v>
      </c>
      <c r="P54" s="20" t="s">
        <v>115</v>
      </c>
      <c r="Q54" s="20" t="s">
        <v>123</v>
      </c>
      <c r="R54" s="19">
        <f t="shared" si="0"/>
        <v>4</v>
      </c>
      <c r="S54" s="19">
        <f>IF(EXACT(P54,'טבלת פרמטרים'!$M$2),'טבלת פרמטרים'!$N$2,IF(EXACT(P54,'טבלת פרמטרים'!$M$3),'טבלת פרמטרים'!$N$3,IF(EXACT(P54,'טבלת פרמטרים'!$M$4),'טבלת פרמטרים'!$N$4,IF(EXACT(P54,'טבלת פרמטרים'!$M$5),'טבלת פרמטרים'!$N$5,IF(EXACT(P54,'טבלת פרמטרים'!$M$6),'טבלת פרמטרים'!$N$6,IF(EXACT(P54,'טבלת פרמטרים'!$M$7),'טבלת פרמטרים'!$N$7,IF(EXACT(P54,'טבלת פרמטרים'!$M$8),'טבלת פרמטרים'!$N$8,IF(EXACT(P54,'טבלת פרמטרים'!$M$9),'טבלת פרמטרים'!$N$9,""))))))))</f>
        <v>0</v>
      </c>
      <c r="T54" s="19">
        <f>IF(EXACT(Q54,'טבלת פרמטרים'!$O$2),'טבלת פרמטרים'!$P$2,IF(EXACT(Q54,'טבלת פרמטרים'!$O$3),'טבלת פרמטרים'!$P$3,IF(EXACT(Q54,'טבלת פרמטרים'!$O$4),'טבלת פרמטרים'!$P$4,IF(EXACT(Q54,'טבלת פרמטרים'!$O$5),'טבלת פרמטרים'!$P$5,IF(EXACT(Q54,'טבלת פרמטרים'!$O$6),'טבלת פרמטרים'!$P$6,IF(EXACT(Q54,'טבלת פרמטרים'!$O$7),'טבלת פרמטרים'!$P$7,""))))))</f>
        <v>0</v>
      </c>
    </row>
    <row r="55" spans="1:20" ht="28.5" x14ac:dyDescent="0.2">
      <c r="A55" s="18">
        <v>54</v>
      </c>
      <c r="B55" s="30">
        <v>42904</v>
      </c>
      <c r="D55" s="21" t="s">
        <v>18</v>
      </c>
      <c r="E55" s="21" t="s">
        <v>22</v>
      </c>
      <c r="F55" s="21" t="s">
        <v>24</v>
      </c>
      <c r="G55" s="21" t="s">
        <v>27</v>
      </c>
      <c r="H55" s="21" t="s">
        <v>30</v>
      </c>
      <c r="I55" s="21" t="s">
        <v>126</v>
      </c>
      <c r="J55" s="21" t="s">
        <v>35</v>
      </c>
      <c r="K55" s="21" t="s">
        <v>44</v>
      </c>
      <c r="L55" s="21" t="s">
        <v>51</v>
      </c>
      <c r="M55" s="21" t="s">
        <v>53</v>
      </c>
      <c r="N55" s="21" t="s">
        <v>58</v>
      </c>
      <c r="O55" s="19">
        <f>IF(ISBLANK(D55),"",IF(D55='טבלת פרמטרים'!$A$9,1,0)+IF(E55='טבלת פרמטרים'!$B$5,2,1)+IF(F55='טבלת פרמטרים'!$C$5,3,IF(F55='טבלת פרמטרים'!$C$4,1,0))+IF(G55='טבלת פרמטרים'!$D$3,2,0)+IF(M55='טבלת פרמטרים'!$J$4,2,IF(M55='טבלת פרמטרים'!$J$3,1,0))+IF(N55='טבלת פרמטרים'!$K$6,3,IF(OR(N55='טבלת פרמטרים'!$K$4,N55='טבלת פרמטרים'!$K$5),2,IF(N55='טבלת פרמטרים'!$K$3,1,0))))</f>
        <v>6</v>
      </c>
      <c r="P55" s="20" t="s">
        <v>115</v>
      </c>
      <c r="Q55" s="20" t="s">
        <v>331</v>
      </c>
      <c r="R55" s="19">
        <f t="shared" si="0"/>
        <v>12</v>
      </c>
      <c r="S55" s="19">
        <f>IF(EXACT(P55,'טבלת פרמטרים'!$M$2),'טבלת פרמטרים'!$N$2,IF(EXACT(P55,'טבלת פרמטרים'!$M$3),'טבלת פרמטרים'!$N$3,IF(EXACT(P55,'טבלת פרמטרים'!$M$4),'טבלת פרמטרים'!$N$4,IF(EXACT(P55,'טבלת פרמטרים'!$M$5),'טבלת פרמטרים'!$N$5,IF(EXACT(P55,'טבלת פרמטרים'!$M$6),'טבלת פרמטרים'!$N$6,IF(EXACT(P55,'טבלת פרמטרים'!$M$7),'טבלת פרמטרים'!$N$7,IF(EXACT(P55,'טבלת פרמטרים'!$M$8),'טבלת פרמטרים'!$N$8,IF(EXACT(P55,'טבלת פרמטרים'!$M$9),'טבלת פרמטרים'!$N$9,""))))))))</f>
        <v>0</v>
      </c>
      <c r="T55" s="19">
        <f>IF(EXACT(Q55,'טבלת פרמטרים'!$O$2),'טבלת פרמטרים'!$P$2,IF(EXACT(Q55,'טבלת פרמטרים'!$O$3),'טבלת פרמטרים'!$P$3,IF(EXACT(Q55,'טבלת פרמטרים'!$O$4),'טבלת פרמטרים'!$P$4,IF(EXACT(Q55,'טבלת פרמטרים'!$O$5),'טבלת פרמטרים'!$P$5,IF(EXACT(Q55,'טבלת פרמטרים'!$O$6),'טבלת פרמטרים'!$P$6,IF(EXACT(Q55,'טבלת פרמטרים'!$O$7),'טבלת פרמטרים'!$P$7,""))))))</f>
        <v>6</v>
      </c>
    </row>
    <row r="56" spans="1:20" x14ac:dyDescent="0.2">
      <c r="A56" s="18">
        <v>55</v>
      </c>
      <c r="B56" s="30">
        <v>43107</v>
      </c>
      <c r="C56" s="30">
        <v>43107</v>
      </c>
      <c r="D56" s="21" t="s">
        <v>13</v>
      </c>
      <c r="E56" s="21" t="s">
        <v>20</v>
      </c>
      <c r="F56" s="21" t="s">
        <v>23</v>
      </c>
      <c r="G56" s="21" t="s">
        <v>26</v>
      </c>
      <c r="H56" s="21" t="s">
        <v>30</v>
      </c>
      <c r="I56" s="21" t="s">
        <v>126</v>
      </c>
      <c r="J56" s="21" t="s">
        <v>33</v>
      </c>
      <c r="K56" s="21" t="s">
        <v>45</v>
      </c>
      <c r="L56" s="21" t="s">
        <v>51</v>
      </c>
      <c r="M56" s="21" t="s">
        <v>53</v>
      </c>
      <c r="N56" s="21" t="s">
        <v>58</v>
      </c>
      <c r="O56" s="19">
        <f>IF(ISBLANK(D56),"",IF(D56='טבלת פרמטרים'!$A$9,1,0)+IF(E56='טבלת פרמטרים'!$B$5,2,1)+IF(F56='טבלת פרמטרים'!$C$5,3,IF(F56='טבלת פרמטרים'!$C$4,1,0))+IF(G56='טבלת פרמטרים'!$D$3,2,0)+IF(M56='טבלת פרמטרים'!$J$4,2,IF(M56='טבלת פרמטרים'!$J$3,1,0))+IF(N56='טבלת פרמטרים'!$K$6,3,IF(OR(N56='טבלת פרמטרים'!$K$4,N56='טבלת פרמטרים'!$K$5),2,IF(N56='טבלת פרמטרים'!$K$3,1,0))))</f>
        <v>2</v>
      </c>
      <c r="R56" s="19">
        <f t="shared" si="0"/>
        <v>2</v>
      </c>
      <c r="S56" s="19" t="str">
        <f>IF(EXACT(P56,'טבלת פרמטרים'!$M$2),'טבלת פרמטרים'!$N$2,IF(EXACT(P56,'טבלת פרמטרים'!$M$3),'טבלת פרמטרים'!$N$3,IF(EXACT(P56,'טבלת פרמטרים'!$M$4),'טבלת פרמטרים'!$N$4,IF(EXACT(P56,'טבלת פרמטרים'!$M$5),'טבלת פרמטרים'!$N$5,IF(EXACT(P56,'טבלת פרמטרים'!$M$6),'טבלת פרמטרים'!$N$6,IF(EXACT(P56,'טבלת פרמטרים'!$M$7),'טבלת פרמטרים'!$N$7,IF(EXACT(P56,'טבלת פרמטרים'!$M$8),'טבלת פרמטרים'!$N$8,IF(EXACT(P56,'טבלת פרמטרים'!$M$9),'טבלת פרמטרים'!$N$9,""))))))))</f>
        <v/>
      </c>
      <c r="T56" s="19" t="str">
        <f>IF(EXACT(Q56,'טבלת פרמטרים'!$O$2),'טבלת פרמטרים'!$P$2,IF(EXACT(Q56,'טבלת פרמטרים'!$O$3),'טבלת פרמטרים'!$P$3,IF(EXACT(Q56,'טבלת פרמטרים'!$O$4),'טבלת פרמטרים'!$P$4,IF(EXACT(Q56,'טבלת פרמטרים'!$O$5),'טבלת פרמטרים'!$P$5,IF(EXACT(Q56,'טבלת פרמטרים'!$O$6),'טבלת פרמטרים'!$P$6,IF(EXACT(Q56,'טבלת פרמטרים'!$O$7),'טבלת פרמטרים'!$P$7,""))))))</f>
        <v/>
      </c>
    </row>
    <row r="57" spans="1:20" x14ac:dyDescent="0.2">
      <c r="A57" s="18">
        <v>56</v>
      </c>
      <c r="B57" s="30">
        <v>43124</v>
      </c>
      <c r="C57" s="30">
        <v>43124</v>
      </c>
      <c r="D57" s="21" t="s">
        <v>11</v>
      </c>
      <c r="E57" s="21" t="s">
        <v>20</v>
      </c>
      <c r="F57" s="21" t="s">
        <v>23</v>
      </c>
      <c r="G57" s="21" t="s">
        <v>26</v>
      </c>
      <c r="H57" s="21" t="s">
        <v>29</v>
      </c>
      <c r="I57" s="21" t="s">
        <v>126</v>
      </c>
      <c r="J57" s="21" t="s">
        <v>11</v>
      </c>
      <c r="K57" s="21" t="s">
        <v>43</v>
      </c>
      <c r="L57" s="21" t="s">
        <v>51</v>
      </c>
      <c r="M57" s="21" t="s">
        <v>53</v>
      </c>
      <c r="N57" s="21" t="s">
        <v>58</v>
      </c>
      <c r="O57" s="19">
        <f>IF(ISBLANK(D57),"",IF(D57='טבלת פרמטרים'!$A$9,1,0)+IF(E57='טבלת פרמטרים'!$B$5,2,1)+IF(F57='טבלת פרמטרים'!$C$5,3,IF(F57='טבלת פרמטרים'!$C$4,1,0))+IF(G57='טבלת פרמטרים'!$D$3,2,0)+IF(M57='טבלת פרמטרים'!$J$4,2,IF(M57='טבלת פרמטרים'!$J$3,1,0))+IF(N57='טבלת פרמטרים'!$K$6,3,IF(OR(N57='טבלת פרמטרים'!$K$4,N57='טבלת פרמטרים'!$K$5),2,IF(N57='טבלת פרמטרים'!$K$3,1,0))))</f>
        <v>2</v>
      </c>
      <c r="R57" s="19">
        <f t="shared" si="0"/>
        <v>2</v>
      </c>
      <c r="S57" s="19" t="str">
        <f>IF(EXACT(P57,'טבלת פרמטרים'!$M$2),'טבלת פרמטרים'!$N$2,IF(EXACT(P57,'טבלת פרמטרים'!$M$3),'טבלת פרמטרים'!$N$3,IF(EXACT(P57,'טבלת פרמטרים'!$M$4),'טבלת פרמטרים'!$N$4,IF(EXACT(P57,'טבלת פרמטרים'!$M$5),'טבלת פרמטרים'!$N$5,IF(EXACT(P57,'טבלת פרמטרים'!$M$6),'טבלת פרמטרים'!$N$6,IF(EXACT(P57,'טבלת פרמטרים'!$M$7),'טבלת פרמטרים'!$N$7,IF(EXACT(P57,'טבלת פרמטרים'!$M$8),'טבלת פרמטרים'!$N$8,IF(EXACT(P57,'טבלת פרמטרים'!$M$9),'טבלת פרמטרים'!$N$9,""))))))))</f>
        <v/>
      </c>
      <c r="T57" s="19" t="str">
        <f>IF(EXACT(Q57,'טבלת פרמטרים'!$O$2),'טבלת פרמטרים'!$P$2,IF(EXACT(Q57,'טבלת פרמטרים'!$O$3),'טבלת פרמטרים'!$P$3,IF(EXACT(Q57,'טבלת פרמטרים'!$O$4),'טבלת פרמטרים'!$P$4,IF(EXACT(Q57,'טבלת פרמטרים'!$O$5),'טבלת פרמטרים'!$P$5,IF(EXACT(Q57,'טבלת פרמטרים'!$O$6),'טבלת פרמטרים'!$P$6,IF(EXACT(Q57,'טבלת פרמטרים'!$O$7),'טבלת פרמטרים'!$P$7,""))))))</f>
        <v/>
      </c>
    </row>
    <row r="58" spans="1:20" x14ac:dyDescent="0.2">
      <c r="A58" s="18">
        <v>57</v>
      </c>
      <c r="B58" s="30">
        <v>43156</v>
      </c>
      <c r="C58" s="30">
        <v>43156</v>
      </c>
      <c r="D58" s="21" t="s">
        <v>17</v>
      </c>
      <c r="E58" s="21" t="s">
        <v>22</v>
      </c>
      <c r="F58" s="21" t="s">
        <v>24</v>
      </c>
      <c r="G58" s="21" t="s">
        <v>26</v>
      </c>
      <c r="H58" s="21" t="s">
        <v>29</v>
      </c>
      <c r="I58" s="21" t="s">
        <v>126</v>
      </c>
      <c r="J58" s="21" t="s">
        <v>35</v>
      </c>
      <c r="K58" s="21" t="s">
        <v>43</v>
      </c>
      <c r="L58" s="21" t="s">
        <v>51</v>
      </c>
      <c r="M58" s="21" t="s">
        <v>53</v>
      </c>
      <c r="N58" s="21" t="s">
        <v>112</v>
      </c>
      <c r="O58" s="19">
        <f>IF(ISBLANK(D58),"",IF(D58='טבלת פרמטרים'!$A$9,1,0)+IF(E58='טבלת פרמטרים'!$B$5,2,1)+IF(F58='טבלת פרמטרים'!$C$5,3,IF(F58='טבלת פרמטרים'!$C$4,1,0))+IF(G58='טבלת פרמטרים'!$D$3,2,0)+IF(M58='טבלת פרמטרים'!$J$4,2,IF(M58='טבלת פרמטרים'!$J$3,1,0))+IF(N58='טבלת פרמטרים'!$K$6,3,IF(OR(N58='טבלת פרמטרים'!$K$4,N58='טבלת פרמטרים'!$K$5),2,IF(N58='טבלת פרמטרים'!$K$3,1,0))))</f>
        <v>6</v>
      </c>
      <c r="R58" s="19">
        <f t="shared" si="0"/>
        <v>6</v>
      </c>
      <c r="S58" s="19" t="str">
        <f>IF(EXACT(P58,'טבלת פרמטרים'!$M$2),'טבלת פרמטרים'!$N$2,IF(EXACT(P58,'טבלת פרמטרים'!$M$3),'טבלת פרמטרים'!$N$3,IF(EXACT(P58,'טבלת פרמטרים'!$M$4),'טבלת פרמטרים'!$N$4,IF(EXACT(P58,'טבלת פרמטרים'!$M$5),'טבלת פרמטרים'!$N$5,IF(EXACT(P58,'טבלת פרמטרים'!$M$6),'טבלת פרמטרים'!$N$6,IF(EXACT(P58,'טבלת פרמטרים'!$M$7),'טבלת פרמטרים'!$N$7,IF(EXACT(P58,'טבלת פרמטרים'!$M$8),'טבלת פרמטרים'!$N$8,IF(EXACT(P58,'טבלת פרמטרים'!$M$9),'טבלת פרמטרים'!$N$9,""))))))))</f>
        <v/>
      </c>
      <c r="T58" s="19" t="str">
        <f>IF(EXACT(Q58,'טבלת פרמטרים'!$O$2),'טבלת פרמטרים'!$P$2,IF(EXACT(Q58,'טבלת פרמטרים'!$O$3),'טבלת פרמטרים'!$P$3,IF(EXACT(Q58,'טבלת פרמטרים'!$O$4),'טבלת פרמטרים'!$P$4,IF(EXACT(Q58,'טבלת פרמטרים'!$O$5),'טבלת פרמטרים'!$P$5,IF(EXACT(Q58,'טבלת פרמטרים'!$O$6),'טבלת פרמטרים'!$P$6,IF(EXACT(Q58,'טבלת פרמטרים'!$O$7),'טבלת פרמטרים'!$P$7,""))))))</f>
        <v/>
      </c>
    </row>
    <row r="59" spans="1:20" x14ac:dyDescent="0.2">
      <c r="A59" s="18">
        <v>58</v>
      </c>
      <c r="B59" s="30">
        <v>43163</v>
      </c>
      <c r="C59" s="30">
        <v>43163</v>
      </c>
      <c r="D59" s="21" t="s">
        <v>14</v>
      </c>
      <c r="E59" s="21" t="s">
        <v>20</v>
      </c>
      <c r="F59" s="21" t="s">
        <v>23</v>
      </c>
      <c r="G59" s="21" t="s">
        <v>27</v>
      </c>
      <c r="H59" s="21" t="s">
        <v>30</v>
      </c>
      <c r="I59" s="21" t="s">
        <v>126</v>
      </c>
      <c r="J59" s="21" t="s">
        <v>35</v>
      </c>
      <c r="K59" s="21" t="s">
        <v>19</v>
      </c>
      <c r="L59" s="21" t="s">
        <v>51</v>
      </c>
      <c r="M59" s="21" t="s">
        <v>55</v>
      </c>
      <c r="N59" s="21" t="s">
        <v>58</v>
      </c>
      <c r="O59" s="19">
        <f>IF(ISBLANK(D59),"",IF(D59='טבלת פרמטרים'!$A$9,1,0)+IF(E59='טבלת פרמטרים'!$B$5,2,1)+IF(F59='טבלת פרמטרים'!$C$5,3,IF(F59='טבלת פרמטרים'!$C$4,1,0))+IF(G59='טבלת פרמטרים'!$D$3,2,0)+IF(M59='טבלת פרמטרים'!$J$4,2,IF(M59='טבלת פרמטרים'!$J$3,1,0))+IF(N59='טבלת פרמטרים'!$K$6,3,IF(OR(N59='טבלת פרמטרים'!$K$4,N59='טבלת פרמטרים'!$K$5),2,IF(N59='טבלת פרמטרים'!$K$3,1,0))))</f>
        <v>6</v>
      </c>
      <c r="P59" s="20" t="s">
        <v>115</v>
      </c>
      <c r="Q59" s="20" t="s">
        <v>123</v>
      </c>
      <c r="R59" s="19">
        <f t="shared" si="0"/>
        <v>6</v>
      </c>
      <c r="S59" s="19">
        <f>IF(EXACT(P59,'טבלת פרמטרים'!$M$2),'טבלת פרמטרים'!$N$2,IF(EXACT(P59,'טבלת פרמטרים'!$M$3),'טבלת פרמטרים'!$N$3,IF(EXACT(P59,'טבלת פרמטרים'!$M$4),'טבלת פרמטרים'!$N$4,IF(EXACT(P59,'טבלת פרמטרים'!$M$5),'טבלת פרמטרים'!$N$5,IF(EXACT(P59,'טבלת פרמטרים'!$M$6),'טבלת פרמטרים'!$N$6,IF(EXACT(P59,'טבלת פרמטרים'!$M$7),'טבלת פרמטרים'!$N$7,IF(EXACT(P59,'טבלת פרמטרים'!$M$8),'טבלת פרמטרים'!$N$8,IF(EXACT(P59,'טבלת פרמטרים'!$M$9),'טבלת פרמטרים'!$N$9,""))))))))</f>
        <v>0</v>
      </c>
      <c r="T59" s="19">
        <f>IF(EXACT(Q59,'טבלת פרמטרים'!$O$2),'טבלת פרמטרים'!$P$2,IF(EXACT(Q59,'טבלת פרמטרים'!$O$3),'טבלת פרמטרים'!$P$3,IF(EXACT(Q59,'טבלת פרמטרים'!$O$4),'טבלת פרמטרים'!$P$4,IF(EXACT(Q59,'טבלת פרמטרים'!$O$5),'טבלת פרמטרים'!$P$5,IF(EXACT(Q59,'טבלת פרמטרים'!$O$6),'טבלת פרמטרים'!$P$6,IF(EXACT(Q59,'טבלת פרמטרים'!$O$7),'טבלת פרמטרים'!$P$7,""))))))</f>
        <v>0</v>
      </c>
    </row>
    <row r="60" spans="1:20" x14ac:dyDescent="0.2">
      <c r="A60" s="18">
        <v>59</v>
      </c>
      <c r="B60" s="30">
        <v>43144</v>
      </c>
      <c r="C60" s="30">
        <v>43149</v>
      </c>
      <c r="D60" s="21" t="s">
        <v>18</v>
      </c>
      <c r="E60" s="21" t="s">
        <v>20</v>
      </c>
      <c r="F60" s="21" t="s">
        <v>23</v>
      </c>
      <c r="G60" s="21" t="s">
        <v>27</v>
      </c>
      <c r="H60" s="21" t="s">
        <v>19</v>
      </c>
      <c r="I60" s="21" t="s">
        <v>126</v>
      </c>
      <c r="J60" s="21" t="s">
        <v>33</v>
      </c>
      <c r="K60" s="21" t="s">
        <v>43</v>
      </c>
      <c r="L60" s="21" t="s">
        <v>50</v>
      </c>
      <c r="M60" s="21" t="s">
        <v>54</v>
      </c>
      <c r="N60" s="21" t="s">
        <v>112</v>
      </c>
      <c r="O60" s="19">
        <f>IF(ISBLANK(D60),"",IF(D60='טבלת פרמטרים'!$A$9,1,0)+IF(E60='טבלת פרמטרים'!$B$5,2,1)+IF(F60='טבלת פרמטרים'!$C$5,3,IF(F60='טבלת פרמטרים'!$C$4,1,0))+IF(G60='טבלת פרמטרים'!$D$3,2,0)+IF(M60='טבלת פרמטרים'!$J$4,2,IF(M60='טבלת פרמטרים'!$J$3,1,0))+IF(N60='טבלת פרמטרים'!$K$6,3,IF(OR(N60='טבלת פרמטרים'!$K$4,N60='טבלת פרמטרים'!$K$5),2,IF(N60='טבלת פרמטרים'!$K$3,1,0))))</f>
        <v>6</v>
      </c>
      <c r="P60" s="20" t="s">
        <v>115</v>
      </c>
      <c r="Q60" s="20" t="s">
        <v>123</v>
      </c>
      <c r="R60" s="19">
        <f t="shared" si="0"/>
        <v>6</v>
      </c>
      <c r="S60" s="19">
        <f>IF(EXACT(P60,'טבלת פרמטרים'!$M$2),'טבלת פרמטרים'!$N$2,IF(EXACT(P60,'טבלת פרמטרים'!$M$3),'טבלת פרמטרים'!$N$3,IF(EXACT(P60,'טבלת פרמטרים'!$M$4),'טבלת פרמטרים'!$N$4,IF(EXACT(P60,'טבלת פרמטרים'!$M$5),'טבלת פרמטרים'!$N$5,IF(EXACT(P60,'טבלת פרמטרים'!$M$6),'טבלת פרמטרים'!$N$6,IF(EXACT(P60,'טבלת פרמטרים'!$M$7),'טבלת פרמטרים'!$N$7,IF(EXACT(P60,'טבלת פרמטרים'!$M$8),'טבלת פרמטרים'!$N$8,IF(EXACT(P60,'טבלת פרמטרים'!$M$9),'טבלת פרמטרים'!$N$9,""))))))))</f>
        <v>0</v>
      </c>
      <c r="T60" s="19">
        <f>IF(EXACT(Q60,'טבלת פרמטרים'!$O$2),'טבלת פרמטרים'!$P$2,IF(EXACT(Q60,'טבלת פרמטרים'!$O$3),'טבלת פרמטרים'!$P$3,IF(EXACT(Q60,'טבלת פרמטרים'!$O$4),'טבלת פרמטרים'!$P$4,IF(EXACT(Q60,'טבלת פרמטרים'!$O$5),'טבלת פרמטרים'!$P$5,IF(EXACT(Q60,'טבלת פרמטרים'!$O$6),'טבלת פרמטרים'!$P$6,IF(EXACT(Q60,'טבלת פרמטרים'!$O$7),'טבלת פרמטרים'!$P$7,""))))))</f>
        <v>0</v>
      </c>
    </row>
    <row r="61" spans="1:20" ht="28.5" x14ac:dyDescent="0.2">
      <c r="A61" s="18">
        <v>60</v>
      </c>
      <c r="B61" s="30">
        <v>43143</v>
      </c>
      <c r="C61" s="30">
        <v>43144</v>
      </c>
      <c r="D61" s="21" t="s">
        <v>17</v>
      </c>
      <c r="E61" s="21" t="s">
        <v>111</v>
      </c>
      <c r="F61" s="21" t="s">
        <v>24</v>
      </c>
      <c r="G61" s="21" t="s">
        <v>26</v>
      </c>
      <c r="H61" s="21" t="s">
        <v>29</v>
      </c>
      <c r="I61" s="21" t="s">
        <v>126</v>
      </c>
      <c r="J61" s="21" t="s">
        <v>35</v>
      </c>
      <c r="K61" s="21" t="s">
        <v>43</v>
      </c>
      <c r="L61" s="21" t="s">
        <v>49</v>
      </c>
      <c r="M61" s="21" t="s">
        <v>53</v>
      </c>
      <c r="N61" s="21" t="s">
        <v>58</v>
      </c>
      <c r="O61" s="19">
        <f>IF(ISBLANK(D61),"",IF(D61='טבלת פרמטרים'!$A$9,1,0)+IF(E61='טבלת פרמטרים'!$B$5,2,1)+IF(F61='טבלת פרמטרים'!$C$5,3,IF(F61='טבלת פרמטרים'!$C$4,1,0))+IF(G61='טבלת פרמטרים'!$D$3,2,0)+IF(M61='טבלת פרמטרים'!$J$4,2,IF(M61='טבלת פרמטרים'!$J$3,1,0))+IF(N61='טבלת פרמטרים'!$K$6,3,IF(OR(N61='טבלת פרמטרים'!$K$4,N61='טבלת פרמטרים'!$K$5),2,IF(N61='טבלת פרמטרים'!$K$3,1,0))))</f>
        <v>4</v>
      </c>
      <c r="P61" s="20" t="s">
        <v>115</v>
      </c>
      <c r="Q61" s="20" t="s">
        <v>329</v>
      </c>
      <c r="R61" s="19">
        <f t="shared" si="0"/>
        <v>5</v>
      </c>
      <c r="S61" s="19">
        <f>IF(EXACT(P61,'טבלת פרמטרים'!$M$2),'טבלת פרמטרים'!$N$2,IF(EXACT(P61,'טבלת פרמטרים'!$M$3),'טבלת פרמטרים'!$N$3,IF(EXACT(P61,'טבלת פרמטרים'!$M$4),'טבלת פרמטרים'!$N$4,IF(EXACT(P61,'טבלת פרמטרים'!$M$5),'טבלת פרמטרים'!$N$5,IF(EXACT(P61,'טבלת פרמטרים'!$M$6),'טבלת פרמטרים'!$N$6,IF(EXACT(P61,'טבלת פרמטרים'!$M$7),'טבלת פרמטרים'!$N$7,IF(EXACT(P61,'טבלת פרמטרים'!$M$8),'טבלת פרמטרים'!$N$8,IF(EXACT(P61,'טבלת פרמטרים'!$M$9),'טבלת פרמטרים'!$N$9,""))))))))</f>
        <v>0</v>
      </c>
      <c r="T61" s="19">
        <f>IF(EXACT(Q61,'טבלת פרמטרים'!$O$2),'טבלת פרמטרים'!$P$2,IF(EXACT(Q61,'טבלת פרמטרים'!$O$3),'טבלת פרמטרים'!$P$3,IF(EXACT(Q61,'טבלת פרמטרים'!$O$4),'טבלת פרמטרים'!$P$4,IF(EXACT(Q61,'טבלת פרמטרים'!$O$5),'טבלת פרמטרים'!$P$5,IF(EXACT(Q61,'טבלת פרמטרים'!$O$6),'טבלת פרמטרים'!$P$6,IF(EXACT(Q61,'טבלת פרמטרים'!$O$7),'טבלת פרמטרים'!$P$7,""))))))</f>
        <v>1</v>
      </c>
    </row>
    <row r="62" spans="1:20" x14ac:dyDescent="0.2">
      <c r="A62" s="18">
        <v>61</v>
      </c>
      <c r="B62" s="30">
        <v>43145</v>
      </c>
      <c r="C62" s="30">
        <v>43145</v>
      </c>
      <c r="D62" s="21" t="s">
        <v>17</v>
      </c>
      <c r="E62" s="21" t="s">
        <v>21</v>
      </c>
      <c r="F62" s="21" t="s">
        <v>23</v>
      </c>
      <c r="G62" s="21" t="s">
        <v>26</v>
      </c>
      <c r="H62" s="21" t="s">
        <v>28</v>
      </c>
      <c r="I62" s="21" t="s">
        <v>126</v>
      </c>
      <c r="J62" s="21" t="s">
        <v>39</v>
      </c>
      <c r="K62" s="21" t="s">
        <v>39</v>
      </c>
      <c r="L62" s="21" t="s">
        <v>51</v>
      </c>
      <c r="M62" s="21" t="s">
        <v>53</v>
      </c>
      <c r="N62" s="21" t="s">
        <v>57</v>
      </c>
      <c r="O62" s="19">
        <f>IF(ISBLANK(D62),"",IF(D62='טבלת פרמטרים'!$A$9,1,0)+IF(E62='טבלת פרמטרים'!$B$5,2,1)+IF(F62='טבלת פרמטרים'!$C$5,3,IF(F62='טבלת פרמטרים'!$C$4,1,0))+IF(G62='טבלת פרמטרים'!$D$3,2,0)+IF(M62='טבלת פרמטרים'!$J$4,2,IF(M62='טבלת פרמטרים'!$J$3,1,0))+IF(N62='טבלת פרמטרים'!$K$6,3,IF(OR(N62='טבלת פרמטרים'!$K$4,N62='טבלת פרמטרים'!$K$5),2,IF(N62='טבלת פרמטרים'!$K$3,1,0))))</f>
        <v>2</v>
      </c>
      <c r="P62" s="20" t="s">
        <v>115</v>
      </c>
      <c r="Q62" s="20" t="s">
        <v>123</v>
      </c>
      <c r="R62" s="19">
        <f t="shared" si="0"/>
        <v>2</v>
      </c>
      <c r="S62" s="19">
        <f>IF(EXACT(P62,'טבלת פרמטרים'!$M$2),'טבלת פרמטרים'!$N$2,IF(EXACT(P62,'טבלת פרמטרים'!$M$3),'טבלת פרמטרים'!$N$3,IF(EXACT(P62,'טבלת פרמטרים'!$M$4),'טבלת פרמטרים'!$N$4,IF(EXACT(P62,'טבלת פרמטרים'!$M$5),'טבלת פרמטרים'!$N$5,IF(EXACT(P62,'טבלת פרמטרים'!$M$6),'טבלת פרמטרים'!$N$6,IF(EXACT(P62,'טבלת פרמטרים'!$M$7),'טבלת פרמטרים'!$N$7,IF(EXACT(P62,'טבלת פרמטרים'!$M$8),'טבלת פרמטרים'!$N$8,IF(EXACT(P62,'טבלת פרמטרים'!$M$9),'טבלת פרמטרים'!$N$9,""))))))))</f>
        <v>0</v>
      </c>
      <c r="T62" s="19">
        <f>IF(EXACT(Q62,'טבלת פרמטרים'!$O$2),'טבלת פרמטרים'!$P$2,IF(EXACT(Q62,'טבלת פרמטרים'!$O$3),'טבלת פרמטרים'!$P$3,IF(EXACT(Q62,'טבלת פרמטרים'!$O$4),'טבלת פרמטרים'!$P$4,IF(EXACT(Q62,'טבלת פרמטרים'!$O$5),'טבלת פרמטרים'!$P$5,IF(EXACT(Q62,'טבלת פרמטרים'!$O$6),'טבלת פרמטרים'!$P$6,IF(EXACT(Q62,'טבלת פרמטרים'!$O$7),'טבלת פרמטרים'!$P$7,""))))))</f>
        <v>0</v>
      </c>
    </row>
    <row r="63" spans="1:20" ht="28.5" x14ac:dyDescent="0.2">
      <c r="A63" s="18">
        <v>62</v>
      </c>
      <c r="B63" s="30">
        <v>43143</v>
      </c>
      <c r="C63" s="30">
        <v>43143</v>
      </c>
      <c r="D63" s="21" t="s">
        <v>17</v>
      </c>
      <c r="E63" s="21" t="s">
        <v>22</v>
      </c>
      <c r="F63" s="21" t="s">
        <v>24</v>
      </c>
      <c r="G63" s="21" t="s">
        <v>26</v>
      </c>
      <c r="H63" s="21" t="s">
        <v>29</v>
      </c>
      <c r="I63" s="21" t="s">
        <v>126</v>
      </c>
      <c r="J63" s="21" t="s">
        <v>36</v>
      </c>
      <c r="K63" s="21" t="s">
        <v>36</v>
      </c>
      <c r="L63" s="21" t="s">
        <v>51</v>
      </c>
      <c r="M63" s="21" t="s">
        <v>54</v>
      </c>
      <c r="N63" s="21" t="s">
        <v>61</v>
      </c>
      <c r="O63" s="19">
        <f>IF(ISBLANK(D63),"",IF(D63='טבלת פרמטרים'!$A$9,1,0)+IF(E63='טבלת פרמטרים'!$B$5,2,1)+IF(F63='טבלת פרמטרים'!$C$5,3,IF(F63='טבלת פרמטרים'!$C$4,1,0))+IF(G63='טבלת פרמטרים'!$D$3,2,0)+IF(M63='טבלת פרמטרים'!$J$4,2,IF(M63='טבלת פרמטרים'!$J$3,1,0))+IF(N63='טבלת פרמטרים'!$K$6,3,IF(OR(N63='טבלת פרמטרים'!$K$4,N63='טבלת פרמטרים'!$K$5),2,IF(N63='טבלת פרמטרים'!$K$3,1,0))))</f>
        <v>8</v>
      </c>
      <c r="P63" s="20" t="s">
        <v>115</v>
      </c>
      <c r="Q63" s="20" t="s">
        <v>329</v>
      </c>
      <c r="R63" s="19">
        <f t="shared" si="0"/>
        <v>9</v>
      </c>
      <c r="S63" s="19">
        <f>IF(EXACT(P63,'טבלת פרמטרים'!$M$2),'טבלת פרמטרים'!$N$2,IF(EXACT(P63,'טבלת פרמטרים'!$M$3),'טבלת פרמטרים'!$N$3,IF(EXACT(P63,'טבלת פרמטרים'!$M$4),'טבלת פרמטרים'!$N$4,IF(EXACT(P63,'טבלת פרמטרים'!$M$5),'טבלת פרמטרים'!$N$5,IF(EXACT(P63,'טבלת פרמטרים'!$M$6),'טבלת פרמטרים'!$N$6,IF(EXACT(P63,'טבלת פרמטרים'!$M$7),'טבלת פרמטרים'!$N$7,IF(EXACT(P63,'טבלת פרמטרים'!$M$8),'טבלת פרמטרים'!$N$8,IF(EXACT(P63,'טבלת פרמטרים'!$M$9),'טבלת פרמטרים'!$N$9,""))))))))</f>
        <v>0</v>
      </c>
      <c r="T63" s="19">
        <f>IF(EXACT(Q63,'טבלת פרמטרים'!$O$2),'טבלת פרמטרים'!$P$2,IF(EXACT(Q63,'טבלת פרמטרים'!$O$3),'טבלת פרמטרים'!$P$3,IF(EXACT(Q63,'טבלת פרמטרים'!$O$4),'טבלת פרמטרים'!$P$4,IF(EXACT(Q63,'טבלת פרמטרים'!$O$5),'טבלת פרמטרים'!$P$5,IF(EXACT(Q63,'טבלת פרמטרים'!$O$6),'טבלת פרמטרים'!$P$6,IF(EXACT(Q63,'טבלת פרמטרים'!$O$7),'טבלת פרמטרים'!$P$7,""))))))</f>
        <v>1</v>
      </c>
    </row>
    <row r="64" spans="1:20" x14ac:dyDescent="0.2">
      <c r="A64" s="18">
        <v>63</v>
      </c>
      <c r="B64" s="30">
        <v>43158</v>
      </c>
      <c r="C64" s="30">
        <v>43158</v>
      </c>
      <c r="D64" s="21" t="s">
        <v>16</v>
      </c>
      <c r="E64" s="21" t="s">
        <v>20</v>
      </c>
      <c r="F64" s="21" t="s">
        <v>23</v>
      </c>
      <c r="G64" s="21" t="s">
        <v>26</v>
      </c>
      <c r="H64" s="21" t="s">
        <v>30</v>
      </c>
      <c r="I64" s="21" t="s">
        <v>126</v>
      </c>
      <c r="J64" s="21" t="s">
        <v>35</v>
      </c>
      <c r="K64" s="21" t="s">
        <v>43</v>
      </c>
      <c r="L64" s="21" t="s">
        <v>51</v>
      </c>
      <c r="M64" s="21" t="s">
        <v>53</v>
      </c>
      <c r="N64" s="21" t="s">
        <v>58</v>
      </c>
      <c r="O64" s="19">
        <f>IF(ISBLANK(D64),"",IF(D64='טבלת פרמטרים'!$A$9,1,0)+IF(E64='טבלת פרמטרים'!$B$5,2,1)+IF(F64='טבלת פרמטרים'!$C$5,3,IF(F64='טבלת פרמטרים'!$C$4,1,0))+IF(G64='טבלת פרמטרים'!$D$3,2,0)+IF(M64='טבלת פרמטרים'!$J$4,2,IF(M64='טבלת פרמטרים'!$J$3,1,0))+IF(N64='טבלת פרמטרים'!$K$6,3,IF(OR(N64='טבלת פרמטרים'!$K$4,N64='טבלת פרמטרים'!$K$5),2,IF(N64='טבלת פרמטרים'!$K$3,1,0))))</f>
        <v>2</v>
      </c>
      <c r="P64" s="20" t="s">
        <v>115</v>
      </c>
      <c r="Q64" s="20" t="s">
        <v>123</v>
      </c>
      <c r="R64" s="19">
        <f t="shared" si="0"/>
        <v>2</v>
      </c>
      <c r="S64" s="19">
        <f>IF(EXACT(P64,'טבלת פרמטרים'!$M$2),'טבלת פרמטרים'!$N$2,IF(EXACT(P64,'טבלת פרמטרים'!$M$3),'טבלת פרמטרים'!$N$3,IF(EXACT(P64,'טבלת פרמטרים'!$M$4),'טבלת פרמטרים'!$N$4,IF(EXACT(P64,'טבלת פרמטרים'!$M$5),'טבלת פרמטרים'!$N$5,IF(EXACT(P64,'טבלת פרמטרים'!$M$6),'טבלת פרמטרים'!$N$6,IF(EXACT(P64,'טבלת פרמטרים'!$M$7),'טבלת פרמטרים'!$N$7,IF(EXACT(P64,'טבלת פרמטרים'!$M$8),'טבלת פרמטרים'!$N$8,IF(EXACT(P64,'טבלת פרמטרים'!$M$9),'טבלת פרמטרים'!$N$9,""))))))))</f>
        <v>0</v>
      </c>
      <c r="T64" s="19">
        <f>IF(EXACT(Q64,'טבלת פרמטרים'!$O$2),'טבלת פרמטרים'!$P$2,IF(EXACT(Q64,'טבלת פרמטרים'!$O$3),'טבלת פרמטרים'!$P$3,IF(EXACT(Q64,'טבלת פרמטרים'!$O$4),'טבלת פרמטרים'!$P$4,IF(EXACT(Q64,'טבלת פרמטרים'!$O$5),'טבלת פרמטרים'!$P$5,IF(EXACT(Q64,'טבלת פרמטרים'!$O$6),'טבלת פרמטרים'!$P$6,IF(EXACT(Q64,'טבלת פרמטרים'!$O$7),'טבלת פרמטרים'!$P$7,""))))))</f>
        <v>0</v>
      </c>
    </row>
    <row r="65" spans="1:20" x14ac:dyDescent="0.2">
      <c r="A65" s="18">
        <v>64</v>
      </c>
      <c r="B65" s="30">
        <v>43194</v>
      </c>
      <c r="C65" s="30">
        <v>43194</v>
      </c>
      <c r="D65" s="21" t="s">
        <v>11</v>
      </c>
      <c r="E65" s="21" t="s">
        <v>20</v>
      </c>
      <c r="F65" s="21" t="s">
        <v>23</v>
      </c>
      <c r="G65" s="21" t="s">
        <v>26</v>
      </c>
      <c r="H65" s="21" t="s">
        <v>31</v>
      </c>
      <c r="I65" s="21" t="s">
        <v>126</v>
      </c>
      <c r="J65" s="21" t="s">
        <v>63</v>
      </c>
      <c r="K65" s="21" t="s">
        <v>45</v>
      </c>
      <c r="L65" s="21" t="s">
        <v>51</v>
      </c>
      <c r="M65" s="21" t="s">
        <v>53</v>
      </c>
      <c r="N65" s="21" t="s">
        <v>58</v>
      </c>
      <c r="O65" s="19">
        <f>IF(ISBLANK(D65),"",IF(D65='טבלת פרמטרים'!$A$9,1,0)+IF(E65='טבלת פרמטרים'!$B$5,2,1)+IF(F65='טבלת פרמטרים'!$C$5,3,IF(F65='טבלת פרמטרים'!$C$4,1,0))+IF(G65='טבלת פרמטרים'!$D$3,2,0)+IF(M65='טבלת פרמטרים'!$J$4,2,IF(M65='טבלת פרמטרים'!$J$3,1,0))+IF(N65='טבלת פרמטרים'!$K$6,3,IF(OR(N65='טבלת פרמטרים'!$K$4,N65='טבלת פרמטרים'!$K$5),2,IF(N65='טבלת פרמטרים'!$K$3,1,0))))</f>
        <v>2</v>
      </c>
      <c r="P65" s="20" t="s">
        <v>115</v>
      </c>
      <c r="Q65" s="20" t="s">
        <v>123</v>
      </c>
      <c r="R65" s="19">
        <f t="shared" si="0"/>
        <v>2</v>
      </c>
      <c r="S65" s="19">
        <f>IF(EXACT(P65,'טבלת פרמטרים'!$M$2),'טבלת פרמטרים'!$N$2,IF(EXACT(P65,'טבלת פרמטרים'!$M$3),'טבלת פרמטרים'!$N$3,IF(EXACT(P65,'טבלת פרמטרים'!$M$4),'טבלת פרמטרים'!$N$4,IF(EXACT(P65,'טבלת פרמטרים'!$M$5),'טבלת פרמטרים'!$N$5,IF(EXACT(P65,'טבלת פרמטרים'!$M$6),'טבלת פרמטרים'!$N$6,IF(EXACT(P65,'טבלת פרמטרים'!$M$7),'טבלת פרמטרים'!$N$7,IF(EXACT(P65,'טבלת פרמטרים'!$M$8),'טבלת פרמטרים'!$N$8,IF(EXACT(P65,'טבלת פרמטרים'!$M$9),'טבלת פרמטרים'!$N$9,""))))))))</f>
        <v>0</v>
      </c>
      <c r="T65" s="19">
        <f>IF(EXACT(Q65,'טבלת פרמטרים'!$O$2),'טבלת פרמטרים'!$P$2,IF(EXACT(Q65,'טבלת פרמטרים'!$O$3),'טבלת פרמטרים'!$P$3,IF(EXACT(Q65,'טבלת פרמטרים'!$O$4),'טבלת פרמטרים'!$P$4,IF(EXACT(Q65,'טבלת פרמטרים'!$O$5),'טבלת פרמטרים'!$P$5,IF(EXACT(Q65,'טבלת פרמטרים'!$O$6),'טבלת פרמטרים'!$P$6,IF(EXACT(Q65,'טבלת פרמטרים'!$O$7),'טבלת פרמטרים'!$P$7,""))))))</f>
        <v>0</v>
      </c>
    </row>
    <row r="66" spans="1:20" ht="28.5" x14ac:dyDescent="0.2">
      <c r="A66" s="18">
        <v>65</v>
      </c>
      <c r="B66" s="30">
        <v>43185</v>
      </c>
      <c r="C66" s="30">
        <v>43195</v>
      </c>
      <c r="D66" s="21" t="s">
        <v>17</v>
      </c>
      <c r="E66" s="21" t="s">
        <v>22</v>
      </c>
      <c r="F66" s="21" t="s">
        <v>24</v>
      </c>
      <c r="G66" s="21" t="s">
        <v>26</v>
      </c>
      <c r="H66" s="21" t="s">
        <v>29</v>
      </c>
      <c r="I66" s="21" t="s">
        <v>126</v>
      </c>
      <c r="J66" s="21" t="s">
        <v>35</v>
      </c>
      <c r="K66" s="21" t="s">
        <v>43</v>
      </c>
      <c r="L66" s="21" t="s">
        <v>51</v>
      </c>
      <c r="M66" s="21" t="s">
        <v>53</v>
      </c>
      <c r="N66" s="21" t="s">
        <v>59</v>
      </c>
      <c r="O66" s="19">
        <f>IF(ISBLANK(D66),"",IF(D66='טבלת פרמטרים'!$A$9,1,0)+IF(E66='טבלת פרמטרים'!$B$5,2,1)+IF(F66='טבלת פרמטרים'!$C$5,3,IF(F66='טבלת פרמטרים'!$C$4,1,0))+IF(G66='טבלת פרמטרים'!$D$3,2,0)+IF(M66='טבלת פרמטרים'!$J$4,2,IF(M66='טבלת פרמטרים'!$J$3,1,0))+IF(N66='טבלת פרמטרים'!$K$6,3,IF(OR(N66='טבלת פרמטרים'!$K$4,N66='טבלת פרמטרים'!$K$5),2,IF(N66='טבלת פרמטרים'!$K$3,1,0))))</f>
        <v>6</v>
      </c>
      <c r="P66" s="20" t="s">
        <v>115</v>
      </c>
      <c r="Q66" s="20" t="s">
        <v>329</v>
      </c>
      <c r="R66" s="19">
        <f t="shared" si="0"/>
        <v>7</v>
      </c>
      <c r="S66" s="19">
        <f>IF(EXACT(P66,'טבלת פרמטרים'!$M$2),'טבלת פרמטרים'!$N$2,IF(EXACT(P66,'טבלת פרמטרים'!$M$3),'טבלת פרמטרים'!$N$3,IF(EXACT(P66,'טבלת פרמטרים'!$M$4),'טבלת פרמטרים'!$N$4,IF(EXACT(P66,'טבלת פרמטרים'!$M$5),'טבלת פרמטרים'!$N$5,IF(EXACT(P66,'טבלת פרמטרים'!$M$6),'טבלת פרמטרים'!$N$6,IF(EXACT(P66,'טבלת פרמטרים'!$M$7),'טבלת פרמטרים'!$N$7,IF(EXACT(P66,'טבלת פרמטרים'!$M$8),'טבלת פרמטרים'!$N$8,IF(EXACT(P66,'טבלת פרמטרים'!$M$9),'טבלת פרמטרים'!$N$9,""))))))))</f>
        <v>0</v>
      </c>
      <c r="T66" s="19">
        <f>IF(EXACT(Q66,'טבלת פרמטרים'!$O$2),'טבלת פרמטרים'!$P$2,IF(EXACT(Q66,'טבלת פרמטרים'!$O$3),'טבלת פרמטרים'!$P$3,IF(EXACT(Q66,'טבלת פרמטרים'!$O$4),'טבלת פרמטרים'!$P$4,IF(EXACT(Q66,'טבלת פרמטרים'!$O$5),'טבלת פרמטרים'!$P$5,IF(EXACT(Q66,'טבלת פרמטרים'!$O$6),'טבלת פרמטרים'!$P$6,IF(EXACT(Q66,'טבלת פרמטרים'!$O$7),'טבלת פרמטרים'!$P$7,""))))))</f>
        <v>1</v>
      </c>
    </row>
    <row r="67" spans="1:20" ht="28.5" x14ac:dyDescent="0.2">
      <c r="A67" s="18">
        <v>66</v>
      </c>
      <c r="B67" s="30">
        <v>43184</v>
      </c>
      <c r="C67" s="30">
        <v>43195</v>
      </c>
      <c r="D67" s="21" t="s">
        <v>17</v>
      </c>
      <c r="E67" s="21" t="s">
        <v>22</v>
      </c>
      <c r="F67" s="21" t="s">
        <v>24</v>
      </c>
      <c r="G67" s="21" t="s">
        <v>27</v>
      </c>
      <c r="H67" s="21" t="s">
        <v>30</v>
      </c>
      <c r="I67" s="21" t="s">
        <v>126</v>
      </c>
      <c r="J67" s="21" t="s">
        <v>35</v>
      </c>
      <c r="K67" s="21" t="s">
        <v>43</v>
      </c>
      <c r="L67" s="21" t="s">
        <v>51</v>
      </c>
      <c r="M67" s="21" t="s">
        <v>55</v>
      </c>
      <c r="N67" s="21" t="s">
        <v>58</v>
      </c>
      <c r="O67" s="19">
        <f>IF(ISBLANK(D67),"",IF(D67='טבלת פרמטרים'!$A$9,1,0)+IF(E67='טבלת פרמטרים'!$B$5,2,1)+IF(F67='טבלת פרמטרים'!$C$5,3,IF(F67='טבלת פרמטרים'!$C$4,1,0))+IF(G67='טבלת פרמטרים'!$D$3,2,0)+IF(M67='טבלת פרמטרים'!$J$4,2,IF(M67='טבלת פרמטרים'!$J$3,1,0))+IF(N67='טבלת פרמטרים'!$K$6,3,IF(OR(N67='טבלת פרמטרים'!$K$4,N67='טבלת פרמטרים'!$K$5),2,IF(N67='טבלת פרמטרים'!$K$3,1,0))))</f>
        <v>9</v>
      </c>
      <c r="P67" s="20" t="s">
        <v>115</v>
      </c>
      <c r="Q67" s="20" t="s">
        <v>329</v>
      </c>
      <c r="R67" s="19">
        <f t="shared" ref="R67:R122" si="1">IF(ISNUMBER(T67),T67+O67,O67)</f>
        <v>10</v>
      </c>
      <c r="S67" s="19">
        <f>IF(EXACT(P67,'טבלת פרמטרים'!$M$2),'טבלת פרמטרים'!$N$2,IF(EXACT(P67,'טבלת פרמטרים'!$M$3),'טבלת פרמטרים'!$N$3,IF(EXACT(P67,'טבלת פרמטרים'!$M$4),'טבלת פרמטרים'!$N$4,IF(EXACT(P67,'טבלת פרמטרים'!$M$5),'טבלת פרמטרים'!$N$5,IF(EXACT(P67,'טבלת פרמטרים'!$M$6),'טבלת פרמטרים'!$N$6,IF(EXACT(P67,'טבלת פרמטרים'!$M$7),'טבלת פרמטרים'!$N$7,IF(EXACT(P67,'טבלת פרמטרים'!$M$8),'טבלת פרמטרים'!$N$8,IF(EXACT(P67,'טבלת פרמטרים'!$M$9),'טבלת פרמטרים'!$N$9,""))))))))</f>
        <v>0</v>
      </c>
      <c r="T67" s="19">
        <f>IF(EXACT(Q67,'טבלת פרמטרים'!$O$2),'טבלת פרמטרים'!$P$2,IF(EXACT(Q67,'טבלת פרמטרים'!$O$3),'טבלת פרמטרים'!$P$3,IF(EXACT(Q67,'טבלת פרמטרים'!$O$4),'טבלת פרמטרים'!$P$4,IF(EXACT(Q67,'טבלת פרמטרים'!$O$5),'טבלת פרמטרים'!$P$5,IF(EXACT(Q67,'טבלת פרמטרים'!$O$6),'טבלת פרמטרים'!$P$6,IF(EXACT(Q67,'טבלת פרמטרים'!$O$7),'טבלת פרמטרים'!$P$7,""))))))</f>
        <v>1</v>
      </c>
    </row>
    <row r="68" spans="1:20" x14ac:dyDescent="0.2">
      <c r="A68" s="18">
        <v>67</v>
      </c>
      <c r="B68" s="30">
        <v>43177</v>
      </c>
      <c r="C68" s="30">
        <v>43177</v>
      </c>
      <c r="D68" s="21" t="s">
        <v>13</v>
      </c>
      <c r="E68" s="21" t="s">
        <v>21</v>
      </c>
      <c r="F68" s="21" t="s">
        <v>23</v>
      </c>
      <c r="G68" s="21" t="s">
        <v>26</v>
      </c>
      <c r="H68" s="21" t="s">
        <v>29</v>
      </c>
      <c r="I68" s="21" t="s">
        <v>127</v>
      </c>
      <c r="J68" s="21" t="s">
        <v>63</v>
      </c>
      <c r="K68" s="21" t="s">
        <v>43</v>
      </c>
      <c r="L68" s="21" t="s">
        <v>49</v>
      </c>
      <c r="M68" s="21" t="s">
        <v>53</v>
      </c>
      <c r="N68" s="21" t="s">
        <v>57</v>
      </c>
      <c r="O68" s="19">
        <f>IF(ISBLANK(D68),"",IF(D68='טבלת פרמטרים'!$A$9,1,0)+IF(E68='טבלת פרמטרים'!$B$5,2,1)+IF(F68='טבלת פרמטרים'!$C$5,3,IF(F68='טבלת פרמטרים'!$C$4,1,0))+IF(G68='טבלת פרמטרים'!$D$3,2,0)+IF(M68='טבלת פרמטרים'!$J$4,2,IF(M68='טבלת פרמטרים'!$J$3,1,0))+IF(N68='טבלת פרמטרים'!$K$6,3,IF(OR(N68='טבלת פרמטרים'!$K$4,N68='טבלת פרמטרים'!$K$5),2,IF(N68='טבלת פרמטרים'!$K$3,1,0))))</f>
        <v>1</v>
      </c>
      <c r="P68" s="20" t="s">
        <v>115</v>
      </c>
      <c r="Q68" s="20" t="s">
        <v>123</v>
      </c>
      <c r="R68" s="19">
        <f t="shared" si="1"/>
        <v>1</v>
      </c>
      <c r="S68" s="19">
        <f>IF(EXACT(P68,'טבלת פרמטרים'!$M$2),'טבלת פרמטרים'!$N$2,IF(EXACT(P68,'טבלת פרמטרים'!$M$3),'טבלת פרמטרים'!$N$3,IF(EXACT(P68,'טבלת פרמטרים'!$M$4),'טבלת פרמטרים'!$N$4,IF(EXACT(P68,'טבלת פרמטרים'!$M$5),'טבלת פרמטרים'!$N$5,IF(EXACT(P68,'טבלת פרמטרים'!$M$6),'טבלת פרמטרים'!$N$6,IF(EXACT(P68,'טבלת פרמטרים'!$M$7),'טבלת פרמטרים'!$N$7,IF(EXACT(P68,'טבלת פרמטרים'!$M$8),'טבלת פרמטרים'!$N$8,IF(EXACT(P68,'טבלת פרמטרים'!$M$9),'טבלת פרמטרים'!$N$9,""))))))))</f>
        <v>0</v>
      </c>
      <c r="T68" s="19">
        <f>IF(EXACT(Q68,'טבלת פרמטרים'!$O$2),'טבלת פרמטרים'!$P$2,IF(EXACT(Q68,'טבלת פרמטרים'!$O$3),'טבלת פרמטרים'!$P$3,IF(EXACT(Q68,'טבלת פרמטרים'!$O$4),'טבלת פרמטרים'!$P$4,IF(EXACT(Q68,'טבלת פרמטרים'!$O$5),'טבלת פרמטרים'!$P$5,IF(EXACT(Q68,'טבלת פרמטרים'!$O$6),'טבלת פרמטרים'!$P$6,IF(EXACT(Q68,'טבלת פרמטרים'!$O$7),'טבלת פרמטרים'!$P$7,""))))))</f>
        <v>0</v>
      </c>
    </row>
    <row r="69" spans="1:20" x14ac:dyDescent="0.2">
      <c r="A69" s="18">
        <v>68</v>
      </c>
      <c r="B69" s="30">
        <v>43184</v>
      </c>
      <c r="C69" s="30">
        <v>43186</v>
      </c>
      <c r="D69" s="21" t="s">
        <v>16</v>
      </c>
      <c r="E69" s="21" t="s">
        <v>21</v>
      </c>
      <c r="F69" s="21" t="s">
        <v>23</v>
      </c>
      <c r="G69" s="21" t="s">
        <v>26</v>
      </c>
      <c r="H69" s="21" t="s">
        <v>29</v>
      </c>
      <c r="I69" s="21" t="s">
        <v>126</v>
      </c>
      <c r="J69" s="21" t="s">
        <v>63</v>
      </c>
      <c r="K69" s="21" t="s">
        <v>43</v>
      </c>
      <c r="L69" s="21" t="s">
        <v>49</v>
      </c>
      <c r="M69" s="21" t="s">
        <v>55</v>
      </c>
      <c r="N69" s="21" t="s">
        <v>59</v>
      </c>
      <c r="O69" s="19">
        <f>IF(ISBLANK(D69),"",IF(D69='טבלת פרמטרים'!$A$9,1,0)+IF(E69='טבלת פרמטרים'!$B$5,2,1)+IF(F69='טבלת פרמטרים'!$C$5,3,IF(F69='טבלת פרמטרים'!$C$4,1,0))+IF(G69='טבלת פרמטרים'!$D$3,2,0)+IF(M69='טבלת פרמטרים'!$J$4,2,IF(M69='טבלת פרמטרים'!$J$3,1,0))+IF(N69='טבלת פרמטרים'!$K$6,3,IF(OR(N69='טבלת פרמטרים'!$K$4,N69='טבלת פרמטרים'!$K$5),2,IF(N69='טבלת פרמטרים'!$K$3,1,0))))</f>
        <v>5</v>
      </c>
      <c r="P69" s="20" t="s">
        <v>115</v>
      </c>
      <c r="Q69" s="20" t="s">
        <v>123</v>
      </c>
      <c r="R69" s="19">
        <f t="shared" si="1"/>
        <v>5</v>
      </c>
      <c r="S69" s="19">
        <f>IF(EXACT(P69,'טבלת פרמטרים'!$M$2),'טבלת פרמטרים'!$N$2,IF(EXACT(P69,'טבלת פרמטרים'!$M$3),'טבלת פרמטרים'!$N$3,IF(EXACT(P69,'טבלת פרמטרים'!$M$4),'טבלת פרמטרים'!$N$4,IF(EXACT(P69,'טבלת פרמטרים'!$M$5),'טבלת פרמטרים'!$N$5,IF(EXACT(P69,'טבלת פרמטרים'!$M$6),'טבלת פרמטרים'!$N$6,IF(EXACT(P69,'טבלת פרמטרים'!$M$7),'טבלת פרמטרים'!$N$7,IF(EXACT(P69,'טבלת פרמטרים'!$M$8),'טבלת פרמטרים'!$N$8,IF(EXACT(P69,'טבלת פרמטרים'!$M$9),'טבלת פרמטרים'!$N$9,""))))))))</f>
        <v>0</v>
      </c>
      <c r="T69" s="19">
        <f>IF(EXACT(Q69,'טבלת פרמטרים'!$O$2),'טבלת פרמטרים'!$P$2,IF(EXACT(Q69,'טבלת פרמטרים'!$O$3),'טבלת פרמטרים'!$P$3,IF(EXACT(Q69,'טבלת פרמטרים'!$O$4),'טבלת פרמטרים'!$P$4,IF(EXACT(Q69,'טבלת פרמטרים'!$O$5),'טבלת פרמטרים'!$P$5,IF(EXACT(Q69,'טבלת פרמטרים'!$O$6),'טבלת פרמטרים'!$P$6,IF(EXACT(Q69,'טבלת פרמטרים'!$O$7),'טבלת פרמטרים'!$P$7,""))))))</f>
        <v>0</v>
      </c>
    </row>
    <row r="70" spans="1:20" x14ac:dyDescent="0.2">
      <c r="A70" s="18">
        <v>69</v>
      </c>
      <c r="B70" s="30">
        <v>43178</v>
      </c>
      <c r="C70" s="30">
        <v>43206</v>
      </c>
      <c r="D70" s="21" t="s">
        <v>16</v>
      </c>
      <c r="E70" s="21" t="s">
        <v>20</v>
      </c>
      <c r="F70" s="21" t="s">
        <v>23</v>
      </c>
      <c r="G70" s="21" t="s">
        <v>26</v>
      </c>
      <c r="H70" s="21" t="s">
        <v>28</v>
      </c>
      <c r="I70" s="21" t="s">
        <v>126</v>
      </c>
      <c r="J70" s="21" t="s">
        <v>36</v>
      </c>
      <c r="K70" s="21" t="s">
        <v>36</v>
      </c>
      <c r="L70" s="21" t="s">
        <v>51</v>
      </c>
      <c r="M70" s="21" t="s">
        <v>53</v>
      </c>
      <c r="N70" s="21" t="s">
        <v>57</v>
      </c>
      <c r="O70" s="19">
        <f>IF(ISBLANK(D70),"",IF(D70='טבלת פרמטרים'!$A$9,1,0)+IF(E70='טבלת פרמטרים'!$B$5,2,1)+IF(F70='טבלת פרמטרים'!$C$5,3,IF(F70='טבלת פרמטרים'!$C$4,1,0))+IF(G70='טבלת פרמטרים'!$D$3,2,0)+IF(M70='טבלת פרמטרים'!$J$4,2,IF(M70='טבלת פרמטרים'!$J$3,1,0))+IF(N70='טבלת פרמטרים'!$K$6,3,IF(OR(N70='טבלת פרמטרים'!$K$4,N70='טבלת פרמטרים'!$K$5),2,IF(N70='טבלת פרמטרים'!$K$3,1,0))))</f>
        <v>1</v>
      </c>
      <c r="P70" s="20" t="s">
        <v>115</v>
      </c>
      <c r="Q70" s="20" t="s">
        <v>123</v>
      </c>
      <c r="R70" s="19">
        <f t="shared" si="1"/>
        <v>1</v>
      </c>
      <c r="S70" s="19">
        <f>IF(EXACT(P70,'טבלת פרמטרים'!$M$2),'טבלת פרמטרים'!$N$2,IF(EXACT(P70,'טבלת פרמטרים'!$M$3),'טבלת פרמטרים'!$N$3,IF(EXACT(P70,'טבלת פרמטרים'!$M$4),'טבלת פרמטרים'!$N$4,IF(EXACT(P70,'טבלת פרמטרים'!$M$5),'טבלת פרמטרים'!$N$5,IF(EXACT(P70,'טבלת פרמטרים'!$M$6),'טבלת פרמטרים'!$N$6,IF(EXACT(P70,'טבלת פרמטרים'!$M$7),'טבלת פרמטרים'!$N$7,IF(EXACT(P70,'טבלת פרמטרים'!$M$8),'טבלת פרמטרים'!$N$8,IF(EXACT(P70,'טבלת פרמטרים'!$M$9),'טבלת פרמטרים'!$N$9,""))))))))</f>
        <v>0</v>
      </c>
      <c r="T70" s="19">
        <f>IF(EXACT(Q70,'טבלת פרמטרים'!$O$2),'טבלת פרמטרים'!$P$2,IF(EXACT(Q70,'טבלת פרמטרים'!$O$3),'טבלת פרמטרים'!$P$3,IF(EXACT(Q70,'טבלת פרמטרים'!$O$4),'טבלת פרמטרים'!$P$4,IF(EXACT(Q70,'טבלת פרמטרים'!$O$5),'טבלת פרמטרים'!$P$5,IF(EXACT(Q70,'טבלת פרמטרים'!$O$6),'טבלת פרמטרים'!$P$6,IF(EXACT(Q70,'טבלת פרמטרים'!$O$7),'טבלת פרמטרים'!$P$7,""))))))</f>
        <v>0</v>
      </c>
    </row>
    <row r="71" spans="1:20" x14ac:dyDescent="0.2">
      <c r="A71" s="18">
        <v>70</v>
      </c>
      <c r="B71" s="30">
        <v>43188</v>
      </c>
      <c r="C71" s="30">
        <v>43220</v>
      </c>
      <c r="D71" s="21" t="s">
        <v>11</v>
      </c>
      <c r="E71" s="21" t="s">
        <v>22</v>
      </c>
      <c r="F71" s="21" t="s">
        <v>24</v>
      </c>
      <c r="G71" s="21" t="s">
        <v>26</v>
      </c>
      <c r="H71" s="21" t="s">
        <v>29</v>
      </c>
      <c r="I71" s="21" t="s">
        <v>126</v>
      </c>
      <c r="J71" s="21" t="s">
        <v>35</v>
      </c>
      <c r="K71" s="21" t="s">
        <v>43</v>
      </c>
      <c r="L71" s="21" t="s">
        <v>51</v>
      </c>
      <c r="M71" s="21" t="s">
        <v>53</v>
      </c>
      <c r="N71" s="21" t="s">
        <v>58</v>
      </c>
      <c r="O71" s="19">
        <f>IF(ISBLANK(D71),"",IF(D71='טבלת פרמטרים'!$A$9,1,0)+IF(E71='טבלת פרמטרים'!$B$5,2,1)+IF(F71='טבלת פרמטרים'!$C$5,3,IF(F71='טבלת פרמטרים'!$C$4,1,0))+IF(G71='טבלת פרמטרים'!$D$3,2,0)+IF(M71='טבלת פרמטרים'!$J$4,2,IF(M71='טבלת פרמטרים'!$J$3,1,0))+IF(N71='טבלת פרמטרים'!$K$6,3,IF(OR(N71='טבלת פרמטרים'!$K$4,N71='טבלת פרמטרים'!$K$5),2,IF(N71='טבלת פרמטרים'!$K$3,1,0))))</f>
        <v>4</v>
      </c>
      <c r="P71" s="20" t="s">
        <v>115</v>
      </c>
      <c r="Q71" s="20" t="s">
        <v>123</v>
      </c>
      <c r="R71" s="19">
        <f t="shared" si="1"/>
        <v>4</v>
      </c>
      <c r="S71" s="19">
        <f>IF(EXACT(P71,'טבלת פרמטרים'!$M$2),'טבלת פרמטרים'!$N$2,IF(EXACT(P71,'טבלת פרמטרים'!$M$3),'טבלת פרמטרים'!$N$3,IF(EXACT(P71,'טבלת פרמטרים'!$M$4),'טבלת פרמטרים'!$N$4,IF(EXACT(P71,'טבלת פרמטרים'!$M$5),'טבלת פרמטרים'!$N$5,IF(EXACT(P71,'טבלת פרמטרים'!$M$6),'טבלת פרמטרים'!$N$6,IF(EXACT(P71,'טבלת פרמטרים'!$M$7),'טבלת פרמטרים'!$N$7,IF(EXACT(P71,'טבלת פרמטרים'!$M$8),'טבלת פרמטרים'!$N$8,IF(EXACT(P71,'טבלת פרמטרים'!$M$9),'טבלת פרמטרים'!$N$9,""))))))))</f>
        <v>0</v>
      </c>
      <c r="T71" s="19">
        <f>IF(EXACT(Q71,'טבלת פרמטרים'!$O$2),'טבלת פרמטרים'!$P$2,IF(EXACT(Q71,'טבלת פרמטרים'!$O$3),'טבלת פרמטרים'!$P$3,IF(EXACT(Q71,'טבלת פרמטרים'!$O$4),'טבלת פרמטרים'!$P$4,IF(EXACT(Q71,'טבלת פרמטרים'!$O$5),'טבלת פרמטרים'!$P$5,IF(EXACT(Q71,'טבלת פרמטרים'!$O$6),'טבלת פרמטרים'!$P$6,IF(EXACT(Q71,'טבלת פרמטרים'!$O$7),'טבלת פרמטרים'!$P$7,""))))))</f>
        <v>0</v>
      </c>
    </row>
    <row r="72" spans="1:20" x14ac:dyDescent="0.2">
      <c r="A72" s="18">
        <v>71</v>
      </c>
      <c r="B72" s="30">
        <v>43202</v>
      </c>
      <c r="C72" s="30">
        <v>43220</v>
      </c>
      <c r="D72" s="21" t="s">
        <v>11</v>
      </c>
      <c r="E72" s="21" t="s">
        <v>22</v>
      </c>
      <c r="F72" s="21" t="s">
        <v>24</v>
      </c>
      <c r="G72" s="21" t="s">
        <v>26</v>
      </c>
      <c r="H72" s="21" t="s">
        <v>29</v>
      </c>
      <c r="I72" s="21" t="s">
        <v>126</v>
      </c>
      <c r="J72" s="21" t="s">
        <v>35</v>
      </c>
      <c r="K72" s="21" t="s">
        <v>43</v>
      </c>
      <c r="L72" s="21" t="s">
        <v>51</v>
      </c>
      <c r="M72" s="21" t="s">
        <v>53</v>
      </c>
      <c r="N72" s="21" t="s">
        <v>58</v>
      </c>
      <c r="O72" s="19">
        <f>IF(ISBLANK(D72),"",IF(D72='טבלת פרמטרים'!$A$9,1,0)+IF(E72='טבלת פרמטרים'!$B$5,2,1)+IF(F72='טבלת פרמטרים'!$C$5,3,IF(F72='טבלת פרמטרים'!$C$4,1,0))+IF(G72='טבלת פרמטרים'!$D$3,2,0)+IF(M72='טבלת פרמטרים'!$J$4,2,IF(M72='טבלת פרמטרים'!$J$3,1,0))+IF(N72='טבלת פרמטרים'!$K$6,3,IF(OR(N72='טבלת פרמטרים'!$K$4,N72='טבלת פרמטרים'!$K$5),2,IF(N72='טבלת פרמטרים'!$K$3,1,0))))</f>
        <v>4</v>
      </c>
      <c r="P72" s="20" t="s">
        <v>115</v>
      </c>
      <c r="Q72" s="20" t="s">
        <v>123</v>
      </c>
      <c r="R72" s="19">
        <f t="shared" si="1"/>
        <v>4</v>
      </c>
      <c r="S72" s="19">
        <f>IF(EXACT(P72,'טבלת פרמטרים'!$M$2),'טבלת פרמטרים'!$N$2,IF(EXACT(P72,'טבלת פרמטרים'!$M$3),'טבלת פרמטרים'!$N$3,IF(EXACT(P72,'טבלת פרמטרים'!$M$4),'טבלת פרמטרים'!$N$4,IF(EXACT(P72,'טבלת פרמטרים'!$M$5),'טבלת פרמטרים'!$N$5,IF(EXACT(P72,'טבלת פרמטרים'!$M$6),'טבלת פרמטרים'!$N$6,IF(EXACT(P72,'טבלת פרמטרים'!$M$7),'טבלת פרמטרים'!$N$7,IF(EXACT(P72,'טבלת פרמטרים'!$M$8),'טבלת פרמטרים'!$N$8,IF(EXACT(P72,'טבלת פרמטרים'!$M$9),'טבלת פרמטרים'!$N$9,""))))))))</f>
        <v>0</v>
      </c>
      <c r="T72" s="19">
        <f>IF(EXACT(Q72,'טבלת פרמטרים'!$O$2),'טבלת פרמטרים'!$P$2,IF(EXACT(Q72,'טבלת פרמטרים'!$O$3),'טבלת פרמטרים'!$P$3,IF(EXACT(Q72,'טבלת פרמטרים'!$O$4),'טבלת פרמטרים'!$P$4,IF(EXACT(Q72,'טבלת פרמטרים'!$O$5),'טבלת פרמטרים'!$P$5,IF(EXACT(Q72,'טבלת פרמטרים'!$O$6),'טבלת פרמטרים'!$P$6,IF(EXACT(Q72,'טבלת פרמטרים'!$O$7),'טבלת פרמטרים'!$P$7,""))))))</f>
        <v>0</v>
      </c>
    </row>
    <row r="73" spans="1:20" ht="28.5" x14ac:dyDescent="0.2">
      <c r="A73" s="18">
        <v>72</v>
      </c>
      <c r="B73" s="30">
        <v>43213</v>
      </c>
      <c r="C73" s="30">
        <v>43213</v>
      </c>
      <c r="D73" s="21" t="s">
        <v>17</v>
      </c>
      <c r="E73" s="21" t="s">
        <v>22</v>
      </c>
      <c r="F73" s="21" t="s">
        <v>24</v>
      </c>
      <c r="G73" s="21" t="s">
        <v>26</v>
      </c>
      <c r="H73" s="21" t="s">
        <v>28</v>
      </c>
      <c r="I73" s="21" t="s">
        <v>126</v>
      </c>
      <c r="J73" s="21" t="s">
        <v>35</v>
      </c>
      <c r="K73" s="21" t="s">
        <v>43</v>
      </c>
      <c r="L73" s="21" t="s">
        <v>51</v>
      </c>
      <c r="M73" s="21" t="s">
        <v>54</v>
      </c>
      <c r="N73" s="21" t="s">
        <v>57</v>
      </c>
      <c r="O73" s="19">
        <f>IF(ISBLANK(D73),"",IF(D73='טבלת פרמטרים'!$A$9,1,0)+IF(E73='טבלת פרמטרים'!$B$5,2,1)+IF(F73='טבלת פרמטרים'!$C$5,3,IF(F73='טבלת פרמטרים'!$C$4,1,0))+IF(G73='טבלת פרמטרים'!$D$3,2,0)+IF(M73='טבלת פרמטרים'!$J$4,2,IF(M73='טבלת פרמטרים'!$J$3,1,0))+IF(N73='טבלת פרמטרים'!$K$6,3,IF(OR(N73='טבלת פרמטרים'!$K$4,N73='טבלת פרמטרים'!$K$5),2,IF(N73='טבלת פרמטרים'!$K$3,1,0))))</f>
        <v>5</v>
      </c>
      <c r="P73" s="20" t="s">
        <v>115</v>
      </c>
      <c r="Q73" s="20" t="s">
        <v>329</v>
      </c>
      <c r="R73" s="19">
        <f t="shared" si="1"/>
        <v>6</v>
      </c>
      <c r="S73" s="19">
        <f>IF(EXACT(P73,'טבלת פרמטרים'!$M$2),'טבלת פרמטרים'!$N$2,IF(EXACT(P73,'טבלת פרמטרים'!$M$3),'טבלת פרמטרים'!$N$3,IF(EXACT(P73,'טבלת פרמטרים'!$M$4),'טבלת פרמטרים'!$N$4,IF(EXACT(P73,'טבלת פרמטרים'!$M$5),'טבלת פרמטרים'!$N$5,IF(EXACT(P73,'טבלת פרמטרים'!$M$6),'טבלת פרמטרים'!$N$6,IF(EXACT(P73,'טבלת פרמטרים'!$M$7),'טבלת פרמטרים'!$N$7,IF(EXACT(P73,'טבלת פרמטרים'!$M$8),'טבלת פרמטרים'!$N$8,IF(EXACT(P73,'טבלת פרמטרים'!$M$9),'טבלת פרמטרים'!$N$9,""))))))))</f>
        <v>0</v>
      </c>
      <c r="T73" s="19">
        <f>IF(EXACT(Q73,'טבלת פרמטרים'!$O$2),'טבלת פרמטרים'!$P$2,IF(EXACT(Q73,'טבלת פרמטרים'!$O$3),'טבלת פרמטרים'!$P$3,IF(EXACT(Q73,'טבלת פרמטרים'!$O$4),'טבלת פרמטרים'!$P$4,IF(EXACT(Q73,'טבלת פרמטרים'!$O$5),'טבלת פרמטרים'!$P$5,IF(EXACT(Q73,'טבלת פרמטרים'!$O$6),'טבלת פרמטרים'!$P$6,IF(EXACT(Q73,'טבלת פרמטרים'!$O$7),'טבלת פרמטרים'!$P$7,""))))))</f>
        <v>1</v>
      </c>
    </row>
    <row r="74" spans="1:20" x14ac:dyDescent="0.2">
      <c r="A74" s="18">
        <v>73</v>
      </c>
      <c r="B74" s="30">
        <v>43220</v>
      </c>
      <c r="C74" s="30">
        <v>43220</v>
      </c>
      <c r="D74" s="21" t="s">
        <v>14</v>
      </c>
      <c r="E74" s="21" t="s">
        <v>20</v>
      </c>
      <c r="F74" s="21" t="s">
        <v>23</v>
      </c>
      <c r="G74" s="21" t="s">
        <v>26</v>
      </c>
      <c r="H74" s="21" t="s">
        <v>29</v>
      </c>
      <c r="I74" s="21" t="s">
        <v>127</v>
      </c>
      <c r="J74" s="21" t="s">
        <v>35</v>
      </c>
      <c r="K74" s="21" t="s">
        <v>43</v>
      </c>
      <c r="L74" s="21" t="s">
        <v>51</v>
      </c>
      <c r="M74" s="21" t="s">
        <v>53</v>
      </c>
      <c r="N74" s="21" t="s">
        <v>58</v>
      </c>
      <c r="O74" s="19">
        <f>IF(ISBLANK(D74),"",IF(D74='טבלת פרמטרים'!$A$9,1,0)+IF(E74='טבלת פרמטרים'!$B$5,2,1)+IF(F74='טבלת פרמטרים'!$C$5,3,IF(F74='טבלת פרמטרים'!$C$4,1,0))+IF(G74='טבלת פרמטרים'!$D$3,2,0)+IF(M74='טבלת פרמטרים'!$J$4,2,IF(M74='טבלת פרמטרים'!$J$3,1,0))+IF(N74='טבלת פרמטרים'!$K$6,3,IF(OR(N74='טבלת פרמטרים'!$K$4,N74='טבלת פרמטרים'!$K$5),2,IF(N74='טבלת פרמטרים'!$K$3,1,0))))</f>
        <v>2</v>
      </c>
      <c r="P74" s="20" t="s">
        <v>115</v>
      </c>
      <c r="Q74" s="20" t="s">
        <v>123</v>
      </c>
      <c r="R74" s="19">
        <f t="shared" si="1"/>
        <v>2</v>
      </c>
      <c r="S74" s="19">
        <f>IF(EXACT(P74,'טבלת פרמטרים'!$M$2),'טבלת פרמטרים'!$N$2,IF(EXACT(P74,'טבלת פרמטרים'!$M$3),'טבלת פרמטרים'!$N$3,IF(EXACT(P74,'טבלת פרמטרים'!$M$4),'טבלת פרמטרים'!$N$4,IF(EXACT(P74,'טבלת פרמטרים'!$M$5),'טבלת פרמטרים'!$N$5,IF(EXACT(P74,'טבלת פרמטרים'!$M$6),'טבלת פרמטרים'!$N$6,IF(EXACT(P74,'טבלת פרמטרים'!$M$7),'טבלת פרמטרים'!$N$7,IF(EXACT(P74,'טבלת פרמטרים'!$M$8),'טבלת פרמטרים'!$N$8,IF(EXACT(P74,'טבלת פרמטרים'!$M$9),'טבלת פרמטרים'!$N$9,""))))))))</f>
        <v>0</v>
      </c>
      <c r="T74" s="19">
        <f>IF(EXACT(Q74,'טבלת פרמטרים'!$O$2),'טבלת פרמטרים'!$P$2,IF(EXACT(Q74,'טבלת פרמטרים'!$O$3),'טבלת פרמטרים'!$P$3,IF(EXACT(Q74,'טבלת פרמטרים'!$O$4),'טבלת פרמטרים'!$P$4,IF(EXACT(Q74,'טבלת פרמטרים'!$O$5),'טבלת פרמטרים'!$P$5,IF(EXACT(Q74,'טבלת פרמטרים'!$O$6),'טבלת פרמטרים'!$P$6,IF(EXACT(Q74,'טבלת פרמטרים'!$O$7),'טבלת פרמטרים'!$P$7,""))))))</f>
        <v>0</v>
      </c>
    </row>
    <row r="75" spans="1:20" x14ac:dyDescent="0.2">
      <c r="A75" s="18">
        <v>74</v>
      </c>
      <c r="B75" s="30">
        <v>43236</v>
      </c>
      <c r="C75" s="30">
        <v>43237</v>
      </c>
      <c r="D75" s="21" t="s">
        <v>12</v>
      </c>
      <c r="E75" s="21" t="s">
        <v>21</v>
      </c>
      <c r="F75" s="21" t="s">
        <v>23</v>
      </c>
      <c r="G75" s="21" t="s">
        <v>26</v>
      </c>
      <c r="H75" s="21" t="s">
        <v>30</v>
      </c>
      <c r="I75" s="21" t="s">
        <v>127</v>
      </c>
      <c r="J75" s="21" t="s">
        <v>33</v>
      </c>
      <c r="K75" s="21" t="s">
        <v>44</v>
      </c>
      <c r="L75" s="21" t="s">
        <v>51</v>
      </c>
      <c r="M75" s="21" t="s">
        <v>55</v>
      </c>
      <c r="N75" s="21" t="s">
        <v>58</v>
      </c>
      <c r="O75" s="19">
        <f>IF(ISBLANK(D75),"",IF(D75='טבלת פרמטרים'!$A$9,1,0)+IF(E75='טבלת פרמטרים'!$B$5,2,1)+IF(F75='טבלת פרמטרים'!$C$5,3,IF(F75='טבלת פרמטרים'!$C$4,1,0))+IF(G75='טבלת פרמטרים'!$D$3,2,0)+IF(M75='טבלת פרמטרים'!$J$4,2,IF(M75='טבלת פרמטרים'!$J$3,1,0))+IF(N75='טבלת פרמטרים'!$K$6,3,IF(OR(N75='טבלת פרמטרים'!$K$4,N75='טבלת פרמטרים'!$K$5),2,IF(N75='טבלת פרמטרים'!$K$3,1,0))))</f>
        <v>4</v>
      </c>
      <c r="P75" s="20" t="s">
        <v>115</v>
      </c>
      <c r="Q75" s="20" t="s">
        <v>123</v>
      </c>
      <c r="R75" s="19">
        <f t="shared" si="1"/>
        <v>4</v>
      </c>
      <c r="S75" s="19">
        <f>IF(EXACT(P75,'טבלת פרמטרים'!$M$2),'טבלת פרמטרים'!$N$2,IF(EXACT(P75,'טבלת פרמטרים'!$M$3),'טבלת פרמטרים'!$N$3,IF(EXACT(P75,'טבלת פרמטרים'!$M$4),'טבלת פרמטרים'!$N$4,IF(EXACT(P75,'טבלת פרמטרים'!$M$5),'טבלת פרמטרים'!$N$5,IF(EXACT(P75,'טבלת פרמטרים'!$M$6),'טבלת פרמטרים'!$N$6,IF(EXACT(P75,'טבלת פרמטרים'!$M$7),'טבלת פרמטרים'!$N$7,IF(EXACT(P75,'טבלת פרמטרים'!$M$8),'טבלת פרמטרים'!$N$8,IF(EXACT(P75,'טבלת פרמטרים'!$M$9),'טבלת פרמטרים'!$N$9,""))))))))</f>
        <v>0</v>
      </c>
      <c r="T75" s="19">
        <f>IF(EXACT(Q75,'טבלת פרמטרים'!$O$2),'טבלת פרמטרים'!$P$2,IF(EXACT(Q75,'טבלת פרמטרים'!$O$3),'טבלת פרמטרים'!$P$3,IF(EXACT(Q75,'טבלת פרמטרים'!$O$4),'טבלת פרמטרים'!$P$4,IF(EXACT(Q75,'טבלת פרמטרים'!$O$5),'טבלת פרמטרים'!$P$5,IF(EXACT(Q75,'טבלת פרמטרים'!$O$6),'טבלת פרמטרים'!$P$6,IF(EXACT(Q75,'טבלת פרמטרים'!$O$7),'טבלת פרמטרים'!$P$7,""))))))</f>
        <v>0</v>
      </c>
    </row>
    <row r="76" spans="1:20" x14ac:dyDescent="0.2">
      <c r="A76" s="18">
        <v>75</v>
      </c>
      <c r="B76" s="30">
        <v>43234</v>
      </c>
      <c r="C76" s="30">
        <v>43234</v>
      </c>
      <c r="D76" s="21" t="s">
        <v>17</v>
      </c>
      <c r="E76" s="21" t="s">
        <v>111</v>
      </c>
      <c r="F76" s="21" t="s">
        <v>23</v>
      </c>
      <c r="G76" s="21" t="s">
        <v>26</v>
      </c>
      <c r="H76" s="21" t="s">
        <v>19</v>
      </c>
      <c r="J76" s="21" t="s">
        <v>35</v>
      </c>
      <c r="K76" s="21" t="s">
        <v>44</v>
      </c>
      <c r="L76" s="21" t="s">
        <v>51</v>
      </c>
      <c r="M76" s="21" t="s">
        <v>55</v>
      </c>
      <c r="N76" s="21" t="s">
        <v>57</v>
      </c>
      <c r="O76" s="19">
        <f>IF(ISBLANK(D76),"",IF(D76='טבלת פרמטרים'!$A$9,1,0)+IF(E76='טבלת פרמטרים'!$B$5,2,1)+IF(F76='טבלת פרמטרים'!$C$5,3,IF(F76='טבלת פרמטרים'!$C$4,1,0))+IF(G76='טבלת פרמטרים'!$D$3,2,0)+IF(M76='טבלת פרמטרים'!$J$4,2,IF(M76='טבלת פרמטרים'!$J$3,1,0))+IF(N76='טבלת פרמטרים'!$K$6,3,IF(OR(N76='טבלת פרמטרים'!$K$4,N76='טבלת פרמטרים'!$K$5),2,IF(N76='טבלת פרמטרים'!$K$3,1,0))))</f>
        <v>4</v>
      </c>
      <c r="P76" s="20" t="s">
        <v>115</v>
      </c>
      <c r="Q76" s="20" t="s">
        <v>123</v>
      </c>
      <c r="R76" s="19">
        <f t="shared" si="1"/>
        <v>4</v>
      </c>
      <c r="S76" s="19">
        <f>IF(EXACT(P76,'טבלת פרמטרים'!$M$2),'טבלת פרמטרים'!$N$2,IF(EXACT(P76,'טבלת פרמטרים'!$M$3),'טבלת פרמטרים'!$N$3,IF(EXACT(P76,'טבלת פרמטרים'!$M$4),'טבלת פרמטרים'!$N$4,IF(EXACT(P76,'טבלת פרמטרים'!$M$5),'טבלת פרמטרים'!$N$5,IF(EXACT(P76,'טבלת פרמטרים'!$M$6),'טבלת פרמטרים'!$N$6,IF(EXACT(P76,'טבלת פרמטרים'!$M$7),'טבלת פרמטרים'!$N$7,IF(EXACT(P76,'טבלת פרמטרים'!$M$8),'טבלת פרמטרים'!$N$8,IF(EXACT(P76,'טבלת פרמטרים'!$M$9),'טבלת פרמטרים'!$N$9,""))))))))</f>
        <v>0</v>
      </c>
      <c r="T76" s="19">
        <f>IF(EXACT(Q76,'טבלת פרמטרים'!$O$2),'טבלת פרמטרים'!$P$2,IF(EXACT(Q76,'טבלת פרמטרים'!$O$3),'טבלת פרמטרים'!$P$3,IF(EXACT(Q76,'טבלת פרמטרים'!$O$4),'טבלת פרמטרים'!$P$4,IF(EXACT(Q76,'טבלת פרמטרים'!$O$5),'טבלת פרמטרים'!$P$5,IF(EXACT(Q76,'טבלת פרמטרים'!$O$6),'טבלת פרמטרים'!$P$6,IF(EXACT(Q76,'טבלת פרמטרים'!$O$7),'טבלת פרמטרים'!$P$7,""))))))</f>
        <v>0</v>
      </c>
    </row>
    <row r="77" spans="1:20" x14ac:dyDescent="0.2">
      <c r="A77" s="18">
        <v>76</v>
      </c>
      <c r="B77" s="30">
        <v>43233</v>
      </c>
      <c r="C77" s="30">
        <v>43233</v>
      </c>
      <c r="D77" s="21" t="s">
        <v>16</v>
      </c>
      <c r="E77" s="21" t="s">
        <v>21</v>
      </c>
      <c r="F77" s="21" t="s">
        <v>23</v>
      </c>
      <c r="G77" s="21" t="s">
        <v>26</v>
      </c>
      <c r="H77" s="21" t="s">
        <v>30</v>
      </c>
      <c r="I77" s="21" t="s">
        <v>126</v>
      </c>
      <c r="J77" s="21" t="s">
        <v>34</v>
      </c>
      <c r="K77" s="21" t="s">
        <v>44</v>
      </c>
      <c r="L77" s="21" t="s">
        <v>51</v>
      </c>
      <c r="M77" s="21" t="s">
        <v>54</v>
      </c>
      <c r="N77" s="21" t="s">
        <v>59</v>
      </c>
      <c r="O77" s="19">
        <f>IF(ISBLANK(D77),"",IF(D77='טבלת פרמטרים'!$A$9,1,0)+IF(E77='טבלת פרמטרים'!$B$5,2,1)+IF(F77='טבלת פרמטרים'!$C$5,3,IF(F77='טבלת פרמטרים'!$C$4,1,0))+IF(G77='טבלת פרמטרים'!$D$3,2,0)+IF(M77='טבלת פרמטרים'!$J$4,2,IF(M77='טבלת פרמטרים'!$J$3,1,0))+IF(N77='טבלת פרמטרים'!$K$6,3,IF(OR(N77='טבלת פרמטרים'!$K$4,N77='טבלת פרמטרים'!$K$5),2,IF(N77='טבלת פרמטרים'!$K$3,1,0))))</f>
        <v>4</v>
      </c>
      <c r="P77" s="20" t="s">
        <v>115</v>
      </c>
      <c r="Q77" s="20" t="s">
        <v>123</v>
      </c>
      <c r="R77" s="19">
        <f t="shared" si="1"/>
        <v>4</v>
      </c>
      <c r="S77" s="19">
        <f>IF(EXACT(P77,'טבלת פרמטרים'!$M$2),'טבלת פרמטרים'!$N$2,IF(EXACT(P77,'טבלת פרמטרים'!$M$3),'טבלת פרמטרים'!$N$3,IF(EXACT(P77,'טבלת פרמטרים'!$M$4),'טבלת פרמטרים'!$N$4,IF(EXACT(P77,'טבלת פרמטרים'!$M$5),'טבלת פרמטרים'!$N$5,IF(EXACT(P77,'טבלת פרמטרים'!$M$6),'טבלת פרמטרים'!$N$6,IF(EXACT(P77,'טבלת פרמטרים'!$M$7),'טבלת פרמטרים'!$N$7,IF(EXACT(P77,'טבלת פרמטרים'!$M$8),'טבלת פרמטרים'!$N$8,IF(EXACT(P77,'טבלת פרמטרים'!$M$9),'טבלת פרמטרים'!$N$9,""))))))))</f>
        <v>0</v>
      </c>
      <c r="T77" s="19">
        <f>IF(EXACT(Q77,'טבלת פרמטרים'!$O$2),'טבלת פרמטרים'!$P$2,IF(EXACT(Q77,'טבלת פרמטרים'!$O$3),'טבלת פרמטרים'!$P$3,IF(EXACT(Q77,'טבלת פרמטרים'!$O$4),'טבלת פרמטרים'!$P$4,IF(EXACT(Q77,'טבלת פרמטרים'!$O$5),'טבלת פרמטרים'!$P$5,IF(EXACT(Q77,'טבלת פרמטרים'!$O$6),'טבלת פרמטרים'!$P$6,IF(EXACT(Q77,'טבלת פרמטרים'!$O$7),'טבלת פרמטרים'!$P$7,""))))))</f>
        <v>0</v>
      </c>
    </row>
    <row r="78" spans="1:20" x14ac:dyDescent="0.2">
      <c r="A78" s="18">
        <v>77</v>
      </c>
      <c r="B78" s="30">
        <v>43230</v>
      </c>
      <c r="C78" s="30">
        <v>43230</v>
      </c>
      <c r="D78" s="21" t="s">
        <v>16</v>
      </c>
      <c r="E78" s="21" t="s">
        <v>20</v>
      </c>
      <c r="F78" s="21" t="s">
        <v>23</v>
      </c>
      <c r="G78" s="21" t="s">
        <v>26</v>
      </c>
      <c r="H78" s="21" t="s">
        <v>30</v>
      </c>
      <c r="I78" s="21" t="s">
        <v>126</v>
      </c>
      <c r="J78" s="21" t="s">
        <v>34</v>
      </c>
      <c r="K78" s="21" t="s">
        <v>43</v>
      </c>
      <c r="L78" s="21" t="s">
        <v>51</v>
      </c>
      <c r="M78" s="21" t="s">
        <v>55</v>
      </c>
      <c r="N78" s="21" t="s">
        <v>112</v>
      </c>
      <c r="O78" s="19">
        <f>IF(ISBLANK(D78),"",IF(D78='טבלת פרמטרים'!$A$9,1,0)+IF(E78='טבלת פרמטרים'!$B$5,2,1)+IF(F78='טבלת פרמטרים'!$C$5,3,IF(F78='טבלת פרמטרים'!$C$4,1,0))+IF(G78='טבלת פרמטרים'!$D$3,2,0)+IF(M78='טבלת פרמטרים'!$J$4,2,IF(M78='טבלת פרמטרים'!$J$3,1,0))+IF(N78='טבלת פרמטרים'!$K$6,3,IF(OR(N78='טבלת פרמטרים'!$K$4,N78='טבלת פרמטרים'!$K$5),2,IF(N78='טבלת פרמטרים'!$K$3,1,0))))</f>
        <v>5</v>
      </c>
      <c r="P78" s="20" t="s">
        <v>115</v>
      </c>
      <c r="Q78" s="20" t="s">
        <v>123</v>
      </c>
      <c r="R78" s="19">
        <f t="shared" si="1"/>
        <v>5</v>
      </c>
      <c r="S78" s="19">
        <f>IF(EXACT(P78,'טבלת פרמטרים'!$M$2),'טבלת פרמטרים'!$N$2,IF(EXACT(P78,'טבלת פרמטרים'!$M$3),'טבלת פרמטרים'!$N$3,IF(EXACT(P78,'טבלת פרמטרים'!$M$4),'טבלת פרמטרים'!$N$4,IF(EXACT(P78,'טבלת פרמטרים'!$M$5),'טבלת פרמטרים'!$N$5,IF(EXACT(P78,'טבלת פרמטרים'!$M$6),'טבלת פרמטרים'!$N$6,IF(EXACT(P78,'טבלת פרמטרים'!$M$7),'טבלת פרמטרים'!$N$7,IF(EXACT(P78,'טבלת פרמטרים'!$M$8),'טבלת פרמטרים'!$N$8,IF(EXACT(P78,'טבלת פרמטרים'!$M$9),'טבלת פרמטרים'!$N$9,""))))))))</f>
        <v>0</v>
      </c>
      <c r="T78" s="19">
        <f>IF(EXACT(Q78,'טבלת פרמטרים'!$O$2),'טבלת פרמטרים'!$P$2,IF(EXACT(Q78,'טבלת פרמטרים'!$O$3),'טבלת פרמטרים'!$P$3,IF(EXACT(Q78,'טבלת פרמטרים'!$O$4),'טבלת פרמטרים'!$P$4,IF(EXACT(Q78,'טבלת פרמטרים'!$O$5),'טבלת פרמטרים'!$P$5,IF(EXACT(Q78,'טבלת פרמטרים'!$O$6),'טבלת פרמטרים'!$P$6,IF(EXACT(Q78,'טבלת פרמטרים'!$O$7),'טבלת פרמטרים'!$P$7,""))))))</f>
        <v>0</v>
      </c>
    </row>
    <row r="79" spans="1:20" x14ac:dyDescent="0.2">
      <c r="A79" s="18">
        <v>78</v>
      </c>
      <c r="B79" s="30">
        <v>43261</v>
      </c>
      <c r="C79" s="30">
        <v>43263</v>
      </c>
      <c r="D79" s="21" t="s">
        <v>11</v>
      </c>
      <c r="E79" s="21" t="s">
        <v>20</v>
      </c>
      <c r="F79" s="21" t="s">
        <v>23</v>
      </c>
      <c r="G79" s="21" t="s">
        <v>26</v>
      </c>
      <c r="H79" s="21" t="s">
        <v>32</v>
      </c>
      <c r="I79" s="21" t="s">
        <v>126</v>
      </c>
      <c r="J79" s="21" t="s">
        <v>11</v>
      </c>
      <c r="K79" s="21" t="s">
        <v>39</v>
      </c>
      <c r="L79" s="21" t="s">
        <v>51</v>
      </c>
      <c r="M79" s="21" t="s">
        <v>55</v>
      </c>
      <c r="N79" s="21" t="s">
        <v>57</v>
      </c>
      <c r="O79" s="19">
        <f>IF(ISBLANK(D79),"",IF(D79='טבלת פרמטרים'!$A$9,1,0)+IF(E79='טבלת פרמטרים'!$B$5,2,1)+IF(F79='טבלת פרמטרים'!$C$5,3,IF(F79='טבלת פרמטרים'!$C$4,1,0))+IF(G79='טבלת פרמטרים'!$D$3,2,0)+IF(M79='טבלת פרמטרים'!$J$4,2,IF(M79='טבלת פרמטרים'!$J$3,1,0))+IF(N79='טבלת פרמטרים'!$K$6,3,IF(OR(N79='טבלת פרמטרים'!$K$4,N79='טבלת פרמטרים'!$K$5),2,IF(N79='טבלת פרמטרים'!$K$3,1,0))))</f>
        <v>3</v>
      </c>
      <c r="P79" s="20" t="s">
        <v>115</v>
      </c>
      <c r="Q79" s="20" t="s">
        <v>123</v>
      </c>
      <c r="R79" s="19">
        <f t="shared" si="1"/>
        <v>3</v>
      </c>
      <c r="S79" s="19">
        <f>IF(EXACT(P79,'טבלת פרמטרים'!$M$2),'טבלת פרמטרים'!$N$2,IF(EXACT(P79,'טבלת פרמטרים'!$M$3),'טבלת פרמטרים'!$N$3,IF(EXACT(P79,'טבלת פרמטרים'!$M$4),'טבלת פרמטרים'!$N$4,IF(EXACT(P79,'טבלת פרמטרים'!$M$5),'טבלת פרמטרים'!$N$5,IF(EXACT(P79,'טבלת פרמטרים'!$M$6),'טבלת פרמטרים'!$N$6,IF(EXACT(P79,'טבלת פרמטרים'!$M$7),'טבלת פרמטרים'!$N$7,IF(EXACT(P79,'טבלת פרמטרים'!$M$8),'טבלת פרמטרים'!$N$8,IF(EXACT(P79,'טבלת פרמטרים'!$M$9),'טבלת פרמטרים'!$N$9,""))))))))</f>
        <v>0</v>
      </c>
      <c r="T79" s="19">
        <f>IF(EXACT(Q79,'טבלת פרמטרים'!$O$2),'טבלת פרמטרים'!$P$2,IF(EXACT(Q79,'טבלת פרמטרים'!$O$3),'טבלת פרמטרים'!$P$3,IF(EXACT(Q79,'טבלת פרמטרים'!$O$4),'טבלת פרמטרים'!$P$4,IF(EXACT(Q79,'טבלת פרמטרים'!$O$5),'טבלת פרמטרים'!$P$5,IF(EXACT(Q79,'טבלת פרמטרים'!$O$6),'טבלת פרמטרים'!$P$6,IF(EXACT(Q79,'טבלת פרמטרים'!$O$7),'טבלת פרמטרים'!$P$7,""))))))</f>
        <v>0</v>
      </c>
    </row>
    <row r="80" spans="1:20" x14ac:dyDescent="0.2">
      <c r="A80" s="18">
        <v>79</v>
      </c>
      <c r="B80" s="30">
        <v>43263</v>
      </c>
      <c r="C80" s="30">
        <v>43263</v>
      </c>
      <c r="D80" s="21" t="s">
        <v>14</v>
      </c>
      <c r="E80" s="21" t="s">
        <v>20</v>
      </c>
      <c r="F80" s="21" t="s">
        <v>23</v>
      </c>
      <c r="G80" s="21" t="s">
        <v>26</v>
      </c>
      <c r="H80" s="21" t="s">
        <v>29</v>
      </c>
      <c r="I80" s="21" t="s">
        <v>126</v>
      </c>
      <c r="J80" s="21" t="s">
        <v>35</v>
      </c>
      <c r="K80" s="21" t="s">
        <v>44</v>
      </c>
      <c r="L80" s="21" t="s">
        <v>51</v>
      </c>
      <c r="M80" s="21" t="s">
        <v>53</v>
      </c>
      <c r="N80" s="21" t="s">
        <v>57</v>
      </c>
      <c r="O80" s="19">
        <f>IF(ISBLANK(D80),"",IF(D80='טבלת פרמטרים'!$A$9,1,0)+IF(E80='טבלת פרמטרים'!$B$5,2,1)+IF(F80='טבלת פרמטרים'!$C$5,3,IF(F80='טבלת פרמטרים'!$C$4,1,0))+IF(G80='טבלת פרמטרים'!$D$3,2,0)+IF(M80='טבלת פרמטרים'!$J$4,2,IF(M80='טבלת פרמטרים'!$J$3,1,0))+IF(N80='טבלת פרמטרים'!$K$6,3,IF(OR(N80='טבלת פרמטרים'!$K$4,N80='טבלת פרמטרים'!$K$5),2,IF(N80='טבלת פרמטרים'!$K$3,1,0))))</f>
        <v>1</v>
      </c>
      <c r="P80" s="20" t="s">
        <v>115</v>
      </c>
      <c r="Q80" s="20" t="s">
        <v>123</v>
      </c>
      <c r="R80" s="19">
        <f t="shared" si="1"/>
        <v>1</v>
      </c>
      <c r="S80" s="19">
        <f>IF(EXACT(P80,'טבלת פרמטרים'!$M$2),'טבלת פרמטרים'!$N$2,IF(EXACT(P80,'טבלת פרמטרים'!$M$3),'טבלת פרמטרים'!$N$3,IF(EXACT(P80,'טבלת פרמטרים'!$M$4),'טבלת פרמטרים'!$N$4,IF(EXACT(P80,'טבלת פרמטרים'!$M$5),'טבלת פרמטרים'!$N$5,IF(EXACT(P80,'טבלת פרמטרים'!$M$6),'טבלת פרמטרים'!$N$6,IF(EXACT(P80,'טבלת פרמטרים'!$M$7),'טבלת פרמטרים'!$N$7,IF(EXACT(P80,'טבלת פרמטרים'!$M$8),'טבלת פרמטרים'!$N$8,IF(EXACT(P80,'טבלת פרמטרים'!$M$9),'טבלת פרמטרים'!$N$9,""))))))))</f>
        <v>0</v>
      </c>
      <c r="T80" s="19">
        <f>IF(EXACT(Q80,'טבלת פרמטרים'!$O$2),'טבלת פרמטרים'!$P$2,IF(EXACT(Q80,'טבלת פרמטרים'!$O$3),'טבלת פרמטרים'!$P$3,IF(EXACT(Q80,'טבלת פרמטרים'!$O$4),'טבלת פרמטרים'!$P$4,IF(EXACT(Q80,'טבלת פרמטרים'!$O$5),'טבלת פרמטרים'!$P$5,IF(EXACT(Q80,'טבלת פרמטרים'!$O$6),'טבלת פרמטרים'!$P$6,IF(EXACT(Q80,'טבלת פרמטרים'!$O$7),'טבלת פרמטרים'!$P$7,""))))))</f>
        <v>0</v>
      </c>
    </row>
    <row r="81" spans="1:20" ht="28.5" x14ac:dyDescent="0.2">
      <c r="A81" s="18">
        <v>80</v>
      </c>
      <c r="B81" s="30">
        <v>43268</v>
      </c>
      <c r="C81" s="30">
        <v>43268</v>
      </c>
      <c r="D81" s="21" t="s">
        <v>11</v>
      </c>
      <c r="E81" s="21" t="s">
        <v>22</v>
      </c>
      <c r="F81" s="21" t="s">
        <v>24</v>
      </c>
      <c r="G81" s="21" t="s">
        <v>26</v>
      </c>
      <c r="H81" s="21" t="s">
        <v>31</v>
      </c>
      <c r="I81" s="21" t="s">
        <v>126</v>
      </c>
      <c r="J81" s="21" t="s">
        <v>36</v>
      </c>
      <c r="K81" s="21" t="s">
        <v>36</v>
      </c>
      <c r="L81" s="21" t="s">
        <v>51</v>
      </c>
      <c r="M81" s="21" t="s">
        <v>55</v>
      </c>
      <c r="N81" s="21" t="s">
        <v>57</v>
      </c>
      <c r="O81" s="19">
        <f>IF(ISBLANK(D81),"",IF(D81='טבלת פרמטרים'!$A$9,1,0)+IF(E81='טבלת פרמטרים'!$B$5,2,1)+IF(F81='טבלת פרמטרים'!$C$5,3,IF(F81='טבלת פרמטרים'!$C$4,1,0))+IF(G81='טבלת פרמטרים'!$D$3,2,0)+IF(M81='טבלת פרמטרים'!$J$4,2,IF(M81='טבלת פרמטרים'!$J$3,1,0))+IF(N81='טבלת פרמטרים'!$K$6,3,IF(OR(N81='טבלת פרמטרים'!$K$4,N81='טבלת פרמטרים'!$K$5),2,IF(N81='טבלת פרמטרים'!$K$3,1,0))))</f>
        <v>5</v>
      </c>
      <c r="P81" s="20" t="s">
        <v>115</v>
      </c>
      <c r="Q81" s="20" t="s">
        <v>332</v>
      </c>
      <c r="R81" s="19">
        <f t="shared" si="1"/>
        <v>13</v>
      </c>
      <c r="S81" s="19">
        <f>IF(EXACT(P81,'טבלת פרמטרים'!$M$2),'טבלת פרמטרים'!$N$2,IF(EXACT(P81,'טבלת פרמטרים'!$M$3),'טבלת פרמטרים'!$N$3,IF(EXACT(P81,'טבלת פרמטרים'!$M$4),'טבלת פרמטרים'!$N$4,IF(EXACT(P81,'טבלת פרמטרים'!$M$5),'טבלת פרמטרים'!$N$5,IF(EXACT(P81,'טבלת פרמטרים'!$M$6),'טבלת פרמטרים'!$N$6,IF(EXACT(P81,'טבלת פרמטרים'!$M$7),'טבלת פרמטרים'!$N$7,IF(EXACT(P81,'טבלת פרמטרים'!$M$8),'טבלת פרמטרים'!$N$8,IF(EXACT(P81,'טבלת פרמטרים'!$M$9),'טבלת פרמטרים'!$N$9,""))))))))</f>
        <v>0</v>
      </c>
      <c r="T81" s="19">
        <f>IF(EXACT(Q81,'טבלת פרמטרים'!$O$2),'טבלת פרמטרים'!$P$2,IF(EXACT(Q81,'טבלת פרמטרים'!$O$3),'טבלת פרמטרים'!$P$3,IF(EXACT(Q81,'טבלת פרמטרים'!$O$4),'טבלת פרמטרים'!$P$4,IF(EXACT(Q81,'טבלת פרמטרים'!$O$5),'טבלת פרמטרים'!$P$5,IF(EXACT(Q81,'טבלת פרמטרים'!$O$6),'טבלת פרמטרים'!$P$6,IF(EXACT(Q81,'טבלת פרמטרים'!$O$7),'טבלת פרמטרים'!$P$7,""))))))</f>
        <v>8</v>
      </c>
    </row>
    <row r="82" spans="1:20" ht="28.5" x14ac:dyDescent="0.2">
      <c r="A82" s="18">
        <v>81</v>
      </c>
      <c r="B82" s="30">
        <v>43269</v>
      </c>
      <c r="C82" s="30">
        <v>43270</v>
      </c>
      <c r="D82" s="21" t="s">
        <v>17</v>
      </c>
      <c r="E82" s="21" t="s">
        <v>22</v>
      </c>
      <c r="F82" s="21" t="s">
        <v>24</v>
      </c>
      <c r="G82" s="21" t="s">
        <v>26</v>
      </c>
      <c r="H82" s="21" t="s">
        <v>28</v>
      </c>
      <c r="I82" s="21" t="s">
        <v>127</v>
      </c>
      <c r="J82" s="21" t="s">
        <v>34</v>
      </c>
      <c r="K82" s="21" t="s">
        <v>44</v>
      </c>
      <c r="L82" s="21" t="s">
        <v>51</v>
      </c>
      <c r="M82" s="21" t="s">
        <v>53</v>
      </c>
      <c r="N82" s="21" t="s">
        <v>57</v>
      </c>
      <c r="O82" s="19">
        <f>IF(ISBLANK(D82),"",IF(D82='טבלת פרמטרים'!$A$9,1,0)+IF(E82='טבלת פרמטרים'!$B$5,2,1)+IF(F82='טבלת פרמטרים'!$C$5,3,IF(F82='טבלת פרמטרים'!$C$4,1,0))+IF(G82='טבלת פרמטרים'!$D$3,2,0)+IF(M82='טבלת פרמטרים'!$J$4,2,IF(M82='טבלת פרמטרים'!$J$3,1,0))+IF(N82='טבלת פרמטרים'!$K$6,3,IF(OR(N82='טבלת פרמטרים'!$K$4,N82='טבלת פרמטרים'!$K$5),2,IF(N82='טבלת פרמטרים'!$K$3,1,0))))</f>
        <v>4</v>
      </c>
      <c r="P82" s="20" t="s">
        <v>115</v>
      </c>
      <c r="Q82" s="20" t="s">
        <v>329</v>
      </c>
      <c r="R82" s="19">
        <f t="shared" si="1"/>
        <v>5</v>
      </c>
      <c r="S82" s="19">
        <f>IF(EXACT(P82,'טבלת פרמטרים'!$M$2),'טבלת פרמטרים'!$N$2,IF(EXACT(P82,'טבלת פרמטרים'!$M$3),'טבלת פרמטרים'!$N$3,IF(EXACT(P82,'טבלת פרמטרים'!$M$4),'טבלת פרמטרים'!$N$4,IF(EXACT(P82,'טבלת פרמטרים'!$M$5),'טבלת פרמטרים'!$N$5,IF(EXACT(P82,'טבלת פרמטרים'!$M$6),'טבלת פרמטרים'!$N$6,IF(EXACT(P82,'טבלת פרמטרים'!$M$7),'טבלת פרמטרים'!$N$7,IF(EXACT(P82,'טבלת פרמטרים'!$M$8),'טבלת פרמטרים'!$N$8,IF(EXACT(P82,'טבלת פרמטרים'!$M$9),'טבלת פרמטרים'!$N$9,""))))))))</f>
        <v>0</v>
      </c>
      <c r="T82" s="19">
        <f>IF(EXACT(Q82,'טבלת פרמטרים'!$O$2),'טבלת פרמטרים'!$P$2,IF(EXACT(Q82,'טבלת פרמטרים'!$O$3),'טבלת פרמטרים'!$P$3,IF(EXACT(Q82,'טבלת פרמטרים'!$O$4),'טבלת פרמטרים'!$P$4,IF(EXACT(Q82,'טבלת פרמטרים'!$O$5),'טבלת פרמטרים'!$P$5,IF(EXACT(Q82,'טבלת פרמטרים'!$O$6),'טבלת פרמטרים'!$P$6,IF(EXACT(Q82,'טבלת פרמטרים'!$O$7),'טבלת פרמטרים'!$P$7,""))))))</f>
        <v>1</v>
      </c>
    </row>
    <row r="83" spans="1:20" x14ac:dyDescent="0.2">
      <c r="A83" s="18">
        <v>82</v>
      </c>
      <c r="B83" s="30">
        <v>43270</v>
      </c>
      <c r="C83" s="30">
        <v>43270</v>
      </c>
      <c r="D83" s="21" t="s">
        <v>10</v>
      </c>
      <c r="E83" s="21" t="s">
        <v>111</v>
      </c>
      <c r="F83" s="21" t="s">
        <v>23</v>
      </c>
      <c r="G83" s="21" t="s">
        <v>26</v>
      </c>
      <c r="H83" s="21" t="s">
        <v>31</v>
      </c>
      <c r="I83" s="21" t="s">
        <v>126</v>
      </c>
      <c r="J83" s="21" t="s">
        <v>33</v>
      </c>
      <c r="K83" s="21" t="s">
        <v>44</v>
      </c>
      <c r="L83" s="21" t="s">
        <v>50</v>
      </c>
      <c r="M83" s="21" t="s">
        <v>55</v>
      </c>
      <c r="N83" s="21" t="s">
        <v>58</v>
      </c>
      <c r="O83" s="19">
        <f>IF(ISBLANK(D83),"",IF(D83='טבלת פרמטרים'!$A$9,1,0)+IF(E83='טבלת פרמטרים'!$B$5,2,1)+IF(F83='טבלת פרמטרים'!$C$5,3,IF(F83='טבלת פרמטרים'!$C$4,1,0))+IF(G83='טבלת פרמטרים'!$D$3,2,0)+IF(M83='טבלת פרמטרים'!$J$4,2,IF(M83='טבלת פרמטרים'!$J$3,1,0))+IF(N83='טבלת פרמטרים'!$K$6,3,IF(OR(N83='טבלת פרמטרים'!$K$4,N83='טבלת פרמטרים'!$K$5),2,IF(N83='טבלת פרמטרים'!$K$3,1,0))))</f>
        <v>4</v>
      </c>
      <c r="P83" s="20" t="s">
        <v>115</v>
      </c>
      <c r="Q83" s="20" t="s">
        <v>123</v>
      </c>
      <c r="R83" s="19">
        <f t="shared" si="1"/>
        <v>4</v>
      </c>
      <c r="S83" s="19">
        <f>IF(EXACT(P83,'טבלת פרמטרים'!$M$2),'טבלת פרמטרים'!$N$2,IF(EXACT(P83,'טבלת פרמטרים'!$M$3),'טבלת פרמטרים'!$N$3,IF(EXACT(P83,'טבלת פרמטרים'!$M$4),'טבלת פרמטרים'!$N$4,IF(EXACT(P83,'טבלת פרמטרים'!$M$5),'טבלת פרמטרים'!$N$5,IF(EXACT(P83,'טבלת פרמטרים'!$M$6),'טבלת פרמטרים'!$N$6,IF(EXACT(P83,'טבלת פרמטרים'!$M$7),'טבלת פרמטרים'!$N$7,IF(EXACT(P83,'טבלת פרמטרים'!$M$8),'טבלת פרמטרים'!$N$8,IF(EXACT(P83,'טבלת פרמטרים'!$M$9),'טבלת פרמטרים'!$N$9,""))))))))</f>
        <v>0</v>
      </c>
      <c r="T83" s="19">
        <f>IF(EXACT(Q83,'טבלת פרמטרים'!$O$2),'טבלת פרמטרים'!$P$2,IF(EXACT(Q83,'טבלת פרמטרים'!$O$3),'טבלת פרמטרים'!$P$3,IF(EXACT(Q83,'טבלת פרמטרים'!$O$4),'טבלת פרמטרים'!$P$4,IF(EXACT(Q83,'טבלת פרמטרים'!$O$5),'טבלת פרמטרים'!$P$5,IF(EXACT(Q83,'טבלת פרמטרים'!$O$6),'טבלת פרמטרים'!$P$6,IF(EXACT(Q83,'טבלת פרמטרים'!$O$7),'טבלת פרמטרים'!$P$7,""))))))</f>
        <v>0</v>
      </c>
    </row>
    <row r="84" spans="1:20" x14ac:dyDescent="0.2">
      <c r="A84" s="18">
        <v>83</v>
      </c>
      <c r="B84" s="30">
        <v>43271</v>
      </c>
      <c r="C84" s="30">
        <v>43271</v>
      </c>
      <c r="D84" s="21" t="s">
        <v>13</v>
      </c>
      <c r="E84" s="21" t="s">
        <v>111</v>
      </c>
      <c r="F84" s="21" t="s">
        <v>23</v>
      </c>
      <c r="G84" s="21" t="s">
        <v>26</v>
      </c>
      <c r="H84" s="21" t="s">
        <v>30</v>
      </c>
      <c r="I84" s="21" t="s">
        <v>126</v>
      </c>
      <c r="J84" s="21" t="s">
        <v>33</v>
      </c>
      <c r="K84" s="21" t="s">
        <v>45</v>
      </c>
      <c r="L84" s="21" t="s">
        <v>51</v>
      </c>
      <c r="M84" s="21" t="s">
        <v>54</v>
      </c>
      <c r="N84" s="21" t="s">
        <v>58</v>
      </c>
      <c r="O84" s="19">
        <f>IF(ISBLANK(D84),"",IF(D84='טבלת פרמטרים'!$A$9,1,0)+IF(E84='טבלת פרמטרים'!$B$5,2,1)+IF(F84='טבלת פרמטרים'!$C$5,3,IF(F84='טבלת פרמטרים'!$C$4,1,0))+IF(G84='טבלת פרמטרים'!$D$3,2,0)+IF(M84='טבלת פרמטרים'!$J$4,2,IF(M84='טבלת פרמטרים'!$J$3,1,0))+IF(N84='טבלת פרמטרים'!$K$6,3,IF(OR(N84='טבלת פרמטרים'!$K$4,N84='טבלת פרמטרים'!$K$5),2,IF(N84='טבלת פרמטרים'!$K$3,1,0))))</f>
        <v>3</v>
      </c>
      <c r="P84" s="20" t="s">
        <v>115</v>
      </c>
      <c r="Q84" s="20" t="s">
        <v>123</v>
      </c>
      <c r="R84" s="19">
        <f t="shared" si="1"/>
        <v>3</v>
      </c>
      <c r="S84" s="19">
        <f>IF(EXACT(P84,'טבלת פרמטרים'!$M$2),'טבלת פרמטרים'!$N$2,IF(EXACT(P84,'טבלת פרמטרים'!$M$3),'טבלת פרמטרים'!$N$3,IF(EXACT(P84,'טבלת פרמטרים'!$M$4),'טבלת פרמטרים'!$N$4,IF(EXACT(P84,'טבלת פרמטרים'!$M$5),'טבלת פרמטרים'!$N$5,IF(EXACT(P84,'טבלת פרמטרים'!$M$6),'טבלת פרמטרים'!$N$6,IF(EXACT(P84,'טבלת פרמטרים'!$M$7),'טבלת פרמטרים'!$N$7,IF(EXACT(P84,'טבלת פרמטרים'!$M$8),'טבלת פרמטרים'!$N$8,IF(EXACT(P84,'טבלת פרמטרים'!$M$9),'טבלת פרמטרים'!$N$9,""))))))))</f>
        <v>0</v>
      </c>
      <c r="T84" s="19">
        <f>IF(EXACT(Q84,'טבלת פרמטרים'!$O$2),'טבלת פרמטרים'!$P$2,IF(EXACT(Q84,'טבלת פרמטרים'!$O$3),'טבלת פרמטרים'!$P$3,IF(EXACT(Q84,'טבלת פרמטרים'!$O$4),'טבלת פרמטרים'!$P$4,IF(EXACT(Q84,'טבלת פרמטרים'!$O$5),'טבלת פרמטרים'!$P$5,IF(EXACT(Q84,'טבלת פרמטרים'!$O$6),'טבלת פרמטרים'!$P$6,IF(EXACT(Q84,'טבלת פרמטרים'!$O$7),'טבלת פרמטרים'!$P$7,""))))))</f>
        <v>0</v>
      </c>
    </row>
    <row r="85" spans="1:20" x14ac:dyDescent="0.2">
      <c r="A85" s="18">
        <v>84</v>
      </c>
      <c r="B85" s="30">
        <v>43277</v>
      </c>
      <c r="C85" s="30">
        <v>43277</v>
      </c>
      <c r="D85" s="21" t="s">
        <v>13</v>
      </c>
      <c r="E85" s="21" t="s">
        <v>20</v>
      </c>
      <c r="F85" s="21" t="s">
        <v>23</v>
      </c>
      <c r="G85" s="21" t="s">
        <v>26</v>
      </c>
      <c r="H85" s="21" t="s">
        <v>31</v>
      </c>
      <c r="I85" s="21" t="s">
        <v>126</v>
      </c>
      <c r="J85" s="21" t="s">
        <v>33</v>
      </c>
      <c r="K85" s="21" t="s">
        <v>45</v>
      </c>
      <c r="L85" s="21" t="s">
        <v>51</v>
      </c>
      <c r="M85" s="21" t="s">
        <v>54</v>
      </c>
      <c r="N85" s="21" t="s">
        <v>59</v>
      </c>
      <c r="O85" s="19">
        <f>IF(ISBLANK(D85),"",IF(D85='טבלת פרמטרים'!$A$9,1,0)+IF(E85='טבלת פרמטרים'!$B$5,2,1)+IF(F85='טבלת פרמטרים'!$C$5,3,IF(F85='טבלת פרמטרים'!$C$4,1,0))+IF(G85='טבלת פרמטרים'!$D$3,2,0)+IF(M85='טבלת פרמטרים'!$J$4,2,IF(M85='טבלת פרמטרים'!$J$3,1,0))+IF(N85='טבלת פרמטרים'!$K$6,3,IF(OR(N85='טבלת פרמטרים'!$K$4,N85='טבלת פרמטרים'!$K$5),2,IF(N85='טבלת פרמטרים'!$K$3,1,0))))</f>
        <v>4</v>
      </c>
      <c r="P85" s="20" t="s">
        <v>115</v>
      </c>
      <c r="Q85" s="20" t="s">
        <v>123</v>
      </c>
      <c r="R85" s="19">
        <f t="shared" si="1"/>
        <v>4</v>
      </c>
      <c r="S85" s="19">
        <f>IF(EXACT(P85,'טבלת פרמטרים'!$M$2),'טבלת פרמטרים'!$N$2,IF(EXACT(P85,'טבלת פרמטרים'!$M$3),'טבלת פרמטרים'!$N$3,IF(EXACT(P85,'טבלת פרמטרים'!$M$4),'טבלת פרמטרים'!$N$4,IF(EXACT(P85,'טבלת פרמטרים'!$M$5),'טבלת פרמטרים'!$N$5,IF(EXACT(P85,'טבלת פרמטרים'!$M$6),'טבלת פרמטרים'!$N$6,IF(EXACT(P85,'טבלת פרמטרים'!$M$7),'טבלת פרמטרים'!$N$7,IF(EXACT(P85,'טבלת פרמטרים'!$M$8),'טבלת פרמטרים'!$N$8,IF(EXACT(P85,'טבלת פרמטרים'!$M$9),'טבלת פרמטרים'!$N$9,""))))))))</f>
        <v>0</v>
      </c>
      <c r="T85" s="19">
        <f>IF(EXACT(Q85,'טבלת פרמטרים'!$O$2),'טבלת פרמטרים'!$P$2,IF(EXACT(Q85,'טבלת פרמטרים'!$O$3),'טבלת פרמטרים'!$P$3,IF(EXACT(Q85,'טבלת פרמטרים'!$O$4),'טבלת פרמטרים'!$P$4,IF(EXACT(Q85,'טבלת פרמטרים'!$O$5),'טבלת פרמטרים'!$P$5,IF(EXACT(Q85,'טבלת פרמטרים'!$O$6),'טבלת פרמטרים'!$P$6,IF(EXACT(Q85,'טבלת פרמטרים'!$O$7),'טבלת פרמטרים'!$P$7,""))))))</f>
        <v>0</v>
      </c>
    </row>
    <row r="86" spans="1:20" x14ac:dyDescent="0.2">
      <c r="A86" s="18">
        <v>85</v>
      </c>
      <c r="B86" s="30">
        <v>43278</v>
      </c>
      <c r="C86" s="30">
        <v>43278</v>
      </c>
      <c r="D86" s="21" t="s">
        <v>13</v>
      </c>
      <c r="E86" s="21" t="s">
        <v>20</v>
      </c>
      <c r="F86" s="21" t="s">
        <v>23</v>
      </c>
      <c r="G86" s="21" t="s">
        <v>26</v>
      </c>
      <c r="H86" s="21" t="s">
        <v>29</v>
      </c>
      <c r="I86" s="21" t="s">
        <v>126</v>
      </c>
      <c r="J86" s="21" t="s">
        <v>35</v>
      </c>
      <c r="K86" s="21" t="s">
        <v>43</v>
      </c>
      <c r="L86" s="21" t="s">
        <v>51</v>
      </c>
      <c r="M86" s="21" t="s">
        <v>53</v>
      </c>
      <c r="N86" s="21" t="s">
        <v>58</v>
      </c>
      <c r="O86" s="19">
        <f>IF(ISBLANK(D86),"",IF(D86='טבלת פרמטרים'!$A$9,1,0)+IF(E86='טבלת פרמטרים'!$B$5,2,1)+IF(F86='טבלת פרמטרים'!$C$5,3,IF(F86='טבלת פרמטרים'!$C$4,1,0))+IF(G86='טבלת פרמטרים'!$D$3,2,0)+IF(M86='טבלת פרמטרים'!$J$4,2,IF(M86='טבלת פרמטרים'!$J$3,1,0))+IF(N86='טבלת פרמטרים'!$K$6,3,IF(OR(N86='טבלת פרמטרים'!$K$4,N86='טבלת פרמטרים'!$K$5),2,IF(N86='טבלת פרמטרים'!$K$3,1,0))))</f>
        <v>2</v>
      </c>
      <c r="P86" s="20" t="s">
        <v>115</v>
      </c>
      <c r="Q86" s="20" t="s">
        <v>123</v>
      </c>
      <c r="R86" s="19">
        <f t="shared" si="1"/>
        <v>2</v>
      </c>
      <c r="S86" s="19">
        <f>IF(EXACT(P86,'טבלת פרמטרים'!$M$2),'טבלת פרמטרים'!$N$2,IF(EXACT(P86,'טבלת פרמטרים'!$M$3),'טבלת פרמטרים'!$N$3,IF(EXACT(P86,'טבלת פרמטרים'!$M$4),'טבלת פרמטרים'!$N$4,IF(EXACT(P86,'טבלת פרמטרים'!$M$5),'טבלת פרמטרים'!$N$5,IF(EXACT(P86,'טבלת פרמטרים'!$M$6),'טבלת פרמטרים'!$N$6,IF(EXACT(P86,'טבלת פרמטרים'!$M$7),'טבלת פרמטרים'!$N$7,IF(EXACT(P86,'טבלת פרמטרים'!$M$8),'טבלת פרמטרים'!$N$8,IF(EXACT(P86,'טבלת פרמטרים'!$M$9),'טבלת פרמטרים'!$N$9,""))))))))</f>
        <v>0</v>
      </c>
      <c r="T86" s="19">
        <f>IF(EXACT(Q86,'טבלת פרמטרים'!$O$2),'טבלת פרמטרים'!$P$2,IF(EXACT(Q86,'טבלת פרמטרים'!$O$3),'טבלת פרמטרים'!$P$3,IF(EXACT(Q86,'טבלת פרמטרים'!$O$4),'טבלת פרמטרים'!$P$4,IF(EXACT(Q86,'טבלת פרמטרים'!$O$5),'טבלת פרמטרים'!$P$5,IF(EXACT(Q86,'טבלת פרמטרים'!$O$6),'טבלת פרמטרים'!$P$6,IF(EXACT(Q86,'טבלת פרמטרים'!$O$7),'טבלת פרמטרים'!$P$7,""))))))</f>
        <v>0</v>
      </c>
    </row>
    <row r="87" spans="1:20" x14ac:dyDescent="0.2">
      <c r="A87" s="18">
        <v>86</v>
      </c>
      <c r="B87" s="30">
        <v>43278</v>
      </c>
      <c r="C87" s="30">
        <v>43278</v>
      </c>
      <c r="D87" s="21" t="s">
        <v>13</v>
      </c>
      <c r="E87" s="21" t="s">
        <v>111</v>
      </c>
      <c r="F87" s="21" t="s">
        <v>23</v>
      </c>
      <c r="G87" s="21" t="s">
        <v>26</v>
      </c>
      <c r="H87" s="21" t="s">
        <v>30</v>
      </c>
      <c r="I87" s="21" t="s">
        <v>126</v>
      </c>
      <c r="J87" s="21" t="s">
        <v>33</v>
      </c>
      <c r="K87" s="21" t="s">
        <v>45</v>
      </c>
      <c r="L87" s="21" t="s">
        <v>51</v>
      </c>
      <c r="M87" s="21" t="s">
        <v>54</v>
      </c>
      <c r="N87" s="21" t="s">
        <v>58</v>
      </c>
      <c r="O87" s="19">
        <f>IF(ISBLANK(D87),"",IF(D87='טבלת פרמטרים'!$A$9,1,0)+IF(E87='טבלת פרמטרים'!$B$5,2,1)+IF(F87='טבלת פרמטרים'!$C$5,3,IF(F87='טבלת פרמטרים'!$C$4,1,0))+IF(G87='טבלת פרמטרים'!$D$3,2,0)+IF(M87='טבלת פרמטרים'!$J$4,2,IF(M87='טבלת פרמטרים'!$J$3,1,0))+IF(N87='טבלת פרמטרים'!$K$6,3,IF(OR(N87='טבלת פרמטרים'!$K$4,N87='טבלת פרמטרים'!$K$5),2,IF(N87='טבלת פרמטרים'!$K$3,1,0))))</f>
        <v>3</v>
      </c>
      <c r="P87" s="20" t="s">
        <v>115</v>
      </c>
      <c r="Q87" s="20" t="s">
        <v>123</v>
      </c>
      <c r="R87" s="19">
        <f t="shared" si="1"/>
        <v>3</v>
      </c>
      <c r="S87" s="19">
        <f>IF(EXACT(P87,'טבלת פרמטרים'!$M$2),'טבלת פרמטרים'!$N$2,IF(EXACT(P87,'טבלת פרמטרים'!$M$3),'טבלת פרמטרים'!$N$3,IF(EXACT(P87,'טבלת פרמטרים'!$M$4),'טבלת פרמטרים'!$N$4,IF(EXACT(P87,'טבלת פרמטרים'!$M$5),'טבלת פרמטרים'!$N$5,IF(EXACT(P87,'טבלת פרמטרים'!$M$6),'טבלת פרמטרים'!$N$6,IF(EXACT(P87,'טבלת פרמטרים'!$M$7),'טבלת פרמטרים'!$N$7,IF(EXACT(P87,'טבלת פרמטרים'!$M$8),'טבלת פרמטרים'!$N$8,IF(EXACT(P87,'טבלת פרמטרים'!$M$9),'טבלת פרמטרים'!$N$9,""))))))))</f>
        <v>0</v>
      </c>
      <c r="T87" s="19">
        <f>IF(EXACT(Q87,'טבלת פרמטרים'!$O$2),'טבלת פרמטרים'!$P$2,IF(EXACT(Q87,'טבלת פרמטרים'!$O$3),'טבלת פרמטרים'!$P$3,IF(EXACT(Q87,'טבלת פרמטרים'!$O$4),'טבלת פרמטרים'!$P$4,IF(EXACT(Q87,'טבלת פרמטרים'!$O$5),'טבלת פרמטרים'!$P$5,IF(EXACT(Q87,'טבלת פרמטרים'!$O$6),'טבלת פרמטרים'!$P$6,IF(EXACT(Q87,'טבלת פרמטרים'!$O$7),'טבלת פרמטרים'!$P$7,""))))))</f>
        <v>0</v>
      </c>
    </row>
    <row r="88" spans="1:20" x14ac:dyDescent="0.2">
      <c r="A88" s="18">
        <v>87</v>
      </c>
      <c r="B88" s="30">
        <v>43279</v>
      </c>
      <c r="C88" s="30">
        <v>43282</v>
      </c>
      <c r="D88" s="21" t="s">
        <v>12</v>
      </c>
      <c r="E88" s="21" t="s">
        <v>111</v>
      </c>
      <c r="F88" s="21" t="s">
        <v>23</v>
      </c>
      <c r="G88" s="21" t="s">
        <v>26</v>
      </c>
      <c r="H88" s="21" t="s">
        <v>30</v>
      </c>
      <c r="I88" s="21" t="s">
        <v>126</v>
      </c>
      <c r="J88" s="21" t="s">
        <v>33</v>
      </c>
      <c r="K88" s="21" t="s">
        <v>44</v>
      </c>
      <c r="L88" s="21" t="s">
        <v>51</v>
      </c>
      <c r="M88" s="21" t="s">
        <v>53</v>
      </c>
      <c r="N88" s="21" t="s">
        <v>58</v>
      </c>
      <c r="O88" s="19">
        <f>IF(ISBLANK(D88),"",IF(D88='טבלת פרמטרים'!$A$9,1,0)+IF(E88='טבלת פרמטרים'!$B$5,2,1)+IF(F88='טבלת פרמטרים'!$C$5,3,IF(F88='טבלת פרמטרים'!$C$4,1,0))+IF(G88='טבלת פרמטרים'!$D$3,2,0)+IF(M88='טבלת פרמטרים'!$J$4,2,IF(M88='טבלת פרמטרים'!$J$3,1,0))+IF(N88='טבלת פרמטרים'!$K$6,3,IF(OR(N88='טבלת פרמטרים'!$K$4,N88='טבלת פרמטרים'!$K$5),2,IF(N88='טבלת פרמטרים'!$K$3,1,0))))</f>
        <v>2</v>
      </c>
      <c r="P88" s="20" t="s">
        <v>115</v>
      </c>
      <c r="Q88" s="20" t="s">
        <v>123</v>
      </c>
      <c r="R88" s="19">
        <f t="shared" si="1"/>
        <v>2</v>
      </c>
      <c r="S88" s="19">
        <f>IF(EXACT(P88,'טבלת פרמטרים'!$M$2),'טבלת פרמטרים'!$N$2,IF(EXACT(P88,'טבלת פרמטרים'!$M$3),'טבלת פרמטרים'!$N$3,IF(EXACT(P88,'טבלת פרמטרים'!$M$4),'טבלת פרמטרים'!$N$4,IF(EXACT(P88,'טבלת פרמטרים'!$M$5),'טבלת פרמטרים'!$N$5,IF(EXACT(P88,'טבלת פרמטרים'!$M$6),'טבלת פרמטרים'!$N$6,IF(EXACT(P88,'טבלת פרמטרים'!$M$7),'טבלת פרמטרים'!$N$7,IF(EXACT(P88,'טבלת פרמטרים'!$M$8),'טבלת פרמטרים'!$N$8,IF(EXACT(P88,'טבלת פרמטרים'!$M$9),'טבלת פרמטרים'!$N$9,""))))))))</f>
        <v>0</v>
      </c>
      <c r="T88" s="19">
        <f>IF(EXACT(Q88,'טבלת פרמטרים'!$O$2),'טבלת פרמטרים'!$P$2,IF(EXACT(Q88,'טבלת פרמטרים'!$O$3),'טבלת פרמטרים'!$P$3,IF(EXACT(Q88,'טבלת פרמטרים'!$O$4),'טבלת פרמטרים'!$P$4,IF(EXACT(Q88,'טבלת פרמטרים'!$O$5),'טבלת פרמטרים'!$P$5,IF(EXACT(Q88,'טבלת פרמטרים'!$O$6),'טבלת פרמטרים'!$P$6,IF(EXACT(Q88,'טבלת פרמטרים'!$O$7),'טבלת פרמטרים'!$P$7,""))))))</f>
        <v>0</v>
      </c>
    </row>
    <row r="89" spans="1:20" x14ac:dyDescent="0.2">
      <c r="A89" s="18">
        <v>88</v>
      </c>
      <c r="B89" s="30">
        <v>43286</v>
      </c>
      <c r="C89" s="30">
        <v>43286</v>
      </c>
      <c r="D89" s="21" t="s">
        <v>12</v>
      </c>
      <c r="E89" s="21" t="s">
        <v>111</v>
      </c>
      <c r="F89" s="21" t="s">
        <v>23</v>
      </c>
      <c r="G89" s="21" t="s">
        <v>26</v>
      </c>
      <c r="H89" s="21" t="s">
        <v>30</v>
      </c>
      <c r="I89" s="21" t="s">
        <v>126</v>
      </c>
      <c r="J89" s="21" t="s">
        <v>33</v>
      </c>
      <c r="K89" s="21" t="s">
        <v>44</v>
      </c>
      <c r="L89" s="21" t="s">
        <v>51</v>
      </c>
      <c r="M89" s="21" t="s">
        <v>54</v>
      </c>
      <c r="N89" s="21" t="s">
        <v>57</v>
      </c>
      <c r="O89" s="19">
        <f>IF(ISBLANK(D89),"",IF(D89='טבלת פרמטרים'!$A$9,1,0)+IF(E89='טבלת פרמטרים'!$B$5,2,1)+IF(F89='טבלת פרמטרים'!$C$5,3,IF(F89='טבלת פרמטרים'!$C$4,1,0))+IF(G89='טבלת פרמטרים'!$D$3,2,0)+IF(M89='טבלת פרמטרים'!$J$4,2,IF(M89='טבלת פרמטרים'!$J$3,1,0))+IF(N89='טבלת פרמטרים'!$K$6,3,IF(OR(N89='טבלת פרמטרים'!$K$4,N89='טבלת פרמטרים'!$K$5),2,IF(N89='טבלת פרמטרים'!$K$3,1,0))))</f>
        <v>2</v>
      </c>
      <c r="P89" s="20" t="s">
        <v>115</v>
      </c>
      <c r="Q89" s="20" t="s">
        <v>123</v>
      </c>
      <c r="R89" s="19">
        <f t="shared" si="1"/>
        <v>2</v>
      </c>
      <c r="S89" s="19">
        <f>IF(EXACT(P89,'טבלת פרמטרים'!$M$2),'טבלת פרמטרים'!$N$2,IF(EXACT(P89,'טבלת פרמטרים'!$M$3),'טבלת פרמטרים'!$N$3,IF(EXACT(P89,'טבלת פרמטרים'!$M$4),'טבלת פרמטרים'!$N$4,IF(EXACT(P89,'טבלת פרמטרים'!$M$5),'טבלת פרמטרים'!$N$5,IF(EXACT(P89,'טבלת פרמטרים'!$M$6),'טבלת פרמטרים'!$N$6,IF(EXACT(P89,'טבלת פרמטרים'!$M$7),'טבלת פרמטרים'!$N$7,IF(EXACT(P89,'טבלת פרמטרים'!$M$8),'טבלת פרמטרים'!$N$8,IF(EXACT(P89,'טבלת פרמטרים'!$M$9),'טבלת פרמטרים'!$N$9,""))))))))</f>
        <v>0</v>
      </c>
      <c r="T89" s="19">
        <f>IF(EXACT(Q89,'טבלת פרמטרים'!$O$2),'טבלת פרמטרים'!$P$2,IF(EXACT(Q89,'טבלת פרמטרים'!$O$3),'טבלת פרמטרים'!$P$3,IF(EXACT(Q89,'טבלת פרמטרים'!$O$4),'טבלת פרמטרים'!$P$4,IF(EXACT(Q89,'טבלת פרמטרים'!$O$5),'טבלת פרמטרים'!$P$5,IF(EXACT(Q89,'טבלת פרמטרים'!$O$6),'טבלת פרמטרים'!$P$6,IF(EXACT(Q89,'טבלת פרמטרים'!$O$7),'טבלת פרמטרים'!$P$7,""))))))</f>
        <v>0</v>
      </c>
    </row>
    <row r="90" spans="1:20" x14ac:dyDescent="0.2">
      <c r="A90" s="18">
        <v>89</v>
      </c>
      <c r="B90" s="30">
        <v>43299</v>
      </c>
      <c r="C90" s="30">
        <v>43299</v>
      </c>
      <c r="D90" s="21" t="s">
        <v>10</v>
      </c>
      <c r="E90" s="21" t="s">
        <v>111</v>
      </c>
      <c r="F90" s="21" t="s">
        <v>23</v>
      </c>
      <c r="G90" s="21" t="s">
        <v>26</v>
      </c>
      <c r="H90" s="21" t="s">
        <v>31</v>
      </c>
      <c r="I90" s="21" t="s">
        <v>126</v>
      </c>
      <c r="J90" s="21" t="s">
        <v>63</v>
      </c>
      <c r="K90" s="21" t="s">
        <v>43</v>
      </c>
      <c r="L90" s="21" t="s">
        <v>51</v>
      </c>
      <c r="M90" s="21" t="s">
        <v>55</v>
      </c>
      <c r="N90" s="21" t="s">
        <v>59</v>
      </c>
      <c r="O90" s="19">
        <f>IF(ISBLANK(D90),"",IF(D90='טבלת פרמטרים'!$A$9,1,0)+IF(E90='טבלת פרמטרים'!$B$5,2,1)+IF(F90='טבלת פרמטרים'!$C$5,3,IF(F90='טבלת פרמטרים'!$C$4,1,0))+IF(G90='טבלת פרמטרים'!$D$3,2,0)+IF(M90='טבלת פרמטרים'!$J$4,2,IF(M90='טבלת פרמטרים'!$J$3,1,0))+IF(N90='טבלת פרמטרים'!$K$6,3,IF(OR(N90='טבלת פרמטרים'!$K$4,N90='טבלת פרמטרים'!$K$5),2,IF(N90='טבלת פרמטרים'!$K$3,1,0))))</f>
        <v>5</v>
      </c>
      <c r="P90" s="20" t="s">
        <v>115</v>
      </c>
      <c r="Q90" s="20" t="s">
        <v>123</v>
      </c>
      <c r="R90" s="19">
        <f t="shared" si="1"/>
        <v>5</v>
      </c>
      <c r="S90" s="19">
        <f>IF(EXACT(P90,'טבלת פרמטרים'!$M$2),'טבלת פרמטרים'!$N$2,IF(EXACT(P90,'טבלת פרמטרים'!$M$3),'טבלת פרמטרים'!$N$3,IF(EXACT(P90,'טבלת פרמטרים'!$M$4),'טבלת פרמטרים'!$N$4,IF(EXACT(P90,'טבלת פרמטרים'!$M$5),'טבלת פרמטרים'!$N$5,IF(EXACT(P90,'טבלת פרמטרים'!$M$6),'טבלת פרמטרים'!$N$6,IF(EXACT(P90,'טבלת פרמטרים'!$M$7),'טבלת פרמטרים'!$N$7,IF(EXACT(P90,'טבלת פרמטרים'!$M$8),'טבלת פרמטרים'!$N$8,IF(EXACT(P90,'טבלת פרמטרים'!$M$9),'טבלת פרמטרים'!$N$9,""))))))))</f>
        <v>0</v>
      </c>
      <c r="T90" s="19">
        <f>IF(EXACT(Q90,'טבלת פרמטרים'!$O$2),'טבלת פרמטרים'!$P$2,IF(EXACT(Q90,'טבלת פרמטרים'!$O$3),'טבלת פרמטרים'!$P$3,IF(EXACT(Q90,'טבלת פרמטרים'!$O$4),'טבלת פרמטרים'!$P$4,IF(EXACT(Q90,'טבלת פרמטרים'!$O$5),'טבלת פרמטרים'!$P$5,IF(EXACT(Q90,'טבלת פרמטרים'!$O$6),'טבלת פרמטרים'!$P$6,IF(EXACT(Q90,'טבלת פרמטרים'!$O$7),'טבלת פרמטרים'!$P$7,""))))))</f>
        <v>0</v>
      </c>
    </row>
    <row r="91" spans="1:20" x14ac:dyDescent="0.2">
      <c r="A91" s="18">
        <v>90</v>
      </c>
      <c r="B91" s="30">
        <v>43314</v>
      </c>
      <c r="C91" s="30">
        <v>43314</v>
      </c>
      <c r="D91" s="21" t="s">
        <v>11</v>
      </c>
      <c r="E91" s="21" t="s">
        <v>111</v>
      </c>
      <c r="F91" s="21" t="s">
        <v>23</v>
      </c>
      <c r="G91" s="21" t="s">
        <v>26</v>
      </c>
      <c r="H91" s="21" t="s">
        <v>30</v>
      </c>
      <c r="I91" s="21" t="s">
        <v>126</v>
      </c>
      <c r="J91" s="21" t="s">
        <v>11</v>
      </c>
      <c r="K91" s="21" t="s">
        <v>43</v>
      </c>
      <c r="L91" s="21" t="s">
        <v>51</v>
      </c>
      <c r="M91" s="21" t="s">
        <v>54</v>
      </c>
      <c r="N91" s="21" t="s">
        <v>59</v>
      </c>
      <c r="O91" s="19">
        <f>IF(ISBLANK(D91),"",IF(D91='טבלת פרמטרים'!$A$9,1,0)+IF(E91='טבלת פרמטרים'!$B$5,2,1)+IF(F91='טבלת פרמטרים'!$C$5,3,IF(F91='טבלת פרמטרים'!$C$4,1,0))+IF(G91='טבלת פרמטרים'!$D$3,2,0)+IF(M91='טבלת פרמטרים'!$J$4,2,IF(M91='טבלת פרמטרים'!$J$3,1,0))+IF(N91='טבלת פרמטרים'!$K$6,3,IF(OR(N91='טבלת פרמטרים'!$K$4,N91='טבלת פרמטרים'!$K$5),2,IF(N91='טבלת פרמטרים'!$K$3,1,0))))</f>
        <v>4</v>
      </c>
      <c r="P91" s="20" t="s">
        <v>115</v>
      </c>
      <c r="Q91" s="20" t="s">
        <v>123</v>
      </c>
      <c r="R91" s="19">
        <f t="shared" si="1"/>
        <v>4</v>
      </c>
      <c r="S91" s="19">
        <f>IF(EXACT(P91,'טבלת פרמטרים'!$M$2),'טבלת פרמטרים'!$N$2,IF(EXACT(P91,'טבלת פרמטרים'!$M$3),'טבלת פרמטרים'!$N$3,IF(EXACT(P91,'טבלת פרמטרים'!$M$4),'טבלת פרמטרים'!$N$4,IF(EXACT(P91,'טבלת פרמטרים'!$M$5),'טבלת פרמטרים'!$N$5,IF(EXACT(P91,'טבלת פרמטרים'!$M$6),'טבלת פרמטרים'!$N$6,IF(EXACT(P91,'טבלת פרמטרים'!$M$7),'טבלת פרמטרים'!$N$7,IF(EXACT(P91,'טבלת פרמטרים'!$M$8),'טבלת פרמטרים'!$N$8,IF(EXACT(P91,'טבלת פרמטרים'!$M$9),'טבלת פרמטרים'!$N$9,""))))))))</f>
        <v>0</v>
      </c>
      <c r="T91" s="19">
        <f>IF(EXACT(Q91,'טבלת פרמטרים'!$O$2),'טבלת פרמטרים'!$P$2,IF(EXACT(Q91,'טבלת פרמטרים'!$O$3),'טבלת פרמטרים'!$P$3,IF(EXACT(Q91,'טבלת פרמטרים'!$O$4),'טבלת פרמטרים'!$P$4,IF(EXACT(Q91,'טבלת פרמטרים'!$O$5),'טבלת פרמטרים'!$P$5,IF(EXACT(Q91,'טבלת פרמטרים'!$O$6),'טבלת פרמטרים'!$P$6,IF(EXACT(Q91,'טבלת פרמטרים'!$O$7),'טבלת פרמטרים'!$P$7,""))))))</f>
        <v>0</v>
      </c>
    </row>
    <row r="92" spans="1:20" x14ac:dyDescent="0.2">
      <c r="A92" s="18">
        <v>91</v>
      </c>
      <c r="B92" s="30">
        <v>43314</v>
      </c>
      <c r="C92" s="30">
        <v>43314</v>
      </c>
      <c r="D92" s="21" t="s">
        <v>11</v>
      </c>
      <c r="E92" s="21" t="s">
        <v>111</v>
      </c>
      <c r="F92" s="21" t="s">
        <v>23</v>
      </c>
      <c r="G92" s="21" t="s">
        <v>26</v>
      </c>
      <c r="H92" s="21" t="s">
        <v>30</v>
      </c>
      <c r="I92" s="21" t="s">
        <v>126</v>
      </c>
      <c r="J92" s="21" t="s">
        <v>11</v>
      </c>
      <c r="K92" s="21" t="s">
        <v>44</v>
      </c>
      <c r="L92" s="21" t="s">
        <v>51</v>
      </c>
      <c r="M92" s="21" t="s">
        <v>54</v>
      </c>
      <c r="N92" s="21" t="s">
        <v>59</v>
      </c>
      <c r="O92" s="19">
        <f>IF(ISBLANK(D92),"",IF(D92='טבלת פרמטרים'!$A$9,1,0)+IF(E92='טבלת פרמטרים'!$B$5,2,1)+IF(F92='טבלת פרמטרים'!$C$5,3,IF(F92='טבלת פרמטרים'!$C$4,1,0))+IF(G92='טבלת פרמטרים'!$D$3,2,0)+IF(M92='טבלת פרמטרים'!$J$4,2,IF(M92='טבלת פרמטרים'!$J$3,1,0))+IF(N92='טבלת פרמטרים'!$K$6,3,IF(OR(N92='טבלת פרמטרים'!$K$4,N92='טבלת פרמטרים'!$K$5),2,IF(N92='טבלת פרמטרים'!$K$3,1,0))))</f>
        <v>4</v>
      </c>
      <c r="P92" s="20" t="s">
        <v>115</v>
      </c>
      <c r="Q92" s="20" t="s">
        <v>123</v>
      </c>
      <c r="R92" s="19">
        <f t="shared" si="1"/>
        <v>4</v>
      </c>
      <c r="S92" s="19">
        <f>IF(EXACT(P92,'טבלת פרמטרים'!$M$2),'טבלת פרמטרים'!$N$2,IF(EXACT(P92,'טבלת פרמטרים'!$M$3),'טבלת פרמטרים'!$N$3,IF(EXACT(P92,'טבלת פרמטרים'!$M$4),'טבלת פרמטרים'!$N$4,IF(EXACT(P92,'טבלת פרמטרים'!$M$5),'טבלת פרמטרים'!$N$5,IF(EXACT(P92,'טבלת פרמטרים'!$M$6),'טבלת פרמטרים'!$N$6,IF(EXACT(P92,'טבלת פרמטרים'!$M$7),'טבלת פרמטרים'!$N$7,IF(EXACT(P92,'טבלת פרמטרים'!$M$8),'טבלת פרמטרים'!$N$8,IF(EXACT(P92,'טבלת פרמטרים'!$M$9),'טבלת פרמטרים'!$N$9,""))))))))</f>
        <v>0</v>
      </c>
      <c r="T92" s="19">
        <f>IF(EXACT(Q92,'טבלת פרמטרים'!$O$2),'טבלת פרמטרים'!$P$2,IF(EXACT(Q92,'טבלת פרמטרים'!$O$3),'טבלת פרמטרים'!$P$3,IF(EXACT(Q92,'טבלת פרמטרים'!$O$4),'טבלת פרמטרים'!$P$4,IF(EXACT(Q92,'טבלת פרמטרים'!$O$5),'טבלת פרמטרים'!$P$5,IF(EXACT(Q92,'טבלת פרמטרים'!$O$6),'טבלת פרמטרים'!$P$6,IF(EXACT(Q92,'טבלת פרמטרים'!$O$7),'טבלת פרמטרים'!$P$7,""))))))</f>
        <v>0</v>
      </c>
    </row>
    <row r="93" spans="1:20" x14ac:dyDescent="0.2">
      <c r="A93" s="18">
        <v>92</v>
      </c>
      <c r="B93" s="30">
        <v>43317</v>
      </c>
      <c r="C93" s="30">
        <v>43313</v>
      </c>
      <c r="D93" s="21" t="s">
        <v>11</v>
      </c>
      <c r="E93" s="21" t="s">
        <v>21</v>
      </c>
      <c r="F93" s="21" t="s">
        <v>23</v>
      </c>
      <c r="G93" s="21" t="s">
        <v>26</v>
      </c>
      <c r="H93" s="21" t="s">
        <v>29</v>
      </c>
      <c r="I93" s="21" t="s">
        <v>126</v>
      </c>
      <c r="J93" s="21" t="s">
        <v>11</v>
      </c>
      <c r="K93" s="21" t="s">
        <v>44</v>
      </c>
      <c r="L93" s="21" t="s">
        <v>51</v>
      </c>
      <c r="M93" s="21" t="s">
        <v>53</v>
      </c>
      <c r="N93" s="21" t="s">
        <v>59</v>
      </c>
      <c r="O93" s="19">
        <f>IF(ISBLANK(D93),"",IF(D93='טבלת פרמטרים'!$A$9,1,0)+IF(E93='טבלת פרמטרים'!$B$5,2,1)+IF(F93='טבלת פרמטרים'!$C$5,3,IF(F93='טבלת פרמטרים'!$C$4,1,0))+IF(G93='טבלת פרמטרים'!$D$3,2,0)+IF(M93='טבלת פרמטרים'!$J$4,2,IF(M93='טבלת פרמטרים'!$J$3,1,0))+IF(N93='טבלת פרמטרים'!$K$6,3,IF(OR(N93='טבלת פרמטרים'!$K$4,N93='טבלת פרמטרים'!$K$5),2,IF(N93='טבלת פרמטרים'!$K$3,1,0))))</f>
        <v>3</v>
      </c>
      <c r="P93" s="20" t="s">
        <v>115</v>
      </c>
      <c r="Q93" s="20" t="s">
        <v>123</v>
      </c>
      <c r="R93" s="19">
        <f t="shared" si="1"/>
        <v>3</v>
      </c>
      <c r="S93" s="19">
        <f>IF(EXACT(P93,'טבלת פרמטרים'!$M$2),'טבלת פרמטרים'!$N$2,IF(EXACT(P93,'טבלת פרמטרים'!$M$3),'טבלת פרמטרים'!$N$3,IF(EXACT(P93,'טבלת פרמטרים'!$M$4),'טבלת פרמטרים'!$N$4,IF(EXACT(P93,'טבלת פרמטרים'!$M$5),'טבלת פרמטרים'!$N$5,IF(EXACT(P93,'טבלת פרמטרים'!$M$6),'טבלת פרמטרים'!$N$6,IF(EXACT(P93,'טבלת פרמטרים'!$M$7),'טבלת פרמטרים'!$N$7,IF(EXACT(P93,'טבלת פרמטרים'!$M$8),'טבלת פרמטרים'!$N$8,IF(EXACT(P93,'טבלת פרמטרים'!$M$9),'טבלת פרמטרים'!$N$9,""))))))))</f>
        <v>0</v>
      </c>
      <c r="T93" s="19">
        <f>IF(EXACT(Q93,'טבלת פרמטרים'!$O$2),'טבלת פרמטרים'!$P$2,IF(EXACT(Q93,'טבלת פרמטרים'!$O$3),'טבלת פרמטרים'!$P$3,IF(EXACT(Q93,'טבלת פרמטרים'!$O$4),'טבלת פרמטרים'!$P$4,IF(EXACT(Q93,'טבלת פרמטרים'!$O$5),'טבלת פרמטרים'!$P$5,IF(EXACT(Q93,'טבלת פרמטרים'!$O$6),'טבלת פרמטרים'!$P$6,IF(EXACT(Q93,'טבלת פרמטרים'!$O$7),'טבלת פרמטרים'!$P$7,""))))))</f>
        <v>0</v>
      </c>
    </row>
    <row r="94" spans="1:20" ht="28.5" x14ac:dyDescent="0.2">
      <c r="A94" s="18">
        <v>93</v>
      </c>
      <c r="B94" s="30">
        <v>43318</v>
      </c>
      <c r="C94" s="30">
        <v>43318</v>
      </c>
      <c r="D94" s="21" t="s">
        <v>17</v>
      </c>
      <c r="E94" s="21" t="s">
        <v>22</v>
      </c>
      <c r="F94" s="21" t="s">
        <v>24</v>
      </c>
      <c r="G94" s="21" t="s">
        <v>26</v>
      </c>
      <c r="H94" s="21" t="s">
        <v>32</v>
      </c>
      <c r="I94" s="21" t="s">
        <v>127</v>
      </c>
      <c r="J94" s="21" t="s">
        <v>36</v>
      </c>
      <c r="K94" s="21" t="s">
        <v>36</v>
      </c>
      <c r="L94" s="21" t="s">
        <v>51</v>
      </c>
      <c r="M94" s="21" t="s">
        <v>54</v>
      </c>
      <c r="N94" s="21" t="s">
        <v>58</v>
      </c>
      <c r="O94" s="19">
        <f>IF(ISBLANK(D94),"",IF(D94='טבלת פרמטרים'!$A$9,1,0)+IF(E94='טבלת פרמטרים'!$B$5,2,1)+IF(F94='טבלת פרמטרים'!$C$5,3,IF(F94='טבלת פרמטרים'!$C$4,1,0))+IF(G94='טבלת פרמטרים'!$D$3,2,0)+IF(M94='טבלת פרמטרים'!$J$4,2,IF(M94='טבלת פרמטרים'!$J$3,1,0))+IF(N94='טבלת פרמטרים'!$K$6,3,IF(OR(N94='טבלת פרמטרים'!$K$4,N94='טבלת פרמטרים'!$K$5),2,IF(N94='טבלת פרמטרים'!$K$3,1,0))))</f>
        <v>6</v>
      </c>
      <c r="P94" s="20" t="s">
        <v>115</v>
      </c>
      <c r="Q94" s="20" t="s">
        <v>331</v>
      </c>
      <c r="R94" s="19">
        <f t="shared" si="1"/>
        <v>12</v>
      </c>
      <c r="S94" s="19">
        <f>IF(EXACT(P94,'טבלת פרמטרים'!$M$2),'טבלת פרמטרים'!$N$2,IF(EXACT(P94,'טבלת פרמטרים'!$M$3),'טבלת פרמטרים'!$N$3,IF(EXACT(P94,'טבלת פרמטרים'!$M$4),'טבלת פרמטרים'!$N$4,IF(EXACT(P94,'טבלת פרמטרים'!$M$5),'טבלת פרמטרים'!$N$5,IF(EXACT(P94,'טבלת פרמטרים'!$M$6),'טבלת פרמטרים'!$N$6,IF(EXACT(P94,'טבלת פרמטרים'!$M$7),'טבלת פרמטרים'!$N$7,IF(EXACT(P94,'טבלת פרמטרים'!$M$8),'טבלת פרמטרים'!$N$8,IF(EXACT(P94,'טבלת פרמטרים'!$M$9),'טבלת פרמטרים'!$N$9,""))))))))</f>
        <v>0</v>
      </c>
      <c r="T94" s="19">
        <f>IF(EXACT(Q94,'טבלת פרמטרים'!$O$2),'טבלת פרמטרים'!$P$2,IF(EXACT(Q94,'טבלת פרמטרים'!$O$3),'טבלת פרמטרים'!$P$3,IF(EXACT(Q94,'טבלת פרמטרים'!$O$4),'טבלת פרמטרים'!$P$4,IF(EXACT(Q94,'טבלת פרמטרים'!$O$5),'טבלת פרמטרים'!$P$5,IF(EXACT(Q94,'טבלת פרמטרים'!$O$6),'טבלת פרמטרים'!$P$6,IF(EXACT(Q94,'טבלת פרמטרים'!$O$7),'טבלת פרמטרים'!$P$7,""))))))</f>
        <v>6</v>
      </c>
    </row>
    <row r="95" spans="1:20" x14ac:dyDescent="0.2">
      <c r="A95" s="18">
        <v>94</v>
      </c>
      <c r="B95" s="30">
        <v>43284</v>
      </c>
      <c r="C95" s="30">
        <v>43284</v>
      </c>
      <c r="D95" s="21" t="s">
        <v>17</v>
      </c>
      <c r="E95" s="21" t="s">
        <v>22</v>
      </c>
      <c r="F95" s="21" t="s">
        <v>24</v>
      </c>
      <c r="G95" s="21" t="s">
        <v>26</v>
      </c>
      <c r="H95" s="21" t="s">
        <v>31</v>
      </c>
      <c r="I95" s="21" t="s">
        <v>126</v>
      </c>
      <c r="J95" s="21" t="s">
        <v>35</v>
      </c>
      <c r="K95" s="21" t="s">
        <v>44</v>
      </c>
      <c r="L95" s="21" t="s">
        <v>51</v>
      </c>
      <c r="M95" s="21" t="s">
        <v>55</v>
      </c>
      <c r="N95" s="21" t="s">
        <v>59</v>
      </c>
      <c r="O95" s="19">
        <f>IF(ISBLANK(D95),"",IF(D95='טבלת פרמטרים'!$A$9,1,0)+IF(E95='טבלת פרמטרים'!$B$5,2,1)+IF(F95='טבלת פרמטרים'!$C$5,3,IF(F95='טבלת פרמטרים'!$C$4,1,0))+IF(G95='טבלת פרמטרים'!$D$3,2,0)+IF(M95='טבלת פרמטרים'!$J$4,2,IF(M95='טבלת פרמטרים'!$J$3,1,0))+IF(N95='טבלת פרמטרים'!$K$6,3,IF(OR(N95='טבלת פרמטרים'!$K$4,N95='טבלת פרמטרים'!$K$5),2,IF(N95='טבלת פרמטרים'!$K$3,1,0))))</f>
        <v>8</v>
      </c>
      <c r="P95" s="20" t="s">
        <v>115</v>
      </c>
      <c r="Q95" s="20" t="s">
        <v>123</v>
      </c>
      <c r="R95" s="19">
        <f t="shared" si="1"/>
        <v>8</v>
      </c>
      <c r="S95" s="19">
        <f>IF(EXACT(P95,'טבלת פרמטרים'!$M$2),'טבלת פרמטרים'!$N$2,IF(EXACT(P95,'טבלת פרמטרים'!$M$3),'טבלת פרמטרים'!$N$3,IF(EXACT(P95,'טבלת פרמטרים'!$M$4),'טבלת פרמטרים'!$N$4,IF(EXACT(P95,'טבלת פרמטרים'!$M$5),'טבלת פרמטרים'!$N$5,IF(EXACT(P95,'טבלת פרמטרים'!$M$6),'טבלת פרמטרים'!$N$6,IF(EXACT(P95,'טבלת פרמטרים'!$M$7),'טבלת פרמטרים'!$N$7,IF(EXACT(P95,'טבלת פרמטרים'!$M$8),'טבלת פרמטרים'!$N$8,IF(EXACT(P95,'טבלת פרמטרים'!$M$9),'טבלת פרמטרים'!$N$9,""))))))))</f>
        <v>0</v>
      </c>
      <c r="T95" s="19">
        <f>IF(EXACT(Q95,'טבלת פרמטרים'!$O$2),'טבלת פרמטרים'!$P$2,IF(EXACT(Q95,'טבלת פרמטרים'!$O$3),'טבלת פרמטרים'!$P$3,IF(EXACT(Q95,'טבלת פרמטרים'!$O$4),'טבלת פרמטרים'!$P$4,IF(EXACT(Q95,'טבלת פרמטרים'!$O$5),'טבלת פרמטרים'!$P$5,IF(EXACT(Q95,'טבלת פרמטרים'!$O$6),'טבלת פרמטרים'!$P$6,IF(EXACT(Q95,'טבלת פרמטרים'!$O$7),'טבלת פרמטרים'!$P$7,""))))))</f>
        <v>0</v>
      </c>
    </row>
    <row r="96" spans="1:20" x14ac:dyDescent="0.2">
      <c r="A96" s="18">
        <v>95</v>
      </c>
      <c r="B96" s="30">
        <v>43331</v>
      </c>
      <c r="C96" s="30">
        <v>43331</v>
      </c>
      <c r="D96" s="21" t="s">
        <v>13</v>
      </c>
      <c r="E96" s="21" t="s">
        <v>111</v>
      </c>
      <c r="F96" s="21" t="s">
        <v>23</v>
      </c>
      <c r="G96" s="21" t="s">
        <v>26</v>
      </c>
      <c r="H96" s="21" t="s">
        <v>31</v>
      </c>
      <c r="I96" s="21" t="s">
        <v>126</v>
      </c>
      <c r="J96" s="21" t="s">
        <v>33</v>
      </c>
      <c r="K96" s="21" t="s">
        <v>45</v>
      </c>
      <c r="L96" s="21" t="s">
        <v>51</v>
      </c>
      <c r="M96" s="21" t="s">
        <v>54</v>
      </c>
      <c r="N96" s="21" t="s">
        <v>58</v>
      </c>
      <c r="O96" s="19">
        <f>IF(ISBLANK(D96),"",IF(D96='טבלת פרמטרים'!$A$9,1,0)+IF(E96='טבלת פרמטרים'!$B$5,2,1)+IF(F96='טבלת פרמטרים'!$C$5,3,IF(F96='טבלת פרמטרים'!$C$4,1,0))+IF(G96='טבלת פרמטרים'!$D$3,2,0)+IF(M96='טבלת פרמטרים'!$J$4,2,IF(M96='טבלת פרמטרים'!$J$3,1,0))+IF(N96='טבלת פרמטרים'!$K$6,3,IF(OR(N96='טבלת פרמטרים'!$K$4,N96='טבלת פרמטרים'!$K$5),2,IF(N96='טבלת פרמטרים'!$K$3,1,0))))</f>
        <v>3</v>
      </c>
      <c r="P96" s="20" t="s">
        <v>115</v>
      </c>
      <c r="Q96" s="20" t="s">
        <v>123</v>
      </c>
      <c r="R96" s="19">
        <f t="shared" si="1"/>
        <v>3</v>
      </c>
      <c r="S96" s="19">
        <f>IF(EXACT(P96,'טבלת פרמטרים'!$M$2),'טבלת פרמטרים'!$N$2,IF(EXACT(P96,'טבלת פרמטרים'!$M$3),'טבלת פרמטרים'!$N$3,IF(EXACT(P96,'טבלת פרמטרים'!$M$4),'טבלת פרמטרים'!$N$4,IF(EXACT(P96,'טבלת פרמטרים'!$M$5),'טבלת פרמטרים'!$N$5,IF(EXACT(P96,'טבלת פרמטרים'!$M$6),'טבלת פרמטרים'!$N$6,IF(EXACT(P96,'טבלת פרמטרים'!$M$7),'טבלת פרמטרים'!$N$7,IF(EXACT(P96,'טבלת פרמטרים'!$M$8),'טבלת פרמטרים'!$N$8,IF(EXACT(P96,'טבלת פרמטרים'!$M$9),'טבלת פרמטרים'!$N$9,""))))))))</f>
        <v>0</v>
      </c>
      <c r="T96" s="19">
        <f>IF(EXACT(Q96,'טבלת פרמטרים'!$O$2),'טבלת פרמטרים'!$P$2,IF(EXACT(Q96,'טבלת פרמטרים'!$O$3),'טבלת פרמטרים'!$P$3,IF(EXACT(Q96,'טבלת פרמטרים'!$O$4),'טבלת פרמטרים'!$P$4,IF(EXACT(Q96,'טבלת פרמטרים'!$O$5),'טבלת פרמטרים'!$P$5,IF(EXACT(Q96,'טבלת פרמטרים'!$O$6),'טבלת פרמטרים'!$P$6,IF(EXACT(Q96,'טבלת פרמטרים'!$O$7),'טבלת פרמטרים'!$P$7,""))))))</f>
        <v>0</v>
      </c>
    </row>
    <row r="97" spans="1:20" x14ac:dyDescent="0.2">
      <c r="A97" s="18">
        <v>96</v>
      </c>
      <c r="B97" s="30">
        <v>43333</v>
      </c>
      <c r="C97" s="30">
        <v>43333</v>
      </c>
      <c r="D97" s="21" t="s">
        <v>11</v>
      </c>
      <c r="E97" s="21" t="s">
        <v>111</v>
      </c>
      <c r="F97" s="21" t="s">
        <v>23</v>
      </c>
      <c r="G97" s="21" t="s">
        <v>26</v>
      </c>
      <c r="H97" s="21" t="s">
        <v>30</v>
      </c>
      <c r="I97" s="21" t="s">
        <v>126</v>
      </c>
      <c r="J97" s="21" t="s">
        <v>33</v>
      </c>
      <c r="K97" s="21" t="s">
        <v>45</v>
      </c>
      <c r="L97" s="21" t="s">
        <v>51</v>
      </c>
      <c r="M97" s="21" t="s">
        <v>54</v>
      </c>
      <c r="N97" s="21" t="s">
        <v>112</v>
      </c>
      <c r="O97" s="19">
        <f>IF(ISBLANK(D97),"",IF(D97='טבלת פרמטרים'!$A$9,1,0)+IF(E97='טבלת פרמטרים'!$B$5,2,1)+IF(F97='טבלת פרמטרים'!$C$5,3,IF(F97='טבלת פרמטרים'!$C$4,1,0))+IF(G97='טבלת פרמטרים'!$D$3,2,0)+IF(M97='טבלת פרמטרים'!$J$4,2,IF(M97='טבלת פרמטרים'!$J$3,1,0))+IF(N97='טבלת פרמטרים'!$K$6,3,IF(OR(N97='טבלת פרמטרים'!$K$4,N97='טבלת פרמטרים'!$K$5),2,IF(N97='טבלת פרמטרים'!$K$3,1,0))))</f>
        <v>4</v>
      </c>
      <c r="P97" s="20" t="s">
        <v>115</v>
      </c>
      <c r="Q97" s="20" t="s">
        <v>123</v>
      </c>
      <c r="R97" s="19">
        <f t="shared" si="1"/>
        <v>4</v>
      </c>
      <c r="S97" s="19">
        <f>IF(EXACT(P97,'טבלת פרמטרים'!$M$2),'טבלת פרמטרים'!$N$2,IF(EXACT(P97,'טבלת פרמטרים'!$M$3),'טבלת פרמטרים'!$N$3,IF(EXACT(P97,'טבלת פרמטרים'!$M$4),'טבלת פרמטרים'!$N$4,IF(EXACT(P97,'טבלת פרמטרים'!$M$5),'טבלת פרמטרים'!$N$5,IF(EXACT(P97,'טבלת פרמטרים'!$M$6),'טבלת פרמטרים'!$N$6,IF(EXACT(P97,'טבלת פרמטרים'!$M$7),'טבלת פרמטרים'!$N$7,IF(EXACT(P97,'טבלת פרמטרים'!$M$8),'טבלת פרמטרים'!$N$8,IF(EXACT(P97,'טבלת פרמטרים'!$M$9),'טבלת פרמטרים'!$N$9,""))))))))</f>
        <v>0</v>
      </c>
      <c r="T97" s="19">
        <f>IF(EXACT(Q97,'טבלת פרמטרים'!$O$2),'טבלת פרמטרים'!$P$2,IF(EXACT(Q97,'טבלת פרמטרים'!$O$3),'טבלת פרמטרים'!$P$3,IF(EXACT(Q97,'טבלת פרמטרים'!$O$4),'טבלת פרמטרים'!$P$4,IF(EXACT(Q97,'טבלת פרמטרים'!$O$5),'טבלת פרמטרים'!$P$5,IF(EXACT(Q97,'טבלת פרמטרים'!$O$6),'טבלת פרמטרים'!$P$6,IF(EXACT(Q97,'טבלת פרמטרים'!$O$7),'טבלת פרמטרים'!$P$7,""))))))</f>
        <v>0</v>
      </c>
    </row>
    <row r="98" spans="1:20" x14ac:dyDescent="0.2">
      <c r="A98" s="18">
        <v>97</v>
      </c>
      <c r="B98" s="30">
        <v>43347</v>
      </c>
      <c r="C98" s="30">
        <v>43347</v>
      </c>
      <c r="D98" s="21" t="s">
        <v>10</v>
      </c>
      <c r="E98" s="21" t="s">
        <v>111</v>
      </c>
      <c r="F98" s="21" t="s">
        <v>23</v>
      </c>
      <c r="G98" s="21" t="s">
        <v>26</v>
      </c>
      <c r="H98" s="21" t="s">
        <v>31</v>
      </c>
      <c r="I98" s="21" t="s">
        <v>126</v>
      </c>
      <c r="J98" s="21" t="s">
        <v>39</v>
      </c>
      <c r="K98" s="21" t="s">
        <v>39</v>
      </c>
      <c r="L98" s="21" t="s">
        <v>51</v>
      </c>
      <c r="M98" s="21" t="s">
        <v>54</v>
      </c>
      <c r="N98" s="21" t="s">
        <v>58</v>
      </c>
      <c r="O98" s="19">
        <f>IF(ISBLANK(D98),"",IF(D98='טבלת פרמטרים'!$A$9,1,0)+IF(E98='טבלת פרמטרים'!$B$5,2,1)+IF(F98='טבלת פרמטרים'!$C$5,3,IF(F98='טבלת פרמטרים'!$C$4,1,0))+IF(G98='טבלת פרמטרים'!$D$3,2,0)+IF(M98='טבלת פרמטרים'!$J$4,2,IF(M98='טבלת פרמטרים'!$J$3,1,0))+IF(N98='טבלת פרמטרים'!$K$6,3,IF(OR(N98='טבלת פרמטרים'!$K$4,N98='טבלת פרמטרים'!$K$5),2,IF(N98='טבלת פרמטרים'!$K$3,1,0))))</f>
        <v>3</v>
      </c>
      <c r="P98" s="20" t="s">
        <v>115</v>
      </c>
      <c r="Q98" s="20" t="s">
        <v>123</v>
      </c>
      <c r="R98" s="19">
        <f t="shared" si="1"/>
        <v>3</v>
      </c>
      <c r="S98" s="19">
        <f>IF(EXACT(P98,'טבלת פרמטרים'!$M$2),'טבלת פרמטרים'!$N$2,IF(EXACT(P98,'טבלת פרמטרים'!$M$3),'טבלת פרמטרים'!$N$3,IF(EXACT(P98,'טבלת פרמטרים'!$M$4),'טבלת פרמטרים'!$N$4,IF(EXACT(P98,'טבלת פרמטרים'!$M$5),'טבלת פרמטרים'!$N$5,IF(EXACT(P98,'טבלת פרמטרים'!$M$6),'טבלת פרמטרים'!$N$6,IF(EXACT(P98,'טבלת פרמטרים'!$M$7),'טבלת פרמטרים'!$N$7,IF(EXACT(P98,'טבלת פרמטרים'!$M$8),'טבלת פרמטרים'!$N$8,IF(EXACT(P98,'טבלת פרמטרים'!$M$9),'טבלת פרמטרים'!$N$9,""))))))))</f>
        <v>0</v>
      </c>
      <c r="T98" s="19">
        <f>IF(EXACT(Q98,'טבלת פרמטרים'!$O$2),'טבלת פרמטרים'!$P$2,IF(EXACT(Q98,'טבלת פרמטרים'!$O$3),'טבלת פרמטרים'!$P$3,IF(EXACT(Q98,'טבלת פרמטרים'!$O$4),'טבלת פרמטרים'!$P$4,IF(EXACT(Q98,'טבלת פרמטרים'!$O$5),'טבלת פרמטרים'!$P$5,IF(EXACT(Q98,'טבלת פרמטרים'!$O$6),'טבלת פרמטרים'!$P$6,IF(EXACT(Q98,'טבלת פרמטרים'!$O$7),'טבלת פרמטרים'!$P$7,""))))))</f>
        <v>0</v>
      </c>
    </row>
    <row r="99" spans="1:20" x14ac:dyDescent="0.2">
      <c r="A99" s="18">
        <v>98</v>
      </c>
      <c r="B99" s="30">
        <v>43355</v>
      </c>
      <c r="C99" s="30">
        <v>43359</v>
      </c>
      <c r="D99" s="21" t="s">
        <v>16</v>
      </c>
      <c r="E99" s="21" t="s">
        <v>111</v>
      </c>
      <c r="F99" s="21" t="s">
        <v>23</v>
      </c>
      <c r="G99" s="21" t="s">
        <v>26</v>
      </c>
      <c r="H99" s="21" t="s">
        <v>31</v>
      </c>
      <c r="I99" s="21" t="s">
        <v>127</v>
      </c>
      <c r="J99" s="21" t="s">
        <v>34</v>
      </c>
      <c r="K99" s="21" t="s">
        <v>44</v>
      </c>
      <c r="L99" s="21" t="s">
        <v>51</v>
      </c>
      <c r="M99" s="21" t="s">
        <v>55</v>
      </c>
      <c r="N99" s="21" t="s">
        <v>57</v>
      </c>
      <c r="O99" s="19">
        <f>IF(ISBLANK(D99),"",IF(D99='טבלת פרמטרים'!$A$9,1,0)+IF(E99='טבלת פרמטרים'!$B$5,2,1)+IF(F99='טבלת פרמטרים'!$C$5,3,IF(F99='טבלת פרמטרים'!$C$4,1,0))+IF(G99='טבלת פרמטרים'!$D$3,2,0)+IF(M99='טבלת פרמטרים'!$J$4,2,IF(M99='טבלת פרמטרים'!$J$3,1,0))+IF(N99='טבלת פרמטרים'!$K$6,3,IF(OR(N99='טבלת פרמטרים'!$K$4,N99='טבלת פרמטרים'!$K$5),2,IF(N99='טבלת פרמטרים'!$K$3,1,0))))</f>
        <v>3</v>
      </c>
      <c r="P99" s="20" t="s">
        <v>115</v>
      </c>
      <c r="Q99" s="20" t="s">
        <v>123</v>
      </c>
      <c r="R99" s="19">
        <f t="shared" si="1"/>
        <v>3</v>
      </c>
      <c r="S99" s="19">
        <f>IF(EXACT(P99,'טבלת פרמטרים'!$M$2),'טבלת פרמטרים'!$N$2,IF(EXACT(P99,'טבלת פרמטרים'!$M$3),'טבלת פרמטרים'!$N$3,IF(EXACT(P99,'טבלת פרמטרים'!$M$4),'טבלת פרמטרים'!$N$4,IF(EXACT(P99,'טבלת פרמטרים'!$M$5),'טבלת פרמטרים'!$N$5,IF(EXACT(P99,'טבלת פרמטרים'!$M$6),'טבלת פרמטרים'!$N$6,IF(EXACT(P99,'טבלת פרמטרים'!$M$7),'טבלת פרמטרים'!$N$7,IF(EXACT(P99,'טבלת פרמטרים'!$M$8),'טבלת פרמטרים'!$N$8,IF(EXACT(P99,'טבלת פרמטרים'!$M$9),'טבלת פרמטרים'!$N$9,""))))))))</f>
        <v>0</v>
      </c>
      <c r="T99" s="19">
        <f>IF(EXACT(Q99,'טבלת פרמטרים'!$O$2),'טבלת פרמטרים'!$P$2,IF(EXACT(Q99,'טבלת פרמטרים'!$O$3),'טבלת פרמטרים'!$P$3,IF(EXACT(Q99,'טבלת פרמטרים'!$O$4),'טבלת פרמטרים'!$P$4,IF(EXACT(Q99,'טבלת פרמטרים'!$O$5),'טבלת פרמטרים'!$P$5,IF(EXACT(Q99,'טבלת פרמטרים'!$O$6),'טבלת פרמטרים'!$P$6,IF(EXACT(Q99,'טבלת פרמטרים'!$O$7),'טבלת פרמטרים'!$P$7,""))))))</f>
        <v>0</v>
      </c>
    </row>
    <row r="100" spans="1:20" x14ac:dyDescent="0.2">
      <c r="A100" s="18">
        <v>99</v>
      </c>
      <c r="B100" s="30">
        <v>43359</v>
      </c>
      <c r="C100" s="30">
        <v>43359</v>
      </c>
      <c r="D100" s="21" t="s">
        <v>16</v>
      </c>
      <c r="E100" s="21" t="s">
        <v>111</v>
      </c>
      <c r="F100" s="21" t="s">
        <v>23</v>
      </c>
      <c r="G100" s="21" t="s">
        <v>26</v>
      </c>
      <c r="H100" s="21" t="s">
        <v>31</v>
      </c>
      <c r="I100" s="21" t="s">
        <v>126</v>
      </c>
      <c r="J100" s="21" t="s">
        <v>33</v>
      </c>
      <c r="K100" s="21" t="s">
        <v>45</v>
      </c>
      <c r="L100" s="21" t="s">
        <v>51</v>
      </c>
      <c r="M100" s="21" t="s">
        <v>54</v>
      </c>
      <c r="N100" s="21" t="s">
        <v>58</v>
      </c>
      <c r="O100" s="19">
        <f>IF(ISBLANK(D100),"",IF(D100='טבלת פרמטרים'!$A$9,1,0)+IF(E100='טבלת פרמטרים'!$B$5,2,1)+IF(F100='טבלת פרמטרים'!$C$5,3,IF(F100='טבלת פרמטרים'!$C$4,1,0))+IF(G100='טבלת פרמטרים'!$D$3,2,0)+IF(M100='טבלת פרמטרים'!$J$4,2,IF(M100='טבלת פרמטרים'!$J$3,1,0))+IF(N100='טבלת פרמטרים'!$K$6,3,IF(OR(N100='טבלת פרמטרים'!$K$4,N100='טבלת פרמטרים'!$K$5),2,IF(N100='טבלת פרמטרים'!$K$3,1,0))))</f>
        <v>3</v>
      </c>
      <c r="P100" s="20" t="s">
        <v>115</v>
      </c>
      <c r="Q100" s="20" t="s">
        <v>123</v>
      </c>
      <c r="R100" s="19">
        <f t="shared" si="1"/>
        <v>3</v>
      </c>
      <c r="S100" s="19">
        <f>IF(EXACT(P100,'טבלת פרמטרים'!$M$2),'טבלת פרמטרים'!$N$2,IF(EXACT(P100,'טבלת פרמטרים'!$M$3),'טבלת פרמטרים'!$N$3,IF(EXACT(P100,'טבלת פרמטרים'!$M$4),'טבלת פרמטרים'!$N$4,IF(EXACT(P100,'טבלת פרמטרים'!$M$5),'טבלת פרמטרים'!$N$5,IF(EXACT(P100,'טבלת פרמטרים'!$M$6),'טבלת פרמטרים'!$N$6,IF(EXACT(P100,'טבלת פרמטרים'!$M$7),'טבלת פרמטרים'!$N$7,IF(EXACT(P100,'טבלת פרמטרים'!$M$8),'טבלת פרמטרים'!$N$8,IF(EXACT(P100,'טבלת פרמטרים'!$M$9),'טבלת פרמטרים'!$N$9,""))))))))</f>
        <v>0</v>
      </c>
      <c r="T100" s="19">
        <f>IF(EXACT(Q100,'טבלת פרמטרים'!$O$2),'טבלת פרמטרים'!$P$2,IF(EXACT(Q100,'טבלת פרמטרים'!$O$3),'טבלת פרמטרים'!$P$3,IF(EXACT(Q100,'טבלת פרמטרים'!$O$4),'טבלת פרמטרים'!$P$4,IF(EXACT(Q100,'טבלת פרמטרים'!$O$5),'טבלת פרמטרים'!$P$5,IF(EXACT(Q100,'טבלת פרמטרים'!$O$6),'טבלת פרמטרים'!$P$6,IF(EXACT(Q100,'טבלת פרמטרים'!$O$7),'טבלת פרמטרים'!$P$7,""))))))</f>
        <v>0</v>
      </c>
    </row>
    <row r="101" spans="1:20" x14ac:dyDescent="0.2">
      <c r="A101" s="18">
        <v>100</v>
      </c>
      <c r="B101" s="30">
        <v>43368</v>
      </c>
      <c r="C101" s="30">
        <v>43369</v>
      </c>
      <c r="D101" s="21" t="s">
        <v>16</v>
      </c>
      <c r="E101" s="21" t="s">
        <v>20</v>
      </c>
      <c r="F101" s="21" t="s">
        <v>23</v>
      </c>
      <c r="G101" s="21" t="s">
        <v>26</v>
      </c>
      <c r="H101" s="21" t="s">
        <v>29</v>
      </c>
      <c r="I101" s="21" t="s">
        <v>126</v>
      </c>
      <c r="J101" s="21" t="s">
        <v>39</v>
      </c>
      <c r="K101" s="21" t="s">
        <v>39</v>
      </c>
      <c r="L101" s="21" t="s">
        <v>49</v>
      </c>
      <c r="M101" s="21" t="s">
        <v>55</v>
      </c>
      <c r="N101" s="21" t="s">
        <v>57</v>
      </c>
      <c r="O101" s="19">
        <f>IF(ISBLANK(D101),"",IF(D101='טבלת פרמטרים'!$A$9,1,0)+IF(E101='טבלת פרמטרים'!$B$5,2,1)+IF(F101='טבלת פרמטרים'!$C$5,3,IF(F101='טבלת פרמטרים'!$C$4,1,0))+IF(G101='טבלת פרמטרים'!$D$3,2,0)+IF(M101='טבלת פרמטרים'!$J$4,2,IF(M101='טבלת פרמטרים'!$J$3,1,0))+IF(N101='טבלת פרמטרים'!$K$6,3,IF(OR(N101='טבלת פרמטרים'!$K$4,N101='טבלת פרמטרים'!$K$5),2,IF(N101='טבלת פרמטרים'!$K$3,1,0))))</f>
        <v>3</v>
      </c>
      <c r="P101" s="20" t="s">
        <v>115</v>
      </c>
      <c r="Q101" s="20" t="s">
        <v>123</v>
      </c>
      <c r="R101" s="19">
        <f t="shared" si="1"/>
        <v>3</v>
      </c>
      <c r="S101" s="19">
        <f>IF(EXACT(P101,'טבלת פרמטרים'!$M$2),'טבלת פרמטרים'!$N$2,IF(EXACT(P101,'טבלת פרמטרים'!$M$3),'טבלת פרמטרים'!$N$3,IF(EXACT(P101,'טבלת פרמטרים'!$M$4),'טבלת פרמטרים'!$N$4,IF(EXACT(P101,'טבלת פרמטרים'!$M$5),'טבלת פרמטרים'!$N$5,IF(EXACT(P101,'טבלת פרמטרים'!$M$6),'טבלת פרמטרים'!$N$6,IF(EXACT(P101,'טבלת פרמטרים'!$M$7),'טבלת פרמטרים'!$N$7,IF(EXACT(P101,'טבלת פרמטרים'!$M$8),'טבלת פרמטרים'!$N$8,IF(EXACT(P101,'טבלת פרמטרים'!$M$9),'טבלת פרמטרים'!$N$9,""))))))))</f>
        <v>0</v>
      </c>
      <c r="T101" s="19">
        <f>IF(EXACT(Q101,'טבלת פרמטרים'!$O$2),'טבלת פרמטרים'!$P$2,IF(EXACT(Q101,'טבלת פרמטרים'!$O$3),'טבלת פרמטרים'!$P$3,IF(EXACT(Q101,'טבלת פרמטרים'!$O$4),'טבלת פרמטרים'!$P$4,IF(EXACT(Q101,'טבלת פרמטרים'!$O$5),'טבלת פרמטרים'!$P$5,IF(EXACT(Q101,'טבלת פרמטרים'!$O$6),'טבלת פרמטרים'!$P$6,IF(EXACT(Q101,'טבלת פרמטרים'!$O$7),'טבלת פרמטרים'!$P$7,""))))))</f>
        <v>0</v>
      </c>
    </row>
    <row r="102" spans="1:20" x14ac:dyDescent="0.2">
      <c r="A102" s="18">
        <v>101</v>
      </c>
      <c r="B102" s="30">
        <v>43375</v>
      </c>
      <c r="C102" s="30">
        <v>43376</v>
      </c>
      <c r="D102" s="21" t="s">
        <v>15</v>
      </c>
      <c r="E102" s="21" t="s">
        <v>20</v>
      </c>
      <c r="F102" s="21" t="s">
        <v>23</v>
      </c>
      <c r="G102" s="21" t="s">
        <v>26</v>
      </c>
      <c r="H102" s="21" t="s">
        <v>30</v>
      </c>
      <c r="I102" s="21" t="s">
        <v>126</v>
      </c>
      <c r="J102" s="21" t="s">
        <v>33</v>
      </c>
      <c r="K102" s="21" t="s">
        <v>46</v>
      </c>
      <c r="L102" s="21" t="s">
        <v>51</v>
      </c>
      <c r="M102" s="21" t="s">
        <v>55</v>
      </c>
      <c r="O102" s="19">
        <f>IF(ISBLANK(D102),"",IF(D102='טבלת פרמטרים'!$A$9,1,0)+IF(E102='טבלת פרמטרים'!$B$5,2,1)+IF(F102='טבלת פרמטרים'!$C$5,3,IF(F102='טבלת פרמטרים'!$C$4,1,0))+IF(G102='טבלת פרמטרים'!$D$3,2,0)+IF(M102='טבלת פרמטרים'!$J$4,2,IF(M102='טבלת פרמטרים'!$J$3,1,0))+IF(N102='טבלת פרמטרים'!$K$6,3,IF(OR(N102='טבלת פרמטרים'!$K$4,N102='טבלת פרמטרים'!$K$5),2,IF(N102='טבלת פרמטרים'!$K$3,1,0))))</f>
        <v>3</v>
      </c>
      <c r="P102" s="20" t="s">
        <v>115</v>
      </c>
      <c r="Q102" s="20" t="s">
        <v>123</v>
      </c>
      <c r="R102" s="19">
        <f t="shared" si="1"/>
        <v>3</v>
      </c>
      <c r="S102" s="19">
        <f>IF(EXACT(P102,'טבלת פרמטרים'!$M$2),'טבלת פרמטרים'!$N$2,IF(EXACT(P102,'טבלת פרמטרים'!$M$3),'טבלת פרמטרים'!$N$3,IF(EXACT(P102,'טבלת פרמטרים'!$M$4),'טבלת פרמטרים'!$N$4,IF(EXACT(P102,'טבלת פרמטרים'!$M$5),'טבלת פרמטרים'!$N$5,IF(EXACT(P102,'טבלת פרמטרים'!$M$6),'טבלת פרמטרים'!$N$6,IF(EXACT(P102,'טבלת פרמטרים'!$M$7),'טבלת פרמטרים'!$N$7,IF(EXACT(P102,'טבלת פרמטרים'!$M$8),'טבלת פרמטרים'!$N$8,IF(EXACT(P102,'טבלת פרמטרים'!$M$9),'טבלת פרמטרים'!$N$9,""))))))))</f>
        <v>0</v>
      </c>
      <c r="T102" s="19">
        <f>IF(EXACT(Q102,'טבלת פרמטרים'!$O$2),'טבלת פרמטרים'!$P$2,IF(EXACT(Q102,'טבלת פרמטרים'!$O$3),'טבלת פרמטרים'!$P$3,IF(EXACT(Q102,'טבלת פרמטרים'!$O$4),'טבלת פרמטרים'!$P$4,IF(EXACT(Q102,'טבלת פרמטרים'!$O$5),'טבלת פרמטרים'!$P$5,IF(EXACT(Q102,'טבלת פרמטרים'!$O$6),'טבלת פרמטרים'!$P$6,IF(EXACT(Q102,'טבלת פרמטרים'!$O$7),'טבלת פרמטרים'!$P$7,""))))))</f>
        <v>0</v>
      </c>
    </row>
    <row r="103" spans="1:20" x14ac:dyDescent="0.2">
      <c r="A103" s="18">
        <v>102</v>
      </c>
      <c r="B103" s="30">
        <v>43384</v>
      </c>
      <c r="C103" s="30">
        <v>43384</v>
      </c>
      <c r="D103" s="21" t="s">
        <v>11</v>
      </c>
      <c r="E103" s="21" t="s">
        <v>111</v>
      </c>
      <c r="F103" s="21" t="s">
        <v>23</v>
      </c>
      <c r="G103" s="21" t="s">
        <v>26</v>
      </c>
      <c r="H103" s="21" t="s">
        <v>32</v>
      </c>
      <c r="I103" s="21" t="s">
        <v>126</v>
      </c>
      <c r="J103" s="21" t="s">
        <v>11</v>
      </c>
      <c r="K103" s="21" t="s">
        <v>45</v>
      </c>
      <c r="L103" s="21" t="s">
        <v>51</v>
      </c>
      <c r="M103" s="21" t="s">
        <v>53</v>
      </c>
      <c r="N103" s="21" t="s">
        <v>58</v>
      </c>
      <c r="O103" s="19">
        <f>IF(ISBLANK(D103),"",IF(D103='טבלת פרמטרים'!$A$9,1,0)+IF(E103='טבלת פרמטרים'!$B$5,2,1)+IF(F103='טבלת פרמטרים'!$C$5,3,IF(F103='טבלת פרמטרים'!$C$4,1,0))+IF(G103='טבלת פרמטרים'!$D$3,2,0)+IF(M103='טבלת פרמטרים'!$J$4,2,IF(M103='טבלת פרמטרים'!$J$3,1,0))+IF(N103='טבלת פרמטרים'!$K$6,3,IF(OR(N103='טבלת פרמטרים'!$K$4,N103='טבלת פרמטרים'!$K$5),2,IF(N103='טבלת פרמטרים'!$K$3,1,0))))</f>
        <v>2</v>
      </c>
      <c r="P103" s="20" t="s">
        <v>115</v>
      </c>
      <c r="Q103" s="20" t="s">
        <v>123</v>
      </c>
      <c r="R103" s="19">
        <f t="shared" si="1"/>
        <v>2</v>
      </c>
      <c r="S103" s="19">
        <f>IF(EXACT(P103,'טבלת פרמטרים'!$M$2),'טבלת פרמטרים'!$N$2,IF(EXACT(P103,'טבלת פרמטרים'!$M$3),'טבלת פרמטרים'!$N$3,IF(EXACT(P103,'טבלת פרמטרים'!$M$4),'טבלת פרמטרים'!$N$4,IF(EXACT(P103,'טבלת פרמטרים'!$M$5),'טבלת פרמטרים'!$N$5,IF(EXACT(P103,'טבלת פרמטרים'!$M$6),'טבלת פרמטרים'!$N$6,IF(EXACT(P103,'טבלת פרמטרים'!$M$7),'טבלת פרמטרים'!$N$7,IF(EXACT(P103,'טבלת פרמטרים'!$M$8),'טבלת פרמטרים'!$N$8,IF(EXACT(P103,'טבלת פרמטרים'!$M$9),'טבלת פרמטרים'!$N$9,""))))))))</f>
        <v>0</v>
      </c>
      <c r="T103" s="19">
        <f>IF(EXACT(Q103,'טבלת פרמטרים'!$O$2),'טבלת פרמטרים'!$P$2,IF(EXACT(Q103,'טבלת פרמטרים'!$O$3),'טבלת פרמטרים'!$P$3,IF(EXACT(Q103,'טבלת פרמטרים'!$O$4),'טבלת פרמטרים'!$P$4,IF(EXACT(Q103,'טבלת פרמטרים'!$O$5),'טבלת פרמטרים'!$P$5,IF(EXACT(Q103,'טבלת פרמטרים'!$O$6),'טבלת פרמטרים'!$P$6,IF(EXACT(Q103,'טבלת פרמטרים'!$O$7),'טבלת פרמטרים'!$P$7,""))))))</f>
        <v>0</v>
      </c>
    </row>
    <row r="104" spans="1:20" x14ac:dyDescent="0.2">
      <c r="A104" s="18">
        <v>103</v>
      </c>
      <c r="B104" s="30">
        <v>43356</v>
      </c>
      <c r="C104" s="30">
        <v>43357</v>
      </c>
      <c r="D104" s="21" t="s">
        <v>11</v>
      </c>
      <c r="E104" s="21" t="s">
        <v>111</v>
      </c>
      <c r="F104" s="21" t="s">
        <v>23</v>
      </c>
      <c r="G104" s="21" t="s">
        <v>26</v>
      </c>
      <c r="H104" s="21" t="s">
        <v>29</v>
      </c>
      <c r="I104" s="21" t="s">
        <v>127</v>
      </c>
      <c r="J104" s="21" t="s">
        <v>11</v>
      </c>
      <c r="K104" s="21" t="s">
        <v>45</v>
      </c>
      <c r="L104" s="21" t="s">
        <v>51</v>
      </c>
      <c r="M104" s="21" t="s">
        <v>55</v>
      </c>
      <c r="N104" s="21" t="s">
        <v>57</v>
      </c>
      <c r="O104" s="19">
        <f>IF(ISBLANK(D104),"",IF(D104='טבלת פרמטרים'!$A$9,1,0)+IF(E104='טבלת פרמטרים'!$B$5,2,1)+IF(F104='טבלת פרמטרים'!$C$5,3,IF(F104='טבלת פרמטרים'!$C$4,1,0))+IF(G104='טבלת פרמטרים'!$D$3,2,0)+IF(M104='טבלת פרמטרים'!$J$4,2,IF(M104='טבלת פרמטרים'!$J$3,1,0))+IF(N104='טבלת פרמטרים'!$K$6,3,IF(OR(N104='טבלת פרמטרים'!$K$4,N104='טבלת פרמטרים'!$K$5),2,IF(N104='טבלת פרמטרים'!$K$3,1,0))))</f>
        <v>3</v>
      </c>
      <c r="P104" s="20" t="s">
        <v>115</v>
      </c>
      <c r="Q104" s="20" t="s">
        <v>123</v>
      </c>
      <c r="R104" s="19">
        <f t="shared" si="1"/>
        <v>3</v>
      </c>
      <c r="S104" s="19">
        <f>IF(EXACT(P104,'טבלת פרמטרים'!$M$2),'טבלת פרמטרים'!$N$2,IF(EXACT(P104,'טבלת פרמטרים'!$M$3),'טבלת פרמטרים'!$N$3,IF(EXACT(P104,'טבלת פרמטרים'!$M$4),'טבלת פרמטרים'!$N$4,IF(EXACT(P104,'טבלת פרמטרים'!$M$5),'טבלת פרמטרים'!$N$5,IF(EXACT(P104,'טבלת פרמטרים'!$M$6),'טבלת פרמטרים'!$N$6,IF(EXACT(P104,'טבלת פרמטרים'!$M$7),'טבלת פרמטרים'!$N$7,IF(EXACT(P104,'טבלת פרמטרים'!$M$8),'טבלת פרמטרים'!$N$8,IF(EXACT(P104,'טבלת פרמטרים'!$M$9),'טבלת פרמטרים'!$N$9,""))))))))</f>
        <v>0</v>
      </c>
      <c r="T104" s="19">
        <f>IF(EXACT(Q104,'טבלת פרמטרים'!$O$2),'טבלת פרמטרים'!$P$2,IF(EXACT(Q104,'טבלת פרמטרים'!$O$3),'טבלת פרמטרים'!$P$3,IF(EXACT(Q104,'טבלת פרמטרים'!$O$4),'טבלת פרמטרים'!$P$4,IF(EXACT(Q104,'טבלת פרמטרים'!$O$5),'טבלת פרמטרים'!$P$5,IF(EXACT(Q104,'טבלת פרמטרים'!$O$6),'טבלת פרמטרים'!$P$6,IF(EXACT(Q104,'טבלת פרמטרים'!$O$7),'טבלת פרמטרים'!$P$7,""))))))</f>
        <v>0</v>
      </c>
    </row>
    <row r="105" spans="1:20" x14ac:dyDescent="0.2">
      <c r="A105" s="18">
        <v>104</v>
      </c>
      <c r="B105" s="30">
        <v>43389</v>
      </c>
      <c r="C105" s="30">
        <v>43396</v>
      </c>
      <c r="D105" s="21" t="s">
        <v>11</v>
      </c>
      <c r="E105" s="21" t="s">
        <v>111</v>
      </c>
      <c r="F105" s="21" t="s">
        <v>23</v>
      </c>
      <c r="G105" s="21" t="s">
        <v>26</v>
      </c>
      <c r="H105" s="21" t="s">
        <v>30</v>
      </c>
      <c r="I105" s="21" t="s">
        <v>126</v>
      </c>
      <c r="J105" s="21" t="s">
        <v>11</v>
      </c>
      <c r="K105" s="21" t="s">
        <v>46</v>
      </c>
      <c r="L105" s="21" t="s">
        <v>51</v>
      </c>
      <c r="M105" s="21" t="s">
        <v>53</v>
      </c>
      <c r="N105" s="21" t="s">
        <v>57</v>
      </c>
      <c r="O105" s="19">
        <f>IF(ISBLANK(D105),"",IF(D105='טבלת פרמטרים'!$A$9,1,0)+IF(E105='טבלת פרמטרים'!$B$5,2,1)+IF(F105='טבלת פרמטרים'!$C$5,3,IF(F105='טבלת פרמטרים'!$C$4,1,0))+IF(G105='טבלת פרמטרים'!$D$3,2,0)+IF(M105='טבלת פרמטרים'!$J$4,2,IF(M105='טבלת פרמטרים'!$J$3,1,0))+IF(N105='טבלת פרמטרים'!$K$6,3,IF(OR(N105='טבלת פרמטרים'!$K$4,N105='טבלת פרמטרים'!$K$5),2,IF(N105='טבלת פרמטרים'!$K$3,1,0))))</f>
        <v>1</v>
      </c>
      <c r="P105" s="20" t="s">
        <v>115</v>
      </c>
      <c r="Q105" s="20" t="s">
        <v>123</v>
      </c>
      <c r="R105" s="19">
        <f t="shared" si="1"/>
        <v>1</v>
      </c>
      <c r="S105" s="19">
        <f>IF(EXACT(P105,'טבלת פרמטרים'!$M$2),'טבלת פרמטרים'!$N$2,IF(EXACT(P105,'טבלת פרמטרים'!$M$3),'טבלת פרמטרים'!$N$3,IF(EXACT(P105,'טבלת פרמטרים'!$M$4),'טבלת פרמטרים'!$N$4,IF(EXACT(P105,'טבלת פרמטרים'!$M$5),'טבלת פרמטרים'!$N$5,IF(EXACT(P105,'טבלת פרמטרים'!$M$6),'טבלת פרמטרים'!$N$6,IF(EXACT(P105,'טבלת פרמטרים'!$M$7),'טבלת פרמטרים'!$N$7,IF(EXACT(P105,'טבלת פרמטרים'!$M$8),'טבלת פרמטרים'!$N$8,IF(EXACT(P105,'טבלת פרמטרים'!$M$9),'טבלת פרמטרים'!$N$9,""))))))))</f>
        <v>0</v>
      </c>
      <c r="T105" s="19">
        <f>IF(EXACT(Q105,'טבלת פרמטרים'!$O$2),'טבלת פרמטרים'!$P$2,IF(EXACT(Q105,'טבלת פרמטרים'!$O$3),'טבלת פרמטרים'!$P$3,IF(EXACT(Q105,'טבלת פרמטרים'!$O$4),'טבלת פרמטרים'!$P$4,IF(EXACT(Q105,'טבלת פרמטרים'!$O$5),'טבלת פרמטרים'!$P$5,IF(EXACT(Q105,'טבלת פרמטרים'!$O$6),'טבלת פרמטרים'!$P$6,IF(EXACT(Q105,'טבלת פרמטרים'!$O$7),'טבלת פרמטרים'!$P$7,""))))))</f>
        <v>0</v>
      </c>
    </row>
    <row r="106" spans="1:20" ht="28.5" x14ac:dyDescent="0.2">
      <c r="A106" s="18">
        <v>105</v>
      </c>
      <c r="B106" s="30">
        <v>43404</v>
      </c>
      <c r="C106" s="30">
        <v>43404</v>
      </c>
      <c r="D106" s="21" t="s">
        <v>10</v>
      </c>
      <c r="E106" s="21" t="s">
        <v>22</v>
      </c>
      <c r="F106" s="21" t="s">
        <v>24</v>
      </c>
      <c r="G106" s="21" t="s">
        <v>26</v>
      </c>
      <c r="H106" s="21" t="s">
        <v>29</v>
      </c>
      <c r="I106" s="21" t="s">
        <v>126</v>
      </c>
      <c r="J106" s="21" t="s">
        <v>34</v>
      </c>
      <c r="K106" s="21" t="s">
        <v>44</v>
      </c>
      <c r="L106" s="21" t="s">
        <v>51</v>
      </c>
      <c r="M106" s="21" t="s">
        <v>55</v>
      </c>
      <c r="N106" s="21" t="s">
        <v>112</v>
      </c>
      <c r="O106" s="19">
        <f>IF(ISBLANK(D106),"",IF(D106='טבלת פרמטרים'!$A$9,1,0)+IF(E106='טבלת פרמטרים'!$B$5,2,1)+IF(F106='טבלת פרמטרים'!$C$5,3,IF(F106='טבלת פרמטרים'!$C$4,1,0))+IF(G106='טבלת פרמטרים'!$D$3,2,0)+IF(M106='טבלת פרמטרים'!$J$4,2,IF(M106='טבלת פרמטרים'!$J$3,1,0))+IF(N106='טבלת פרמטרים'!$K$6,3,IF(OR(N106='טבלת פרמטרים'!$K$4,N106='טבלת פרמטרים'!$K$5),2,IF(N106='טבלת פרמטרים'!$K$3,1,0))))</f>
        <v>7</v>
      </c>
      <c r="P106" s="20" t="s">
        <v>115</v>
      </c>
      <c r="Q106" s="20" t="s">
        <v>329</v>
      </c>
      <c r="R106" s="19">
        <f t="shared" si="1"/>
        <v>8</v>
      </c>
      <c r="S106" s="19">
        <f>IF(EXACT(P106,'טבלת פרמטרים'!$M$2),'טבלת פרמטרים'!$N$2,IF(EXACT(P106,'טבלת פרמטרים'!$M$3),'טבלת פרמטרים'!$N$3,IF(EXACT(P106,'טבלת פרמטרים'!$M$4),'טבלת פרמטרים'!$N$4,IF(EXACT(P106,'טבלת פרמטרים'!$M$5),'טבלת פרמטרים'!$N$5,IF(EXACT(P106,'טבלת פרמטרים'!$M$6),'טבלת פרמטרים'!$N$6,IF(EXACT(P106,'טבלת פרמטרים'!$M$7),'טבלת פרמטרים'!$N$7,IF(EXACT(P106,'טבלת פרמטרים'!$M$8),'טבלת פרמטרים'!$N$8,IF(EXACT(P106,'טבלת פרמטרים'!$M$9),'טבלת פרמטרים'!$N$9,""))))))))</f>
        <v>0</v>
      </c>
      <c r="T106" s="19">
        <f>IF(EXACT(Q106,'טבלת פרמטרים'!$O$2),'טבלת פרמטרים'!$P$2,IF(EXACT(Q106,'טבלת פרמטרים'!$O$3),'טבלת פרמטרים'!$P$3,IF(EXACT(Q106,'טבלת פרמטרים'!$O$4),'טבלת פרמטרים'!$P$4,IF(EXACT(Q106,'טבלת פרמטרים'!$O$5),'טבלת פרמטרים'!$P$5,IF(EXACT(Q106,'טבלת פרמטרים'!$O$6),'טבלת פרמטרים'!$P$6,IF(EXACT(Q106,'טבלת פרמטרים'!$O$7),'טבלת פרמטרים'!$P$7,""))))))</f>
        <v>1</v>
      </c>
    </row>
    <row r="107" spans="1:20" x14ac:dyDescent="0.2">
      <c r="A107" s="18">
        <v>106</v>
      </c>
      <c r="B107" s="30">
        <v>43418</v>
      </c>
      <c r="C107" s="30">
        <v>43418</v>
      </c>
      <c r="D107" s="21" t="s">
        <v>14</v>
      </c>
      <c r="E107" s="21" t="s">
        <v>111</v>
      </c>
      <c r="F107" s="21" t="s">
        <v>23</v>
      </c>
      <c r="G107" s="21" t="s">
        <v>26</v>
      </c>
      <c r="H107" s="21" t="s">
        <v>31</v>
      </c>
      <c r="I107" s="21" t="s">
        <v>126</v>
      </c>
      <c r="J107" s="21" t="s">
        <v>35</v>
      </c>
      <c r="K107" s="21" t="s">
        <v>43</v>
      </c>
      <c r="L107" s="21" t="s">
        <v>49</v>
      </c>
      <c r="M107" s="21" t="s">
        <v>55</v>
      </c>
      <c r="N107" s="21" t="s">
        <v>112</v>
      </c>
      <c r="O107" s="19">
        <f>IF(ISBLANK(D107),"",IF(D107='טבלת פרמטרים'!$A$9,1,0)+IF(E107='טבלת פרמטרים'!$B$5,2,1)+IF(F107='טבלת פרמטרים'!$C$5,3,IF(F107='טבלת פרמטרים'!$C$4,1,0))+IF(G107='טבלת פרמטרים'!$D$3,2,0)+IF(M107='טבלת פרמטרים'!$J$4,2,IF(M107='טבלת פרמטרים'!$J$3,1,0))+IF(N107='טבלת פרמטרים'!$K$6,3,IF(OR(N107='טבלת פרמטרים'!$K$4,N107='טבלת פרמטרים'!$K$5),2,IF(N107='טבלת פרמטרים'!$K$3,1,0))))</f>
        <v>5</v>
      </c>
      <c r="P107" s="20" t="s">
        <v>115</v>
      </c>
      <c r="Q107" s="20" t="s">
        <v>123</v>
      </c>
      <c r="R107" s="19">
        <f t="shared" si="1"/>
        <v>5</v>
      </c>
      <c r="S107" s="19">
        <f>IF(EXACT(P107,'טבלת פרמטרים'!$M$2),'טבלת פרמטרים'!$N$2,IF(EXACT(P107,'טבלת פרמטרים'!$M$3),'טבלת פרמטרים'!$N$3,IF(EXACT(P107,'טבלת פרמטרים'!$M$4),'טבלת פרמטרים'!$N$4,IF(EXACT(P107,'טבלת פרמטרים'!$M$5),'טבלת פרמטרים'!$N$5,IF(EXACT(P107,'טבלת פרמטרים'!$M$6),'טבלת פרמטרים'!$N$6,IF(EXACT(P107,'טבלת פרמטרים'!$M$7),'טבלת פרמטרים'!$N$7,IF(EXACT(P107,'טבלת פרמטרים'!$M$8),'טבלת פרמטרים'!$N$8,IF(EXACT(P107,'טבלת פרמטרים'!$M$9),'טבלת פרמטרים'!$N$9,""))))))))</f>
        <v>0</v>
      </c>
      <c r="T107" s="19">
        <f>IF(EXACT(Q107,'טבלת פרמטרים'!$O$2),'טבלת פרמטרים'!$P$2,IF(EXACT(Q107,'טבלת פרמטרים'!$O$3),'טבלת פרמטרים'!$P$3,IF(EXACT(Q107,'טבלת פרמטרים'!$O$4),'טבלת פרמטרים'!$P$4,IF(EXACT(Q107,'טבלת פרמטרים'!$O$5),'טבלת פרמטרים'!$P$5,IF(EXACT(Q107,'טבלת פרמטרים'!$O$6),'טבלת פרמטרים'!$P$6,IF(EXACT(Q107,'טבלת פרמטרים'!$O$7),'טבלת פרמטרים'!$P$7,""))))))</f>
        <v>0</v>
      </c>
    </row>
    <row r="108" spans="1:20" x14ac:dyDescent="0.2">
      <c r="A108" s="18">
        <v>107</v>
      </c>
      <c r="C108" s="30">
        <v>43426</v>
      </c>
      <c r="D108" s="21" t="s">
        <v>13</v>
      </c>
      <c r="E108" s="21" t="s">
        <v>20</v>
      </c>
      <c r="F108" s="21" t="s">
        <v>23</v>
      </c>
      <c r="G108" s="21" t="s">
        <v>26</v>
      </c>
      <c r="H108" s="21" t="s">
        <v>30</v>
      </c>
      <c r="I108" s="21" t="s">
        <v>126</v>
      </c>
      <c r="J108" s="21" t="s">
        <v>33</v>
      </c>
      <c r="K108" s="21" t="s">
        <v>46</v>
      </c>
      <c r="L108" s="21" t="s">
        <v>50</v>
      </c>
      <c r="M108" s="21" t="s">
        <v>55</v>
      </c>
      <c r="O108" s="19">
        <f>IF(ISBLANK(D108),"",IF(D108='טבלת פרמטרים'!$A$9,1,0)+IF(E108='טבלת פרמטרים'!$B$5,2,1)+IF(F108='טבלת פרמטרים'!$C$5,3,IF(F108='טבלת פרמטרים'!$C$4,1,0))+IF(G108='טבלת פרמטרים'!$D$3,2,0)+IF(M108='טבלת פרמטרים'!$J$4,2,IF(M108='טבלת פרמטרים'!$J$3,1,0))+IF(N108='טבלת פרמטרים'!$K$6,3,IF(OR(N108='טבלת פרמטרים'!$K$4,N108='טבלת פרמטרים'!$K$5),2,IF(N108='טבלת פרמטרים'!$K$3,1,0))))</f>
        <v>3</v>
      </c>
      <c r="P108" s="20" t="s">
        <v>115</v>
      </c>
      <c r="Q108" s="20" t="s">
        <v>123</v>
      </c>
      <c r="R108" s="19">
        <f t="shared" si="1"/>
        <v>3</v>
      </c>
      <c r="S108" s="19">
        <f>IF(EXACT(P108,'טבלת פרמטרים'!$M$2),'טבלת פרמטרים'!$N$2,IF(EXACT(P108,'טבלת פרמטרים'!$M$3),'טבלת פרמטרים'!$N$3,IF(EXACT(P108,'טבלת פרמטרים'!$M$4),'טבלת פרמטרים'!$N$4,IF(EXACT(P108,'טבלת פרמטרים'!$M$5),'טבלת פרמטרים'!$N$5,IF(EXACT(P108,'טבלת פרמטרים'!$M$6),'טבלת פרמטרים'!$N$6,IF(EXACT(P108,'טבלת פרמטרים'!$M$7),'טבלת פרמטרים'!$N$7,IF(EXACT(P108,'טבלת פרמטרים'!$M$8),'טבלת פרמטרים'!$N$8,IF(EXACT(P108,'טבלת פרמטרים'!$M$9),'טבלת פרמטרים'!$N$9,""))))))))</f>
        <v>0</v>
      </c>
      <c r="T108" s="19">
        <f>IF(EXACT(Q108,'טבלת פרמטרים'!$O$2),'טבלת פרמטרים'!$P$2,IF(EXACT(Q108,'טבלת פרמטרים'!$O$3),'טבלת פרמטרים'!$P$3,IF(EXACT(Q108,'טבלת פרמטרים'!$O$4),'טבלת פרמטרים'!$P$4,IF(EXACT(Q108,'טבלת פרמטרים'!$O$5),'טבלת פרמטרים'!$P$5,IF(EXACT(Q108,'טבלת פרמטרים'!$O$6),'טבלת פרמטרים'!$P$6,IF(EXACT(Q108,'טבלת פרמטרים'!$O$7),'טבלת פרמטרים'!$P$7,""))))))</f>
        <v>0</v>
      </c>
    </row>
    <row r="109" spans="1:20" x14ac:dyDescent="0.2">
      <c r="A109" s="18">
        <v>108</v>
      </c>
      <c r="B109" s="30">
        <v>43422</v>
      </c>
      <c r="C109" s="30">
        <v>43430</v>
      </c>
      <c r="D109" s="21" t="s">
        <v>17</v>
      </c>
      <c r="E109" s="21" t="s">
        <v>22</v>
      </c>
      <c r="F109" s="21" t="s">
        <v>24</v>
      </c>
      <c r="G109" s="21" t="s">
        <v>27</v>
      </c>
      <c r="H109" s="21" t="s">
        <v>31</v>
      </c>
      <c r="I109" s="21" t="s">
        <v>126</v>
      </c>
      <c r="J109" s="21" t="s">
        <v>33</v>
      </c>
      <c r="K109" s="21" t="s">
        <v>45</v>
      </c>
      <c r="L109" s="21" t="s">
        <v>51</v>
      </c>
      <c r="M109" s="21" t="s">
        <v>55</v>
      </c>
      <c r="N109" s="21" t="s">
        <v>59</v>
      </c>
      <c r="O109" s="19">
        <f>IF(ISBLANK(D109),"",IF(D109='טבלת פרמטרים'!$A$9,1,0)+IF(E109='טבלת פרמטרים'!$B$5,2,1)+IF(F109='טבלת פרמטרים'!$C$5,3,IF(F109='טבלת פרמטרים'!$C$4,1,0))+IF(G109='טבלת פרמטרים'!$D$3,2,0)+IF(M109='טבלת פרמטרים'!$J$4,2,IF(M109='טבלת פרמטרים'!$J$3,1,0))+IF(N109='טבלת פרמטרים'!$K$6,3,IF(OR(N109='טבלת פרמטרים'!$K$4,N109='טבלת פרמטרים'!$K$5),2,IF(N109='טבלת פרמטרים'!$K$3,1,0))))</f>
        <v>10</v>
      </c>
      <c r="P109" s="20" t="s">
        <v>115</v>
      </c>
      <c r="Q109" s="20" t="s">
        <v>123</v>
      </c>
      <c r="R109" s="19">
        <f t="shared" si="1"/>
        <v>10</v>
      </c>
      <c r="S109" s="19">
        <f>IF(EXACT(P109,'טבלת פרמטרים'!$M$2),'טבלת פרמטרים'!$N$2,IF(EXACT(P109,'טבלת פרמטרים'!$M$3),'טבלת פרמטרים'!$N$3,IF(EXACT(P109,'טבלת פרמטרים'!$M$4),'טבלת פרמטרים'!$N$4,IF(EXACT(P109,'טבלת פרמטרים'!$M$5),'טבלת פרמטרים'!$N$5,IF(EXACT(P109,'טבלת פרמטרים'!$M$6),'טבלת פרמטרים'!$N$6,IF(EXACT(P109,'טבלת פרמטרים'!$M$7),'טבלת פרמטרים'!$N$7,IF(EXACT(P109,'טבלת פרמטרים'!$M$8),'טבלת פרמטרים'!$N$8,IF(EXACT(P109,'טבלת פרמטרים'!$M$9),'טבלת פרמטרים'!$N$9,""))))))))</f>
        <v>0</v>
      </c>
      <c r="T109" s="19">
        <f>IF(EXACT(Q109,'טבלת פרמטרים'!$O$2),'טבלת פרמטרים'!$P$2,IF(EXACT(Q109,'טבלת פרמטרים'!$O$3),'טבלת פרמטרים'!$P$3,IF(EXACT(Q109,'טבלת פרמטרים'!$O$4),'טבלת פרמטרים'!$P$4,IF(EXACT(Q109,'טבלת פרמטרים'!$O$5),'טבלת פרמטרים'!$P$5,IF(EXACT(Q109,'טבלת פרמטרים'!$O$6),'טבלת פרמטרים'!$P$6,IF(EXACT(Q109,'טבלת פרמטרים'!$O$7),'טבלת פרמטרים'!$P$7,""))))))</f>
        <v>0</v>
      </c>
    </row>
    <row r="110" spans="1:20" x14ac:dyDescent="0.2">
      <c r="A110" s="18">
        <v>109</v>
      </c>
      <c r="B110" s="30">
        <v>43432</v>
      </c>
      <c r="C110" s="30">
        <v>43432</v>
      </c>
      <c r="D110" s="21" t="s">
        <v>12</v>
      </c>
      <c r="E110" s="21" t="s">
        <v>111</v>
      </c>
      <c r="F110" s="21" t="s">
        <v>23</v>
      </c>
      <c r="G110" s="21" t="s">
        <v>26</v>
      </c>
      <c r="H110" s="21" t="s">
        <v>30</v>
      </c>
      <c r="I110" s="21" t="s">
        <v>126</v>
      </c>
      <c r="J110" s="21" t="s">
        <v>33</v>
      </c>
      <c r="K110" s="21" t="s">
        <v>45</v>
      </c>
      <c r="L110" s="21" t="s">
        <v>51</v>
      </c>
      <c r="M110" s="21" t="s">
        <v>53</v>
      </c>
      <c r="N110" s="21" t="s">
        <v>58</v>
      </c>
      <c r="O110" s="19">
        <f>IF(ISBLANK(D110),"",IF(D110='טבלת פרמטרים'!$A$9,1,0)+IF(E110='טבלת פרמטרים'!$B$5,2,1)+IF(F110='טבלת פרמטרים'!$C$5,3,IF(F110='טבלת פרמטרים'!$C$4,1,0))+IF(G110='טבלת פרמטרים'!$D$3,2,0)+IF(M110='טבלת פרמטרים'!$J$4,2,IF(M110='טבלת פרמטרים'!$J$3,1,0))+IF(N110='טבלת פרמטרים'!$K$6,3,IF(OR(N110='טבלת פרמטרים'!$K$4,N110='טבלת פרמטרים'!$K$5),2,IF(N110='טבלת פרמטרים'!$K$3,1,0))))</f>
        <v>2</v>
      </c>
      <c r="P110" s="20" t="s">
        <v>115</v>
      </c>
      <c r="Q110" s="20" t="s">
        <v>123</v>
      </c>
      <c r="R110" s="19">
        <f t="shared" si="1"/>
        <v>2</v>
      </c>
      <c r="S110" s="19">
        <f>IF(EXACT(P110,'טבלת פרמטרים'!$M$2),'טבלת פרמטרים'!$N$2,IF(EXACT(P110,'טבלת פרמטרים'!$M$3),'טבלת פרמטרים'!$N$3,IF(EXACT(P110,'טבלת פרמטרים'!$M$4),'טבלת פרמטרים'!$N$4,IF(EXACT(P110,'טבלת פרמטרים'!$M$5),'טבלת פרמטרים'!$N$5,IF(EXACT(P110,'טבלת פרמטרים'!$M$6),'טבלת פרמטרים'!$N$6,IF(EXACT(P110,'טבלת פרמטרים'!$M$7),'טבלת פרמטרים'!$N$7,IF(EXACT(P110,'טבלת פרמטרים'!$M$8),'טבלת פרמטרים'!$N$8,IF(EXACT(P110,'טבלת פרמטרים'!$M$9),'טבלת פרמטרים'!$N$9,""))))))))</f>
        <v>0</v>
      </c>
      <c r="T110" s="19">
        <f>IF(EXACT(Q110,'טבלת פרמטרים'!$O$2),'טבלת פרמטרים'!$P$2,IF(EXACT(Q110,'טבלת פרמטרים'!$O$3),'טבלת פרמטרים'!$P$3,IF(EXACT(Q110,'טבלת פרמטרים'!$O$4),'טבלת פרמטרים'!$P$4,IF(EXACT(Q110,'טבלת פרמטרים'!$O$5),'טבלת פרמטרים'!$P$5,IF(EXACT(Q110,'טבלת פרמטרים'!$O$6),'טבלת פרמטרים'!$P$6,IF(EXACT(Q110,'טבלת פרמטרים'!$O$7),'טבלת פרמטרים'!$P$7,""))))))</f>
        <v>0</v>
      </c>
    </row>
    <row r="111" spans="1:20" x14ac:dyDescent="0.2">
      <c r="A111" s="18">
        <v>110</v>
      </c>
      <c r="B111" s="30">
        <v>43437</v>
      </c>
      <c r="C111" s="30">
        <v>43437</v>
      </c>
      <c r="D111" s="21" t="s">
        <v>13</v>
      </c>
      <c r="E111" s="21" t="s">
        <v>111</v>
      </c>
      <c r="F111" s="21" t="s">
        <v>23</v>
      </c>
      <c r="G111" s="21" t="s">
        <v>26</v>
      </c>
      <c r="H111" s="21" t="s">
        <v>30</v>
      </c>
      <c r="I111" s="21" t="s">
        <v>126</v>
      </c>
      <c r="J111" s="21" t="s">
        <v>35</v>
      </c>
      <c r="K111" s="21" t="s">
        <v>149</v>
      </c>
      <c r="L111" s="21" t="s">
        <v>50</v>
      </c>
      <c r="M111" s="21" t="s">
        <v>54</v>
      </c>
      <c r="N111" s="21" t="s">
        <v>58</v>
      </c>
      <c r="O111" s="19">
        <f>IF(ISBLANK(D111),"",IF(D111='טבלת פרמטרים'!$A$9,1,0)+IF(E111='טבלת פרמטרים'!$B$5,2,1)+IF(F111='טבלת פרמטרים'!$C$5,3,IF(F111='טבלת פרמטרים'!$C$4,1,0))+IF(G111='טבלת פרמטרים'!$D$3,2,0)+IF(M111='טבלת פרמטרים'!$J$4,2,IF(M111='טבלת פרמטרים'!$J$3,1,0))+IF(N111='טבלת פרמטרים'!$K$6,3,IF(OR(N111='טבלת פרמטרים'!$K$4,N111='טבלת פרמטרים'!$K$5),2,IF(N111='טבלת פרמטרים'!$K$3,1,0))))</f>
        <v>3</v>
      </c>
      <c r="P111" s="20" t="s">
        <v>115</v>
      </c>
      <c r="Q111" s="20" t="s">
        <v>123</v>
      </c>
      <c r="R111" s="19">
        <f t="shared" si="1"/>
        <v>3</v>
      </c>
      <c r="S111" s="19">
        <f>IF(EXACT(P111,'טבלת פרמטרים'!$M$2),'טבלת פרמטרים'!$N$2,IF(EXACT(P111,'טבלת פרמטרים'!$M$3),'טבלת פרמטרים'!$N$3,IF(EXACT(P111,'טבלת פרמטרים'!$M$4),'טבלת פרמטרים'!$N$4,IF(EXACT(P111,'טבלת פרמטרים'!$M$5),'טבלת פרמטרים'!$N$5,IF(EXACT(P111,'טבלת פרמטרים'!$M$6),'טבלת פרמטרים'!$N$6,IF(EXACT(P111,'טבלת פרמטרים'!$M$7),'טבלת פרמטרים'!$N$7,IF(EXACT(P111,'טבלת פרמטרים'!$M$8),'טבלת פרמטרים'!$N$8,IF(EXACT(P111,'טבלת פרמטרים'!$M$9),'טבלת פרמטרים'!$N$9,""))))))))</f>
        <v>0</v>
      </c>
      <c r="T111" s="19">
        <f>IF(EXACT(Q111,'טבלת פרמטרים'!$O$2),'טבלת פרמטרים'!$P$2,IF(EXACT(Q111,'טבלת פרמטרים'!$O$3),'טבלת פרמטרים'!$P$3,IF(EXACT(Q111,'טבלת פרמטרים'!$O$4),'טבלת פרמטרים'!$P$4,IF(EXACT(Q111,'טבלת פרמטרים'!$O$5),'טבלת פרמטרים'!$P$5,IF(EXACT(Q111,'טבלת פרמטרים'!$O$6),'טבלת פרמטרים'!$P$6,IF(EXACT(Q111,'טבלת פרמטרים'!$O$7),'טבלת פרמטרים'!$P$7,""))))))</f>
        <v>0</v>
      </c>
    </row>
    <row r="112" spans="1:20" ht="28.5" x14ac:dyDescent="0.2">
      <c r="A112" s="18">
        <v>111</v>
      </c>
      <c r="B112" s="30">
        <v>43454</v>
      </c>
      <c r="C112" s="30">
        <v>43454</v>
      </c>
      <c r="D112" s="21" t="s">
        <v>17</v>
      </c>
      <c r="E112" s="21" t="s">
        <v>22</v>
      </c>
      <c r="F112" s="21" t="s">
        <v>24</v>
      </c>
      <c r="G112" s="21" t="s">
        <v>26</v>
      </c>
      <c r="H112" s="21" t="s">
        <v>29</v>
      </c>
      <c r="I112" s="21" t="s">
        <v>126</v>
      </c>
      <c r="J112" s="21" t="s">
        <v>33</v>
      </c>
      <c r="K112" s="21" t="s">
        <v>47</v>
      </c>
      <c r="L112" s="21" t="s">
        <v>51</v>
      </c>
      <c r="M112" s="21" t="s">
        <v>54</v>
      </c>
      <c r="N112" s="21" t="s">
        <v>58</v>
      </c>
      <c r="O112" s="19">
        <f>IF(ISBLANK(D112),"",IF(D112='טבלת פרמטרים'!$A$9,1,0)+IF(E112='טבלת פרמטרים'!$B$5,2,1)+IF(F112='טבלת פרמטרים'!$C$5,3,IF(F112='טבלת פרמטרים'!$C$4,1,0))+IF(G112='טבלת פרמטרים'!$D$3,2,0)+IF(M112='טבלת פרמטרים'!$J$4,2,IF(M112='טבלת פרמטרים'!$J$3,1,0))+IF(N112='טבלת פרמטרים'!$K$6,3,IF(OR(N112='טבלת פרמטרים'!$K$4,N112='טבלת פרמטרים'!$K$5),2,IF(N112='טבלת פרמטרים'!$K$3,1,0))))</f>
        <v>6</v>
      </c>
      <c r="P112" s="20" t="s">
        <v>115</v>
      </c>
      <c r="Q112" s="20" t="s">
        <v>330</v>
      </c>
      <c r="R112" s="19">
        <f t="shared" si="1"/>
        <v>10</v>
      </c>
      <c r="S112" s="19">
        <f>IF(EXACT(P112,'טבלת פרמטרים'!$M$2),'טבלת פרמטרים'!$N$2,IF(EXACT(P112,'טבלת פרמטרים'!$M$3),'טבלת פרמטרים'!$N$3,IF(EXACT(P112,'טבלת פרמטרים'!$M$4),'טבלת פרמטרים'!$N$4,IF(EXACT(P112,'טבלת פרמטרים'!$M$5),'טבלת פרמטרים'!$N$5,IF(EXACT(P112,'טבלת פרמטרים'!$M$6),'טבלת פרמטרים'!$N$6,IF(EXACT(P112,'טבלת פרמטרים'!$M$7),'טבלת פרמטרים'!$N$7,IF(EXACT(P112,'טבלת פרמטרים'!$M$8),'טבלת פרמטרים'!$N$8,IF(EXACT(P112,'טבלת פרמטרים'!$M$9),'טבלת פרמטרים'!$N$9,""))))))))</f>
        <v>0</v>
      </c>
      <c r="T112" s="19">
        <f>IF(EXACT(Q112,'טבלת פרמטרים'!$O$2),'טבלת פרמטרים'!$P$2,IF(EXACT(Q112,'טבלת פרמטרים'!$O$3),'טבלת פרמטרים'!$P$3,IF(EXACT(Q112,'טבלת פרמטרים'!$O$4),'טבלת פרמטרים'!$P$4,IF(EXACT(Q112,'טבלת פרמטרים'!$O$5),'טבלת פרמטרים'!$P$5,IF(EXACT(Q112,'טבלת פרמטרים'!$O$6),'טבלת פרמטרים'!$P$6,IF(EXACT(Q112,'טבלת פרמטרים'!$O$7),'טבלת פרמטרים'!$P$7,""))))))</f>
        <v>4</v>
      </c>
    </row>
    <row r="113" spans="1:20" ht="28.5" x14ac:dyDescent="0.2">
      <c r="A113" s="18">
        <v>112</v>
      </c>
      <c r="B113" s="30">
        <v>43436</v>
      </c>
      <c r="C113" s="30">
        <v>43457</v>
      </c>
      <c r="D113" s="21" t="s">
        <v>17</v>
      </c>
      <c r="E113" s="21" t="s">
        <v>22</v>
      </c>
      <c r="F113" s="21" t="s">
        <v>24</v>
      </c>
      <c r="H113" s="21" t="s">
        <v>31</v>
      </c>
      <c r="I113" s="21" t="s">
        <v>126</v>
      </c>
      <c r="J113" s="21" t="s">
        <v>33</v>
      </c>
      <c r="K113" s="21" t="s">
        <v>44</v>
      </c>
      <c r="L113" s="21" t="s">
        <v>51</v>
      </c>
      <c r="M113" s="21" t="s">
        <v>55</v>
      </c>
      <c r="N113" s="21" t="s">
        <v>112</v>
      </c>
      <c r="O113" s="19">
        <f>IF(ISBLANK(D113),"",IF(D113='טבלת פרמטרים'!$A$9,1,0)+IF(E113='טבלת פרמטרים'!$B$5,2,1)+IF(F113='טבלת פרמטרים'!$C$5,3,IF(F113='טבלת פרמטרים'!$C$4,1,0))+IF(G113='טבלת פרמטרים'!$D$3,2,0)+IF(M113='טבלת פרמטרים'!$J$4,2,IF(M113='טבלת פרמטרים'!$J$3,1,0))+IF(N113='טבלת פרמטרים'!$K$6,3,IF(OR(N113='טבלת פרמטרים'!$K$4,N113='טבלת פרמטרים'!$K$5),2,IF(N113='טבלת פרמטרים'!$K$3,1,0))))</f>
        <v>8</v>
      </c>
      <c r="P113" s="20" t="s">
        <v>115</v>
      </c>
      <c r="Q113" s="20" t="s">
        <v>329</v>
      </c>
      <c r="R113" s="19">
        <f t="shared" si="1"/>
        <v>9</v>
      </c>
      <c r="S113" s="19">
        <f>IF(EXACT(P113,'טבלת פרמטרים'!$M$2),'טבלת פרמטרים'!$N$2,IF(EXACT(P113,'טבלת פרמטרים'!$M$3),'טבלת פרמטרים'!$N$3,IF(EXACT(P113,'טבלת פרמטרים'!$M$4),'טבלת פרמטרים'!$N$4,IF(EXACT(P113,'טבלת פרמטרים'!$M$5),'טבלת פרמטרים'!$N$5,IF(EXACT(P113,'טבלת פרמטרים'!$M$6),'טבלת פרמטרים'!$N$6,IF(EXACT(P113,'טבלת פרמטרים'!$M$7),'טבלת פרמטרים'!$N$7,IF(EXACT(P113,'טבלת פרמטרים'!$M$8),'טבלת פרמטרים'!$N$8,IF(EXACT(P113,'טבלת פרמטרים'!$M$9),'טבלת פרמטרים'!$N$9,""))))))))</f>
        <v>0</v>
      </c>
      <c r="T113" s="19">
        <f>IF(EXACT(Q113,'טבלת פרמטרים'!$O$2),'טבלת פרמטרים'!$P$2,IF(EXACT(Q113,'טבלת פרמטרים'!$O$3),'טבלת פרמטרים'!$P$3,IF(EXACT(Q113,'טבלת פרמטרים'!$O$4),'טבלת פרמטרים'!$P$4,IF(EXACT(Q113,'טבלת פרמטרים'!$O$5),'טבלת פרמטרים'!$P$5,IF(EXACT(Q113,'טבלת פרמטרים'!$O$6),'טבלת פרמטרים'!$P$6,IF(EXACT(Q113,'טבלת פרמטרים'!$O$7),'טבלת פרמטרים'!$P$7,""))))))</f>
        <v>1</v>
      </c>
    </row>
    <row r="114" spans="1:20" x14ac:dyDescent="0.2">
      <c r="A114" s="18">
        <v>113</v>
      </c>
      <c r="B114" s="30">
        <v>43458</v>
      </c>
      <c r="C114" s="30">
        <v>43458</v>
      </c>
      <c r="D114" s="21" t="s">
        <v>11</v>
      </c>
      <c r="E114" s="21" t="s">
        <v>20</v>
      </c>
      <c r="F114" s="21" t="s">
        <v>23</v>
      </c>
      <c r="G114" s="21" t="s">
        <v>27</v>
      </c>
      <c r="H114" s="21" t="s">
        <v>28</v>
      </c>
      <c r="J114" s="21" t="s">
        <v>11</v>
      </c>
      <c r="M114" s="21" t="s">
        <v>53</v>
      </c>
      <c r="N114" s="21" t="s">
        <v>57</v>
      </c>
      <c r="O114" s="19">
        <f>IF(ISBLANK(D114),"",IF(D114='טבלת פרמטרים'!$A$9,1,0)+IF(E114='טבלת פרמטרים'!$B$5,2,1)+IF(F114='טבלת פרמטרים'!$C$5,3,IF(F114='טבלת פרמטרים'!$C$4,1,0))+IF(G114='טבלת פרמטרים'!$D$3,2,0)+IF(M114='טבלת פרמטרים'!$J$4,2,IF(M114='טבלת פרמטרים'!$J$3,1,0))+IF(N114='טבלת פרמטרים'!$K$6,3,IF(OR(N114='טבלת פרמטרים'!$K$4,N114='טבלת פרמטרים'!$K$5),2,IF(N114='טבלת פרמטרים'!$K$3,1,0))))</f>
        <v>3</v>
      </c>
      <c r="P114" s="20" t="s">
        <v>115</v>
      </c>
      <c r="Q114" s="20" t="s">
        <v>123</v>
      </c>
      <c r="R114" s="19">
        <f t="shared" si="1"/>
        <v>3</v>
      </c>
      <c r="S114" s="19">
        <f>IF(EXACT(P114,'טבלת פרמטרים'!$M$2),'טבלת פרמטרים'!$N$2,IF(EXACT(P114,'טבלת פרמטרים'!$M$3),'טבלת פרמטרים'!$N$3,IF(EXACT(P114,'טבלת פרמטרים'!$M$4),'טבלת פרמטרים'!$N$4,IF(EXACT(P114,'טבלת פרמטרים'!$M$5),'טבלת פרמטרים'!$N$5,IF(EXACT(P114,'טבלת פרמטרים'!$M$6),'טבלת פרמטרים'!$N$6,IF(EXACT(P114,'טבלת פרמטרים'!$M$7),'טבלת פרמטרים'!$N$7,IF(EXACT(P114,'טבלת פרמטרים'!$M$8),'טבלת פרמטרים'!$N$8,IF(EXACT(P114,'טבלת פרמטרים'!$M$9),'טבלת פרמטרים'!$N$9,""))))))))</f>
        <v>0</v>
      </c>
      <c r="T114" s="19">
        <f>IF(EXACT(Q114,'טבלת פרמטרים'!$O$2),'טבלת פרמטרים'!$P$2,IF(EXACT(Q114,'טבלת פרמטרים'!$O$3),'טבלת פרמטרים'!$P$3,IF(EXACT(Q114,'טבלת פרמטרים'!$O$4),'טבלת פרמטרים'!$P$4,IF(EXACT(Q114,'טבלת פרמטרים'!$O$5),'טבלת פרמטרים'!$P$5,IF(EXACT(Q114,'טבלת פרמטרים'!$O$6),'טבלת פרמטרים'!$P$6,IF(EXACT(Q114,'טבלת פרמטרים'!$O$7),'טבלת פרמטרים'!$P$7,""))))))</f>
        <v>0</v>
      </c>
    </row>
    <row r="115" spans="1:20" x14ac:dyDescent="0.2">
      <c r="A115" s="18">
        <v>114</v>
      </c>
      <c r="C115" s="30">
        <v>43461</v>
      </c>
      <c r="D115" s="21" t="s">
        <v>16</v>
      </c>
      <c r="E115" s="21" t="s">
        <v>20</v>
      </c>
      <c r="F115" s="21" t="s">
        <v>23</v>
      </c>
      <c r="G115" s="21" t="s">
        <v>26</v>
      </c>
      <c r="H115" s="21" t="s">
        <v>31</v>
      </c>
      <c r="I115" s="21" t="s">
        <v>127</v>
      </c>
      <c r="J115" s="21" t="s">
        <v>33</v>
      </c>
      <c r="K115" s="21" t="s">
        <v>46</v>
      </c>
      <c r="L115" s="21" t="s">
        <v>50</v>
      </c>
      <c r="M115" s="21" t="s">
        <v>53</v>
      </c>
      <c r="N115" s="21" t="s">
        <v>112</v>
      </c>
      <c r="O115" s="19">
        <f>IF(ISBLANK(D115),"",IF(D115='טבלת פרמטרים'!$A$9,1,0)+IF(E115='טבלת פרמטרים'!$B$5,2,1)+IF(F115='טבלת פרמטרים'!$C$5,3,IF(F115='טבלת פרמטרים'!$C$4,1,0))+IF(G115='טבלת פרמטרים'!$D$3,2,0)+IF(M115='טבלת פרמטרים'!$J$4,2,IF(M115='טבלת פרמטרים'!$J$3,1,0))+IF(N115='טבלת פרמטרים'!$K$6,3,IF(OR(N115='טבלת פרמטרים'!$K$4,N115='טבלת פרמטרים'!$K$5),2,IF(N115='טבלת פרמטרים'!$K$3,1,0))))</f>
        <v>3</v>
      </c>
      <c r="P115" s="20" t="s">
        <v>115</v>
      </c>
      <c r="Q115" s="20" t="s">
        <v>123</v>
      </c>
      <c r="R115" s="19">
        <f t="shared" si="1"/>
        <v>3</v>
      </c>
      <c r="S115" s="19">
        <f>IF(EXACT(P115,'טבלת פרמטרים'!$M$2),'טבלת פרמטרים'!$N$2,IF(EXACT(P115,'טבלת פרמטרים'!$M$3),'טבלת פרמטרים'!$N$3,IF(EXACT(P115,'טבלת פרמטרים'!$M$4),'טבלת פרמטרים'!$N$4,IF(EXACT(P115,'טבלת פרמטרים'!$M$5),'טבלת פרמטרים'!$N$5,IF(EXACT(P115,'טבלת פרמטרים'!$M$6),'טבלת פרמטרים'!$N$6,IF(EXACT(P115,'טבלת פרמטרים'!$M$7),'טבלת פרמטרים'!$N$7,IF(EXACT(P115,'טבלת פרמטרים'!$M$8),'טבלת פרמטרים'!$N$8,IF(EXACT(P115,'טבלת פרמטרים'!$M$9),'טבלת פרמטרים'!$N$9,""))))))))</f>
        <v>0</v>
      </c>
      <c r="T115" s="19">
        <f>IF(EXACT(Q115,'טבלת פרמטרים'!$O$2),'טבלת פרמטרים'!$P$2,IF(EXACT(Q115,'טבלת פרמטרים'!$O$3),'טבלת פרמטרים'!$P$3,IF(EXACT(Q115,'טבלת פרמטרים'!$O$4),'טבלת פרמטרים'!$P$4,IF(EXACT(Q115,'טבלת פרמטרים'!$O$5),'טבלת פרמטרים'!$P$5,IF(EXACT(Q115,'טבלת פרמטרים'!$O$6),'טבלת פרמטרים'!$P$6,IF(EXACT(Q115,'טבלת פרמטרים'!$O$7),'טבלת פרמטרים'!$P$7,""))))))</f>
        <v>0</v>
      </c>
    </row>
    <row r="116" spans="1:20" ht="28.5" x14ac:dyDescent="0.2">
      <c r="A116" s="18">
        <v>115</v>
      </c>
      <c r="B116" s="30">
        <v>43465</v>
      </c>
      <c r="C116" s="30">
        <v>43465</v>
      </c>
      <c r="D116" s="21" t="s">
        <v>17</v>
      </c>
      <c r="E116" s="21" t="s">
        <v>22</v>
      </c>
      <c r="F116" s="21" t="s">
        <v>24</v>
      </c>
      <c r="G116" s="21" t="s">
        <v>26</v>
      </c>
      <c r="H116" s="21" t="s">
        <v>29</v>
      </c>
      <c r="I116" s="21" t="s">
        <v>126</v>
      </c>
      <c r="J116" s="21" t="s">
        <v>34</v>
      </c>
      <c r="K116" s="21" t="s">
        <v>48</v>
      </c>
      <c r="L116" s="21" t="s">
        <v>49</v>
      </c>
      <c r="M116" s="21" t="s">
        <v>53</v>
      </c>
      <c r="N116" s="21" t="s">
        <v>59</v>
      </c>
      <c r="O116" s="19">
        <f>IF(ISBLANK(D116),"",IF(D116='טבלת פרמטרים'!$A$9,1,0)+IF(E116='טבלת פרמטרים'!$B$5,2,1)+IF(F116='טבלת פרמטרים'!$C$5,3,IF(F116='טבלת פרמטרים'!$C$4,1,0))+IF(G116='טבלת פרמטרים'!$D$3,2,0)+IF(M116='טבלת פרמטרים'!$J$4,2,IF(M116='טבלת פרמטרים'!$J$3,1,0))+IF(N116='טבלת פרמטרים'!$K$6,3,IF(OR(N116='טבלת פרמטרים'!$K$4,N116='טבלת פרמטרים'!$K$5),2,IF(N116='טבלת פרמטרים'!$K$3,1,0))))</f>
        <v>6</v>
      </c>
      <c r="P116" s="20" t="s">
        <v>115</v>
      </c>
      <c r="Q116" s="20" t="s">
        <v>329</v>
      </c>
      <c r="R116" s="19">
        <f t="shared" si="1"/>
        <v>7</v>
      </c>
      <c r="S116" s="19">
        <f>IF(EXACT(P116,'טבלת פרמטרים'!$M$2),'טבלת פרמטרים'!$N$2,IF(EXACT(P116,'טבלת פרמטרים'!$M$3),'טבלת פרמטרים'!$N$3,IF(EXACT(P116,'טבלת פרמטרים'!$M$4),'טבלת פרמטרים'!$N$4,IF(EXACT(P116,'טבלת פרמטרים'!$M$5),'טבלת פרמטרים'!$N$5,IF(EXACT(P116,'טבלת פרמטרים'!$M$6),'טבלת פרמטרים'!$N$6,IF(EXACT(P116,'טבלת פרמטרים'!$M$7),'טבלת פרמטרים'!$N$7,IF(EXACT(P116,'טבלת פרמטרים'!$M$8),'טבלת פרמטרים'!$N$8,IF(EXACT(P116,'טבלת פרמטרים'!$M$9),'טבלת פרמטרים'!$N$9,""))))))))</f>
        <v>0</v>
      </c>
      <c r="T116" s="19">
        <f>IF(EXACT(Q116,'טבלת פרמטרים'!$O$2),'טבלת פרמטרים'!$P$2,IF(EXACT(Q116,'טבלת פרמטרים'!$O$3),'טבלת פרמטרים'!$P$3,IF(EXACT(Q116,'טבלת פרמטרים'!$O$4),'טבלת פרמטרים'!$P$4,IF(EXACT(Q116,'טבלת פרמטרים'!$O$5),'טבלת פרמטרים'!$P$5,IF(EXACT(Q116,'טבלת פרמטרים'!$O$6),'טבלת פרמטרים'!$P$6,IF(EXACT(Q116,'טבלת פרמטרים'!$O$7),'טבלת פרמטרים'!$P$7,""))))))</f>
        <v>1</v>
      </c>
    </row>
    <row r="117" spans="1:20" x14ac:dyDescent="0.2">
      <c r="A117" s="18">
        <v>116</v>
      </c>
      <c r="B117" s="30">
        <v>43466</v>
      </c>
      <c r="C117" s="30">
        <v>43467</v>
      </c>
      <c r="D117" s="21" t="s">
        <v>15</v>
      </c>
      <c r="E117" s="21" t="s">
        <v>20</v>
      </c>
      <c r="F117" s="21" t="s">
        <v>23</v>
      </c>
      <c r="G117" s="21" t="s">
        <v>26</v>
      </c>
      <c r="H117" s="21" t="s">
        <v>30</v>
      </c>
      <c r="I117" s="21" t="s">
        <v>126</v>
      </c>
      <c r="J117" s="21" t="s">
        <v>33</v>
      </c>
      <c r="K117" s="21" t="s">
        <v>45</v>
      </c>
      <c r="L117" s="21" t="s">
        <v>51</v>
      </c>
      <c r="M117" s="21" t="s">
        <v>55</v>
      </c>
      <c r="N117" s="21" t="s">
        <v>58</v>
      </c>
      <c r="O117" s="19">
        <f>IF(ISBLANK(D117),"",IF(D117='טבלת פרמטרים'!$A$9,1,0)+IF(E117='טבלת פרמטרים'!$B$5,2,1)+IF(F117='טבלת פרמטרים'!$C$5,3,IF(F117='טבלת פרמטרים'!$C$4,1,0))+IF(G117='טבלת פרמטרים'!$D$3,2,0)+IF(M117='טבלת פרמטרים'!$J$4,2,IF(M117='טבלת פרמטרים'!$J$3,1,0))+IF(N117='טבלת פרמטרים'!$K$6,3,IF(OR(N117='טבלת פרמטרים'!$K$4,N117='טבלת פרמטרים'!$K$5),2,IF(N117='טבלת פרמטרים'!$K$3,1,0))))</f>
        <v>4</v>
      </c>
      <c r="P117" s="20" t="s">
        <v>115</v>
      </c>
      <c r="Q117" s="20" t="s">
        <v>123</v>
      </c>
      <c r="R117" s="19">
        <f t="shared" si="1"/>
        <v>4</v>
      </c>
      <c r="S117" s="19">
        <f>IF(EXACT(P117,'טבלת פרמטרים'!$M$2),'טבלת פרמטרים'!$N$2,IF(EXACT(P117,'טבלת פרמטרים'!$M$3),'טבלת פרמטרים'!$N$3,IF(EXACT(P117,'טבלת פרמטרים'!$M$4),'טבלת פרמטרים'!$N$4,IF(EXACT(P117,'טבלת פרמטרים'!$M$5),'טבלת פרמטרים'!$N$5,IF(EXACT(P117,'טבלת פרמטרים'!$M$6),'טבלת פרמטרים'!$N$6,IF(EXACT(P117,'טבלת פרמטרים'!$M$7),'טבלת פרמטרים'!$N$7,IF(EXACT(P117,'טבלת פרמטרים'!$M$8),'טבלת פרמטרים'!$N$8,IF(EXACT(P117,'טבלת פרמטרים'!$M$9),'טבלת פרמטרים'!$N$9,""))))))))</f>
        <v>0</v>
      </c>
      <c r="T117" s="19">
        <f>IF(EXACT(Q117,'טבלת פרמטרים'!$O$2),'טבלת פרמטרים'!$P$2,IF(EXACT(Q117,'טבלת פרמטרים'!$O$3),'טבלת פרמטרים'!$P$3,IF(EXACT(Q117,'טבלת פרמטרים'!$O$4),'טבלת פרמטרים'!$P$4,IF(EXACT(Q117,'טבלת פרמטרים'!$O$5),'טבלת פרמטרים'!$P$5,IF(EXACT(Q117,'טבלת פרמטרים'!$O$6),'טבלת פרמטרים'!$P$6,IF(EXACT(Q117,'טבלת פרמטרים'!$O$7),'טבלת פרמטרים'!$P$7,""))))))</f>
        <v>0</v>
      </c>
    </row>
    <row r="118" spans="1:20" x14ac:dyDescent="0.2">
      <c r="A118" s="18">
        <v>117</v>
      </c>
      <c r="B118" s="30">
        <v>43453</v>
      </c>
      <c r="C118" s="30">
        <v>43473</v>
      </c>
      <c r="D118" s="21" t="s">
        <v>17</v>
      </c>
      <c r="E118" s="21" t="s">
        <v>21</v>
      </c>
      <c r="F118" s="21" t="s">
        <v>24</v>
      </c>
      <c r="G118" s="21" t="s">
        <v>26</v>
      </c>
      <c r="H118" s="21" t="s">
        <v>28</v>
      </c>
      <c r="I118" s="21" t="s">
        <v>127</v>
      </c>
      <c r="J118" s="21" t="s">
        <v>33</v>
      </c>
      <c r="K118" s="21" t="s">
        <v>46</v>
      </c>
      <c r="L118" s="21" t="s">
        <v>50</v>
      </c>
      <c r="M118" s="21" t="s">
        <v>53</v>
      </c>
      <c r="N118" s="21" t="s">
        <v>61</v>
      </c>
      <c r="O118" s="19">
        <f>IF(ISBLANK(D118),"",IF(D118='טבלת פרמטרים'!$A$9,1,0)+IF(E118='טבלת פרמטרים'!$B$5,2,1)+IF(F118='טבלת פרמטרים'!$C$5,3,IF(F118='טבלת פרמטרים'!$C$4,1,0))+IF(G118='טבלת פרמטרים'!$D$3,2,0)+IF(M118='טבלת פרמטרים'!$J$4,2,IF(M118='טבלת פרמטרים'!$J$3,1,0))+IF(N118='טבלת פרמטרים'!$K$6,3,IF(OR(N118='טבלת פרמטרים'!$K$4,N118='טבלת פרמטרים'!$K$5),2,IF(N118='טבלת פרמטרים'!$K$3,1,0))))</f>
        <v>6</v>
      </c>
      <c r="P118" s="20" t="s">
        <v>115</v>
      </c>
      <c r="Q118" s="20" t="s">
        <v>123</v>
      </c>
      <c r="R118" s="19">
        <f t="shared" si="1"/>
        <v>6</v>
      </c>
      <c r="S118" s="19">
        <f>IF(EXACT(P118,'טבלת פרמטרים'!$M$2),'טבלת פרמטרים'!$N$2,IF(EXACT(P118,'טבלת פרמטרים'!$M$3),'טבלת פרמטרים'!$N$3,IF(EXACT(P118,'טבלת פרמטרים'!$M$4),'טבלת פרמטרים'!$N$4,IF(EXACT(P118,'טבלת פרמטרים'!$M$5),'טבלת פרמטרים'!$N$5,IF(EXACT(P118,'טבלת פרמטרים'!$M$6),'טבלת פרמטרים'!$N$6,IF(EXACT(P118,'טבלת פרמטרים'!$M$7),'טבלת פרמטרים'!$N$7,IF(EXACT(P118,'טבלת פרמטרים'!$M$8),'טבלת פרמטרים'!$N$8,IF(EXACT(P118,'טבלת פרמטרים'!$M$9),'טבלת פרמטרים'!$N$9,""))))))))</f>
        <v>0</v>
      </c>
      <c r="T118" s="19">
        <f>IF(EXACT(Q118,'טבלת פרמטרים'!$O$2),'טבלת פרמטרים'!$P$2,IF(EXACT(Q118,'טבלת פרמטרים'!$O$3),'טבלת פרמטרים'!$P$3,IF(EXACT(Q118,'טבלת פרמטרים'!$O$4),'טבלת פרמטרים'!$P$4,IF(EXACT(Q118,'טבלת פרמטרים'!$O$5),'טבלת פרמטרים'!$P$5,IF(EXACT(Q118,'טבלת פרמטרים'!$O$6),'טבלת פרמטרים'!$P$6,IF(EXACT(Q118,'טבלת פרמטרים'!$O$7),'טבלת פרמטרים'!$P$7,""))))))</f>
        <v>0</v>
      </c>
    </row>
    <row r="119" spans="1:20" x14ac:dyDescent="0.2">
      <c r="A119" s="18">
        <v>118</v>
      </c>
      <c r="B119" s="30">
        <v>43458</v>
      </c>
      <c r="C119" s="30">
        <v>43473</v>
      </c>
      <c r="D119" s="21" t="s">
        <v>17</v>
      </c>
      <c r="E119" s="21" t="s">
        <v>21</v>
      </c>
      <c r="F119" s="21" t="s">
        <v>24</v>
      </c>
      <c r="G119" s="21" t="s">
        <v>27</v>
      </c>
      <c r="H119" s="21" t="s">
        <v>28</v>
      </c>
      <c r="I119" s="21" t="s">
        <v>127</v>
      </c>
      <c r="J119" s="21" t="s">
        <v>33</v>
      </c>
      <c r="K119" s="21" t="s">
        <v>46</v>
      </c>
      <c r="L119" s="21" t="s">
        <v>50</v>
      </c>
      <c r="M119" s="21" t="s">
        <v>53</v>
      </c>
      <c r="N119" s="21" t="s">
        <v>61</v>
      </c>
      <c r="O119" s="19">
        <f>IF(ISBLANK(D119),"",IF(D119='טבלת פרמטרים'!$A$9,1,0)+IF(E119='טבלת פרמטרים'!$B$5,2,1)+IF(F119='טבלת פרמטרים'!$C$5,3,IF(F119='טבלת פרמטרים'!$C$4,1,0))+IF(G119='טבלת פרמטרים'!$D$3,2,0)+IF(M119='טבלת פרמטרים'!$J$4,2,IF(M119='טבלת פרמטרים'!$J$3,1,0))+IF(N119='טבלת פרמטרים'!$K$6,3,IF(OR(N119='טבלת פרמטרים'!$K$4,N119='טבלת פרמטרים'!$K$5),2,IF(N119='טבלת פרמטרים'!$K$3,1,0))))</f>
        <v>8</v>
      </c>
      <c r="P119" s="20" t="s">
        <v>115</v>
      </c>
      <c r="Q119" s="20" t="s">
        <v>123</v>
      </c>
      <c r="R119" s="19">
        <f t="shared" si="1"/>
        <v>8</v>
      </c>
      <c r="S119" s="19">
        <f>IF(EXACT(P119,'טבלת פרמטרים'!$M$2),'טבלת פרמטרים'!$N$2,IF(EXACT(P119,'טבלת פרמטרים'!$M$3),'טבלת פרמטרים'!$N$3,IF(EXACT(P119,'טבלת פרמטרים'!$M$4),'טבלת פרמטרים'!$N$4,IF(EXACT(P119,'טבלת פרמטרים'!$M$5),'טבלת פרמטרים'!$N$5,IF(EXACT(P119,'טבלת פרמטרים'!$M$6),'טבלת פרמטרים'!$N$6,IF(EXACT(P119,'טבלת פרמטרים'!$M$7),'טבלת פרמטרים'!$N$7,IF(EXACT(P119,'טבלת פרמטרים'!$M$8),'טבלת פרמטרים'!$N$8,IF(EXACT(P119,'טבלת פרמטרים'!$M$9),'טבלת פרמטרים'!$N$9,""))))))))</f>
        <v>0</v>
      </c>
      <c r="T119" s="19">
        <f>IF(EXACT(Q119,'טבלת פרמטרים'!$O$2),'טבלת פרמטרים'!$P$2,IF(EXACT(Q119,'טבלת פרמטרים'!$O$3),'טבלת פרמטרים'!$P$3,IF(EXACT(Q119,'טבלת פרמטרים'!$O$4),'טבלת פרמטרים'!$P$4,IF(EXACT(Q119,'טבלת פרמטרים'!$O$5),'טבלת פרמטרים'!$P$5,IF(EXACT(Q119,'טבלת פרמטרים'!$O$6),'טבלת פרמטרים'!$P$6,IF(EXACT(Q119,'טבלת פרמטרים'!$O$7),'טבלת פרמטרים'!$P$7,""))))))</f>
        <v>0</v>
      </c>
    </row>
    <row r="120" spans="1:20" x14ac:dyDescent="0.2">
      <c r="A120" s="18">
        <v>119</v>
      </c>
      <c r="B120" s="30">
        <v>43468</v>
      </c>
      <c r="C120" s="30">
        <v>43474</v>
      </c>
      <c r="D120" s="21" t="s">
        <v>13</v>
      </c>
      <c r="E120" s="21" t="s">
        <v>20</v>
      </c>
      <c r="F120" s="21" t="s">
        <v>23</v>
      </c>
      <c r="G120" s="21" t="s">
        <v>26</v>
      </c>
      <c r="H120" s="21" t="s">
        <v>30</v>
      </c>
      <c r="I120" s="21" t="s">
        <v>126</v>
      </c>
      <c r="J120" s="21" t="s">
        <v>35</v>
      </c>
      <c r="K120" s="21" t="s">
        <v>43</v>
      </c>
      <c r="L120" s="21" t="s">
        <v>51</v>
      </c>
      <c r="M120" s="21" t="s">
        <v>54</v>
      </c>
      <c r="N120" s="21" t="s">
        <v>58</v>
      </c>
      <c r="O120" s="19">
        <f>IF(ISBLANK(D120),"",IF(D120='טבלת פרמטרים'!$A$9,1,0)+IF(E120='טבלת פרמטרים'!$B$5,2,1)+IF(F120='טבלת פרמטרים'!$C$5,3,IF(F120='טבלת פרמטרים'!$C$4,1,0))+IF(G120='טבלת פרמטרים'!$D$3,2,0)+IF(M120='טבלת פרמטרים'!$J$4,2,IF(M120='טבלת פרמטרים'!$J$3,1,0))+IF(N120='טבלת פרמטרים'!$K$6,3,IF(OR(N120='טבלת פרמטרים'!$K$4,N120='טבלת פרמטרים'!$K$5),2,IF(N120='טבלת פרמטרים'!$K$3,1,0))))</f>
        <v>3</v>
      </c>
      <c r="P120" s="20" t="s">
        <v>115</v>
      </c>
      <c r="Q120" s="20" t="s">
        <v>123</v>
      </c>
      <c r="R120" s="19">
        <f t="shared" si="1"/>
        <v>3</v>
      </c>
      <c r="S120" s="19">
        <f>IF(EXACT(P120,'טבלת פרמטרים'!$M$2),'טבלת פרמטרים'!$N$2,IF(EXACT(P120,'טבלת פרמטרים'!$M$3),'טבלת פרמטרים'!$N$3,IF(EXACT(P120,'טבלת פרמטרים'!$M$4),'טבלת פרמטרים'!$N$4,IF(EXACT(P120,'טבלת פרמטרים'!$M$5),'טבלת פרמטרים'!$N$5,IF(EXACT(P120,'טבלת פרמטרים'!$M$6),'טבלת פרמטרים'!$N$6,IF(EXACT(P120,'טבלת פרמטרים'!$M$7),'טבלת פרמטרים'!$N$7,IF(EXACT(P120,'טבלת פרמטרים'!$M$8),'טבלת פרמטרים'!$N$8,IF(EXACT(P120,'טבלת פרמטרים'!$M$9),'טבלת פרמטרים'!$N$9,""))))))))</f>
        <v>0</v>
      </c>
      <c r="T120" s="19">
        <f>IF(EXACT(Q120,'טבלת פרמטרים'!$O$2),'טבלת פרמטרים'!$P$2,IF(EXACT(Q120,'טבלת פרמטרים'!$O$3),'טבלת פרמטרים'!$P$3,IF(EXACT(Q120,'טבלת פרמטרים'!$O$4),'טבלת פרמטרים'!$P$4,IF(EXACT(Q120,'טבלת פרמטרים'!$O$5),'טבלת פרמטרים'!$P$5,IF(EXACT(Q120,'טבלת פרמטרים'!$O$6),'טבלת פרמטרים'!$P$6,IF(EXACT(Q120,'טבלת פרמטרים'!$O$7),'טבלת פרמטרים'!$P$7,""))))))</f>
        <v>0</v>
      </c>
    </row>
    <row r="121" spans="1:20" x14ac:dyDescent="0.2">
      <c r="A121" s="18">
        <v>120</v>
      </c>
      <c r="B121" s="30">
        <v>43468</v>
      </c>
      <c r="C121" s="30">
        <v>43474</v>
      </c>
      <c r="D121" s="21" t="s">
        <v>12</v>
      </c>
      <c r="E121" s="21" t="s">
        <v>21</v>
      </c>
      <c r="F121" s="21" t="s">
        <v>23</v>
      </c>
      <c r="G121" s="21" t="s">
        <v>26</v>
      </c>
      <c r="H121" s="21" t="s">
        <v>29</v>
      </c>
      <c r="I121" s="21" t="s">
        <v>126</v>
      </c>
      <c r="J121" s="21" t="s">
        <v>35</v>
      </c>
      <c r="K121" s="21" t="s">
        <v>43</v>
      </c>
      <c r="L121" s="21" t="s">
        <v>51</v>
      </c>
      <c r="M121" s="21" t="s">
        <v>55</v>
      </c>
      <c r="N121" s="21" t="s">
        <v>112</v>
      </c>
      <c r="O121" s="19">
        <f>IF(ISBLANK(D121),"",IF(D121='טבלת פרמטרים'!$A$9,1,0)+IF(E121='טבלת פרמטרים'!$B$5,2,1)+IF(F121='טבלת פרמטרים'!$C$5,3,IF(F121='טבלת פרמטרים'!$C$4,1,0))+IF(G121='טבלת פרמטרים'!$D$3,2,0)+IF(M121='טבלת פרמטרים'!$J$4,2,IF(M121='טבלת פרמטרים'!$J$3,1,0))+IF(N121='טבלת פרמטרים'!$K$6,3,IF(OR(N121='טבלת פרמטרים'!$K$4,N121='טבלת פרמטרים'!$K$5),2,IF(N121='טבלת פרמטרים'!$K$3,1,0))))</f>
        <v>5</v>
      </c>
      <c r="P121" s="20" t="s">
        <v>115</v>
      </c>
      <c r="Q121" s="20" t="s">
        <v>123</v>
      </c>
      <c r="R121" s="19">
        <f t="shared" si="1"/>
        <v>5</v>
      </c>
      <c r="S121" s="19">
        <f>IF(EXACT(P121,'טבלת פרמטרים'!$M$2),'טבלת פרמטרים'!$N$2,IF(EXACT(P121,'טבלת פרמטרים'!$M$3),'טבלת פרמטרים'!$N$3,IF(EXACT(P121,'טבלת פרמטרים'!$M$4),'טבלת פרמטרים'!$N$4,IF(EXACT(P121,'טבלת פרמטרים'!$M$5),'טבלת פרמטרים'!$N$5,IF(EXACT(P121,'טבלת פרמטרים'!$M$6),'טבלת פרמטרים'!$N$6,IF(EXACT(P121,'טבלת פרמטרים'!$M$7),'טבלת פרמטרים'!$N$7,IF(EXACT(P121,'טבלת פרמטרים'!$M$8),'טבלת פרמטרים'!$N$8,IF(EXACT(P121,'טבלת פרמטרים'!$M$9),'טבלת פרמטרים'!$N$9,""))))))))</f>
        <v>0</v>
      </c>
      <c r="T121" s="19">
        <f>IF(EXACT(Q121,'טבלת פרמטרים'!$O$2),'טבלת פרמטרים'!$P$2,IF(EXACT(Q121,'טבלת פרמטרים'!$O$3),'טבלת פרמטרים'!$P$3,IF(EXACT(Q121,'טבלת פרמטרים'!$O$4),'טבלת פרמטרים'!$P$4,IF(EXACT(Q121,'טבלת פרמטרים'!$O$5),'טבלת פרמטרים'!$P$5,IF(EXACT(Q121,'טבלת פרמטרים'!$O$6),'טבלת פרמטרים'!$P$6,IF(EXACT(Q121,'טבלת פרמטרים'!$O$7),'טבלת פרמטרים'!$P$7,""))))))</f>
        <v>0</v>
      </c>
    </row>
    <row r="122" spans="1:20" x14ac:dyDescent="0.2">
      <c r="A122" s="18">
        <v>121</v>
      </c>
      <c r="B122" s="30">
        <v>43482</v>
      </c>
      <c r="C122" s="30">
        <v>43482</v>
      </c>
      <c r="D122" s="21" t="s">
        <v>13</v>
      </c>
      <c r="E122" s="21" t="s">
        <v>111</v>
      </c>
      <c r="F122" s="21" t="s">
        <v>23</v>
      </c>
      <c r="G122" s="21" t="s">
        <v>27</v>
      </c>
      <c r="H122" s="21" t="s">
        <v>30</v>
      </c>
      <c r="I122" s="21" t="s">
        <v>126</v>
      </c>
      <c r="J122" s="21" t="s">
        <v>11</v>
      </c>
      <c r="K122" s="21" t="s">
        <v>45</v>
      </c>
      <c r="L122" s="21" t="s">
        <v>51</v>
      </c>
      <c r="M122" s="21" t="s">
        <v>54</v>
      </c>
      <c r="N122" s="21" t="s">
        <v>59</v>
      </c>
      <c r="O122" s="19">
        <f>IF(ISBLANK(D122),"",IF(D122='טבלת פרמטרים'!$A$9,1,0)+IF(E122='טבלת פרמטרים'!$B$5,2,1)+IF(F122='טבלת פרמטרים'!$C$5,3,IF(F122='טבלת פרמטרים'!$C$4,1,0))+IF(G122='טבלת פרמטרים'!$D$3,2,0)+IF(M122='טבלת פרמטרים'!$J$4,2,IF(M122='טבלת פרמטרים'!$J$3,1,0))+IF(N122='טבלת פרמטרים'!$K$6,3,IF(OR(N122='טבלת פרמטרים'!$K$4,N122='טבלת פרמטרים'!$K$5),2,IF(N122='טבלת פרמטרים'!$K$3,1,0))))</f>
        <v>6</v>
      </c>
      <c r="P122" s="20" t="s">
        <v>115</v>
      </c>
      <c r="Q122" s="20" t="s">
        <v>123</v>
      </c>
      <c r="R122" s="19">
        <f t="shared" si="1"/>
        <v>6</v>
      </c>
      <c r="S122" s="19">
        <f>IF(EXACT(P122,'טבלת פרמטרים'!$M$2),'טבלת פרמטרים'!$N$2,IF(EXACT(P122,'טבלת פרמטרים'!$M$3),'טבלת פרמטרים'!$N$3,IF(EXACT(P122,'טבלת פרמטרים'!$M$4),'טבלת פרמטרים'!$N$4,IF(EXACT(P122,'טבלת פרמטרים'!$M$5),'טבלת פרמטרים'!$N$5,IF(EXACT(P122,'טבלת פרמטרים'!$M$6),'טבלת פרמטרים'!$N$6,IF(EXACT(P122,'טבלת פרמטרים'!$M$7),'טבלת פרמטרים'!$N$7,IF(EXACT(P122,'טבלת פרמטרים'!$M$8),'טבלת פרמטרים'!$N$8,IF(EXACT(P122,'טבלת פרמטרים'!$M$9),'טבלת פרמטרים'!$N$9,""))))))))</f>
        <v>0</v>
      </c>
      <c r="T122" s="19">
        <f>IF(EXACT(Q122,'טבלת פרמטרים'!$O$2),'טבלת פרמטרים'!$P$2,IF(EXACT(Q122,'טבלת פרמטרים'!$O$3),'טבלת פרמטרים'!$P$3,IF(EXACT(Q122,'טבלת פרמטרים'!$O$4),'טבלת פרמטרים'!$P$4,IF(EXACT(Q122,'טבלת פרמטרים'!$O$5),'טבלת פרמטרים'!$P$5,IF(EXACT(Q122,'טבלת פרמטרים'!$O$6),'טבלת פרמטרים'!$P$6,IF(EXACT(Q122,'טבלת פרמטרים'!$O$7),'טבלת פרמטרים'!$P$7,""))))))</f>
        <v>0</v>
      </c>
    </row>
    <row r="123" spans="1:20" x14ac:dyDescent="0.2">
      <c r="A123" s="18">
        <v>123</v>
      </c>
      <c r="B123" s="30">
        <v>43486</v>
      </c>
      <c r="C123" s="30">
        <v>43486</v>
      </c>
      <c r="D123" s="21" t="s">
        <v>13</v>
      </c>
      <c r="E123" s="21" t="s">
        <v>111</v>
      </c>
      <c r="F123" s="21" t="s">
        <v>23</v>
      </c>
      <c r="G123" s="21" t="s">
        <v>26</v>
      </c>
      <c r="H123" s="21" t="s">
        <v>31</v>
      </c>
      <c r="I123" s="21" t="s">
        <v>126</v>
      </c>
      <c r="J123" s="21" t="s">
        <v>35</v>
      </c>
      <c r="K123" s="21" t="s">
        <v>44</v>
      </c>
      <c r="L123" s="21" t="s">
        <v>51</v>
      </c>
      <c r="M123" s="21" t="s">
        <v>53</v>
      </c>
      <c r="N123" s="21" t="s">
        <v>59</v>
      </c>
      <c r="O123" s="19">
        <f>IF(ISBLANK(D123),"",IF(D123='טבלת פרמטרים'!$A$9,1,0)+IF(E123='טבלת פרמטרים'!$B$5,2,1)+IF(F123='טבלת פרמטרים'!$C$5,3,IF(F123='טבלת פרמטרים'!$C$4,1,0))+IF(G123='טבלת פרמטרים'!$D$3,2,0)+IF(M123='טבלת פרמטרים'!$J$4,2,IF(M123='טבלת פרמטרים'!$J$3,1,0))+IF(N123='טבלת פרמטרים'!$K$6,3,IF(OR(N123='טבלת פרמטרים'!$K$4,N123='טבלת פרמטרים'!$K$5),2,IF(N123='טבלת פרמטרים'!$K$3,1,0))))</f>
        <v>3</v>
      </c>
      <c r="P123" s="20" t="s">
        <v>115</v>
      </c>
      <c r="Q123" s="20" t="s">
        <v>123</v>
      </c>
      <c r="R123" s="19">
        <f>IF(ISNUMBER(T123),T123+O123,O123)</f>
        <v>3</v>
      </c>
      <c r="S123" s="19">
        <f>IF(EXACT(P123,'טבלת פרמטרים'!$M$2),'טבלת פרמטרים'!$N$2,IF(EXACT(P123,'טבלת פרמטרים'!$M$3),'טבלת פרמטרים'!$N$3,IF(EXACT(P123,'טבלת פרמטרים'!$M$4),'טבלת פרמטרים'!$N$4,IF(EXACT(P123,'טבלת פרמטרים'!$M$5),'טבלת פרמטרים'!$N$5,IF(EXACT(P123,'טבלת פרמטרים'!$M$6),'טבלת פרמטרים'!$N$6,IF(EXACT(P123,'טבלת פרמטרים'!$M$7),'טבלת פרמטרים'!$N$7,IF(EXACT(P123,'טבלת פרמטרים'!$M$8),'טבלת פרמטרים'!$N$8,IF(EXACT(P123,'טבלת פרמטרים'!$M$9),'טבלת פרמטרים'!$N$9,""))))))))</f>
        <v>0</v>
      </c>
      <c r="T123" s="19">
        <f>IF(EXACT(Q123,'טבלת פרמטרים'!$O$2),'טבלת פרמטרים'!$P$2,IF(EXACT(Q123,'טבלת פרמטרים'!$O$3),'טבלת פרמטרים'!$P$3,IF(EXACT(Q123,'טבלת פרמטרים'!$O$4),'טבלת פרמטרים'!$P$4,IF(EXACT(Q123,'טבלת פרמטרים'!$O$5),'טבלת פרמטרים'!$P$5,IF(EXACT(Q123,'טבלת פרמטרים'!$O$6),'טבלת פרמטרים'!$P$6,IF(EXACT(Q123,'טבלת פרמטרים'!$O$7),'טבלת פרמטרים'!$P$7,""))))))</f>
        <v>0</v>
      </c>
    </row>
    <row r="124" spans="1:20" x14ac:dyDescent="0.2">
      <c r="A124" s="18">
        <v>124</v>
      </c>
      <c r="B124" s="30">
        <v>43468</v>
      </c>
      <c r="C124" s="30">
        <v>43486</v>
      </c>
      <c r="D124" s="21" t="s">
        <v>13</v>
      </c>
      <c r="E124" s="21" t="s">
        <v>111</v>
      </c>
      <c r="F124" s="21" t="s">
        <v>23</v>
      </c>
      <c r="G124" s="21" t="s">
        <v>26</v>
      </c>
      <c r="H124" s="21" t="s">
        <v>30</v>
      </c>
      <c r="I124" s="21" t="s">
        <v>126</v>
      </c>
      <c r="L124" s="21" t="s">
        <v>51</v>
      </c>
      <c r="M124" s="21" t="s">
        <v>53</v>
      </c>
      <c r="N124" s="21" t="s">
        <v>58</v>
      </c>
      <c r="O124" s="19">
        <f>IF(ISBLANK(D124),"",IF(D124='טבלת פרמטרים'!$A$9,1,0)+IF(E124='טבלת פרמטרים'!$B$5,2,1)+IF(F124='טבלת פרמטרים'!$C$5,3,IF(F124='טבלת פרמטרים'!$C$4,1,0))+IF(G124='טבלת פרמטרים'!$D$3,2,0)+IF(M124='טבלת פרמטרים'!$J$4,2,IF(M124='טבלת פרמטרים'!$J$3,1,0))+IF(N124='טבלת פרמטרים'!$K$6,3,IF(OR(N124='טבלת פרמטרים'!$K$4,N124='טבלת פרמטרים'!$K$5),2,IF(N124='טבלת פרמטרים'!$K$3,1,0))))</f>
        <v>2</v>
      </c>
      <c r="P124" s="20" t="s">
        <v>115</v>
      </c>
      <c r="Q124" s="20" t="s">
        <v>123</v>
      </c>
      <c r="R124" s="19">
        <f t="shared" ref="R124:R187" si="2">IF(ISNUMBER(T124),T124+O124,O124)</f>
        <v>2</v>
      </c>
      <c r="S124" s="19">
        <f>IF(EXACT(P124,'טבלת פרמטרים'!$M$2),'טבלת פרמטרים'!$N$2,IF(EXACT(P124,'טבלת פרמטרים'!$M$3),'טבלת פרמטרים'!$N$3,IF(EXACT(P124,'טבלת פרמטרים'!$M$4),'טבלת פרמטרים'!$N$4,IF(EXACT(P124,'טבלת פרמטרים'!$M$5),'טבלת פרמטרים'!$N$5,IF(EXACT(P124,'טבלת פרמטרים'!$M$6),'טבלת פרמטרים'!$N$6,IF(EXACT(P124,'טבלת פרמטרים'!$M$7),'טבלת פרמטרים'!$N$7,IF(EXACT(P124,'טבלת פרמטרים'!$M$8),'טבלת פרמטרים'!$N$8,IF(EXACT(P124,'טבלת פרמטרים'!$M$9),'טבלת פרמטרים'!$N$9,""))))))))</f>
        <v>0</v>
      </c>
      <c r="T124" s="19">
        <f>IF(EXACT(Q124,'טבלת פרמטרים'!$O$2),'טבלת פרמטרים'!$P$2,IF(EXACT(Q124,'טבלת פרמטרים'!$O$3),'טבלת פרמטרים'!$P$3,IF(EXACT(Q124,'טבלת פרמטרים'!$O$4),'טבלת פרמטרים'!$P$4,IF(EXACT(Q124,'טבלת פרמטרים'!$O$5),'טבלת פרמטרים'!$P$5,IF(EXACT(Q124,'טבלת פרמטרים'!$O$6),'טבלת פרמטרים'!$P$6,IF(EXACT(Q124,'טבלת פרמטרים'!$O$7),'טבלת פרמטרים'!$P$7,""))))))</f>
        <v>0</v>
      </c>
    </row>
    <row r="125" spans="1:20" x14ac:dyDescent="0.2">
      <c r="A125" s="18">
        <v>125</v>
      </c>
      <c r="B125" s="30">
        <v>43487</v>
      </c>
      <c r="C125" s="30">
        <v>43487</v>
      </c>
      <c r="D125" s="21" t="s">
        <v>11</v>
      </c>
      <c r="E125" s="21" t="s">
        <v>111</v>
      </c>
      <c r="F125" s="21" t="s">
        <v>23</v>
      </c>
      <c r="G125" s="21" t="s">
        <v>26</v>
      </c>
      <c r="H125" s="21" t="s">
        <v>31</v>
      </c>
      <c r="I125" s="21" t="s">
        <v>126</v>
      </c>
      <c r="J125" s="21" t="s">
        <v>11</v>
      </c>
      <c r="K125" s="21" t="s">
        <v>43</v>
      </c>
      <c r="L125" s="21" t="s">
        <v>51</v>
      </c>
      <c r="M125" s="21" t="s">
        <v>53</v>
      </c>
      <c r="N125" s="21" t="s">
        <v>58</v>
      </c>
      <c r="O125" s="19">
        <f>IF(ISBLANK(D125),"",IF(D125='טבלת פרמטרים'!$A$9,1,0)+IF(E125='טבלת פרמטרים'!$B$5,2,1)+IF(F125='טבלת פרמטרים'!$C$5,3,IF(F125='טבלת פרמטרים'!$C$4,1,0))+IF(G125='טבלת פרמטרים'!$D$3,2,0)+IF(M125='טבלת פרמטרים'!$J$4,2,IF(M125='טבלת פרמטרים'!$J$3,1,0))+IF(N125='טבלת פרמטרים'!$K$6,3,IF(OR(N125='טבלת פרמטרים'!$K$4,N125='טבלת פרמטרים'!$K$5),2,IF(N125='טבלת פרמטרים'!$K$3,1,0))))</f>
        <v>2</v>
      </c>
      <c r="P125" s="20" t="s">
        <v>115</v>
      </c>
      <c r="Q125" s="20" t="s">
        <v>123</v>
      </c>
      <c r="R125" s="19">
        <f t="shared" si="2"/>
        <v>2</v>
      </c>
      <c r="S125" s="19">
        <f>IF(EXACT(P125,'טבלת פרמטרים'!$M$2),'טבלת פרמטרים'!$N$2,IF(EXACT(P125,'טבלת פרמטרים'!$M$3),'טבלת פרמטרים'!$N$3,IF(EXACT(P125,'טבלת פרמטרים'!$M$4),'טבלת פרמטרים'!$N$4,IF(EXACT(P125,'טבלת פרמטרים'!$M$5),'טבלת פרמטרים'!$N$5,IF(EXACT(P125,'טבלת פרמטרים'!$M$6),'טבלת פרמטרים'!$N$6,IF(EXACT(P125,'טבלת פרמטרים'!$M$7),'טבלת פרמטרים'!$N$7,IF(EXACT(P125,'טבלת פרמטרים'!$M$8),'טבלת פרמטרים'!$N$8,IF(EXACT(P125,'טבלת פרמטרים'!$M$9),'טבלת פרמטרים'!$N$9,""))))))))</f>
        <v>0</v>
      </c>
      <c r="T125" s="19">
        <f>IF(EXACT(Q125,'טבלת פרמטרים'!$O$2),'טבלת פרמטרים'!$P$2,IF(EXACT(Q125,'טבלת פרמטרים'!$O$3),'טבלת פרמטרים'!$P$3,IF(EXACT(Q125,'טבלת פרמטרים'!$O$4),'טבלת פרמטרים'!$P$4,IF(EXACT(Q125,'טבלת פרמטרים'!$O$5),'טבלת פרמטרים'!$P$5,IF(EXACT(Q125,'טבלת פרמטרים'!$O$6),'טבלת פרמטרים'!$P$6,IF(EXACT(Q125,'טבלת פרמטרים'!$O$7),'טבלת פרמטרים'!$P$7,""))))))</f>
        <v>0</v>
      </c>
    </row>
    <row r="126" spans="1:20" x14ac:dyDescent="0.2">
      <c r="A126" s="18">
        <v>126</v>
      </c>
      <c r="B126" s="30">
        <v>43487</v>
      </c>
      <c r="C126" s="30">
        <v>43487</v>
      </c>
      <c r="D126" s="21" t="s">
        <v>19</v>
      </c>
      <c r="E126" s="21" t="s">
        <v>111</v>
      </c>
      <c r="F126" s="21" t="s">
        <v>23</v>
      </c>
      <c r="G126" s="21" t="s">
        <v>26</v>
      </c>
      <c r="H126" s="21" t="s">
        <v>30</v>
      </c>
      <c r="I126" s="21" t="s">
        <v>127</v>
      </c>
      <c r="J126" s="21" t="s">
        <v>33</v>
      </c>
      <c r="K126" s="21" t="s">
        <v>46</v>
      </c>
      <c r="L126" s="21" t="s">
        <v>50</v>
      </c>
      <c r="M126" s="21" t="s">
        <v>54</v>
      </c>
      <c r="N126" s="21" t="s">
        <v>57</v>
      </c>
      <c r="O126" s="19">
        <f>IF(ISBLANK(D126),"",IF(D126='טבלת פרמטרים'!$A$9,1,0)+IF(E126='טבלת פרמטרים'!$B$5,2,1)+IF(F126='טבלת פרמטרים'!$C$5,3,IF(F126='טבלת פרמטרים'!$C$4,1,0))+IF(G126='טבלת פרמטרים'!$D$3,2,0)+IF(M126='טבלת פרמטרים'!$J$4,2,IF(M126='טבלת פרמטרים'!$J$3,1,0))+IF(N126='טבלת פרמטרים'!$K$6,3,IF(OR(N126='טבלת פרמטרים'!$K$4,N126='טבלת פרמטרים'!$K$5),2,IF(N126='טבלת פרמטרים'!$K$3,1,0))))</f>
        <v>2</v>
      </c>
      <c r="P126" s="20" t="s">
        <v>115</v>
      </c>
      <c r="Q126" s="20" t="s">
        <v>123</v>
      </c>
      <c r="R126" s="19">
        <f t="shared" si="2"/>
        <v>2</v>
      </c>
      <c r="S126" s="19">
        <f>IF(EXACT(P126,'טבלת פרמטרים'!$M$2),'טבלת פרמטרים'!$N$2,IF(EXACT(P126,'טבלת פרמטרים'!$M$3),'טבלת פרמטרים'!$N$3,IF(EXACT(P126,'טבלת פרמטרים'!$M$4),'טבלת פרמטרים'!$N$4,IF(EXACT(P126,'טבלת פרמטרים'!$M$5),'טבלת פרמטרים'!$N$5,IF(EXACT(P126,'טבלת פרמטרים'!$M$6),'טבלת פרמטרים'!$N$6,IF(EXACT(P126,'טבלת פרמטרים'!$M$7),'טבלת פרמטרים'!$N$7,IF(EXACT(P126,'טבלת פרמטרים'!$M$8),'טבלת פרמטרים'!$N$8,IF(EXACT(P126,'טבלת פרמטרים'!$M$9),'טבלת פרמטרים'!$N$9,""))))))))</f>
        <v>0</v>
      </c>
      <c r="T126" s="19">
        <f>IF(EXACT(Q126,'טבלת פרמטרים'!$O$2),'טבלת פרמטרים'!$P$2,IF(EXACT(Q126,'טבלת פרמטרים'!$O$3),'טבלת פרמטרים'!$P$3,IF(EXACT(Q126,'טבלת פרמטרים'!$O$4),'טבלת פרמטרים'!$P$4,IF(EXACT(Q126,'טבלת פרמטרים'!$O$5),'טבלת פרמטרים'!$P$5,IF(EXACT(Q126,'טבלת פרמטרים'!$O$6),'טבלת פרמטרים'!$P$6,IF(EXACT(Q126,'טבלת פרמטרים'!$O$7),'טבלת פרמטרים'!$P$7,""))))))</f>
        <v>0</v>
      </c>
    </row>
    <row r="127" spans="1:20" x14ac:dyDescent="0.2">
      <c r="A127" s="18">
        <v>127</v>
      </c>
      <c r="B127" s="30">
        <v>43486</v>
      </c>
      <c r="C127" s="30">
        <v>43486</v>
      </c>
      <c r="D127" s="21" t="s">
        <v>17</v>
      </c>
      <c r="E127" s="21" t="s">
        <v>20</v>
      </c>
      <c r="F127" s="21" t="s">
        <v>23</v>
      </c>
      <c r="G127" s="21" t="s">
        <v>26</v>
      </c>
      <c r="H127" s="21" t="s">
        <v>32</v>
      </c>
      <c r="I127" s="21" t="s">
        <v>127</v>
      </c>
      <c r="J127" s="21" t="s">
        <v>33</v>
      </c>
      <c r="K127" s="21" t="s">
        <v>46</v>
      </c>
      <c r="L127" s="21" t="s">
        <v>50</v>
      </c>
      <c r="M127" s="21" t="s">
        <v>54</v>
      </c>
      <c r="N127" s="21" t="s">
        <v>57</v>
      </c>
      <c r="O127" s="19">
        <f>IF(ISBLANK(D127),"",IF(D127='טבלת פרמטרים'!$A$9,1,0)+IF(E127='טבלת פרמטרים'!$B$5,2,1)+IF(F127='טבלת פרמטרים'!$C$5,3,IF(F127='טבלת פרמטרים'!$C$4,1,0))+IF(G127='טבלת פרמטרים'!$D$3,2,0)+IF(M127='טבלת פרמטרים'!$J$4,2,IF(M127='טבלת פרמטרים'!$J$3,1,0))+IF(N127='טבלת פרמטרים'!$K$6,3,IF(OR(N127='טבלת פרמטרים'!$K$4,N127='טבלת פרמטרים'!$K$5),2,IF(N127='טבלת פרמטרים'!$K$3,1,0))))</f>
        <v>3</v>
      </c>
      <c r="R127" s="19">
        <f t="shared" si="2"/>
        <v>3</v>
      </c>
      <c r="S127" s="19" t="str">
        <f>IF(EXACT(P127,'טבלת פרמטרים'!$M$2),'טבלת פרמטרים'!$N$2,IF(EXACT(P127,'טבלת פרמטרים'!$M$3),'טבלת פרמטרים'!$N$3,IF(EXACT(P127,'טבלת פרמטרים'!$M$4),'טבלת פרמטרים'!$N$4,IF(EXACT(P127,'טבלת פרמטרים'!$M$5),'טבלת פרמטרים'!$N$5,IF(EXACT(P127,'טבלת פרמטרים'!$M$6),'טבלת פרמטרים'!$N$6,IF(EXACT(P127,'טבלת פרמטרים'!$M$7),'טבלת פרמטרים'!$N$7,IF(EXACT(P127,'טבלת פרמטרים'!$M$8),'טבלת פרמטרים'!$N$8,IF(EXACT(P127,'טבלת פרמטרים'!$M$9),'טבלת פרמטרים'!$N$9,""))))))))</f>
        <v/>
      </c>
      <c r="T127" s="19" t="str">
        <f>IF(EXACT(Q127,'טבלת פרמטרים'!$O$2),'טבלת פרמטרים'!$P$2,IF(EXACT(Q127,'טבלת פרמטרים'!$O$3),'טבלת פרמטרים'!$P$3,IF(EXACT(Q127,'טבלת פרמטרים'!$O$4),'טבלת פרמטרים'!$P$4,IF(EXACT(Q127,'טבלת פרמטרים'!$O$5),'טבלת פרמטרים'!$P$5,IF(EXACT(Q127,'טבלת פרמטרים'!$O$6),'טבלת פרמטרים'!$P$6,IF(EXACT(Q127,'טבלת פרמטרים'!$O$7),'טבלת פרמטרים'!$P$7,""))))))</f>
        <v/>
      </c>
    </row>
    <row r="128" spans="1:20" x14ac:dyDescent="0.2">
      <c r="A128" s="18">
        <v>128</v>
      </c>
      <c r="B128" s="30">
        <v>43481</v>
      </c>
      <c r="C128" s="30">
        <v>43486</v>
      </c>
      <c r="D128" s="21" t="s">
        <v>12</v>
      </c>
      <c r="E128" s="21" t="s">
        <v>20</v>
      </c>
      <c r="F128" s="21" t="s">
        <v>23</v>
      </c>
      <c r="G128" s="21" t="s">
        <v>26</v>
      </c>
      <c r="H128" s="21" t="s">
        <v>31</v>
      </c>
      <c r="I128" s="21" t="s">
        <v>126</v>
      </c>
      <c r="J128" s="21" t="s">
        <v>63</v>
      </c>
      <c r="K128" s="21" t="s">
        <v>43</v>
      </c>
      <c r="L128" s="21" t="s">
        <v>50</v>
      </c>
      <c r="M128" s="21" t="s">
        <v>54</v>
      </c>
      <c r="N128" s="21" t="s">
        <v>58</v>
      </c>
      <c r="O128" s="19">
        <f>IF(ISBLANK(D128),"",IF(D128='טבלת פרמטרים'!$A$9,1,0)+IF(E128='טבלת פרמטרים'!$B$5,2,1)+IF(F128='טבלת פרמטרים'!$C$5,3,IF(F128='טבלת פרמטרים'!$C$4,1,0))+IF(G128='טבלת פרמטרים'!$D$3,2,0)+IF(M128='טבלת פרמטרים'!$J$4,2,IF(M128='טבלת פרמטרים'!$J$3,1,0))+IF(N128='טבלת פרמטרים'!$K$6,3,IF(OR(N128='טבלת פרמטרים'!$K$4,N128='טבלת פרמטרים'!$K$5),2,IF(N128='טבלת פרמטרים'!$K$3,1,0))))</f>
        <v>3</v>
      </c>
      <c r="Q128" s="20" t="s">
        <v>123</v>
      </c>
      <c r="R128" s="19">
        <f t="shared" si="2"/>
        <v>3</v>
      </c>
      <c r="S128" s="19" t="str">
        <f>IF(EXACT(P128,'טבלת פרמטרים'!$M$2),'טבלת פרמטרים'!$N$2,IF(EXACT(P128,'טבלת פרמטרים'!$M$3),'טבלת פרמטרים'!$N$3,IF(EXACT(P128,'טבלת פרמטרים'!$M$4),'טבלת פרמטרים'!$N$4,IF(EXACT(P128,'טבלת פרמטרים'!$M$5),'טבלת פרמטרים'!$N$5,IF(EXACT(P128,'טבלת פרמטרים'!$M$6),'טבלת פרמטרים'!$N$6,IF(EXACT(P128,'טבלת פרמטרים'!$M$7),'טבלת פרמטרים'!$N$7,IF(EXACT(P128,'טבלת פרמטרים'!$M$8),'טבלת פרמטרים'!$N$8,IF(EXACT(P128,'טבלת פרמטרים'!$M$9),'טבלת פרמטרים'!$N$9,""))))))))</f>
        <v/>
      </c>
      <c r="T128" s="19">
        <f>IF(EXACT(Q128,'טבלת פרמטרים'!$O$2),'טבלת פרמטרים'!$P$2,IF(EXACT(Q128,'טבלת פרמטרים'!$O$3),'טבלת פרמטרים'!$P$3,IF(EXACT(Q128,'טבלת פרמטרים'!$O$4),'טבלת פרמטרים'!$P$4,IF(EXACT(Q128,'טבלת פרמטרים'!$O$5),'טבלת פרמטרים'!$P$5,IF(EXACT(Q128,'טבלת פרמטרים'!$O$6),'טבלת פרמטרים'!$P$6,IF(EXACT(Q128,'טבלת פרמטרים'!$O$7),'טבלת פרמטרים'!$P$7,""))))))</f>
        <v>0</v>
      </c>
    </row>
    <row r="129" spans="1:20" ht="28.5" x14ac:dyDescent="0.2">
      <c r="A129" s="18">
        <v>129</v>
      </c>
      <c r="B129" s="30">
        <v>37987</v>
      </c>
      <c r="C129" s="30">
        <v>43508</v>
      </c>
      <c r="D129" s="21" t="s">
        <v>14</v>
      </c>
      <c r="E129" s="21" t="s">
        <v>22</v>
      </c>
      <c r="F129" s="21" t="s">
        <v>25</v>
      </c>
      <c r="G129" s="21" t="s">
        <v>27</v>
      </c>
      <c r="H129" s="21" t="s">
        <v>29</v>
      </c>
      <c r="I129" s="21" t="s">
        <v>126</v>
      </c>
      <c r="J129" s="21" t="s">
        <v>63</v>
      </c>
      <c r="K129" s="21" t="s">
        <v>149</v>
      </c>
      <c r="L129" s="21" t="s">
        <v>51</v>
      </c>
      <c r="M129" s="21" t="s">
        <v>53</v>
      </c>
      <c r="N129" s="21" t="s">
        <v>112</v>
      </c>
      <c r="O129" s="19">
        <f>IF(ISBLANK(D129),"",IF(D129='טבלת פרמטרים'!$A$9,1,0)+IF(E129='טבלת פרמטרים'!$B$5,2,1)+IF(F129='טבלת פרמטרים'!$C$5,3,IF(F129='טבלת פרמטרים'!$C$4,1,0))+IF(G129='טבלת פרמטרים'!$D$3,2,0)+IF(M129='טבלת פרמטרים'!$J$4,2,IF(M129='טבלת פרמטרים'!$J$3,1,0))+IF(N129='טבלת פרמטרים'!$K$6,3,IF(OR(N129='טבלת פרמטרים'!$K$4,N129='טבלת פרמטרים'!$K$5),2,IF(N129='טבלת פרמטרים'!$K$3,1,0))))</f>
        <v>9</v>
      </c>
      <c r="Q129" s="20" t="s">
        <v>329</v>
      </c>
      <c r="R129" s="19">
        <f t="shared" si="2"/>
        <v>10</v>
      </c>
      <c r="S129" s="19" t="str">
        <f>IF(EXACT(P129,'טבלת פרמטרים'!$M$2),'טבלת פרמטרים'!$N$2,IF(EXACT(P129,'טבלת פרמטרים'!$M$3),'טבלת פרמטרים'!$N$3,IF(EXACT(P129,'טבלת פרמטרים'!$M$4),'טבלת פרמטרים'!$N$4,IF(EXACT(P129,'טבלת פרמטרים'!$M$5),'טבלת פרמטרים'!$N$5,IF(EXACT(P129,'טבלת פרמטרים'!$M$6),'טבלת פרמטרים'!$N$6,IF(EXACT(P129,'טבלת פרמטרים'!$M$7),'טבלת פרמטרים'!$N$7,IF(EXACT(P129,'טבלת פרמטרים'!$M$8),'טבלת פרמטרים'!$N$8,IF(EXACT(P129,'טבלת פרמטרים'!$M$9),'טבלת פרמטרים'!$N$9,""))))))))</f>
        <v/>
      </c>
      <c r="T129" s="19">
        <f>IF(EXACT(Q129,'טבלת פרמטרים'!$O$2),'טבלת פרמטרים'!$P$2,IF(EXACT(Q129,'טבלת פרמטרים'!$O$3),'טבלת פרמטרים'!$P$3,IF(EXACT(Q129,'טבלת פרמטרים'!$O$4),'טבלת פרמטרים'!$P$4,IF(EXACT(Q129,'טבלת פרמטרים'!$O$5),'טבלת פרמטרים'!$P$5,IF(EXACT(Q129,'טבלת פרמטרים'!$O$6),'טבלת פרמטרים'!$P$6,IF(EXACT(Q129,'טבלת פרמטרים'!$O$7),'טבלת פרמטרים'!$P$7,""))))))</f>
        <v>1</v>
      </c>
    </row>
    <row r="130" spans="1:20" x14ac:dyDescent="0.2">
      <c r="A130" s="18">
        <v>130</v>
      </c>
      <c r="B130" s="30">
        <v>43488</v>
      </c>
      <c r="C130" s="30">
        <v>43508</v>
      </c>
      <c r="D130" s="21" t="s">
        <v>11</v>
      </c>
      <c r="E130" s="21" t="s">
        <v>20</v>
      </c>
      <c r="F130" s="21" t="s">
        <v>23</v>
      </c>
      <c r="G130" s="21" t="s">
        <v>26</v>
      </c>
      <c r="H130" s="21" t="s">
        <v>32</v>
      </c>
      <c r="I130" s="21" t="s">
        <v>126</v>
      </c>
      <c r="J130" s="21" t="s">
        <v>11</v>
      </c>
      <c r="K130" s="21" t="s">
        <v>19</v>
      </c>
      <c r="L130" s="21" t="s">
        <v>63</v>
      </c>
      <c r="M130" s="21" t="s">
        <v>55</v>
      </c>
      <c r="N130" s="21" t="s">
        <v>112</v>
      </c>
      <c r="O130" s="19">
        <f>IF(ISBLANK(D130),"",IF(D130='טבלת פרמטרים'!$A$9,1,0)+IF(E130='טבלת פרמטרים'!$B$5,2,1)+IF(F130='טבלת פרמטרים'!$C$5,3,IF(F130='טבלת פרמטרים'!$C$4,1,0))+IF(G130='טבלת פרמטרים'!$D$3,2,0)+IF(M130='טבלת פרמטרים'!$J$4,2,IF(M130='טבלת פרמטרים'!$J$3,1,0))+IF(N130='טבלת פרמטרים'!$K$6,3,IF(OR(N130='טבלת פרמטרים'!$K$4,N130='טבלת פרמטרים'!$K$5),2,IF(N130='טבלת פרמטרים'!$K$3,1,0))))</f>
        <v>5</v>
      </c>
      <c r="R130" s="19">
        <f t="shared" si="2"/>
        <v>5</v>
      </c>
      <c r="S130" s="19" t="str">
        <f>IF(EXACT(P130,'טבלת פרמטרים'!$M$2),'טבלת פרמטרים'!$N$2,IF(EXACT(P130,'טבלת פרמטרים'!$M$3),'טבלת פרמטרים'!$N$3,IF(EXACT(P130,'טבלת פרמטרים'!$M$4),'טבלת פרמטרים'!$N$4,IF(EXACT(P130,'טבלת פרמטרים'!$M$5),'טבלת פרמטרים'!$N$5,IF(EXACT(P130,'טבלת פרמטרים'!$M$6),'טבלת פרמטרים'!$N$6,IF(EXACT(P130,'טבלת פרמטרים'!$M$7),'טבלת פרמטרים'!$N$7,IF(EXACT(P130,'טבלת פרמטרים'!$M$8),'טבלת פרמטרים'!$N$8,IF(EXACT(P130,'טבלת פרמטרים'!$M$9),'טבלת פרמטרים'!$N$9,""))))))))</f>
        <v/>
      </c>
      <c r="T130" s="19" t="str">
        <f>IF(EXACT(Q130,'טבלת פרמטרים'!$O$2),'טבלת פרמטרים'!$P$2,IF(EXACT(Q130,'טבלת פרמטרים'!$O$3),'טבלת פרמטרים'!$P$3,IF(EXACT(Q130,'טבלת פרמטרים'!$O$4),'טבלת פרמטרים'!$P$4,IF(EXACT(Q130,'טבלת פרמטרים'!$O$5),'טבלת פרמטרים'!$P$5,IF(EXACT(Q130,'טבלת פרמטרים'!$O$6),'טבלת פרמטרים'!$P$6,IF(EXACT(Q130,'טבלת פרמטרים'!$O$7),'טבלת פרמטרים'!$P$7,""))))))</f>
        <v/>
      </c>
    </row>
    <row r="131" spans="1:20" ht="28.5" x14ac:dyDescent="0.2">
      <c r="A131" s="18">
        <v>131</v>
      </c>
      <c r="C131" s="30">
        <v>43516</v>
      </c>
      <c r="D131" s="21" t="s">
        <v>11</v>
      </c>
      <c r="E131" s="21" t="s">
        <v>22</v>
      </c>
      <c r="F131" s="21" t="s">
        <v>25</v>
      </c>
      <c r="G131" s="21" t="s">
        <v>26</v>
      </c>
      <c r="H131" s="21" t="s">
        <v>32</v>
      </c>
      <c r="I131" s="21" t="s">
        <v>126</v>
      </c>
      <c r="J131" s="21" t="s">
        <v>11</v>
      </c>
      <c r="K131" s="21" t="s">
        <v>19</v>
      </c>
      <c r="L131" s="21" t="s">
        <v>63</v>
      </c>
      <c r="M131" s="21" t="s">
        <v>55</v>
      </c>
      <c r="N131" s="21" t="s">
        <v>58</v>
      </c>
      <c r="O131" s="19">
        <f>IF(ISBLANK(D131),"",IF(D131='טבלת פרמטרים'!$A$9,1,0)+IF(E131='טבלת פרמטרים'!$B$5,2,1)+IF(F131='טבלת פרמטרים'!$C$5,3,IF(F131='טבלת פרמטרים'!$C$4,1,0))+IF(G131='טבלת פרמטרים'!$D$3,2,0)+IF(M131='טבלת פרמטרים'!$J$4,2,IF(M131='טבלת פרמטרים'!$J$3,1,0))+IF(N131='טבלת פרמטרים'!$K$6,3,IF(OR(N131='טבלת פרמטרים'!$K$4,N131='טבלת פרמטרים'!$K$5),2,IF(N131='טבלת פרמטרים'!$K$3,1,0))))</f>
        <v>8</v>
      </c>
      <c r="Q131" s="20" t="s">
        <v>329</v>
      </c>
      <c r="R131" s="19">
        <f t="shared" si="2"/>
        <v>9</v>
      </c>
      <c r="S131" s="19" t="str">
        <f>IF(EXACT(P131,'טבלת פרמטרים'!$M$2),'טבלת פרמטרים'!$N$2,IF(EXACT(P131,'טבלת פרמטרים'!$M$3),'טבלת פרמטרים'!$N$3,IF(EXACT(P131,'טבלת פרמטרים'!$M$4),'טבלת פרמטרים'!$N$4,IF(EXACT(P131,'טבלת פרמטרים'!$M$5),'טבלת פרמטרים'!$N$5,IF(EXACT(P131,'טבלת פרמטרים'!$M$6),'טבלת פרמטרים'!$N$6,IF(EXACT(P131,'טבלת פרמטרים'!$M$7),'טבלת פרמטרים'!$N$7,IF(EXACT(P131,'טבלת פרמטרים'!$M$8),'טבלת פרמטרים'!$N$8,IF(EXACT(P131,'טבלת פרמטרים'!$M$9),'טבלת פרמטרים'!$N$9,""))))))))</f>
        <v/>
      </c>
      <c r="T131" s="19">
        <f>IF(EXACT(Q131,'טבלת פרמטרים'!$O$2),'טבלת פרמטרים'!$P$2,IF(EXACT(Q131,'טבלת פרמטרים'!$O$3),'טבלת פרמטרים'!$P$3,IF(EXACT(Q131,'טבלת פרמטרים'!$O$4),'טבלת פרמטרים'!$P$4,IF(EXACT(Q131,'טבלת פרמטרים'!$O$5),'טבלת פרמטרים'!$P$5,IF(EXACT(Q131,'טבלת פרמטרים'!$O$6),'טבלת פרמטרים'!$P$6,IF(EXACT(Q131,'טבלת פרמטרים'!$O$7),'טבלת פרמטרים'!$P$7,""))))))</f>
        <v>1</v>
      </c>
    </row>
    <row r="132" spans="1:20" x14ac:dyDescent="0.2">
      <c r="A132" s="18">
        <v>132</v>
      </c>
      <c r="B132" s="30">
        <v>43486</v>
      </c>
      <c r="C132" s="30">
        <v>43486</v>
      </c>
      <c r="D132" s="21" t="s">
        <v>17</v>
      </c>
      <c r="E132" s="21" t="s">
        <v>20</v>
      </c>
      <c r="F132" s="21" t="s">
        <v>23</v>
      </c>
      <c r="G132" s="21" t="s">
        <v>26</v>
      </c>
      <c r="H132" s="21" t="s">
        <v>32</v>
      </c>
      <c r="I132" s="21" t="s">
        <v>127</v>
      </c>
      <c r="J132" s="21" t="s">
        <v>33</v>
      </c>
      <c r="K132" s="21" t="s">
        <v>46</v>
      </c>
      <c r="L132" s="21" t="s">
        <v>50</v>
      </c>
      <c r="M132" s="21" t="s">
        <v>54</v>
      </c>
      <c r="N132" s="21" t="s">
        <v>57</v>
      </c>
      <c r="O132" s="19">
        <f>IF(ISBLANK(D132),"",IF(D132='טבלת פרמטרים'!$A$9,1,0)+IF(E132='טבלת פרמטרים'!$B$5,2,1)+IF(F132='טבלת פרמטרים'!$C$5,3,IF(F132='טבלת פרמטרים'!$C$4,1,0))+IF(G132='טבלת פרמטרים'!$D$3,2,0)+IF(M132='טבלת פרמטרים'!$J$4,2,IF(M132='טבלת פרמטרים'!$J$3,1,0))+IF(N132='טבלת פרמטרים'!$K$6,3,IF(OR(N132='טבלת פרמטרים'!$K$4,N132='טבלת פרמטרים'!$K$5),2,IF(N132='טבלת פרמטרים'!$K$3,1,0))))</f>
        <v>3</v>
      </c>
      <c r="Q132" s="20" t="s">
        <v>123</v>
      </c>
      <c r="R132" s="19">
        <f t="shared" si="2"/>
        <v>3</v>
      </c>
      <c r="S132" s="19" t="str">
        <f>IF(EXACT(P132,'טבלת פרמטרים'!$M$2),'טבלת פרמטרים'!$N$2,IF(EXACT(P132,'טבלת פרמטרים'!$M$3),'טבלת פרמטרים'!$N$3,IF(EXACT(P132,'טבלת פרמטרים'!$M$4),'טבלת פרמטרים'!$N$4,IF(EXACT(P132,'טבלת פרמטרים'!$M$5),'טבלת פרמטרים'!$N$5,IF(EXACT(P132,'טבלת פרמטרים'!$M$6),'טבלת פרמטרים'!$N$6,IF(EXACT(P132,'טבלת פרמטרים'!$M$7),'טבלת פרמטרים'!$N$7,IF(EXACT(P132,'טבלת פרמטרים'!$M$8),'טבלת פרמטרים'!$N$8,IF(EXACT(P132,'טבלת פרמטרים'!$M$9),'טבלת פרמטרים'!$N$9,""))))))))</f>
        <v/>
      </c>
      <c r="T132" s="19">
        <f>IF(EXACT(Q132,'טבלת פרמטרים'!$O$2),'טבלת פרמטרים'!$P$2,IF(EXACT(Q132,'טבלת פרמטרים'!$O$3),'טבלת פרמטרים'!$P$3,IF(EXACT(Q132,'טבלת פרמטרים'!$O$4),'טבלת פרמטרים'!$P$4,IF(EXACT(Q132,'טבלת פרמטרים'!$O$5),'טבלת פרמטרים'!$P$5,IF(EXACT(Q132,'טבלת פרמטרים'!$O$6),'טבלת פרמטרים'!$P$6,IF(EXACT(Q132,'טבלת פרמטרים'!$O$7),'טבלת פרמטרים'!$P$7,""))))))</f>
        <v>0</v>
      </c>
    </row>
    <row r="133" spans="1:20" x14ac:dyDescent="0.2">
      <c r="A133" s="18">
        <v>133</v>
      </c>
      <c r="B133" s="30">
        <v>43481</v>
      </c>
      <c r="C133" s="30">
        <v>43486</v>
      </c>
      <c r="D133" s="21" t="s">
        <v>11</v>
      </c>
      <c r="E133" s="21" t="s">
        <v>20</v>
      </c>
      <c r="F133" s="21" t="s">
        <v>23</v>
      </c>
      <c r="G133" s="21" t="s">
        <v>26</v>
      </c>
      <c r="H133" s="21" t="s">
        <v>29</v>
      </c>
      <c r="I133" s="21" t="s">
        <v>126</v>
      </c>
      <c r="J133" s="21" t="s">
        <v>33</v>
      </c>
      <c r="K133" s="21" t="s">
        <v>45</v>
      </c>
      <c r="L133" s="21" t="s">
        <v>51</v>
      </c>
      <c r="M133" s="21" t="s">
        <v>53</v>
      </c>
      <c r="N133" s="21" t="s">
        <v>57</v>
      </c>
      <c r="O133" s="19">
        <f>IF(ISBLANK(D133),"",IF(D133='טבלת פרמטרים'!$A$9,1,0)+IF(E133='טבלת פרמטרים'!$B$5,2,1)+IF(F133='טבלת פרמטרים'!$C$5,3,IF(F133='טבלת פרמטרים'!$C$4,1,0))+IF(G133='טבלת פרמטרים'!$D$3,2,0)+IF(M133='טבלת פרמטרים'!$J$4,2,IF(M133='טבלת פרמטרים'!$J$3,1,0))+IF(N133='טבלת פרמטרים'!$K$6,3,IF(OR(N133='טבלת פרמטרים'!$K$4,N133='טבלת פרמטרים'!$K$5),2,IF(N133='טבלת פרמטרים'!$K$3,1,0))))</f>
        <v>1</v>
      </c>
      <c r="Q133" s="20" t="s">
        <v>123</v>
      </c>
      <c r="R133" s="19">
        <f t="shared" si="2"/>
        <v>1</v>
      </c>
      <c r="S133" s="19" t="str">
        <f>IF(EXACT(P133,'טבלת פרמטרים'!$M$2),'טבלת פרמטרים'!$N$2,IF(EXACT(P133,'טבלת פרמטרים'!$M$3),'טבלת פרמטרים'!$N$3,IF(EXACT(P133,'טבלת פרמטרים'!$M$4),'טבלת פרמטרים'!$N$4,IF(EXACT(P133,'טבלת פרמטרים'!$M$5),'טבלת פרמטרים'!$N$5,IF(EXACT(P133,'טבלת פרמטרים'!$M$6),'טבלת פרמטרים'!$N$6,IF(EXACT(P133,'טבלת פרמטרים'!$M$7),'טבלת פרמטרים'!$N$7,IF(EXACT(P133,'טבלת פרמטרים'!$M$8),'טבלת פרמטרים'!$N$8,IF(EXACT(P133,'טבלת פרמטרים'!$M$9),'טבלת פרמטרים'!$N$9,""))))))))</f>
        <v/>
      </c>
      <c r="T133" s="19">
        <f>IF(EXACT(Q133,'טבלת פרמטרים'!$O$2),'טבלת פרמטרים'!$P$2,IF(EXACT(Q133,'טבלת פרמטרים'!$O$3),'טבלת פרמטרים'!$P$3,IF(EXACT(Q133,'טבלת פרמטרים'!$O$4),'טבלת פרמטרים'!$P$4,IF(EXACT(Q133,'טבלת פרמטרים'!$O$5),'טבלת פרמטרים'!$P$5,IF(EXACT(Q133,'טבלת פרמטרים'!$O$6),'טבלת פרמטרים'!$P$6,IF(EXACT(Q133,'טבלת פרמטרים'!$O$7),'טבלת פרמטרים'!$P$7,""))))))</f>
        <v>0</v>
      </c>
    </row>
    <row r="134" spans="1:20" x14ac:dyDescent="0.2">
      <c r="A134" s="18">
        <v>134</v>
      </c>
      <c r="B134" s="30">
        <v>43485</v>
      </c>
      <c r="C134" s="30">
        <v>43494</v>
      </c>
      <c r="D134" s="21" t="s">
        <v>16</v>
      </c>
      <c r="E134" s="21" t="s">
        <v>21</v>
      </c>
      <c r="F134" s="21" t="s">
        <v>23</v>
      </c>
      <c r="G134" s="21" t="s">
        <v>27</v>
      </c>
      <c r="H134" s="21" t="s">
        <v>30</v>
      </c>
      <c r="I134" s="21" t="s">
        <v>126</v>
      </c>
      <c r="J134" s="21" t="s">
        <v>33</v>
      </c>
      <c r="K134" s="21" t="s">
        <v>43</v>
      </c>
      <c r="L134" s="21" t="s">
        <v>50</v>
      </c>
      <c r="M134" s="21" t="s">
        <v>54</v>
      </c>
      <c r="N134" s="21" t="s">
        <v>58</v>
      </c>
      <c r="O134" s="19">
        <f>IF(ISBLANK(D134),"",IF(D134='טבלת פרמטרים'!$A$9,1,0)+IF(E134='טבלת פרמטרים'!$B$5,2,1)+IF(F134='טבלת פרמטרים'!$C$5,3,IF(F134='טבלת פרמטרים'!$C$4,1,0))+IF(G134='טבלת פרמטרים'!$D$3,2,0)+IF(M134='טבלת פרמטרים'!$J$4,2,IF(M134='טבלת פרמטרים'!$J$3,1,0))+IF(N134='טבלת פרמטרים'!$K$6,3,IF(OR(N134='טבלת פרמטרים'!$K$4,N134='טבלת פרמטרים'!$K$5),2,IF(N134='טבלת פרמטרים'!$K$3,1,0))))</f>
        <v>5</v>
      </c>
      <c r="Q134" s="20" t="s">
        <v>123</v>
      </c>
      <c r="R134" s="19">
        <f t="shared" si="2"/>
        <v>5</v>
      </c>
      <c r="S134" s="19" t="str">
        <f>IF(EXACT(P134,'טבלת פרמטרים'!$M$2),'טבלת פרמטרים'!$N$2,IF(EXACT(P134,'טבלת פרמטרים'!$M$3),'טבלת פרמטרים'!$N$3,IF(EXACT(P134,'טבלת פרמטרים'!$M$4),'טבלת פרמטרים'!$N$4,IF(EXACT(P134,'טבלת פרמטרים'!$M$5),'טבלת פרמטרים'!$N$5,IF(EXACT(P134,'טבלת פרמטרים'!$M$6),'טבלת פרמטרים'!$N$6,IF(EXACT(P134,'טבלת פרמטרים'!$M$7),'טבלת פרמטרים'!$N$7,IF(EXACT(P134,'טבלת פרמטרים'!$M$8),'טבלת פרמטרים'!$N$8,IF(EXACT(P134,'טבלת פרמטרים'!$M$9),'טבלת פרמטרים'!$N$9,""))))))))</f>
        <v/>
      </c>
      <c r="T134" s="19">
        <f>IF(EXACT(Q134,'טבלת פרמטרים'!$O$2),'טבלת פרמטרים'!$P$2,IF(EXACT(Q134,'טבלת פרמטרים'!$O$3),'טבלת פרמטרים'!$P$3,IF(EXACT(Q134,'טבלת פרמטרים'!$O$4),'טבלת פרמטרים'!$P$4,IF(EXACT(Q134,'טבלת פרמטרים'!$O$5),'טבלת פרמטרים'!$P$5,IF(EXACT(Q134,'טבלת פרמטרים'!$O$6),'טבלת פרמטרים'!$P$6,IF(EXACT(Q134,'טבלת פרמטרים'!$O$7),'טבלת פרמטרים'!$P$7,""))))))</f>
        <v>0</v>
      </c>
    </row>
    <row r="135" spans="1:20" x14ac:dyDescent="0.2">
      <c r="A135" s="18">
        <v>135</v>
      </c>
      <c r="B135" s="30">
        <v>43492</v>
      </c>
      <c r="C135" s="30">
        <v>43494</v>
      </c>
      <c r="D135" s="21" t="s">
        <v>11</v>
      </c>
      <c r="E135" s="21" t="s">
        <v>21</v>
      </c>
      <c r="F135" s="21" t="s">
        <v>24</v>
      </c>
      <c r="G135" s="21" t="s">
        <v>26</v>
      </c>
      <c r="H135" s="21" t="s">
        <v>31</v>
      </c>
      <c r="I135" s="21" t="s">
        <v>126</v>
      </c>
      <c r="J135" s="21" t="s">
        <v>11</v>
      </c>
      <c r="K135" s="21" t="s">
        <v>43</v>
      </c>
      <c r="L135" s="21" t="s">
        <v>51</v>
      </c>
      <c r="M135" s="21" t="s">
        <v>54</v>
      </c>
      <c r="N135" s="21" t="s">
        <v>58</v>
      </c>
      <c r="O135" s="19">
        <f>IF(ISBLANK(D135),"",IF(D135='טבלת פרמטרים'!$A$9,1,0)+IF(E135='טבלת פרמטרים'!$B$5,2,1)+IF(F135='טבלת פרמטרים'!$C$5,3,IF(F135='טבלת פרמטרים'!$C$4,1,0))+IF(G135='טבלת פרמטרים'!$D$3,2,0)+IF(M135='טבלת פרמטרים'!$J$4,2,IF(M135='טבלת פרמטרים'!$J$3,1,0))+IF(N135='טבלת פרמטרים'!$K$6,3,IF(OR(N135='טבלת פרמטרים'!$K$4,N135='טבלת פרמטרים'!$K$5),2,IF(N135='טבלת פרמטרים'!$K$3,1,0))))</f>
        <v>4</v>
      </c>
      <c r="Q135" s="20" t="s">
        <v>123</v>
      </c>
      <c r="R135" s="19">
        <f t="shared" si="2"/>
        <v>4</v>
      </c>
      <c r="S135" s="19" t="str">
        <f>IF(EXACT(P135,'טבלת פרמטרים'!$M$2),'טבלת פרמטרים'!$N$2,IF(EXACT(P135,'טבלת פרמטרים'!$M$3),'טבלת פרמטרים'!$N$3,IF(EXACT(P135,'טבלת פרמטרים'!$M$4),'טבלת פרמטרים'!$N$4,IF(EXACT(P135,'טבלת פרמטרים'!$M$5),'טבלת פרמטרים'!$N$5,IF(EXACT(P135,'טבלת פרמטרים'!$M$6),'טבלת פרמטרים'!$N$6,IF(EXACT(P135,'טבלת פרמטרים'!$M$7),'טבלת פרמטרים'!$N$7,IF(EXACT(P135,'טבלת פרמטרים'!$M$8),'טבלת פרמטרים'!$N$8,IF(EXACT(P135,'טבלת פרמטרים'!$M$9),'טבלת פרמטרים'!$N$9,""))))))))</f>
        <v/>
      </c>
      <c r="T135" s="19">
        <f>IF(EXACT(Q135,'טבלת פרמטרים'!$O$2),'טבלת פרמטרים'!$P$2,IF(EXACT(Q135,'טבלת פרמטרים'!$O$3),'טבלת פרמטרים'!$P$3,IF(EXACT(Q135,'טבלת פרמטרים'!$O$4),'טבלת פרמטרים'!$P$4,IF(EXACT(Q135,'טבלת פרמטרים'!$O$5),'טבלת פרמטרים'!$P$5,IF(EXACT(Q135,'טבלת פרמטרים'!$O$6),'טבלת פרמטרים'!$P$6,IF(EXACT(Q135,'טבלת פרמטרים'!$O$7),'טבלת פרמטרים'!$P$7,""))))))</f>
        <v>0</v>
      </c>
    </row>
    <row r="136" spans="1:20" ht="28.5" x14ac:dyDescent="0.2">
      <c r="A136" s="18">
        <v>136</v>
      </c>
      <c r="B136" s="30">
        <v>43506</v>
      </c>
      <c r="C136" s="30">
        <v>43506</v>
      </c>
      <c r="D136" s="21" t="s">
        <v>17</v>
      </c>
      <c r="E136" s="21" t="s">
        <v>22</v>
      </c>
      <c r="F136" s="21" t="s">
        <v>24</v>
      </c>
      <c r="G136" s="21" t="s">
        <v>26</v>
      </c>
      <c r="H136" s="21" t="s">
        <v>29</v>
      </c>
      <c r="I136" s="21" t="s">
        <v>127</v>
      </c>
      <c r="J136" s="21" t="s">
        <v>34</v>
      </c>
      <c r="K136" s="21" t="s">
        <v>43</v>
      </c>
      <c r="L136" s="21" t="s">
        <v>51</v>
      </c>
      <c r="M136" s="21" t="s">
        <v>54</v>
      </c>
      <c r="N136" s="21" t="s">
        <v>57</v>
      </c>
      <c r="O136" s="19">
        <f>IF(ISBLANK(D136),"",IF(D136='טבלת פרמטרים'!$A$9,1,0)+IF(E136='טבלת פרמטרים'!$B$5,2,1)+IF(F136='טבלת פרמטרים'!$C$5,3,IF(F136='טבלת פרמטרים'!$C$4,1,0))+IF(G136='טבלת פרמטרים'!$D$3,2,0)+IF(M136='טבלת פרמטרים'!$J$4,2,IF(M136='טבלת פרמטרים'!$J$3,1,0))+IF(N136='טבלת פרמטרים'!$K$6,3,IF(OR(N136='טבלת פרמטרים'!$K$4,N136='טבלת פרמטרים'!$K$5),2,IF(N136='טבלת פרמטרים'!$K$3,1,0))))</f>
        <v>5</v>
      </c>
      <c r="Q136" s="20" t="s">
        <v>329</v>
      </c>
      <c r="R136" s="19">
        <f t="shared" si="2"/>
        <v>6</v>
      </c>
      <c r="S136" s="19" t="str">
        <f>IF(EXACT(P136,'טבלת פרמטרים'!$M$2),'טבלת פרמטרים'!$N$2,IF(EXACT(P136,'טבלת פרמטרים'!$M$3),'טבלת פרמטרים'!$N$3,IF(EXACT(P136,'טבלת פרמטרים'!$M$4),'טבלת פרמטרים'!$N$4,IF(EXACT(P136,'טבלת פרמטרים'!$M$5),'טבלת פרמטרים'!$N$5,IF(EXACT(P136,'טבלת פרמטרים'!$M$6),'טבלת פרמטרים'!$N$6,IF(EXACT(P136,'טבלת פרמטרים'!$M$7),'טבלת פרמטרים'!$N$7,IF(EXACT(P136,'טבלת פרמטרים'!$M$8),'טבלת פרמטרים'!$N$8,IF(EXACT(P136,'טבלת פרמטרים'!$M$9),'טבלת פרמטרים'!$N$9,""))))))))</f>
        <v/>
      </c>
      <c r="T136" s="19">
        <f>IF(EXACT(Q136,'טבלת פרמטרים'!$O$2),'טבלת פרמטרים'!$P$2,IF(EXACT(Q136,'טבלת פרמטרים'!$O$3),'טבלת פרמטרים'!$P$3,IF(EXACT(Q136,'טבלת פרמטרים'!$O$4),'טבלת פרמטרים'!$P$4,IF(EXACT(Q136,'טבלת פרמטרים'!$O$5),'טבלת פרמטרים'!$P$5,IF(EXACT(Q136,'טבלת פרמטרים'!$O$6),'טבלת פרמטרים'!$P$6,IF(EXACT(Q136,'טבלת פרמטרים'!$O$7),'טבלת פרמטרים'!$P$7,""))))))</f>
        <v>1</v>
      </c>
    </row>
    <row r="137" spans="1:20" x14ac:dyDescent="0.2">
      <c r="A137" s="18">
        <v>137</v>
      </c>
      <c r="B137" s="30">
        <v>43506</v>
      </c>
      <c r="C137" s="30">
        <v>43507</v>
      </c>
      <c r="D137" s="21" t="s">
        <v>11</v>
      </c>
      <c r="E137" s="21" t="s">
        <v>111</v>
      </c>
      <c r="F137" s="21" t="s">
        <v>23</v>
      </c>
      <c r="G137" s="21" t="s">
        <v>26</v>
      </c>
      <c r="H137" s="21" t="s">
        <v>30</v>
      </c>
      <c r="I137" s="21" t="s">
        <v>127</v>
      </c>
      <c r="J137" s="21" t="s">
        <v>33</v>
      </c>
      <c r="K137" s="21" t="s">
        <v>44</v>
      </c>
      <c r="L137" s="21" t="s">
        <v>49</v>
      </c>
      <c r="M137" s="21" t="s">
        <v>55</v>
      </c>
      <c r="N137" s="21" t="s">
        <v>58</v>
      </c>
      <c r="O137" s="19">
        <f>IF(ISBLANK(D137),"",IF(D137='טבלת פרמטרים'!$A$9,1,0)+IF(E137='טבלת פרמטרים'!$B$5,2,1)+IF(F137='טבלת פרמטרים'!$C$5,3,IF(F137='טבלת פרמטרים'!$C$4,1,0))+IF(G137='טבלת פרמטרים'!$D$3,2,0)+IF(M137='טבלת פרמטרים'!$J$4,2,IF(M137='טבלת פרמטרים'!$J$3,1,0))+IF(N137='טבלת פרמטרים'!$K$6,3,IF(OR(N137='טבלת פרמטרים'!$K$4,N137='טבלת פרמטרים'!$K$5),2,IF(N137='טבלת פרמטרים'!$K$3,1,0))))</f>
        <v>4</v>
      </c>
      <c r="Q137" s="20" t="s">
        <v>123</v>
      </c>
      <c r="R137" s="19">
        <f t="shared" si="2"/>
        <v>4</v>
      </c>
      <c r="S137" s="19" t="str">
        <f>IF(EXACT(P137,'טבלת פרמטרים'!$M$2),'טבלת פרמטרים'!$N$2,IF(EXACT(P137,'טבלת פרמטרים'!$M$3),'טבלת פרמטרים'!$N$3,IF(EXACT(P137,'טבלת פרמטרים'!$M$4),'טבלת פרמטרים'!$N$4,IF(EXACT(P137,'טבלת פרמטרים'!$M$5),'טבלת פרמטרים'!$N$5,IF(EXACT(P137,'טבלת פרמטרים'!$M$6),'טבלת פרמטרים'!$N$6,IF(EXACT(P137,'טבלת פרמטרים'!$M$7),'טבלת פרמטרים'!$N$7,IF(EXACT(P137,'טבלת פרמטרים'!$M$8),'טבלת פרמטרים'!$N$8,IF(EXACT(P137,'טבלת פרמטרים'!$M$9),'טבלת פרמטרים'!$N$9,""))))))))</f>
        <v/>
      </c>
      <c r="T137" s="19">
        <f>IF(EXACT(Q137,'טבלת פרמטרים'!$O$2),'טבלת פרמטרים'!$P$2,IF(EXACT(Q137,'טבלת פרמטרים'!$O$3),'טבלת פרמטרים'!$P$3,IF(EXACT(Q137,'טבלת פרמטרים'!$O$4),'טבלת פרמטרים'!$P$4,IF(EXACT(Q137,'טבלת פרמטרים'!$O$5),'טבלת פרמטרים'!$P$5,IF(EXACT(Q137,'טבלת פרמטרים'!$O$6),'טבלת פרמטרים'!$P$6,IF(EXACT(Q137,'טבלת פרמטרים'!$O$7),'טבלת פרמטרים'!$P$7,""))))))</f>
        <v>0</v>
      </c>
    </row>
    <row r="138" spans="1:20" x14ac:dyDescent="0.2">
      <c r="A138" s="18">
        <v>138</v>
      </c>
      <c r="B138" s="30">
        <v>43510</v>
      </c>
      <c r="C138" s="30">
        <v>43510</v>
      </c>
      <c r="D138" s="21" t="s">
        <v>11</v>
      </c>
      <c r="E138" s="21" t="s">
        <v>21</v>
      </c>
      <c r="F138" s="21" t="s">
        <v>23</v>
      </c>
      <c r="G138" s="21" t="s">
        <v>26</v>
      </c>
      <c r="H138" s="21" t="s">
        <v>31</v>
      </c>
      <c r="I138" s="21" t="s">
        <v>126</v>
      </c>
      <c r="J138" s="21" t="s">
        <v>11</v>
      </c>
      <c r="K138" s="21" t="s">
        <v>44</v>
      </c>
      <c r="L138" s="21" t="s">
        <v>51</v>
      </c>
      <c r="M138" s="21" t="s">
        <v>54</v>
      </c>
      <c r="N138" s="21" t="s">
        <v>58</v>
      </c>
      <c r="O138" s="19">
        <f>IF(ISBLANK(D138),"",IF(D138='טבלת פרמטרים'!$A$9,1,0)+IF(E138='טבלת פרמטרים'!$B$5,2,1)+IF(F138='טבלת פרמטרים'!$C$5,3,IF(F138='טבלת פרמטרים'!$C$4,1,0))+IF(G138='טבלת פרמטרים'!$D$3,2,0)+IF(M138='טבלת פרמטרים'!$J$4,2,IF(M138='טבלת פרמטרים'!$J$3,1,0))+IF(N138='טבלת פרמטרים'!$K$6,3,IF(OR(N138='טבלת פרמטרים'!$K$4,N138='טבלת פרמטרים'!$K$5),2,IF(N138='טבלת פרמטרים'!$K$3,1,0))))</f>
        <v>3</v>
      </c>
      <c r="Q138" s="20" t="s">
        <v>123</v>
      </c>
      <c r="R138" s="19">
        <f t="shared" si="2"/>
        <v>3</v>
      </c>
      <c r="S138" s="19" t="str">
        <f>IF(EXACT(P138,'טבלת פרמטרים'!$M$2),'טבלת פרמטרים'!$N$2,IF(EXACT(P138,'טבלת פרמטרים'!$M$3),'טבלת פרמטרים'!$N$3,IF(EXACT(P138,'טבלת פרמטרים'!$M$4),'טבלת פרמטרים'!$N$4,IF(EXACT(P138,'טבלת פרמטרים'!$M$5),'טבלת פרמטרים'!$N$5,IF(EXACT(P138,'טבלת פרמטרים'!$M$6),'טבלת פרמטרים'!$N$6,IF(EXACT(P138,'טבלת פרמטרים'!$M$7),'טבלת פרמטרים'!$N$7,IF(EXACT(P138,'טבלת פרמטרים'!$M$8),'טבלת פרמטרים'!$N$8,IF(EXACT(P138,'טבלת פרמטרים'!$M$9),'טבלת פרמטרים'!$N$9,""))))))))</f>
        <v/>
      </c>
      <c r="T138" s="19">
        <f>IF(EXACT(Q138,'טבלת פרמטרים'!$O$2),'טבלת פרמטרים'!$P$2,IF(EXACT(Q138,'טבלת פרמטרים'!$O$3),'טבלת פרמטרים'!$P$3,IF(EXACT(Q138,'טבלת פרמטרים'!$O$4),'טבלת פרמטרים'!$P$4,IF(EXACT(Q138,'טבלת פרמטרים'!$O$5),'טבלת פרמטרים'!$P$5,IF(EXACT(Q138,'טבלת פרמטרים'!$O$6),'טבלת פרמטרים'!$P$6,IF(EXACT(Q138,'טבלת פרמטרים'!$O$7),'טבלת פרמטרים'!$P$7,""))))))</f>
        <v>0</v>
      </c>
    </row>
    <row r="139" spans="1:20" x14ac:dyDescent="0.2">
      <c r="A139" s="18">
        <v>139</v>
      </c>
      <c r="B139" s="30">
        <v>43495</v>
      </c>
      <c r="C139" s="30">
        <v>43516</v>
      </c>
      <c r="D139" s="21" t="s">
        <v>14</v>
      </c>
      <c r="E139" s="21" t="s">
        <v>20</v>
      </c>
      <c r="F139" s="21" t="s">
        <v>23</v>
      </c>
      <c r="G139" s="21" t="s">
        <v>26</v>
      </c>
      <c r="H139" s="21" t="s">
        <v>32</v>
      </c>
      <c r="I139" s="21" t="s">
        <v>127</v>
      </c>
      <c r="J139" s="21" t="s">
        <v>33</v>
      </c>
      <c r="K139" s="21" t="s">
        <v>46</v>
      </c>
      <c r="L139" s="21" t="s">
        <v>50</v>
      </c>
      <c r="M139" s="21" t="s">
        <v>55</v>
      </c>
      <c r="N139" s="21" t="s">
        <v>58</v>
      </c>
      <c r="O139" s="19">
        <f>IF(ISBLANK(D139),"",IF(D139='טבלת פרמטרים'!$A$9,1,0)+IF(E139='טבלת פרמטרים'!$B$5,2,1)+IF(F139='טבלת פרמטרים'!$C$5,3,IF(F139='טבלת פרמטרים'!$C$4,1,0))+IF(G139='טבלת פרמטרים'!$D$3,2,0)+IF(M139='טבלת פרמטרים'!$J$4,2,IF(M139='טבלת פרמטרים'!$J$3,1,0))+IF(N139='טבלת פרמטרים'!$K$6,3,IF(OR(N139='טבלת פרמטרים'!$K$4,N139='טבלת פרמטרים'!$K$5),2,IF(N139='טבלת פרמטרים'!$K$3,1,0))))</f>
        <v>4</v>
      </c>
      <c r="Q139" s="20" t="s">
        <v>123</v>
      </c>
      <c r="R139" s="19">
        <f t="shared" si="2"/>
        <v>4</v>
      </c>
      <c r="S139" s="19" t="str">
        <f>IF(EXACT(P139,'טבלת פרמטרים'!$M$2),'טבלת פרמטרים'!$N$2,IF(EXACT(P139,'טבלת פרמטרים'!$M$3),'טבלת פרמטרים'!$N$3,IF(EXACT(P139,'טבלת פרמטרים'!$M$4),'טבלת פרמטרים'!$N$4,IF(EXACT(P139,'טבלת פרמטרים'!$M$5),'טבלת פרמטרים'!$N$5,IF(EXACT(P139,'טבלת פרמטרים'!$M$6),'טבלת פרמטרים'!$N$6,IF(EXACT(P139,'טבלת פרמטרים'!$M$7),'טבלת פרמטרים'!$N$7,IF(EXACT(P139,'טבלת פרמטרים'!$M$8),'טבלת פרמטרים'!$N$8,IF(EXACT(P139,'טבלת פרמטרים'!$M$9),'טבלת פרמטרים'!$N$9,""))))))))</f>
        <v/>
      </c>
      <c r="T139" s="19">
        <f>IF(EXACT(Q139,'טבלת פרמטרים'!$O$2),'טבלת פרמטרים'!$P$2,IF(EXACT(Q139,'טבלת פרמטרים'!$O$3),'טבלת פרמטרים'!$P$3,IF(EXACT(Q139,'טבלת פרמטרים'!$O$4),'טבלת פרמטרים'!$P$4,IF(EXACT(Q139,'טבלת פרמטרים'!$O$5),'טבלת פרמטרים'!$P$5,IF(EXACT(Q139,'טבלת פרמטרים'!$O$6),'טבלת פרמטרים'!$P$6,IF(EXACT(Q139,'טבלת פרמטרים'!$O$7),'טבלת פרמטרים'!$P$7,""))))))</f>
        <v>0</v>
      </c>
    </row>
    <row r="140" spans="1:20" ht="28.5" x14ac:dyDescent="0.2">
      <c r="A140" s="18">
        <v>140</v>
      </c>
      <c r="B140" s="30">
        <v>43513</v>
      </c>
      <c r="C140" s="30">
        <v>43516</v>
      </c>
      <c r="D140" s="21" t="s">
        <v>17</v>
      </c>
      <c r="E140" s="21" t="s">
        <v>22</v>
      </c>
      <c r="F140" s="21" t="s">
        <v>24</v>
      </c>
      <c r="G140" s="21" t="s">
        <v>26</v>
      </c>
      <c r="H140" s="21" t="s">
        <v>32</v>
      </c>
      <c r="I140" s="21" t="s">
        <v>127</v>
      </c>
      <c r="J140" s="21" t="s">
        <v>33</v>
      </c>
      <c r="K140" s="21" t="s">
        <v>45</v>
      </c>
      <c r="L140" s="21" t="s">
        <v>51</v>
      </c>
      <c r="M140" s="21" t="s">
        <v>55</v>
      </c>
      <c r="N140" s="21" t="s">
        <v>59</v>
      </c>
      <c r="O140" s="19">
        <f>IF(ISBLANK(D140),"",IF(D140='טבלת פרמטרים'!$A$9,1,0)+IF(E140='טבלת פרמטרים'!$B$5,2,1)+IF(F140='טבלת פרמטרים'!$C$5,3,IF(F140='טבלת פרמטרים'!$C$4,1,0))+IF(G140='טבלת פרמטרים'!$D$3,2,0)+IF(M140='טבלת פרמטרים'!$J$4,2,IF(M140='טבלת פרמטרים'!$J$3,1,0))+IF(N140='טבלת פרמטרים'!$K$6,3,IF(OR(N140='טבלת פרמטרים'!$K$4,N140='טבלת פרמטרים'!$K$5),2,IF(N140='טבלת פרמטרים'!$K$3,1,0))))</f>
        <v>8</v>
      </c>
      <c r="Q140" s="20" t="s">
        <v>331</v>
      </c>
      <c r="R140" s="19">
        <f t="shared" si="2"/>
        <v>14</v>
      </c>
      <c r="S140" s="19" t="str">
        <f>IF(EXACT(P140,'טבלת פרמטרים'!$M$2),'טבלת פרמטרים'!$N$2,IF(EXACT(P140,'טבלת פרמטרים'!$M$3),'טבלת פרמטרים'!$N$3,IF(EXACT(P140,'טבלת פרמטרים'!$M$4),'טבלת פרמטרים'!$N$4,IF(EXACT(P140,'טבלת פרמטרים'!$M$5),'טבלת פרמטרים'!$N$5,IF(EXACT(P140,'טבלת פרמטרים'!$M$6),'טבלת פרמטרים'!$N$6,IF(EXACT(P140,'טבלת פרמטרים'!$M$7),'טבלת פרמטרים'!$N$7,IF(EXACT(P140,'טבלת פרמטרים'!$M$8),'טבלת פרמטרים'!$N$8,IF(EXACT(P140,'טבלת פרמטרים'!$M$9),'טבלת פרמטרים'!$N$9,""))))))))</f>
        <v/>
      </c>
      <c r="T140" s="19">
        <f>IF(EXACT(Q140,'טבלת פרמטרים'!$O$2),'טבלת פרמטרים'!$P$2,IF(EXACT(Q140,'טבלת פרמטרים'!$O$3),'טבלת פרמטרים'!$P$3,IF(EXACT(Q140,'טבלת פרמטרים'!$O$4),'טבלת פרמטרים'!$P$4,IF(EXACT(Q140,'טבלת פרמטרים'!$O$5),'טבלת פרמטרים'!$P$5,IF(EXACT(Q140,'טבלת פרמטרים'!$O$6),'טבלת פרמטרים'!$P$6,IF(EXACT(Q140,'טבלת פרמטרים'!$O$7),'טבלת פרמטרים'!$P$7,""))))))</f>
        <v>6</v>
      </c>
    </row>
    <row r="141" spans="1:20" x14ac:dyDescent="0.2">
      <c r="A141" s="18">
        <v>141</v>
      </c>
      <c r="B141" s="30">
        <v>43520</v>
      </c>
      <c r="C141" s="30">
        <v>43520</v>
      </c>
      <c r="D141" s="21" t="s">
        <v>14</v>
      </c>
      <c r="E141" s="21" t="s">
        <v>21</v>
      </c>
      <c r="F141" s="21" t="s">
        <v>23</v>
      </c>
      <c r="G141" s="21" t="s">
        <v>26</v>
      </c>
      <c r="H141" s="21" t="s">
        <v>31</v>
      </c>
      <c r="I141" s="21" t="s">
        <v>126</v>
      </c>
      <c r="J141" s="21" t="s">
        <v>63</v>
      </c>
      <c r="K141" s="21" t="s">
        <v>45</v>
      </c>
      <c r="L141" s="21" t="s">
        <v>51</v>
      </c>
      <c r="M141" s="21" t="s">
        <v>54</v>
      </c>
      <c r="N141" s="21" t="s">
        <v>58</v>
      </c>
      <c r="O141" s="19">
        <f>IF(ISBLANK(D141),"",IF(D141='טבלת פרמטרים'!$A$9,1,0)+IF(E141='טבלת פרמטרים'!$B$5,2,1)+IF(F141='טבלת פרמטרים'!$C$5,3,IF(F141='טבלת פרמטרים'!$C$4,1,0))+IF(G141='טבלת פרמטרים'!$D$3,2,0)+IF(M141='טבלת פרמטרים'!$J$4,2,IF(M141='טבלת פרמטרים'!$J$3,1,0))+IF(N141='טבלת פרמטרים'!$K$6,3,IF(OR(N141='טבלת פרמטרים'!$K$4,N141='טבלת פרמטרים'!$K$5),2,IF(N141='טבלת פרמטרים'!$K$3,1,0))))</f>
        <v>3</v>
      </c>
      <c r="Q141" s="20" t="s">
        <v>123</v>
      </c>
      <c r="R141" s="19">
        <f t="shared" si="2"/>
        <v>3</v>
      </c>
      <c r="S141" s="19" t="str">
        <f>IF(EXACT(P141,'טבלת פרמטרים'!$M$2),'טבלת פרמטרים'!$N$2,IF(EXACT(P141,'טבלת פרמטרים'!$M$3),'טבלת פרמטרים'!$N$3,IF(EXACT(P141,'טבלת פרמטרים'!$M$4),'טבלת פרמטרים'!$N$4,IF(EXACT(P141,'טבלת פרמטרים'!$M$5),'טבלת פרמטרים'!$N$5,IF(EXACT(P141,'טבלת פרמטרים'!$M$6),'טבלת פרמטרים'!$N$6,IF(EXACT(P141,'טבלת פרמטרים'!$M$7),'טבלת פרמטרים'!$N$7,IF(EXACT(P141,'טבלת פרמטרים'!$M$8),'טבלת פרמטרים'!$N$8,IF(EXACT(P141,'טבלת פרמטרים'!$M$9),'טבלת פרמטרים'!$N$9,""))))))))</f>
        <v/>
      </c>
      <c r="T141" s="19">
        <f>IF(EXACT(Q141,'טבלת פרמטרים'!$O$2),'טבלת פרמטרים'!$P$2,IF(EXACT(Q141,'טבלת פרמטרים'!$O$3),'טבלת פרמטרים'!$P$3,IF(EXACT(Q141,'טבלת פרמטרים'!$O$4),'טבלת פרמטרים'!$P$4,IF(EXACT(Q141,'טבלת פרמטרים'!$O$5),'טבלת פרמטרים'!$P$5,IF(EXACT(Q141,'טבלת פרמטרים'!$O$6),'טבלת פרמטרים'!$P$6,IF(EXACT(Q141,'טבלת פרמטרים'!$O$7),'טבלת פרמטרים'!$P$7,""))))))</f>
        <v>0</v>
      </c>
    </row>
    <row r="142" spans="1:20" x14ac:dyDescent="0.2">
      <c r="A142" s="18">
        <v>142</v>
      </c>
      <c r="B142" s="30">
        <v>43513</v>
      </c>
      <c r="C142" s="30">
        <v>43520</v>
      </c>
      <c r="D142" s="21" t="s">
        <v>11</v>
      </c>
      <c r="E142" s="21" t="s">
        <v>111</v>
      </c>
      <c r="F142" s="21" t="s">
        <v>23</v>
      </c>
      <c r="G142" s="21" t="s">
        <v>26</v>
      </c>
      <c r="H142" s="21" t="s">
        <v>32</v>
      </c>
      <c r="I142" s="21" t="s">
        <v>127</v>
      </c>
      <c r="J142" s="21" t="s">
        <v>35</v>
      </c>
      <c r="K142" s="21" t="s">
        <v>43</v>
      </c>
      <c r="L142" s="21" t="s">
        <v>49</v>
      </c>
      <c r="M142" s="21" t="s">
        <v>53</v>
      </c>
      <c r="N142" s="21" t="s">
        <v>59</v>
      </c>
      <c r="O142" s="19">
        <f>IF(ISBLANK(D142),"",IF(D142='טבלת פרמטרים'!$A$9,1,0)+IF(E142='טבלת פרמטרים'!$B$5,2,1)+IF(F142='טבלת פרמטרים'!$C$5,3,IF(F142='טבלת פרמטרים'!$C$4,1,0))+IF(G142='טבלת פרמטרים'!$D$3,2,0)+IF(M142='טבלת פרמטרים'!$J$4,2,IF(M142='טבלת פרמטרים'!$J$3,1,0))+IF(N142='טבלת פרמטרים'!$K$6,3,IF(OR(N142='טבלת פרמטרים'!$K$4,N142='טבלת פרמטרים'!$K$5),2,IF(N142='טבלת פרמטרים'!$K$3,1,0))))</f>
        <v>3</v>
      </c>
      <c r="Q142" s="20" t="s">
        <v>123</v>
      </c>
      <c r="R142" s="19">
        <f t="shared" si="2"/>
        <v>3</v>
      </c>
      <c r="S142" s="19" t="str">
        <f>IF(EXACT(P142,'טבלת פרמטרים'!$M$2),'טבלת פרמטרים'!$N$2,IF(EXACT(P142,'טבלת פרמטרים'!$M$3),'טבלת פרמטרים'!$N$3,IF(EXACT(P142,'טבלת פרמטרים'!$M$4),'טבלת פרמטרים'!$N$4,IF(EXACT(P142,'טבלת פרמטרים'!$M$5),'טבלת פרמטרים'!$N$5,IF(EXACT(P142,'טבלת פרמטרים'!$M$6),'טבלת פרמטרים'!$N$6,IF(EXACT(P142,'טבלת פרמטרים'!$M$7),'טבלת פרמטרים'!$N$7,IF(EXACT(P142,'טבלת פרמטרים'!$M$8),'טבלת פרמטרים'!$N$8,IF(EXACT(P142,'טבלת פרמטרים'!$M$9),'טבלת פרמטרים'!$N$9,""))))))))</f>
        <v/>
      </c>
      <c r="T142" s="19">
        <f>IF(EXACT(Q142,'טבלת פרמטרים'!$O$2),'טבלת פרמטרים'!$P$2,IF(EXACT(Q142,'טבלת פרמטרים'!$O$3),'טבלת פרמטרים'!$P$3,IF(EXACT(Q142,'טבלת פרמטרים'!$O$4),'טבלת פרמטרים'!$P$4,IF(EXACT(Q142,'טבלת פרמטרים'!$O$5),'טבלת פרמטרים'!$P$5,IF(EXACT(Q142,'טבלת פרמטרים'!$O$6),'טבלת פרמטרים'!$P$6,IF(EXACT(Q142,'טבלת פרמטרים'!$O$7),'טבלת פרמטרים'!$P$7,""))))))</f>
        <v>0</v>
      </c>
    </row>
    <row r="143" spans="1:20" x14ac:dyDescent="0.2">
      <c r="A143" s="18">
        <v>143</v>
      </c>
      <c r="B143" s="30">
        <v>43520</v>
      </c>
      <c r="C143" s="30">
        <v>43520</v>
      </c>
      <c r="D143" s="21" t="s">
        <v>13</v>
      </c>
      <c r="E143" s="21" t="s">
        <v>20</v>
      </c>
      <c r="F143" s="21" t="s">
        <v>23</v>
      </c>
      <c r="G143" s="21" t="s">
        <v>26</v>
      </c>
      <c r="H143" s="21" t="s">
        <v>30</v>
      </c>
      <c r="I143" s="21" t="s">
        <v>126</v>
      </c>
      <c r="J143" s="21" t="s">
        <v>33</v>
      </c>
      <c r="K143" s="21" t="s">
        <v>45</v>
      </c>
      <c r="L143" s="21" t="s">
        <v>51</v>
      </c>
      <c r="M143" s="21" t="s">
        <v>53</v>
      </c>
      <c r="N143" s="21" t="s">
        <v>58</v>
      </c>
      <c r="O143" s="19">
        <f>IF(ISBLANK(D143),"",IF(D143='טבלת פרמטרים'!$A$9,1,0)+IF(E143='טבלת פרמטרים'!$B$5,2,1)+IF(F143='טבלת פרמטרים'!$C$5,3,IF(F143='טבלת פרמטרים'!$C$4,1,0))+IF(G143='טבלת פרמטרים'!$D$3,2,0)+IF(M143='טבלת פרמטרים'!$J$4,2,IF(M143='טבלת פרמטרים'!$J$3,1,0))+IF(N143='טבלת פרמטרים'!$K$6,3,IF(OR(N143='טבלת פרמטרים'!$K$4,N143='טבלת פרמטרים'!$K$5),2,IF(N143='טבלת פרמטרים'!$K$3,1,0))))</f>
        <v>2</v>
      </c>
      <c r="Q143" s="20" t="s">
        <v>123</v>
      </c>
      <c r="R143" s="19">
        <f t="shared" si="2"/>
        <v>2</v>
      </c>
      <c r="S143" s="19" t="str">
        <f>IF(EXACT(P143,'טבלת פרמטרים'!$M$2),'טבלת פרמטרים'!$N$2,IF(EXACT(P143,'טבלת פרמטרים'!$M$3),'טבלת פרמטרים'!$N$3,IF(EXACT(P143,'טבלת פרמטרים'!$M$4),'טבלת פרמטרים'!$N$4,IF(EXACT(P143,'טבלת פרמטרים'!$M$5),'טבלת פרמטרים'!$N$5,IF(EXACT(P143,'טבלת פרמטרים'!$M$6),'טבלת פרמטרים'!$N$6,IF(EXACT(P143,'טבלת פרמטרים'!$M$7),'טבלת פרמטרים'!$N$7,IF(EXACT(P143,'טבלת פרמטרים'!$M$8),'טבלת פרמטרים'!$N$8,IF(EXACT(P143,'טבלת פרמטרים'!$M$9),'טבלת פרמטרים'!$N$9,""))))))))</f>
        <v/>
      </c>
      <c r="T143" s="19">
        <f>IF(EXACT(Q143,'טבלת פרמטרים'!$O$2),'טבלת פרמטרים'!$P$2,IF(EXACT(Q143,'טבלת פרמטרים'!$O$3),'טבלת פרמטרים'!$P$3,IF(EXACT(Q143,'טבלת פרמטרים'!$O$4),'טבלת פרמטרים'!$P$4,IF(EXACT(Q143,'טבלת פרמטרים'!$O$5),'טבלת פרמטרים'!$P$5,IF(EXACT(Q143,'טבלת פרמטרים'!$O$6),'טבלת פרמטרים'!$P$6,IF(EXACT(Q143,'טבלת פרמטרים'!$O$7),'טבלת פרמטרים'!$P$7,""))))))</f>
        <v>0</v>
      </c>
    </row>
    <row r="144" spans="1:20" x14ac:dyDescent="0.2">
      <c r="A144" s="18">
        <v>144</v>
      </c>
      <c r="B144" s="30">
        <v>43516</v>
      </c>
      <c r="C144" s="30">
        <v>43515</v>
      </c>
      <c r="D144" s="21" t="s">
        <v>14</v>
      </c>
      <c r="E144" s="21" t="s">
        <v>20</v>
      </c>
      <c r="F144" s="21" t="s">
        <v>23</v>
      </c>
      <c r="G144" s="21" t="s">
        <v>26</v>
      </c>
      <c r="H144" s="21" t="s">
        <v>32</v>
      </c>
      <c r="I144" s="21" t="s">
        <v>126</v>
      </c>
      <c r="J144" s="21" t="s">
        <v>63</v>
      </c>
      <c r="K144" s="21" t="s">
        <v>43</v>
      </c>
      <c r="L144" s="21" t="s">
        <v>51</v>
      </c>
      <c r="M144" s="21" t="s">
        <v>54</v>
      </c>
      <c r="N144" s="21" t="s">
        <v>112</v>
      </c>
      <c r="O144" s="19">
        <f>IF(ISBLANK(D144),"",IF(D144='טבלת פרמטרים'!$A$9,1,0)+IF(E144='טבלת פרמטרים'!$B$5,2,1)+IF(F144='טבלת פרמטרים'!$C$5,3,IF(F144='טבלת פרמטרים'!$C$4,1,0))+IF(G144='טבלת פרמטרים'!$D$3,2,0)+IF(M144='טבלת פרמטרים'!$J$4,2,IF(M144='טבלת פרמטרים'!$J$3,1,0))+IF(N144='טבלת פרמטרים'!$K$6,3,IF(OR(N144='טבלת פרמטרים'!$K$4,N144='טבלת פרמטרים'!$K$5),2,IF(N144='טבלת פרמטרים'!$K$3,1,0))))</f>
        <v>4</v>
      </c>
      <c r="Q144" s="20" t="s">
        <v>123</v>
      </c>
      <c r="R144" s="19">
        <f t="shared" si="2"/>
        <v>4</v>
      </c>
      <c r="S144" s="19" t="str">
        <f>IF(EXACT(P144,'טבלת פרמטרים'!$M$2),'טבלת פרמטרים'!$N$2,IF(EXACT(P144,'טבלת פרמטרים'!$M$3),'טבלת פרמטרים'!$N$3,IF(EXACT(P144,'טבלת פרמטרים'!$M$4),'טבלת פרמטרים'!$N$4,IF(EXACT(P144,'טבלת פרמטרים'!$M$5),'טבלת פרמטרים'!$N$5,IF(EXACT(P144,'טבלת פרמטרים'!$M$6),'טבלת פרמטרים'!$N$6,IF(EXACT(P144,'טבלת פרמטרים'!$M$7),'טבלת פרמטרים'!$N$7,IF(EXACT(P144,'טבלת פרמטרים'!$M$8),'טבלת פרמטרים'!$N$8,IF(EXACT(P144,'טבלת פרמטרים'!$M$9),'טבלת פרמטרים'!$N$9,""))))))))</f>
        <v/>
      </c>
      <c r="T144" s="19">
        <f>IF(EXACT(Q144,'טבלת פרמטרים'!$O$2),'טבלת פרמטרים'!$P$2,IF(EXACT(Q144,'טבלת פרמטרים'!$O$3),'טבלת פרמטרים'!$P$3,IF(EXACT(Q144,'טבלת פרמטרים'!$O$4),'טבלת פרמטרים'!$P$4,IF(EXACT(Q144,'טבלת פרמטרים'!$O$5),'טבלת פרמטרים'!$P$5,IF(EXACT(Q144,'טבלת פרמטרים'!$O$6),'טבלת פרמטרים'!$P$6,IF(EXACT(Q144,'טבלת פרמטרים'!$O$7),'טבלת פרמטרים'!$P$7,""))))))</f>
        <v>0</v>
      </c>
    </row>
    <row r="145" spans="1:20" x14ac:dyDescent="0.2">
      <c r="A145" s="18">
        <v>145</v>
      </c>
      <c r="B145" s="30">
        <v>43516</v>
      </c>
      <c r="C145" s="30">
        <v>43516</v>
      </c>
      <c r="D145" s="21" t="s">
        <v>12</v>
      </c>
      <c r="E145" s="21" t="s">
        <v>21</v>
      </c>
      <c r="F145" s="21" t="s">
        <v>23</v>
      </c>
      <c r="G145" s="21" t="s">
        <v>26</v>
      </c>
      <c r="H145" s="21" t="s">
        <v>30</v>
      </c>
      <c r="I145" s="21" t="s">
        <v>126</v>
      </c>
      <c r="J145" s="21" t="s">
        <v>63</v>
      </c>
      <c r="K145" s="21" t="s">
        <v>44</v>
      </c>
      <c r="L145" s="21" t="s">
        <v>51</v>
      </c>
      <c r="M145" s="21" t="s">
        <v>53</v>
      </c>
      <c r="N145" s="21" t="s">
        <v>58</v>
      </c>
      <c r="O145" s="19">
        <f>IF(ISBLANK(D145),"",IF(D145='טבלת פרמטרים'!$A$9,1,0)+IF(E145='טבלת פרמטרים'!$B$5,2,1)+IF(F145='טבלת פרמטרים'!$C$5,3,IF(F145='טבלת פרמטרים'!$C$4,1,0))+IF(G145='טבלת פרמטרים'!$D$3,2,0)+IF(M145='טבלת פרמטרים'!$J$4,2,IF(M145='טבלת פרמטרים'!$J$3,1,0))+IF(N145='טבלת פרמטרים'!$K$6,3,IF(OR(N145='טבלת פרמטרים'!$K$4,N145='טבלת פרמטרים'!$K$5),2,IF(N145='טבלת פרמטרים'!$K$3,1,0))))</f>
        <v>2</v>
      </c>
      <c r="Q145" s="20" t="s">
        <v>123</v>
      </c>
      <c r="R145" s="19">
        <f t="shared" si="2"/>
        <v>2</v>
      </c>
      <c r="S145" s="19" t="str">
        <f>IF(EXACT(P145,'טבלת פרמטרים'!$M$2),'טבלת פרמטרים'!$N$2,IF(EXACT(P145,'טבלת פרמטרים'!$M$3),'טבלת פרמטרים'!$N$3,IF(EXACT(P145,'טבלת פרמטרים'!$M$4),'טבלת פרמטרים'!$N$4,IF(EXACT(P145,'טבלת פרמטרים'!$M$5),'טבלת פרמטרים'!$N$5,IF(EXACT(P145,'טבלת פרמטרים'!$M$6),'טבלת פרמטרים'!$N$6,IF(EXACT(P145,'טבלת פרמטרים'!$M$7),'טבלת פרמטרים'!$N$7,IF(EXACT(P145,'טבלת פרמטרים'!$M$8),'טבלת פרמטרים'!$N$8,IF(EXACT(P145,'טבלת פרמטרים'!$M$9),'טבלת פרמטרים'!$N$9,""))))))))</f>
        <v/>
      </c>
      <c r="T145" s="19">
        <f>IF(EXACT(Q145,'טבלת פרמטרים'!$O$2),'טבלת פרמטרים'!$P$2,IF(EXACT(Q145,'טבלת פרמטרים'!$O$3),'טבלת פרמטרים'!$P$3,IF(EXACT(Q145,'טבלת פרמטרים'!$O$4),'טבלת פרמטרים'!$P$4,IF(EXACT(Q145,'טבלת פרמטרים'!$O$5),'טבלת פרמטרים'!$P$5,IF(EXACT(Q145,'טבלת פרמטרים'!$O$6),'טבלת פרמטרים'!$P$6,IF(EXACT(Q145,'טבלת פרמטרים'!$O$7),'טבלת פרמטרים'!$P$7,""))))))</f>
        <v>0</v>
      </c>
    </row>
    <row r="146" spans="1:20" x14ac:dyDescent="0.2">
      <c r="A146" s="18">
        <v>146</v>
      </c>
      <c r="B146" s="30">
        <v>43474</v>
      </c>
      <c r="C146" s="30">
        <v>43474</v>
      </c>
      <c r="D146" s="21" t="s">
        <v>15</v>
      </c>
      <c r="E146" s="21" t="s">
        <v>20</v>
      </c>
      <c r="F146" s="21" t="s">
        <v>23</v>
      </c>
      <c r="G146" s="21" t="s">
        <v>26</v>
      </c>
      <c r="H146" s="21" t="s">
        <v>30</v>
      </c>
      <c r="I146" s="21" t="s">
        <v>126</v>
      </c>
      <c r="J146" s="21" t="s">
        <v>35</v>
      </c>
      <c r="K146" s="21" t="s">
        <v>44</v>
      </c>
      <c r="L146" s="21" t="s">
        <v>51</v>
      </c>
      <c r="M146" s="21" t="s">
        <v>54</v>
      </c>
      <c r="N146" s="21" t="s">
        <v>58</v>
      </c>
      <c r="O146" s="19">
        <f>IF(ISBLANK(D146),"",IF(D146='טבלת פרמטרים'!$A$9,1,0)+IF(E146='טבלת פרמטרים'!$B$5,2,1)+IF(F146='טבלת פרמטרים'!$C$5,3,IF(F146='טבלת פרמטרים'!$C$4,1,0))+IF(G146='טבלת פרמטרים'!$D$3,2,0)+IF(M146='טבלת פרמטרים'!$J$4,2,IF(M146='טבלת פרמטרים'!$J$3,1,0))+IF(N146='טבלת פרמטרים'!$K$6,3,IF(OR(N146='טבלת פרמטרים'!$K$4,N146='טבלת פרמטרים'!$K$5),2,IF(N146='טבלת פרמטרים'!$K$3,1,0))))</f>
        <v>3</v>
      </c>
      <c r="Q146" s="20" t="s">
        <v>123</v>
      </c>
      <c r="R146" s="19">
        <f t="shared" si="2"/>
        <v>3</v>
      </c>
      <c r="S146" s="19" t="str">
        <f>IF(EXACT(P146,'טבלת פרמטרים'!$M$2),'טבלת פרמטרים'!$N$2,IF(EXACT(P146,'טבלת פרמטרים'!$M$3),'טבלת פרמטרים'!$N$3,IF(EXACT(P146,'טבלת פרמטרים'!$M$4),'טבלת פרמטרים'!$N$4,IF(EXACT(P146,'טבלת פרמטרים'!$M$5),'טבלת פרמטרים'!$N$5,IF(EXACT(P146,'טבלת פרמטרים'!$M$6),'טבלת פרמטרים'!$N$6,IF(EXACT(P146,'טבלת פרמטרים'!$M$7),'טבלת פרמטרים'!$N$7,IF(EXACT(P146,'טבלת פרמטרים'!$M$8),'טבלת פרמטרים'!$N$8,IF(EXACT(P146,'טבלת פרמטרים'!$M$9),'טבלת פרמטרים'!$N$9,""))))))))</f>
        <v/>
      </c>
      <c r="T146" s="19">
        <f>IF(EXACT(Q146,'טבלת פרמטרים'!$O$2),'טבלת פרמטרים'!$P$2,IF(EXACT(Q146,'טבלת פרמטרים'!$O$3),'טבלת פרמטרים'!$P$3,IF(EXACT(Q146,'טבלת פרמטרים'!$O$4),'טבלת פרמטרים'!$P$4,IF(EXACT(Q146,'טבלת פרמטרים'!$O$5),'טבלת פרמטרים'!$P$5,IF(EXACT(Q146,'טבלת פרמטרים'!$O$6),'טבלת פרמטרים'!$P$6,IF(EXACT(Q146,'טבלת פרמטרים'!$O$7),'טבלת פרמטרים'!$P$7,""))))))</f>
        <v>0</v>
      </c>
    </row>
    <row r="147" spans="1:20" x14ac:dyDescent="0.2">
      <c r="A147" s="18">
        <v>147</v>
      </c>
      <c r="B147" s="30">
        <v>43506</v>
      </c>
      <c r="C147" s="30">
        <v>43506</v>
      </c>
      <c r="D147" s="21" t="s">
        <v>14</v>
      </c>
      <c r="E147" s="21" t="s">
        <v>111</v>
      </c>
      <c r="F147" s="21" t="s">
        <v>23</v>
      </c>
      <c r="G147" s="21" t="s">
        <v>26</v>
      </c>
      <c r="H147" s="21" t="s">
        <v>30</v>
      </c>
      <c r="I147" s="21" t="s">
        <v>126</v>
      </c>
      <c r="J147" s="21" t="s">
        <v>63</v>
      </c>
      <c r="K147" s="21" t="s">
        <v>45</v>
      </c>
      <c r="L147" s="21" t="s">
        <v>51</v>
      </c>
      <c r="M147" s="21" t="s">
        <v>54</v>
      </c>
      <c r="N147" s="21" t="s">
        <v>58</v>
      </c>
      <c r="O147" s="19">
        <f>IF(ISBLANK(D147),"",IF(D147='טבלת פרמטרים'!$A$9,1,0)+IF(E147='טבלת פרמטרים'!$B$5,2,1)+IF(F147='טבלת פרמטרים'!$C$5,3,IF(F147='טבלת פרמטרים'!$C$4,1,0))+IF(G147='טבלת פרמטרים'!$D$3,2,0)+IF(M147='טבלת פרמטרים'!$J$4,2,IF(M147='טבלת פרמטרים'!$J$3,1,0))+IF(N147='טבלת פרמטרים'!$K$6,3,IF(OR(N147='טבלת פרמטרים'!$K$4,N147='טבלת פרמטרים'!$K$5),2,IF(N147='טבלת פרמטרים'!$K$3,1,0))))</f>
        <v>3</v>
      </c>
      <c r="Q147" s="20" t="s">
        <v>123</v>
      </c>
      <c r="R147" s="19">
        <f t="shared" si="2"/>
        <v>3</v>
      </c>
      <c r="S147" s="19" t="str">
        <f>IF(EXACT(P147,'טבלת פרמטרים'!$M$2),'טבלת פרמטרים'!$N$2,IF(EXACT(P147,'טבלת פרמטרים'!$M$3),'טבלת פרמטרים'!$N$3,IF(EXACT(P147,'טבלת פרמטרים'!$M$4),'טבלת פרמטרים'!$N$4,IF(EXACT(P147,'טבלת פרמטרים'!$M$5),'טבלת פרמטרים'!$N$5,IF(EXACT(P147,'טבלת פרמטרים'!$M$6),'טבלת פרמטרים'!$N$6,IF(EXACT(P147,'טבלת פרמטרים'!$M$7),'טבלת פרמטרים'!$N$7,IF(EXACT(P147,'טבלת פרמטרים'!$M$8),'טבלת פרמטרים'!$N$8,IF(EXACT(P147,'טבלת פרמטרים'!$M$9),'טבלת פרמטרים'!$N$9,""))))))))</f>
        <v/>
      </c>
      <c r="T147" s="19">
        <f>IF(EXACT(Q147,'טבלת פרמטרים'!$O$2),'טבלת פרמטרים'!$P$2,IF(EXACT(Q147,'טבלת פרמטרים'!$O$3),'טבלת פרמטרים'!$P$3,IF(EXACT(Q147,'טבלת פרמטרים'!$O$4),'טבלת פרמטרים'!$P$4,IF(EXACT(Q147,'טבלת פרמטרים'!$O$5),'טבלת פרמטרים'!$P$5,IF(EXACT(Q147,'טבלת פרמטרים'!$O$6),'טבלת פרמטרים'!$P$6,IF(EXACT(Q147,'טבלת פרמטרים'!$O$7),'טבלת פרמטרים'!$P$7,""))))))</f>
        <v>0</v>
      </c>
    </row>
    <row r="148" spans="1:20" x14ac:dyDescent="0.2">
      <c r="A148" s="18">
        <v>148</v>
      </c>
      <c r="B148" s="30">
        <v>43509</v>
      </c>
      <c r="C148" s="30">
        <v>43509</v>
      </c>
      <c r="D148" s="21" t="s">
        <v>14</v>
      </c>
      <c r="E148" s="21" t="s">
        <v>111</v>
      </c>
      <c r="F148" s="21" t="s">
        <v>23</v>
      </c>
      <c r="G148" s="21" t="s">
        <v>26</v>
      </c>
      <c r="H148" s="21" t="s">
        <v>30</v>
      </c>
      <c r="I148" s="21" t="s">
        <v>126</v>
      </c>
      <c r="J148" s="21" t="s">
        <v>35</v>
      </c>
      <c r="K148" s="21" t="s">
        <v>43</v>
      </c>
      <c r="L148" s="21" t="s">
        <v>51</v>
      </c>
      <c r="M148" s="21" t="s">
        <v>53</v>
      </c>
      <c r="N148" s="21" t="s">
        <v>58</v>
      </c>
      <c r="O148" s="19">
        <f>IF(ISBLANK(D148),"",IF(D148='טבלת פרמטרים'!$A$9,1,0)+IF(E148='טבלת פרמטרים'!$B$5,2,1)+IF(F148='טבלת פרמטרים'!$C$5,3,IF(F148='טבלת פרמטרים'!$C$4,1,0))+IF(G148='טבלת פרמטרים'!$D$3,2,0)+IF(M148='טבלת פרמטרים'!$J$4,2,IF(M148='טבלת פרמטרים'!$J$3,1,0))+IF(N148='טבלת פרמטרים'!$K$6,3,IF(OR(N148='טבלת פרמטרים'!$K$4,N148='טבלת פרמטרים'!$K$5),2,IF(N148='טבלת פרמטרים'!$K$3,1,0))))</f>
        <v>2</v>
      </c>
      <c r="Q148" s="20" t="s">
        <v>123</v>
      </c>
      <c r="R148" s="19">
        <f t="shared" si="2"/>
        <v>2</v>
      </c>
      <c r="S148" s="19" t="str">
        <f>IF(EXACT(P148,'טבלת פרמטרים'!$M$2),'טבלת פרמטרים'!$N$2,IF(EXACT(P148,'טבלת פרמטרים'!$M$3),'טבלת פרמטרים'!$N$3,IF(EXACT(P148,'טבלת פרמטרים'!$M$4),'טבלת פרמטרים'!$N$4,IF(EXACT(P148,'טבלת פרמטרים'!$M$5),'טבלת פרמטרים'!$N$5,IF(EXACT(P148,'טבלת פרמטרים'!$M$6),'טבלת פרמטרים'!$N$6,IF(EXACT(P148,'טבלת פרמטרים'!$M$7),'טבלת פרמטרים'!$N$7,IF(EXACT(P148,'טבלת פרמטרים'!$M$8),'טבלת פרמטרים'!$N$8,IF(EXACT(P148,'טבלת פרמטרים'!$M$9),'טבלת פרמטרים'!$N$9,""))))))))</f>
        <v/>
      </c>
      <c r="T148" s="19">
        <f>IF(EXACT(Q148,'טבלת פרמטרים'!$O$2),'טבלת פרמטרים'!$P$2,IF(EXACT(Q148,'טבלת פרמטרים'!$O$3),'טבלת פרמטרים'!$P$3,IF(EXACT(Q148,'טבלת פרמטרים'!$O$4),'טבלת פרמטרים'!$P$4,IF(EXACT(Q148,'טבלת פרמטרים'!$O$5),'טבלת פרמטרים'!$P$5,IF(EXACT(Q148,'טבלת פרמטרים'!$O$6),'טבלת פרמטרים'!$P$6,IF(EXACT(Q148,'טבלת פרמטרים'!$O$7),'טבלת פרמטרים'!$P$7,""))))))</f>
        <v>0</v>
      </c>
    </row>
    <row r="149" spans="1:20" x14ac:dyDescent="0.2">
      <c r="A149" s="18">
        <v>149</v>
      </c>
      <c r="B149" s="30">
        <v>43513</v>
      </c>
      <c r="C149" s="30">
        <v>43513</v>
      </c>
      <c r="D149" s="21" t="s">
        <v>16</v>
      </c>
      <c r="E149" s="21" t="s">
        <v>20</v>
      </c>
      <c r="F149" s="21" t="s">
        <v>23</v>
      </c>
      <c r="G149" s="21" t="s">
        <v>26</v>
      </c>
      <c r="H149" s="21" t="s">
        <v>30</v>
      </c>
      <c r="I149" s="21" t="s">
        <v>126</v>
      </c>
      <c r="J149" s="21" t="s">
        <v>33</v>
      </c>
      <c r="K149" s="21" t="s">
        <v>47</v>
      </c>
      <c r="L149" s="21" t="s">
        <v>51</v>
      </c>
      <c r="M149" s="21" t="s">
        <v>54</v>
      </c>
      <c r="N149" s="21" t="s">
        <v>58</v>
      </c>
      <c r="O149" s="19">
        <f>IF(ISBLANK(D149),"",IF(D149='טבלת פרמטרים'!$A$9,1,0)+IF(E149='טבלת פרמטרים'!$B$5,2,1)+IF(F149='טבלת פרמטרים'!$C$5,3,IF(F149='טבלת פרמטרים'!$C$4,1,0))+IF(G149='טבלת פרמטרים'!$D$3,2,0)+IF(M149='טבלת פרמטרים'!$J$4,2,IF(M149='טבלת פרמטרים'!$J$3,1,0))+IF(N149='טבלת פרמטרים'!$K$6,3,IF(OR(N149='טבלת פרמטרים'!$K$4,N149='טבלת פרמטרים'!$K$5),2,IF(N149='טבלת פרמטרים'!$K$3,1,0))))</f>
        <v>3</v>
      </c>
      <c r="Q149" s="20" t="s">
        <v>123</v>
      </c>
      <c r="R149" s="19">
        <f t="shared" si="2"/>
        <v>3</v>
      </c>
      <c r="S149" s="19" t="str">
        <f>IF(EXACT(P149,'טבלת פרמטרים'!$M$2),'טבלת פרמטרים'!$N$2,IF(EXACT(P149,'טבלת פרמטרים'!$M$3),'טבלת פרמטרים'!$N$3,IF(EXACT(P149,'טבלת פרמטרים'!$M$4),'טבלת פרמטרים'!$N$4,IF(EXACT(P149,'טבלת פרמטרים'!$M$5),'טבלת פרמטרים'!$N$5,IF(EXACT(P149,'טבלת פרמטרים'!$M$6),'טבלת פרמטרים'!$N$6,IF(EXACT(P149,'טבלת פרמטרים'!$M$7),'טבלת פרמטרים'!$N$7,IF(EXACT(P149,'טבלת פרמטרים'!$M$8),'טבלת פרמטרים'!$N$8,IF(EXACT(P149,'טבלת פרמטרים'!$M$9),'טבלת פרמטרים'!$N$9,""))))))))</f>
        <v/>
      </c>
      <c r="T149" s="19">
        <f>IF(EXACT(Q149,'טבלת פרמטרים'!$O$2),'טבלת פרמטרים'!$P$2,IF(EXACT(Q149,'טבלת פרמטרים'!$O$3),'טבלת פרמטרים'!$P$3,IF(EXACT(Q149,'טבלת פרמטרים'!$O$4),'טבלת פרמטרים'!$P$4,IF(EXACT(Q149,'טבלת פרמטרים'!$O$5),'טבלת פרמטרים'!$P$5,IF(EXACT(Q149,'טבלת פרמטרים'!$O$6),'טבלת פרמטרים'!$P$6,IF(EXACT(Q149,'טבלת פרמטרים'!$O$7),'טבלת פרמטרים'!$P$7,""))))))</f>
        <v>0</v>
      </c>
    </row>
    <row r="150" spans="1:20" x14ac:dyDescent="0.2">
      <c r="A150" s="18">
        <v>150</v>
      </c>
      <c r="B150" s="30">
        <v>43514</v>
      </c>
      <c r="C150" s="30">
        <v>43514</v>
      </c>
      <c r="D150" s="21" t="s">
        <v>10</v>
      </c>
      <c r="E150" s="21" t="s">
        <v>20</v>
      </c>
      <c r="F150" s="21" t="s">
        <v>23</v>
      </c>
      <c r="G150" s="21" t="s">
        <v>26</v>
      </c>
      <c r="H150" s="21" t="s">
        <v>29</v>
      </c>
      <c r="I150" s="21" t="s">
        <v>126</v>
      </c>
      <c r="J150" s="21" t="s">
        <v>63</v>
      </c>
      <c r="K150" s="21" t="s">
        <v>44</v>
      </c>
      <c r="L150" s="21" t="s">
        <v>51</v>
      </c>
      <c r="M150" s="21" t="s">
        <v>54</v>
      </c>
      <c r="N150" s="21" t="s">
        <v>58</v>
      </c>
      <c r="O150" s="19">
        <f>IF(ISBLANK(D150),"",IF(D150='טבלת פרמטרים'!$A$9,1,0)+IF(E150='טבלת פרמטרים'!$B$5,2,1)+IF(F150='טבלת פרמטרים'!$C$5,3,IF(F150='טבלת פרמטרים'!$C$4,1,0))+IF(G150='טבלת פרמטרים'!$D$3,2,0)+IF(M150='טבלת פרמטרים'!$J$4,2,IF(M150='טבלת פרמטרים'!$J$3,1,0))+IF(N150='טבלת פרמטרים'!$K$6,3,IF(OR(N150='טבלת פרמטרים'!$K$4,N150='טבלת פרמטרים'!$K$5),2,IF(N150='טבלת פרמטרים'!$K$3,1,0))))</f>
        <v>3</v>
      </c>
      <c r="Q150" s="20" t="s">
        <v>123</v>
      </c>
      <c r="R150" s="19">
        <f t="shared" si="2"/>
        <v>3</v>
      </c>
      <c r="S150" s="19" t="str">
        <f>IF(EXACT(P150,'טבלת פרמטרים'!$M$2),'טבלת פרמטרים'!$N$2,IF(EXACT(P150,'טבלת פרמטרים'!$M$3),'טבלת פרמטרים'!$N$3,IF(EXACT(P150,'טבלת פרמטרים'!$M$4),'טבלת פרמטרים'!$N$4,IF(EXACT(P150,'טבלת פרמטרים'!$M$5),'טבלת פרמטרים'!$N$5,IF(EXACT(P150,'טבלת פרמטרים'!$M$6),'טבלת פרמטרים'!$N$6,IF(EXACT(P150,'טבלת פרמטרים'!$M$7),'טבלת פרמטרים'!$N$7,IF(EXACT(P150,'טבלת פרמטרים'!$M$8),'טבלת פרמטרים'!$N$8,IF(EXACT(P150,'טבלת פרמטרים'!$M$9),'טבלת פרמטרים'!$N$9,""))))))))</f>
        <v/>
      </c>
      <c r="T150" s="19">
        <f>IF(EXACT(Q150,'טבלת פרמטרים'!$O$2),'טבלת פרמטרים'!$P$2,IF(EXACT(Q150,'טבלת פרמטרים'!$O$3),'טבלת פרמטרים'!$P$3,IF(EXACT(Q150,'טבלת פרמטרים'!$O$4),'טבלת פרמטרים'!$P$4,IF(EXACT(Q150,'טבלת פרמטרים'!$O$5),'טבלת פרמטרים'!$P$5,IF(EXACT(Q150,'טבלת פרמטרים'!$O$6),'טבלת פרמטרים'!$P$6,IF(EXACT(Q150,'טבלת פרמטרים'!$O$7),'טבלת פרמטרים'!$P$7,""))))))</f>
        <v>0</v>
      </c>
    </row>
    <row r="151" spans="1:20" x14ac:dyDescent="0.2">
      <c r="A151" s="18">
        <v>151</v>
      </c>
      <c r="B151" s="30">
        <v>43528</v>
      </c>
      <c r="C151" s="30">
        <v>43528</v>
      </c>
      <c r="D151" s="21" t="s">
        <v>13</v>
      </c>
      <c r="E151" s="21" t="s">
        <v>20</v>
      </c>
      <c r="F151" s="21" t="s">
        <v>23</v>
      </c>
      <c r="G151" s="21" t="s">
        <v>26</v>
      </c>
      <c r="H151" s="21" t="s">
        <v>30</v>
      </c>
      <c r="I151" s="21" t="s">
        <v>126</v>
      </c>
      <c r="J151" s="21" t="s">
        <v>63</v>
      </c>
      <c r="K151" s="21" t="s">
        <v>45</v>
      </c>
      <c r="L151" s="21" t="s">
        <v>51</v>
      </c>
      <c r="M151" s="21" t="s">
        <v>54</v>
      </c>
      <c r="N151" s="21" t="s">
        <v>58</v>
      </c>
      <c r="O151" s="19">
        <f>IF(ISBLANK(D151),"",IF(D151='טבלת פרמטרים'!$A$9,1,0)+IF(E151='טבלת פרמטרים'!$B$5,2,1)+IF(F151='טבלת פרמטרים'!$C$5,3,IF(F151='טבלת פרמטרים'!$C$4,1,0))+IF(G151='טבלת פרמטרים'!$D$3,2,0)+IF(M151='טבלת פרמטרים'!$J$4,2,IF(M151='טבלת פרמטרים'!$J$3,1,0))+IF(N151='טבלת פרמטרים'!$K$6,3,IF(OR(N151='טבלת פרמטרים'!$K$4,N151='טבלת פרמטרים'!$K$5),2,IF(N151='טבלת פרמטרים'!$K$3,1,0))))</f>
        <v>3</v>
      </c>
      <c r="Q151" s="20" t="s">
        <v>123</v>
      </c>
      <c r="R151" s="19">
        <f t="shared" si="2"/>
        <v>3</v>
      </c>
      <c r="S151" s="19" t="str">
        <f>IF(EXACT(P151,'טבלת פרמטרים'!$M$2),'טבלת פרמטרים'!$N$2,IF(EXACT(P151,'טבלת פרמטרים'!$M$3),'טבלת פרמטרים'!$N$3,IF(EXACT(P151,'טבלת פרמטרים'!$M$4),'טבלת פרמטרים'!$N$4,IF(EXACT(P151,'טבלת פרמטרים'!$M$5),'טבלת פרמטרים'!$N$5,IF(EXACT(P151,'טבלת פרמטרים'!$M$6),'טבלת פרמטרים'!$N$6,IF(EXACT(P151,'טבלת פרמטרים'!$M$7),'טבלת פרמטרים'!$N$7,IF(EXACT(P151,'טבלת פרמטרים'!$M$8),'טבלת פרמטרים'!$N$8,IF(EXACT(P151,'טבלת פרמטרים'!$M$9),'טבלת פרמטרים'!$N$9,""))))))))</f>
        <v/>
      </c>
      <c r="T151" s="19">
        <f>IF(EXACT(Q151,'טבלת פרמטרים'!$O$2),'טבלת פרמטרים'!$P$2,IF(EXACT(Q151,'טבלת פרמטרים'!$O$3),'טבלת פרמטרים'!$P$3,IF(EXACT(Q151,'טבלת פרמטרים'!$O$4),'טבלת פרמטרים'!$P$4,IF(EXACT(Q151,'טבלת פרמטרים'!$O$5),'טבלת פרמטרים'!$P$5,IF(EXACT(Q151,'טבלת פרמטרים'!$O$6),'טבלת פרמטרים'!$P$6,IF(EXACT(Q151,'טבלת פרמטרים'!$O$7),'טבלת פרמטרים'!$P$7,""))))))</f>
        <v>0</v>
      </c>
    </row>
    <row r="152" spans="1:20" x14ac:dyDescent="0.2">
      <c r="A152" s="18">
        <v>152</v>
      </c>
      <c r="B152" s="30">
        <v>43541</v>
      </c>
      <c r="C152" s="30">
        <v>43541</v>
      </c>
      <c r="D152" s="21" t="s">
        <v>19</v>
      </c>
      <c r="E152" s="21" t="s">
        <v>22</v>
      </c>
      <c r="F152" s="21" t="s">
        <v>24</v>
      </c>
      <c r="G152" s="21" t="s">
        <v>26</v>
      </c>
      <c r="H152" s="21" t="s">
        <v>28</v>
      </c>
      <c r="I152" s="21" t="s">
        <v>126</v>
      </c>
      <c r="J152" s="21" t="s">
        <v>63</v>
      </c>
      <c r="K152" s="21" t="s">
        <v>19</v>
      </c>
      <c r="M152" s="21" t="s">
        <v>53</v>
      </c>
      <c r="N152" s="21" t="s">
        <v>57</v>
      </c>
      <c r="O152" s="19">
        <f>IF(ISBLANK(D152),"",IF(D152='טבלת פרמטרים'!$A$9,1,0)+IF(E152='טבלת פרמטרים'!$B$5,2,1)+IF(F152='טבלת פרמטרים'!$C$5,3,IF(F152='טבלת פרמטרים'!$C$4,1,0))+IF(G152='טבלת פרמטרים'!$D$3,2,0)+IF(M152='טבלת פרמטרים'!$J$4,2,IF(M152='טבלת פרמטרים'!$J$3,1,0))+IF(N152='טבלת פרמטרים'!$K$6,3,IF(OR(N152='טבלת פרמטרים'!$K$4,N152='טבלת פרמטרים'!$K$5),2,IF(N152='טבלת פרמטרים'!$K$3,1,0))))</f>
        <v>3</v>
      </c>
      <c r="Q152" s="20" t="s">
        <v>123</v>
      </c>
      <c r="R152" s="19">
        <f t="shared" si="2"/>
        <v>3</v>
      </c>
      <c r="S152" s="19" t="str">
        <f>IF(EXACT(P152,'טבלת פרמטרים'!$M$2),'טבלת פרמטרים'!$N$2,IF(EXACT(P152,'טבלת פרמטרים'!$M$3),'טבלת פרמטרים'!$N$3,IF(EXACT(P152,'טבלת פרמטרים'!$M$4),'טבלת פרמטרים'!$N$4,IF(EXACT(P152,'טבלת פרמטרים'!$M$5),'טבלת פרמטרים'!$N$5,IF(EXACT(P152,'טבלת פרמטרים'!$M$6),'טבלת פרמטרים'!$N$6,IF(EXACT(P152,'טבלת פרמטרים'!$M$7),'טבלת פרמטרים'!$N$7,IF(EXACT(P152,'טבלת פרמטרים'!$M$8),'טבלת פרמטרים'!$N$8,IF(EXACT(P152,'טבלת פרמטרים'!$M$9),'טבלת פרמטרים'!$N$9,""))))))))</f>
        <v/>
      </c>
      <c r="T152" s="19">
        <f>IF(EXACT(Q152,'טבלת פרמטרים'!$O$2),'טבלת פרמטרים'!$P$2,IF(EXACT(Q152,'טבלת פרמטרים'!$O$3),'טבלת פרמטרים'!$P$3,IF(EXACT(Q152,'טבלת פרמטרים'!$O$4),'טבלת פרמטרים'!$P$4,IF(EXACT(Q152,'טבלת פרמטרים'!$O$5),'טבלת פרמטרים'!$P$5,IF(EXACT(Q152,'טבלת פרמטרים'!$O$6),'טבלת פרמטרים'!$P$6,IF(EXACT(Q152,'טבלת פרמטרים'!$O$7),'טבלת פרמטרים'!$P$7,""))))))</f>
        <v>0</v>
      </c>
    </row>
    <row r="153" spans="1:20" x14ac:dyDescent="0.2">
      <c r="A153" s="18">
        <v>153</v>
      </c>
      <c r="B153" s="30">
        <v>43541</v>
      </c>
      <c r="C153" s="30">
        <v>43541</v>
      </c>
      <c r="D153" s="21" t="s">
        <v>11</v>
      </c>
      <c r="E153" s="21" t="s">
        <v>20</v>
      </c>
      <c r="F153" s="21" t="s">
        <v>23</v>
      </c>
      <c r="G153" s="21" t="s">
        <v>26</v>
      </c>
      <c r="H153" s="21" t="s">
        <v>31</v>
      </c>
      <c r="I153" s="21" t="s">
        <v>126</v>
      </c>
      <c r="J153" s="21" t="s">
        <v>11</v>
      </c>
      <c r="K153" s="21" t="s">
        <v>43</v>
      </c>
      <c r="L153" s="21" t="s">
        <v>49</v>
      </c>
      <c r="M153" s="21" t="s">
        <v>53</v>
      </c>
      <c r="N153" s="21" t="s">
        <v>59</v>
      </c>
      <c r="O153" s="19">
        <f>IF(ISBLANK(D153),"",IF(D153='טבלת פרמטרים'!$A$9,1,0)+IF(E153='טבלת פרמטרים'!$B$5,2,1)+IF(F153='טבלת פרמטרים'!$C$5,3,IF(F153='טבלת פרמטרים'!$C$4,1,0))+IF(G153='טבלת פרמטרים'!$D$3,2,0)+IF(M153='טבלת פרמטרים'!$J$4,2,IF(M153='טבלת פרמטרים'!$J$3,1,0))+IF(N153='טבלת פרמטרים'!$K$6,3,IF(OR(N153='טבלת פרמטרים'!$K$4,N153='טבלת פרמטרים'!$K$5),2,IF(N153='טבלת פרמטרים'!$K$3,1,0))))</f>
        <v>3</v>
      </c>
      <c r="Q153" s="20" t="s">
        <v>123</v>
      </c>
      <c r="R153" s="19">
        <f>IF(ISNUMBER(T153),T153+O153,O153)</f>
        <v>3</v>
      </c>
      <c r="S153" s="19" t="str">
        <f>IF(EXACT(P153,'טבלת פרמטרים'!$M$2),'טבלת פרמטרים'!$N$2,IF(EXACT(P153,'טבלת פרמטרים'!$M$3),'טבלת פרמטרים'!$N$3,IF(EXACT(P153,'טבלת פרמטרים'!$M$4),'טבלת פרמטרים'!$N$4,IF(EXACT(P153,'טבלת פרמטרים'!$M$5),'טבלת פרמטרים'!$N$5,IF(EXACT(P153,'טבלת פרמטרים'!$M$6),'טבלת פרמטרים'!$N$6,IF(EXACT(P153,'טבלת פרמטרים'!$M$7),'טבלת פרמטרים'!$N$7,IF(EXACT(P153,'טבלת פרמטרים'!$M$8),'טבלת פרמטרים'!$N$8,IF(EXACT(P153,'טבלת פרמטרים'!$M$9),'טבלת פרמטרים'!$N$9,""))))))))</f>
        <v/>
      </c>
      <c r="T153" s="19">
        <f>IF(EXACT(Q153,'טבלת פרמטרים'!$O$2),'טבלת פרמטרים'!$P$2,IF(EXACT(Q153,'טבלת פרמטרים'!$O$3),'טבלת פרמטרים'!$P$3,IF(EXACT(Q153,'טבלת פרמטרים'!$O$4),'טבלת פרמטרים'!$P$4,IF(EXACT(Q153,'טבלת פרמטרים'!$O$5),'טבלת פרמטרים'!$P$5,IF(EXACT(Q153,'טבלת פרמטרים'!$O$6),'טבלת פרמטרים'!$P$6,IF(EXACT(Q153,'טבלת פרמטרים'!$O$7),'טבלת פרמטרים'!$P$7,""))))))</f>
        <v>0</v>
      </c>
    </row>
    <row r="154" spans="1:20" x14ac:dyDescent="0.2">
      <c r="A154" s="18">
        <v>154</v>
      </c>
      <c r="B154" s="30">
        <v>43551</v>
      </c>
      <c r="C154" s="30">
        <v>43551</v>
      </c>
      <c r="D154" s="21" t="s">
        <v>11</v>
      </c>
      <c r="E154" s="21" t="s">
        <v>111</v>
      </c>
      <c r="F154" s="21" t="s">
        <v>23</v>
      </c>
      <c r="G154" s="21" t="s">
        <v>26</v>
      </c>
      <c r="H154" s="21" t="s">
        <v>30</v>
      </c>
      <c r="I154" s="21" t="s">
        <v>126</v>
      </c>
      <c r="J154" s="21" t="s">
        <v>33</v>
      </c>
      <c r="K154" s="21" t="s">
        <v>46</v>
      </c>
      <c r="L154" s="21" t="s">
        <v>50</v>
      </c>
      <c r="M154" s="21" t="s">
        <v>53</v>
      </c>
      <c r="N154" s="21" t="s">
        <v>58</v>
      </c>
      <c r="O154" s="19">
        <f>IF(ISBLANK(D154),"",IF(D154='טבלת פרמטרים'!$A$9,1,0)+IF(E154='טבלת פרמטרים'!$B$5,2,1)+IF(F154='טבלת פרמטרים'!$C$5,3,IF(F154='טבלת פרמטרים'!$C$4,1,0))+IF(G154='טבלת פרמטרים'!$D$3,2,0)+IF(M154='טבלת פרמטרים'!$J$4,2,IF(M154='טבלת פרמטרים'!$J$3,1,0))+IF(N154='טבלת פרמטרים'!$K$6,3,IF(OR(N154='טבלת פרמטרים'!$K$4,N154='טבלת פרמטרים'!$K$5),2,IF(N154='טבלת פרמטרים'!$K$3,1,0))))</f>
        <v>2</v>
      </c>
      <c r="Q154" s="20" t="s">
        <v>123</v>
      </c>
      <c r="R154" s="19">
        <f t="shared" si="2"/>
        <v>2</v>
      </c>
      <c r="S154" s="19" t="str">
        <f>IF(EXACT(P154,'טבלת פרמטרים'!$M$2),'טבלת פרמטרים'!$N$2,IF(EXACT(P154,'טבלת פרמטרים'!$M$3),'טבלת פרמטרים'!$N$3,IF(EXACT(P154,'טבלת פרמטרים'!$M$4),'טבלת פרמטרים'!$N$4,IF(EXACT(P154,'טבלת פרמטרים'!$M$5),'טבלת פרמטרים'!$N$5,IF(EXACT(P154,'טבלת פרמטרים'!$M$6),'טבלת פרמטרים'!$N$6,IF(EXACT(P154,'טבלת פרמטרים'!$M$7),'טבלת פרמטרים'!$N$7,IF(EXACT(P154,'טבלת פרמטרים'!$M$8),'טבלת פרמטרים'!$N$8,IF(EXACT(P154,'טבלת פרמטרים'!$M$9),'טבלת פרמטרים'!$N$9,""))))))))</f>
        <v/>
      </c>
      <c r="T154" s="19">
        <f>IF(EXACT(Q154,'טבלת פרמטרים'!$O$2),'טבלת פרמטרים'!$P$2,IF(EXACT(Q154,'טבלת פרמטרים'!$O$3),'טבלת פרמטרים'!$P$3,IF(EXACT(Q154,'טבלת פרמטרים'!$O$4),'טבלת פרמטרים'!$P$4,IF(EXACT(Q154,'טבלת פרמטרים'!$O$5),'טבלת פרמטרים'!$P$5,IF(EXACT(Q154,'טבלת פרמטרים'!$O$6),'טבלת פרמטרים'!$P$6,IF(EXACT(Q154,'טבלת פרמטרים'!$O$7),'טבלת פרמטרים'!$P$7,""))))))</f>
        <v>0</v>
      </c>
    </row>
    <row r="155" spans="1:20" x14ac:dyDescent="0.2">
      <c r="A155" s="18">
        <v>155</v>
      </c>
      <c r="B155" s="30">
        <v>43551</v>
      </c>
      <c r="C155" s="30">
        <v>43551</v>
      </c>
      <c r="D155" s="21" t="s">
        <v>15</v>
      </c>
      <c r="E155" s="21" t="s">
        <v>111</v>
      </c>
      <c r="F155" s="21" t="s">
        <v>23</v>
      </c>
      <c r="G155" s="21" t="s">
        <v>26</v>
      </c>
      <c r="H155" s="21" t="s">
        <v>32</v>
      </c>
      <c r="I155" s="21" t="s">
        <v>126</v>
      </c>
      <c r="J155" s="21" t="s">
        <v>33</v>
      </c>
      <c r="K155" s="21" t="s">
        <v>46</v>
      </c>
      <c r="L155" s="21" t="s">
        <v>50</v>
      </c>
      <c r="M155" s="21" t="s">
        <v>55</v>
      </c>
      <c r="N155" s="21" t="s">
        <v>58</v>
      </c>
      <c r="O155" s="19">
        <f>IF(ISBLANK(D155),"",IF(D155='טבלת פרמטרים'!$A$9,1,0)+IF(E155='טבלת פרמטרים'!$B$5,2,1)+IF(F155='טבלת פרמטרים'!$C$5,3,IF(F155='טבלת פרמטרים'!$C$4,1,0))+IF(G155='טבלת פרמטרים'!$D$3,2,0)+IF(M155='טבלת פרמטרים'!$J$4,2,IF(M155='טבלת פרמטרים'!$J$3,1,0))+IF(N155='טבלת פרמטרים'!$K$6,3,IF(OR(N155='טבלת פרמטרים'!$K$4,N155='טבלת פרמטרים'!$K$5),2,IF(N155='טבלת פרמטרים'!$K$3,1,0))))</f>
        <v>4</v>
      </c>
      <c r="Q155" s="20" t="s">
        <v>123</v>
      </c>
      <c r="R155" s="19">
        <f t="shared" si="2"/>
        <v>4</v>
      </c>
      <c r="S155" s="19" t="str">
        <f>IF(EXACT(P155,'טבלת פרמטרים'!$M$2),'טבלת פרמטרים'!$N$2,IF(EXACT(P155,'טבלת פרמטרים'!$M$3),'טבלת פרמטרים'!$N$3,IF(EXACT(P155,'טבלת פרמטרים'!$M$4),'טבלת פרמטרים'!$N$4,IF(EXACT(P155,'טבלת פרמטרים'!$M$5),'טבלת פרמטרים'!$N$5,IF(EXACT(P155,'טבלת פרמטרים'!$M$6),'טבלת פרמטרים'!$N$6,IF(EXACT(P155,'טבלת פרמטרים'!$M$7),'טבלת פרמטרים'!$N$7,IF(EXACT(P155,'טבלת פרמטרים'!$M$8),'טבלת פרמטרים'!$N$8,IF(EXACT(P155,'טבלת פרמטרים'!$M$9),'טבלת פרמטרים'!$N$9,""))))))))</f>
        <v/>
      </c>
      <c r="T155" s="19">
        <f>IF(EXACT(Q155,'טבלת פרמטרים'!$O$2),'טבלת פרמטרים'!$P$2,IF(EXACT(Q155,'טבלת פרמטרים'!$O$3),'טבלת פרמטרים'!$P$3,IF(EXACT(Q155,'טבלת פרמטרים'!$O$4),'טבלת פרמטרים'!$P$4,IF(EXACT(Q155,'טבלת פרמטרים'!$O$5),'טבלת פרמטרים'!$P$5,IF(EXACT(Q155,'טבלת פרמטרים'!$O$6),'טבלת פרמטרים'!$P$6,IF(EXACT(Q155,'טבלת פרמטרים'!$O$7),'טבלת פרמטרים'!$P$7,""))))))</f>
        <v>0</v>
      </c>
    </row>
    <row r="156" spans="1:20" x14ac:dyDescent="0.2">
      <c r="A156" s="18">
        <v>156</v>
      </c>
      <c r="B156" s="30">
        <v>43557</v>
      </c>
      <c r="C156" s="30">
        <v>43557</v>
      </c>
      <c r="D156" s="21" t="s">
        <v>19</v>
      </c>
      <c r="E156" s="21" t="s">
        <v>22</v>
      </c>
      <c r="F156" s="21" t="s">
        <v>25</v>
      </c>
      <c r="G156" s="21" t="s">
        <v>27</v>
      </c>
      <c r="H156" s="21" t="s">
        <v>30</v>
      </c>
      <c r="I156" s="21" t="s">
        <v>126</v>
      </c>
      <c r="J156" s="21" t="s">
        <v>11</v>
      </c>
      <c r="K156" s="21" t="s">
        <v>43</v>
      </c>
      <c r="L156" s="21" t="s">
        <v>51</v>
      </c>
      <c r="M156" s="21" t="s">
        <v>55</v>
      </c>
      <c r="N156" s="21" t="s">
        <v>58</v>
      </c>
      <c r="O156" s="19">
        <f>IF(ISBLANK(D156),"",IF(D156='טבלת פרמטרים'!$A$9,1,0)+IF(E156='טבלת פרמטרים'!$B$5,2,1)+IF(F156='טבלת פרמטרים'!$C$5,3,IF(F156='טבלת פרמטרים'!$C$4,1,0))+IF(G156='טבלת פרמטרים'!$D$3,2,0)+IF(M156='טבלת פרמטרים'!$J$4,2,IF(M156='טבלת פרמטרים'!$J$3,1,0))+IF(N156='טבלת פרמטרים'!$K$6,3,IF(OR(N156='טבלת פרמטרים'!$K$4,N156='טבלת פרמטרים'!$K$5),2,IF(N156='טבלת פרמטרים'!$K$3,1,0))))</f>
        <v>10</v>
      </c>
      <c r="Q156" s="20" t="s">
        <v>123</v>
      </c>
      <c r="R156" s="19">
        <f t="shared" si="2"/>
        <v>10</v>
      </c>
      <c r="S156" s="19" t="str">
        <f>IF(EXACT(P156,'טבלת פרמטרים'!$M$2),'טבלת פרמטרים'!$N$2,IF(EXACT(P156,'טבלת פרמטרים'!$M$3),'טבלת פרמטרים'!$N$3,IF(EXACT(P156,'טבלת פרמטרים'!$M$4),'טבלת פרמטרים'!$N$4,IF(EXACT(P156,'טבלת פרמטרים'!$M$5),'טבלת פרמטרים'!$N$5,IF(EXACT(P156,'טבלת פרמטרים'!$M$6),'טבלת פרמטרים'!$N$6,IF(EXACT(P156,'טבלת פרמטרים'!$M$7),'טבלת פרמטרים'!$N$7,IF(EXACT(P156,'טבלת פרמטרים'!$M$8),'טבלת פרמטרים'!$N$8,IF(EXACT(P156,'טבלת פרמטרים'!$M$9),'טבלת פרמטרים'!$N$9,""))))))))</f>
        <v/>
      </c>
      <c r="T156" s="19">
        <f>IF(EXACT(Q156,'טבלת פרמטרים'!$O$2),'טבלת פרמטרים'!$P$2,IF(EXACT(Q156,'טבלת פרמטרים'!$O$3),'טבלת פרמטרים'!$P$3,IF(EXACT(Q156,'טבלת פרמטרים'!$O$4),'טבלת פרמטרים'!$P$4,IF(EXACT(Q156,'טבלת פרמטרים'!$O$5),'טבלת פרמטרים'!$P$5,IF(EXACT(Q156,'טבלת פרמטרים'!$O$6),'טבלת פרמטרים'!$P$6,IF(EXACT(Q156,'טבלת פרמטרים'!$O$7),'טבלת פרמטרים'!$P$7,""))))))</f>
        <v>0</v>
      </c>
    </row>
    <row r="157" spans="1:20" ht="28.5" x14ac:dyDescent="0.2">
      <c r="A157" s="18">
        <v>157</v>
      </c>
      <c r="B157" s="30">
        <v>43570</v>
      </c>
      <c r="C157" s="30">
        <v>43570</v>
      </c>
      <c r="D157" s="21" t="s">
        <v>17</v>
      </c>
      <c r="E157" s="21" t="s">
        <v>22</v>
      </c>
      <c r="F157" s="21" t="s">
        <v>24</v>
      </c>
      <c r="G157" s="21" t="s">
        <v>26</v>
      </c>
      <c r="H157" s="21" t="s">
        <v>29</v>
      </c>
      <c r="I157" s="21" t="s">
        <v>126</v>
      </c>
      <c r="J157" s="21" t="s">
        <v>34</v>
      </c>
      <c r="K157" s="21" t="s">
        <v>149</v>
      </c>
      <c r="L157" s="21" t="s">
        <v>50</v>
      </c>
      <c r="M157" s="21" t="s">
        <v>54</v>
      </c>
      <c r="N157" s="21" t="s">
        <v>58</v>
      </c>
      <c r="O157" s="19">
        <f>IF(ISBLANK(D157),"",IF(D157='טבלת פרמטרים'!$A$9,1,0)+IF(E157='טבלת פרמטרים'!$B$5,2,1)+IF(F157='טבלת פרמטרים'!$C$5,3,IF(F157='טבלת פרמטרים'!$C$4,1,0))+IF(G157='טבלת פרמטרים'!$D$3,2,0)+IF(M157='טבלת פרמטרים'!$J$4,2,IF(M157='טבלת פרמטרים'!$J$3,1,0))+IF(N157='טבלת פרמטרים'!$K$6,3,IF(OR(N157='טבלת פרמטרים'!$K$4,N157='טבלת פרמטרים'!$K$5),2,IF(N157='טבלת פרמטרים'!$K$3,1,0))))</f>
        <v>6</v>
      </c>
      <c r="Q157" s="20" t="s">
        <v>329</v>
      </c>
      <c r="R157" s="19">
        <f t="shared" si="2"/>
        <v>7</v>
      </c>
      <c r="S157" s="19" t="str">
        <f>IF(EXACT(P157,'טבלת פרמטרים'!$M$2),'טבלת פרמטרים'!$N$2,IF(EXACT(P157,'טבלת פרמטרים'!$M$3),'טבלת פרמטרים'!$N$3,IF(EXACT(P157,'טבלת פרמטרים'!$M$4),'טבלת פרמטרים'!$N$4,IF(EXACT(P157,'טבלת פרמטרים'!$M$5),'טבלת פרמטרים'!$N$5,IF(EXACT(P157,'טבלת פרמטרים'!$M$6),'טבלת פרמטרים'!$N$6,IF(EXACT(P157,'טבלת פרמטרים'!$M$7),'טבלת פרמטרים'!$N$7,IF(EXACT(P157,'טבלת פרמטרים'!$M$8),'טבלת פרמטרים'!$N$8,IF(EXACT(P157,'טבלת פרמטרים'!$M$9),'טבלת פרמטרים'!$N$9,""))))))))</f>
        <v/>
      </c>
      <c r="T157" s="19">
        <f>IF(EXACT(Q157,'טבלת פרמטרים'!$O$2),'טבלת פרמטרים'!$P$2,IF(EXACT(Q157,'טבלת פרמטרים'!$O$3),'טבלת פרמטרים'!$P$3,IF(EXACT(Q157,'טבלת פרמטרים'!$O$4),'טבלת פרמטרים'!$P$4,IF(EXACT(Q157,'טבלת פרמטרים'!$O$5),'טבלת פרמטרים'!$P$5,IF(EXACT(Q157,'טבלת פרמטרים'!$O$6),'טבלת פרמטרים'!$P$6,IF(EXACT(Q157,'טבלת פרמטרים'!$O$7),'טבלת פרמטרים'!$P$7,""))))))</f>
        <v>1</v>
      </c>
    </row>
    <row r="158" spans="1:20" x14ac:dyDescent="0.2">
      <c r="A158" s="18">
        <v>158</v>
      </c>
      <c r="B158" s="30">
        <v>43606</v>
      </c>
      <c r="C158" s="30">
        <v>43607</v>
      </c>
      <c r="D158" s="21" t="s">
        <v>17</v>
      </c>
      <c r="E158" s="21" t="s">
        <v>21</v>
      </c>
      <c r="F158" s="21" t="s">
        <v>23</v>
      </c>
      <c r="G158" s="21" t="s">
        <v>26</v>
      </c>
      <c r="H158" s="21" t="s">
        <v>30</v>
      </c>
      <c r="I158" s="21" t="s">
        <v>127</v>
      </c>
      <c r="J158" s="21" t="s">
        <v>35</v>
      </c>
      <c r="K158" s="21" t="s">
        <v>43</v>
      </c>
      <c r="L158" s="21" t="s">
        <v>49</v>
      </c>
      <c r="M158" s="21" t="s">
        <v>53</v>
      </c>
      <c r="N158" s="21" t="s">
        <v>59</v>
      </c>
      <c r="O158" s="19">
        <f>IF(ISBLANK(D158),"",IF(D158='טבלת פרמטרים'!$A$9,1,0)+IF(E158='טבלת פרמטרים'!$B$5,2,1)+IF(F158='טבלת פרמטרים'!$C$5,3,IF(F158='טבלת פרמטרים'!$C$4,1,0))+IF(G158='טבלת פרמטרים'!$D$3,2,0)+IF(M158='טבלת פרמטרים'!$J$4,2,IF(M158='טבלת פרמטרים'!$J$3,1,0))+IF(N158='טבלת פרמטרים'!$K$6,3,IF(OR(N158='טבלת פרמטרים'!$K$4,N158='טבלת פרמטרים'!$K$5),2,IF(N158='טבלת פרמטרים'!$K$3,1,0))))</f>
        <v>4</v>
      </c>
      <c r="Q158" s="20" t="s">
        <v>123</v>
      </c>
      <c r="R158" s="19">
        <f t="shared" si="2"/>
        <v>4</v>
      </c>
      <c r="S158" s="19" t="str">
        <f>IF(EXACT(P158,'טבלת פרמטרים'!$M$2),'טבלת פרמטרים'!$N$2,IF(EXACT(P158,'טבלת פרמטרים'!$M$3),'טבלת פרמטרים'!$N$3,IF(EXACT(P158,'טבלת פרמטרים'!$M$4),'טבלת פרמטרים'!$N$4,IF(EXACT(P158,'טבלת פרמטרים'!$M$5),'טבלת פרמטרים'!$N$5,IF(EXACT(P158,'טבלת פרמטרים'!$M$6),'טבלת פרמטרים'!$N$6,IF(EXACT(P158,'טבלת פרמטרים'!$M$7),'טבלת פרמטרים'!$N$7,IF(EXACT(P158,'טבלת פרמטרים'!$M$8),'טבלת פרמטרים'!$N$8,IF(EXACT(P158,'טבלת פרמטרים'!$M$9),'טבלת פרמטרים'!$N$9,""))))))))</f>
        <v/>
      </c>
      <c r="T158" s="19">
        <f>IF(EXACT(Q158,'טבלת פרמטרים'!$O$2),'טבלת פרמטרים'!$P$2,IF(EXACT(Q158,'טבלת פרמטרים'!$O$3),'טבלת פרמטרים'!$P$3,IF(EXACT(Q158,'טבלת פרמטרים'!$O$4),'טבלת פרמטרים'!$P$4,IF(EXACT(Q158,'טבלת פרמטרים'!$O$5),'טבלת פרמטרים'!$P$5,IF(EXACT(Q158,'טבלת פרמטרים'!$O$6),'טבלת פרמטרים'!$P$6,IF(EXACT(Q158,'טבלת פרמטרים'!$O$7),'טבלת פרמטרים'!$P$7,""))))))</f>
        <v>0</v>
      </c>
    </row>
    <row r="159" spans="1:20" ht="28.5" x14ac:dyDescent="0.2">
      <c r="A159" s="18">
        <v>159</v>
      </c>
      <c r="B159" s="30">
        <v>43604</v>
      </c>
      <c r="C159" s="30">
        <v>43613</v>
      </c>
      <c r="D159" s="21" t="s">
        <v>17</v>
      </c>
      <c r="E159" s="21" t="s">
        <v>22</v>
      </c>
      <c r="F159" s="21" t="s">
        <v>24</v>
      </c>
      <c r="G159" s="21" t="s">
        <v>27</v>
      </c>
      <c r="H159" s="21" t="s">
        <v>31</v>
      </c>
      <c r="I159" s="21" t="s">
        <v>126</v>
      </c>
      <c r="J159" s="21" t="s">
        <v>33</v>
      </c>
      <c r="K159" s="21" t="s">
        <v>44</v>
      </c>
      <c r="L159" s="21" t="s">
        <v>51</v>
      </c>
      <c r="M159" s="21" t="s">
        <v>55</v>
      </c>
      <c r="N159" s="21" t="s">
        <v>59</v>
      </c>
      <c r="O159" s="19">
        <f>IF(ISBLANK(D159),"",IF(D159='טבלת פרמטרים'!$A$9,1,0)+IF(E159='טבלת פרמטרים'!$B$5,2,1)+IF(F159='טבלת פרמטרים'!$C$5,3,IF(F159='טבלת פרמטרים'!$C$4,1,0))+IF(G159='טבלת פרמטרים'!$D$3,2,0)+IF(M159='טבלת פרמטרים'!$J$4,2,IF(M159='טבלת פרמטרים'!$J$3,1,0))+IF(N159='טבלת פרמטרים'!$K$6,3,IF(OR(N159='טבלת פרמטרים'!$K$4,N159='טבלת פרמטרים'!$K$5),2,IF(N159='טבלת פרמטרים'!$K$3,1,0))))</f>
        <v>10</v>
      </c>
      <c r="Q159" s="20" t="s">
        <v>331</v>
      </c>
      <c r="R159" s="19">
        <f t="shared" si="2"/>
        <v>16</v>
      </c>
      <c r="S159" s="19" t="str">
        <f>IF(EXACT(P159,'טבלת פרמטרים'!$M$2),'טבלת פרמטרים'!$N$2,IF(EXACT(P159,'טבלת פרמטרים'!$M$3),'טבלת פרמטרים'!$N$3,IF(EXACT(P159,'טבלת פרמטרים'!$M$4),'טבלת פרמטרים'!$N$4,IF(EXACT(P159,'טבלת פרמטרים'!$M$5),'טבלת פרמטרים'!$N$5,IF(EXACT(P159,'טבלת פרמטרים'!$M$6),'טבלת פרמטרים'!$N$6,IF(EXACT(P159,'טבלת פרמטרים'!$M$7),'טבלת פרמטרים'!$N$7,IF(EXACT(P159,'טבלת פרמטרים'!$M$8),'טבלת פרמטרים'!$N$8,IF(EXACT(P159,'טבלת פרמטרים'!$M$9),'טבלת פרמטרים'!$N$9,""))))))))</f>
        <v/>
      </c>
      <c r="T159" s="19">
        <f>IF(EXACT(Q159,'טבלת פרמטרים'!$O$2),'טבלת פרמטרים'!$P$2,IF(EXACT(Q159,'טבלת פרמטרים'!$O$3),'טבלת פרמטרים'!$P$3,IF(EXACT(Q159,'טבלת פרמטרים'!$O$4),'טבלת פרמטרים'!$P$4,IF(EXACT(Q159,'טבלת פרמטרים'!$O$5),'טבלת פרמטרים'!$P$5,IF(EXACT(Q159,'טבלת פרמטרים'!$O$6),'טבלת פרמטרים'!$P$6,IF(EXACT(Q159,'טבלת פרמטרים'!$O$7),'טבלת פרמטרים'!$P$7,""))))))</f>
        <v>6</v>
      </c>
    </row>
    <row r="160" spans="1:20" x14ac:dyDescent="0.2">
      <c r="A160" s="18">
        <v>160</v>
      </c>
      <c r="B160" s="30">
        <v>43613</v>
      </c>
      <c r="C160" s="30">
        <v>43613</v>
      </c>
      <c r="D160" s="21" t="s">
        <v>16</v>
      </c>
      <c r="E160" s="21" t="s">
        <v>21</v>
      </c>
      <c r="F160" s="21" t="s">
        <v>23</v>
      </c>
      <c r="G160" s="21" t="s">
        <v>26</v>
      </c>
      <c r="H160" s="21" t="s">
        <v>28</v>
      </c>
      <c r="I160" s="21" t="s">
        <v>126</v>
      </c>
      <c r="J160" s="21" t="s">
        <v>33</v>
      </c>
      <c r="K160" s="21" t="s">
        <v>45</v>
      </c>
      <c r="L160" s="21" t="s">
        <v>51</v>
      </c>
      <c r="M160" s="21" t="s">
        <v>54</v>
      </c>
      <c r="N160" s="21" t="s">
        <v>59</v>
      </c>
      <c r="O160" s="19">
        <f>IF(ISBLANK(D160),"",IF(D160='טבלת פרמטרים'!$A$9,1,0)+IF(E160='טבלת פרמטרים'!$B$5,2,1)+IF(F160='טבלת פרמטרים'!$C$5,3,IF(F160='טבלת פרמטרים'!$C$4,1,0))+IF(G160='טבלת פרמטרים'!$D$3,2,0)+IF(M160='טבלת פרמטרים'!$J$4,2,IF(M160='טבלת פרמטרים'!$J$3,1,0))+IF(N160='טבלת פרמטרים'!$K$6,3,IF(OR(N160='טבלת פרמטרים'!$K$4,N160='טבלת פרמטרים'!$K$5),2,IF(N160='טבלת פרמטרים'!$K$3,1,0))))</f>
        <v>4</v>
      </c>
      <c r="Q160" s="20" t="s">
        <v>123</v>
      </c>
      <c r="R160" s="19">
        <f t="shared" si="2"/>
        <v>4</v>
      </c>
      <c r="S160" s="19" t="str">
        <f>IF(EXACT(P160,'טבלת פרמטרים'!$M$2),'טבלת פרמטרים'!$N$2,IF(EXACT(P160,'טבלת פרמטרים'!$M$3),'טבלת פרמטרים'!$N$3,IF(EXACT(P160,'טבלת פרמטרים'!$M$4),'טבלת פרמטרים'!$N$4,IF(EXACT(P160,'טבלת פרמטרים'!$M$5),'טבלת פרמטרים'!$N$5,IF(EXACT(P160,'טבלת פרמטרים'!$M$6),'טבלת פרמטרים'!$N$6,IF(EXACT(P160,'טבלת פרמטרים'!$M$7),'טבלת פרמטרים'!$N$7,IF(EXACT(P160,'טבלת פרמטרים'!$M$8),'טבלת פרמטרים'!$N$8,IF(EXACT(P160,'טבלת פרמטרים'!$M$9),'טבלת פרמטרים'!$N$9,""))))))))</f>
        <v/>
      </c>
      <c r="T160" s="19">
        <f>IF(EXACT(Q160,'טבלת פרמטרים'!$O$2),'טבלת פרמטרים'!$P$2,IF(EXACT(Q160,'טבלת פרמטרים'!$O$3),'טבלת פרמטרים'!$P$3,IF(EXACT(Q160,'טבלת פרמטרים'!$O$4),'טבלת פרמטרים'!$P$4,IF(EXACT(Q160,'טבלת פרמטרים'!$O$5),'טבלת פרמטרים'!$P$5,IF(EXACT(Q160,'טבלת פרמטרים'!$O$6),'טבלת פרמטרים'!$P$6,IF(EXACT(Q160,'טבלת פרמטרים'!$O$7),'טבלת פרמטרים'!$P$7,""))))))</f>
        <v>0</v>
      </c>
    </row>
    <row r="161" spans="1:20" x14ac:dyDescent="0.2">
      <c r="A161" s="18">
        <v>161</v>
      </c>
      <c r="B161" s="30">
        <v>43618</v>
      </c>
      <c r="C161" s="30">
        <v>43618</v>
      </c>
      <c r="D161" s="21" t="s">
        <v>10</v>
      </c>
      <c r="E161" s="21" t="s">
        <v>111</v>
      </c>
      <c r="F161" s="21" t="s">
        <v>23</v>
      </c>
      <c r="G161" s="21" t="s">
        <v>26</v>
      </c>
      <c r="H161" s="21" t="s">
        <v>31</v>
      </c>
      <c r="I161" s="21" t="s">
        <v>126</v>
      </c>
      <c r="J161" s="21" t="s">
        <v>33</v>
      </c>
      <c r="K161" s="21" t="s">
        <v>44</v>
      </c>
      <c r="L161" s="21" t="s">
        <v>51</v>
      </c>
      <c r="M161" s="21" t="s">
        <v>54</v>
      </c>
      <c r="N161" s="21" t="s">
        <v>58</v>
      </c>
      <c r="O161" s="19">
        <f>IF(ISBLANK(D161),"",IF(D161='טבלת פרמטרים'!$A$9,1,0)+IF(E161='טבלת פרמטרים'!$B$5,2,1)+IF(F161='טבלת פרמטרים'!$C$5,3,IF(F161='טבלת פרמטרים'!$C$4,1,0))+IF(G161='טבלת פרמטרים'!$D$3,2,0)+IF(M161='טבלת פרמטרים'!$J$4,2,IF(M161='טבלת פרמטרים'!$J$3,1,0))+IF(N161='טבלת פרמטרים'!$K$6,3,IF(OR(N161='טבלת פרמטרים'!$K$4,N161='טבלת פרמטרים'!$K$5),2,IF(N161='טבלת פרמטרים'!$K$3,1,0))))</f>
        <v>3</v>
      </c>
      <c r="Q161" s="20" t="s">
        <v>123</v>
      </c>
      <c r="R161" s="19">
        <f t="shared" si="2"/>
        <v>3</v>
      </c>
      <c r="S161" s="19" t="str">
        <f>IF(EXACT(P161,'טבלת פרמטרים'!$M$2),'טבלת פרמטרים'!$N$2,IF(EXACT(P161,'טבלת פרמטרים'!$M$3),'טבלת פרמטרים'!$N$3,IF(EXACT(P161,'טבלת פרמטרים'!$M$4),'טבלת פרמטרים'!$N$4,IF(EXACT(P161,'טבלת פרמטרים'!$M$5),'טבלת פרמטרים'!$N$5,IF(EXACT(P161,'טבלת פרמטרים'!$M$6),'טבלת פרמטרים'!$N$6,IF(EXACT(P161,'טבלת פרמטרים'!$M$7),'טבלת פרמטרים'!$N$7,IF(EXACT(P161,'טבלת פרמטרים'!$M$8),'טבלת פרמטרים'!$N$8,IF(EXACT(P161,'טבלת פרמטרים'!$M$9),'טבלת פרמטרים'!$N$9,""))))))))</f>
        <v/>
      </c>
      <c r="T161" s="19">
        <f>IF(EXACT(Q161,'טבלת פרמטרים'!$O$2),'טבלת פרמטרים'!$P$2,IF(EXACT(Q161,'טבלת פרמטרים'!$O$3),'טבלת פרמטרים'!$P$3,IF(EXACT(Q161,'טבלת פרמטרים'!$O$4),'טבלת פרמטרים'!$P$4,IF(EXACT(Q161,'טבלת פרמטרים'!$O$5),'טבלת פרמטרים'!$P$5,IF(EXACT(Q161,'טבלת פרמטרים'!$O$6),'טבלת פרמטרים'!$P$6,IF(EXACT(Q161,'טבלת פרמטרים'!$O$7),'טבלת פרמטרים'!$P$7,""))))))</f>
        <v>0</v>
      </c>
    </row>
    <row r="162" spans="1:20" x14ac:dyDescent="0.2">
      <c r="A162" s="18">
        <v>162</v>
      </c>
      <c r="B162" s="30">
        <v>43618</v>
      </c>
      <c r="C162" s="30">
        <v>43618</v>
      </c>
      <c r="D162" s="21" t="s">
        <v>17</v>
      </c>
      <c r="E162" s="21" t="s">
        <v>22</v>
      </c>
      <c r="F162" s="21" t="s">
        <v>24</v>
      </c>
      <c r="G162" s="21" t="s">
        <v>26</v>
      </c>
      <c r="H162" s="21" t="s">
        <v>31</v>
      </c>
      <c r="I162" s="21" t="s">
        <v>126</v>
      </c>
      <c r="J162" s="21" t="s">
        <v>33</v>
      </c>
      <c r="K162" s="21" t="s">
        <v>45</v>
      </c>
      <c r="L162" s="21" t="s">
        <v>51</v>
      </c>
      <c r="M162" s="21" t="s">
        <v>55</v>
      </c>
      <c r="N162" s="21" t="s">
        <v>59</v>
      </c>
      <c r="O162" s="19">
        <f>IF(ISBLANK(D162),"",IF(D162='טבלת פרמטרים'!$A$9,1,0)+IF(E162='טבלת פרמטרים'!$B$5,2,1)+IF(F162='טבלת פרמטרים'!$C$5,3,IF(F162='טבלת פרמטרים'!$C$4,1,0))+IF(G162='טבלת פרמטרים'!$D$3,2,0)+IF(M162='טבלת פרמטרים'!$J$4,2,IF(M162='טבלת פרמטרים'!$J$3,1,0))+IF(N162='טבלת פרמטרים'!$K$6,3,IF(OR(N162='טבלת פרמטרים'!$K$4,N162='טבלת פרמטרים'!$K$5),2,IF(N162='טבלת פרמטרים'!$K$3,1,0))))</f>
        <v>8</v>
      </c>
      <c r="Q162" s="20" t="s">
        <v>123</v>
      </c>
      <c r="R162" s="19">
        <f t="shared" si="2"/>
        <v>8</v>
      </c>
      <c r="S162" s="19" t="str">
        <f>IF(EXACT(P162,'טבלת פרמטרים'!$M$2),'טבלת פרמטרים'!$N$2,IF(EXACT(P162,'טבלת פרמטרים'!$M$3),'טבלת פרמטרים'!$N$3,IF(EXACT(P162,'טבלת פרמטרים'!$M$4),'טבלת פרמטרים'!$N$4,IF(EXACT(P162,'טבלת פרמטרים'!$M$5),'טבלת פרמטרים'!$N$5,IF(EXACT(P162,'טבלת פרמטרים'!$M$6),'טבלת פרמטרים'!$N$6,IF(EXACT(P162,'טבלת פרמטרים'!$M$7),'טבלת פרמטרים'!$N$7,IF(EXACT(P162,'טבלת פרמטרים'!$M$8),'טבלת פרמטרים'!$N$8,IF(EXACT(P162,'טבלת פרמטרים'!$M$9),'טבלת פרמטרים'!$N$9,""))))))))</f>
        <v/>
      </c>
      <c r="T162" s="19">
        <f>IF(EXACT(Q162,'טבלת פרמטרים'!$O$2),'טבלת פרמטרים'!$P$2,IF(EXACT(Q162,'טבלת פרמטרים'!$O$3),'טבלת פרמטרים'!$P$3,IF(EXACT(Q162,'טבלת פרמטרים'!$O$4),'טבלת פרמטרים'!$P$4,IF(EXACT(Q162,'טבלת פרמטרים'!$O$5),'טבלת פרמטרים'!$P$5,IF(EXACT(Q162,'טבלת פרמטרים'!$O$6),'טבלת פרמטרים'!$P$6,IF(EXACT(Q162,'טבלת פרמטרים'!$O$7),'טבלת פרמטרים'!$P$7,""))))))</f>
        <v>0</v>
      </c>
    </row>
    <row r="163" spans="1:20" x14ac:dyDescent="0.2">
      <c r="A163" s="18">
        <v>163</v>
      </c>
      <c r="B163" s="30">
        <v>43622</v>
      </c>
      <c r="C163" s="30">
        <v>43620</v>
      </c>
      <c r="D163" s="21" t="s">
        <v>17</v>
      </c>
      <c r="E163" s="21" t="s">
        <v>21</v>
      </c>
      <c r="F163" s="21" t="s">
        <v>23</v>
      </c>
      <c r="G163" s="21" t="s">
        <v>26</v>
      </c>
      <c r="H163" s="21" t="s">
        <v>32</v>
      </c>
      <c r="I163" s="21" t="s">
        <v>127</v>
      </c>
      <c r="K163" s="21" t="s">
        <v>43</v>
      </c>
      <c r="L163" s="21" t="s">
        <v>50</v>
      </c>
      <c r="M163" s="21" t="s">
        <v>54</v>
      </c>
      <c r="N163" s="21" t="s">
        <v>59</v>
      </c>
      <c r="O163" s="19">
        <f>IF(ISBLANK(D163),"",IF(D163='טבלת פרמטרים'!$A$9,1,0)+IF(E163='טבלת פרמטרים'!$B$5,2,1)+IF(F163='טבלת פרמטרים'!$C$5,3,IF(F163='טבלת פרמטרים'!$C$4,1,0))+IF(G163='טבלת פרמטרים'!$D$3,2,0)+IF(M163='טבלת פרמטרים'!$J$4,2,IF(M163='טבלת פרמטרים'!$J$3,1,0))+IF(N163='טבלת פרמטרים'!$K$6,3,IF(OR(N163='טבלת פרמטרים'!$K$4,N163='טבלת פרמטרים'!$K$5),2,IF(N163='טבלת פרמטרים'!$K$3,1,0))))</f>
        <v>5</v>
      </c>
      <c r="Q163" s="20" t="s">
        <v>123</v>
      </c>
      <c r="R163" s="19">
        <f t="shared" si="2"/>
        <v>5</v>
      </c>
      <c r="S163" s="19" t="str">
        <f>IF(EXACT(P163,'טבלת פרמטרים'!$M$2),'טבלת פרמטרים'!$N$2,IF(EXACT(P163,'טבלת פרמטרים'!$M$3),'טבלת פרמטרים'!$N$3,IF(EXACT(P163,'טבלת פרמטרים'!$M$4),'טבלת פרמטרים'!$N$4,IF(EXACT(P163,'טבלת פרמטרים'!$M$5),'טבלת פרמטרים'!$N$5,IF(EXACT(P163,'טבלת פרמטרים'!$M$6),'טבלת פרמטרים'!$N$6,IF(EXACT(P163,'טבלת פרמטרים'!$M$7),'טבלת פרמטרים'!$N$7,IF(EXACT(P163,'טבלת פרמטרים'!$M$8),'טבלת פרמטרים'!$N$8,IF(EXACT(P163,'טבלת פרמטרים'!$M$9),'טבלת פרמטרים'!$N$9,""))))))))</f>
        <v/>
      </c>
      <c r="T163" s="19">
        <f>IF(EXACT(Q163,'טבלת פרמטרים'!$O$2),'טבלת פרמטרים'!$P$2,IF(EXACT(Q163,'טבלת פרמטרים'!$O$3),'טבלת פרמטרים'!$P$3,IF(EXACT(Q163,'טבלת פרמטרים'!$O$4),'טבלת פרמטרים'!$P$4,IF(EXACT(Q163,'טבלת פרמטרים'!$O$5),'טבלת פרמטרים'!$P$5,IF(EXACT(Q163,'טבלת פרמטרים'!$O$6),'טבלת פרמטרים'!$P$6,IF(EXACT(Q163,'טבלת פרמטרים'!$O$7),'טבלת פרמטרים'!$P$7,""))))))</f>
        <v>0</v>
      </c>
    </row>
    <row r="164" spans="1:20" x14ac:dyDescent="0.2">
      <c r="A164" s="18">
        <v>164</v>
      </c>
      <c r="B164" s="30">
        <v>43622</v>
      </c>
      <c r="C164" s="30">
        <v>43622</v>
      </c>
      <c r="D164" s="21" t="s">
        <v>17</v>
      </c>
      <c r="E164" s="21" t="s">
        <v>20</v>
      </c>
      <c r="F164" s="21" t="s">
        <v>23</v>
      </c>
      <c r="G164" s="21" t="s">
        <v>26</v>
      </c>
      <c r="H164" s="21" t="s">
        <v>29</v>
      </c>
      <c r="I164" s="21" t="s">
        <v>127</v>
      </c>
      <c r="J164" s="21" t="s">
        <v>35</v>
      </c>
      <c r="K164" s="21" t="s">
        <v>43</v>
      </c>
      <c r="L164" s="21" t="s">
        <v>51</v>
      </c>
      <c r="M164" s="21" t="s">
        <v>55</v>
      </c>
      <c r="N164" s="21" t="s">
        <v>58</v>
      </c>
      <c r="O164" s="19">
        <f>IF(ISBLANK(D164),"",IF(D164='טבלת פרמטרים'!$A$9,1,0)+IF(E164='טבלת פרמטרים'!$B$5,2,1)+IF(F164='טבלת פרמטרים'!$C$5,3,IF(F164='טבלת פרמטרים'!$C$4,1,0))+IF(G164='טבלת פרמטרים'!$D$3,2,0)+IF(M164='טבלת פרמטרים'!$J$4,2,IF(M164='טבלת פרמטרים'!$J$3,1,0))+IF(N164='טבלת פרמטרים'!$K$6,3,IF(OR(N164='טבלת פרמטרים'!$K$4,N164='טבלת פרמטרים'!$K$5),2,IF(N164='טבלת פרמטרים'!$K$3,1,0))))</f>
        <v>5</v>
      </c>
      <c r="Q164" s="20" t="s">
        <v>123</v>
      </c>
      <c r="R164" s="19">
        <f t="shared" si="2"/>
        <v>5</v>
      </c>
      <c r="S164" s="19" t="str">
        <f>IF(EXACT(P164,'טבלת פרמטרים'!$M$2),'טבלת פרמטרים'!$N$2,IF(EXACT(P164,'טבלת פרמטרים'!$M$3),'טבלת פרמטרים'!$N$3,IF(EXACT(P164,'טבלת פרמטרים'!$M$4),'טבלת פרמטרים'!$N$4,IF(EXACT(P164,'טבלת פרמטרים'!$M$5),'טבלת פרמטרים'!$N$5,IF(EXACT(P164,'טבלת פרמטרים'!$M$6),'טבלת פרמטרים'!$N$6,IF(EXACT(P164,'טבלת פרמטרים'!$M$7),'טבלת פרמטרים'!$N$7,IF(EXACT(P164,'טבלת פרמטרים'!$M$8),'טבלת פרמטרים'!$N$8,IF(EXACT(P164,'טבלת פרמטרים'!$M$9),'טבלת פרמטרים'!$N$9,""))))))))</f>
        <v/>
      </c>
      <c r="T164" s="19">
        <f>IF(EXACT(Q164,'טבלת פרמטרים'!$O$2),'טבלת פרמטרים'!$P$2,IF(EXACT(Q164,'טבלת פרמטרים'!$O$3),'טבלת פרמטרים'!$P$3,IF(EXACT(Q164,'טבלת פרמטרים'!$O$4),'טבלת פרמטרים'!$P$4,IF(EXACT(Q164,'טבלת פרמטרים'!$O$5),'טבלת פרמטרים'!$P$5,IF(EXACT(Q164,'טבלת פרמטרים'!$O$6),'טבלת פרמטרים'!$P$6,IF(EXACT(Q164,'טבלת פרמטרים'!$O$7),'טבלת פרמטרים'!$P$7,""))))))</f>
        <v>0</v>
      </c>
    </row>
    <row r="165" spans="1:20" x14ac:dyDescent="0.2">
      <c r="A165" s="18">
        <v>165</v>
      </c>
      <c r="B165" s="30">
        <v>43591</v>
      </c>
      <c r="C165" s="30">
        <v>43632</v>
      </c>
      <c r="D165" s="21" t="s">
        <v>11</v>
      </c>
      <c r="E165" s="21" t="s">
        <v>111</v>
      </c>
      <c r="F165" s="21" t="s">
        <v>23</v>
      </c>
      <c r="G165" s="21" t="s">
        <v>26</v>
      </c>
      <c r="H165" s="21" t="s">
        <v>29</v>
      </c>
      <c r="I165" s="21" t="s">
        <v>126</v>
      </c>
      <c r="J165" s="21" t="s">
        <v>11</v>
      </c>
      <c r="K165" s="21" t="s">
        <v>44</v>
      </c>
      <c r="L165" s="21" t="s">
        <v>51</v>
      </c>
      <c r="M165" s="21" t="s">
        <v>53</v>
      </c>
      <c r="N165" s="21" t="s">
        <v>58</v>
      </c>
      <c r="O165" s="19">
        <f>IF(ISBLANK(D165),"",IF(D165='טבלת פרמטרים'!$A$9,1,0)+IF(E165='טבלת פרמטרים'!$B$5,2,1)+IF(F165='טבלת פרמטרים'!$C$5,3,IF(F165='טבלת פרמטרים'!$C$4,1,0))+IF(G165='טבלת פרמטרים'!$D$3,2,0)+IF(M165='טבלת פרמטרים'!$J$4,2,IF(M165='טבלת פרמטרים'!$J$3,1,0))+IF(N165='טבלת פרמטרים'!$K$6,3,IF(OR(N165='טבלת פרמטרים'!$K$4,N165='טבלת פרמטרים'!$K$5),2,IF(N165='טבלת פרמטרים'!$K$3,1,0))))</f>
        <v>2</v>
      </c>
      <c r="Q165" s="20" t="s">
        <v>123</v>
      </c>
      <c r="R165" s="19">
        <f t="shared" si="2"/>
        <v>2</v>
      </c>
      <c r="S165" s="19" t="str">
        <f>IF(EXACT(P165,'טבלת פרמטרים'!$M$2),'טבלת פרמטרים'!$N$2,IF(EXACT(P165,'טבלת פרמטרים'!$M$3),'טבלת פרמטרים'!$N$3,IF(EXACT(P165,'טבלת פרמטרים'!$M$4),'טבלת פרמטרים'!$N$4,IF(EXACT(P165,'טבלת פרמטרים'!$M$5),'טבלת פרמטרים'!$N$5,IF(EXACT(P165,'טבלת פרמטרים'!$M$6),'טבלת פרמטרים'!$N$6,IF(EXACT(P165,'טבלת פרמטרים'!$M$7),'טבלת פרמטרים'!$N$7,IF(EXACT(P165,'טבלת פרמטרים'!$M$8),'טבלת פרמטרים'!$N$8,IF(EXACT(P165,'טבלת פרמטרים'!$M$9),'טבלת פרמטרים'!$N$9,""))))))))</f>
        <v/>
      </c>
      <c r="T165" s="19">
        <f>IF(EXACT(Q165,'טבלת פרמטרים'!$O$2),'טבלת פרמטרים'!$P$2,IF(EXACT(Q165,'טבלת פרמטרים'!$O$3),'טבלת פרמטרים'!$P$3,IF(EXACT(Q165,'טבלת פרמטרים'!$O$4),'טבלת פרמטרים'!$P$4,IF(EXACT(Q165,'טבלת פרמטרים'!$O$5),'טבלת פרמטרים'!$P$5,IF(EXACT(Q165,'טבלת פרמטרים'!$O$6),'טבלת פרמטרים'!$P$6,IF(EXACT(Q165,'טבלת פרמטרים'!$O$7),'טבלת פרמטרים'!$P$7,""))))))</f>
        <v>0</v>
      </c>
    </row>
    <row r="166" spans="1:20" x14ac:dyDescent="0.2">
      <c r="A166" s="18">
        <v>166</v>
      </c>
      <c r="B166" s="30">
        <v>43629</v>
      </c>
      <c r="C166" s="30">
        <v>43632</v>
      </c>
      <c r="D166" s="21" t="s">
        <v>10</v>
      </c>
      <c r="E166" s="21" t="s">
        <v>111</v>
      </c>
      <c r="F166" s="21" t="s">
        <v>23</v>
      </c>
      <c r="G166" s="21" t="s">
        <v>26</v>
      </c>
      <c r="H166" s="21" t="s">
        <v>31</v>
      </c>
      <c r="I166" s="21" t="s">
        <v>126</v>
      </c>
      <c r="J166" s="21" t="s">
        <v>33</v>
      </c>
      <c r="K166" s="21" t="s">
        <v>43</v>
      </c>
      <c r="L166" s="21" t="s">
        <v>50</v>
      </c>
      <c r="M166" s="21" t="s">
        <v>55</v>
      </c>
      <c r="N166" s="21" t="s">
        <v>59</v>
      </c>
      <c r="O166" s="19">
        <f>IF(ISBLANK(D166),"",IF(D166='טבלת פרמטרים'!$A$9,1,0)+IF(E166='טבלת פרמטרים'!$B$5,2,1)+IF(F166='טבלת פרמטרים'!$C$5,3,IF(F166='טבלת פרמטרים'!$C$4,1,0))+IF(G166='טבלת פרמטרים'!$D$3,2,0)+IF(M166='טבלת פרמטרים'!$J$4,2,IF(M166='טבלת פרמטרים'!$J$3,1,0))+IF(N166='טבלת פרמטרים'!$K$6,3,IF(OR(N166='טבלת פרמטרים'!$K$4,N166='טבלת פרמטרים'!$K$5),2,IF(N166='טבלת פרמטרים'!$K$3,1,0))))</f>
        <v>5</v>
      </c>
      <c r="Q166" s="20" t="s">
        <v>123</v>
      </c>
      <c r="R166" s="19">
        <f t="shared" si="2"/>
        <v>5</v>
      </c>
      <c r="S166" s="19" t="str">
        <f>IF(EXACT(P166,'טבלת פרמטרים'!$M$2),'טבלת פרמטרים'!$N$2,IF(EXACT(P166,'טבלת פרמטרים'!$M$3),'טבלת פרמטרים'!$N$3,IF(EXACT(P166,'טבלת פרמטרים'!$M$4),'טבלת פרמטרים'!$N$4,IF(EXACT(P166,'טבלת פרמטרים'!$M$5),'טבלת פרמטרים'!$N$5,IF(EXACT(P166,'טבלת פרמטרים'!$M$6),'טבלת פרמטרים'!$N$6,IF(EXACT(P166,'טבלת פרמטרים'!$M$7),'טבלת פרמטרים'!$N$7,IF(EXACT(P166,'טבלת פרמטרים'!$M$8),'טבלת פרמטרים'!$N$8,IF(EXACT(P166,'טבלת פרמטרים'!$M$9),'טבלת פרמטרים'!$N$9,""))))))))</f>
        <v/>
      </c>
      <c r="T166" s="19">
        <f>IF(EXACT(Q166,'טבלת פרמטרים'!$O$2),'טבלת פרמטרים'!$P$2,IF(EXACT(Q166,'טבלת פרמטרים'!$O$3),'טבלת פרמטרים'!$P$3,IF(EXACT(Q166,'טבלת פרמטרים'!$O$4),'טבלת פרמטרים'!$P$4,IF(EXACT(Q166,'טבלת פרמטרים'!$O$5),'טבלת פרמטרים'!$P$5,IF(EXACT(Q166,'טבלת פרמטרים'!$O$6),'טבלת פרמטרים'!$P$6,IF(EXACT(Q166,'טבלת פרמטרים'!$O$7),'טבלת פרמטרים'!$P$7,""))))))</f>
        <v>0</v>
      </c>
    </row>
    <row r="167" spans="1:20" x14ac:dyDescent="0.2">
      <c r="A167" s="18">
        <v>167</v>
      </c>
      <c r="B167" s="30">
        <v>43642</v>
      </c>
      <c r="C167" s="30">
        <v>43646</v>
      </c>
      <c r="D167" s="21" t="s">
        <v>11</v>
      </c>
      <c r="E167" s="21" t="s">
        <v>20</v>
      </c>
      <c r="F167" s="21" t="s">
        <v>23</v>
      </c>
      <c r="G167" s="21" t="s">
        <v>26</v>
      </c>
      <c r="H167" s="21" t="s">
        <v>30</v>
      </c>
      <c r="I167" s="21" t="s">
        <v>127</v>
      </c>
      <c r="J167" s="21" t="s">
        <v>36</v>
      </c>
      <c r="K167" s="21" t="s">
        <v>36</v>
      </c>
      <c r="L167" s="21" t="s">
        <v>51</v>
      </c>
      <c r="M167" s="21" t="s">
        <v>54</v>
      </c>
      <c r="N167" s="21" t="s">
        <v>58</v>
      </c>
      <c r="O167" s="19">
        <f>IF(ISBLANK(D167),"",IF(D167='טבלת פרמטרים'!$A$9,1,0)+IF(E167='טבלת פרמטרים'!$B$5,2,1)+IF(F167='טבלת פרמטרים'!$C$5,3,IF(F167='טבלת פרמטרים'!$C$4,1,0))+IF(G167='טבלת פרמטרים'!$D$3,2,0)+IF(M167='טבלת פרמטרים'!$J$4,2,IF(M167='טבלת פרמטרים'!$J$3,1,0))+IF(N167='טבלת פרמטרים'!$K$6,3,IF(OR(N167='טבלת פרמטרים'!$K$4,N167='טבלת פרמטרים'!$K$5),2,IF(N167='טבלת פרמטרים'!$K$3,1,0))))</f>
        <v>3</v>
      </c>
      <c r="Q167" s="20" t="s">
        <v>123</v>
      </c>
      <c r="R167" s="19">
        <f t="shared" si="2"/>
        <v>3</v>
      </c>
      <c r="S167" s="19" t="str">
        <f>IF(EXACT(P167,'טבלת פרמטרים'!$M$2),'טבלת פרמטרים'!$N$2,IF(EXACT(P167,'טבלת פרמטרים'!$M$3),'טבלת פרמטרים'!$N$3,IF(EXACT(P167,'טבלת פרמטרים'!$M$4),'טבלת פרמטרים'!$N$4,IF(EXACT(P167,'טבלת פרמטרים'!$M$5),'טבלת פרמטרים'!$N$5,IF(EXACT(P167,'טבלת פרמטרים'!$M$6),'טבלת פרמטרים'!$N$6,IF(EXACT(P167,'טבלת פרמטרים'!$M$7),'טבלת פרמטרים'!$N$7,IF(EXACT(P167,'טבלת פרמטרים'!$M$8),'טבלת פרמטרים'!$N$8,IF(EXACT(P167,'טבלת פרמטרים'!$M$9),'טבלת פרמטרים'!$N$9,""))))))))</f>
        <v/>
      </c>
      <c r="T167" s="19">
        <f>IF(EXACT(Q167,'טבלת פרמטרים'!$O$2),'טבלת פרמטרים'!$P$2,IF(EXACT(Q167,'טבלת פרמטרים'!$O$3),'טבלת פרמטרים'!$P$3,IF(EXACT(Q167,'טבלת פרמטרים'!$O$4),'טבלת פרמטרים'!$P$4,IF(EXACT(Q167,'טבלת פרמטרים'!$O$5),'טבלת פרמטרים'!$P$5,IF(EXACT(Q167,'טבלת פרמטרים'!$O$6),'טבלת פרמטרים'!$P$6,IF(EXACT(Q167,'טבלת פרמטרים'!$O$7),'טבלת פרמטרים'!$P$7,""))))))</f>
        <v>0</v>
      </c>
    </row>
    <row r="168" spans="1:20" x14ac:dyDescent="0.2">
      <c r="A168" s="18">
        <v>168</v>
      </c>
      <c r="B168" s="30">
        <v>43634</v>
      </c>
      <c r="C168" s="30">
        <v>43634</v>
      </c>
      <c r="D168" s="21" t="s">
        <v>13</v>
      </c>
      <c r="E168" s="21" t="s">
        <v>20</v>
      </c>
      <c r="F168" s="21" t="s">
        <v>23</v>
      </c>
      <c r="G168" s="21" t="s">
        <v>26</v>
      </c>
      <c r="H168" s="21" t="s">
        <v>30</v>
      </c>
      <c r="I168" s="21" t="s">
        <v>126</v>
      </c>
      <c r="J168" s="21" t="s">
        <v>39</v>
      </c>
      <c r="K168" s="21" t="s">
        <v>39</v>
      </c>
      <c r="L168" s="21" t="s">
        <v>51</v>
      </c>
      <c r="M168" s="21" t="s">
        <v>54</v>
      </c>
      <c r="N168" s="21" t="s">
        <v>58</v>
      </c>
      <c r="O168" s="19">
        <f>IF(ISBLANK(D168),"",IF(D168='טבלת פרמטרים'!$A$9,1,0)+IF(E168='טבלת פרמטרים'!$B$5,2,1)+IF(F168='טבלת פרמטרים'!$C$5,3,IF(F168='טבלת פרמטרים'!$C$4,1,0))+IF(G168='טבלת פרמטרים'!$D$3,2,0)+IF(M168='טבלת פרמטרים'!$J$4,2,IF(M168='טבלת פרמטרים'!$J$3,1,0))+IF(N168='טבלת פרמטרים'!$K$6,3,IF(OR(N168='טבלת פרמטרים'!$K$4,N168='טבלת פרמטרים'!$K$5),2,IF(N168='טבלת פרמטרים'!$K$3,1,0))))</f>
        <v>3</v>
      </c>
      <c r="Q168" s="20" t="s">
        <v>123</v>
      </c>
      <c r="R168" s="19">
        <f t="shared" si="2"/>
        <v>3</v>
      </c>
      <c r="S168" s="19" t="str">
        <f>IF(EXACT(P168,'טבלת פרמטרים'!$M$2),'טבלת פרמטרים'!$N$2,IF(EXACT(P168,'טבלת פרמטרים'!$M$3),'טבלת פרמטרים'!$N$3,IF(EXACT(P168,'טבלת פרמטרים'!$M$4),'טבלת פרמטרים'!$N$4,IF(EXACT(P168,'טבלת פרמטרים'!$M$5),'טבלת פרמטרים'!$N$5,IF(EXACT(P168,'טבלת פרמטרים'!$M$6),'טבלת פרמטרים'!$N$6,IF(EXACT(P168,'טבלת פרמטרים'!$M$7),'טבלת פרמטרים'!$N$7,IF(EXACT(P168,'טבלת פרמטרים'!$M$8),'טבלת פרמטרים'!$N$8,IF(EXACT(P168,'טבלת פרמטרים'!$M$9),'טבלת פרמטרים'!$N$9,""))))))))</f>
        <v/>
      </c>
      <c r="T168" s="19">
        <f>IF(EXACT(Q168,'טבלת פרמטרים'!$O$2),'טבלת פרמטרים'!$P$2,IF(EXACT(Q168,'טבלת פרמטרים'!$O$3),'טבלת פרמטרים'!$P$3,IF(EXACT(Q168,'טבלת פרמטרים'!$O$4),'טבלת פרמטרים'!$P$4,IF(EXACT(Q168,'טבלת פרמטרים'!$O$5),'טבלת פרמטרים'!$P$5,IF(EXACT(Q168,'טבלת פרמטרים'!$O$6),'טבלת פרמטרים'!$P$6,IF(EXACT(Q168,'טבלת פרמטרים'!$O$7),'טבלת פרמטרים'!$P$7,""))))))</f>
        <v>0</v>
      </c>
    </row>
    <row r="169" spans="1:20" ht="28.5" x14ac:dyDescent="0.2">
      <c r="A169" s="18">
        <v>169</v>
      </c>
      <c r="B169" s="30">
        <v>43654</v>
      </c>
      <c r="C169" s="30">
        <v>43654</v>
      </c>
      <c r="D169" s="21" t="s">
        <v>17</v>
      </c>
      <c r="E169" s="21" t="s">
        <v>22</v>
      </c>
      <c r="F169" s="21" t="s">
        <v>24</v>
      </c>
      <c r="G169" s="21" t="s">
        <v>26</v>
      </c>
      <c r="H169" s="21" t="s">
        <v>29</v>
      </c>
      <c r="I169" s="21" t="s">
        <v>126</v>
      </c>
      <c r="J169" s="21" t="s">
        <v>34</v>
      </c>
      <c r="K169" s="21" t="s">
        <v>44</v>
      </c>
      <c r="L169" s="21" t="s">
        <v>51</v>
      </c>
      <c r="M169" s="21" t="s">
        <v>55</v>
      </c>
      <c r="N169" s="21" t="s">
        <v>112</v>
      </c>
      <c r="O169" s="19">
        <f>IF(ISBLANK(D169),"",IF(D169='טבלת פרמטרים'!$A$9,1,0)+IF(E169='טבלת פרמטרים'!$B$5,2,1)+IF(F169='טבלת פרמטרים'!$C$5,3,IF(F169='טבלת פרמטרים'!$C$4,1,0))+IF(G169='טבלת פרמטרים'!$D$3,2,0)+IF(M169='טבלת פרמטרים'!$J$4,2,IF(M169='טבלת פרמטרים'!$J$3,1,0))+IF(N169='טבלת פרמטרים'!$K$6,3,IF(OR(N169='טבלת פרמטרים'!$K$4,N169='טבלת פרמטרים'!$K$5),2,IF(N169='טבלת פרמטרים'!$K$3,1,0))))</f>
        <v>8</v>
      </c>
      <c r="Q169" s="20" t="s">
        <v>329</v>
      </c>
      <c r="R169" s="19">
        <f t="shared" si="2"/>
        <v>9</v>
      </c>
      <c r="S169" s="19" t="str">
        <f>IF(EXACT(P169,'טבלת פרמטרים'!$M$2),'טבלת פרמטרים'!$N$2,IF(EXACT(P169,'טבלת פרמטרים'!$M$3),'טבלת פרמטרים'!$N$3,IF(EXACT(P169,'טבלת פרמטרים'!$M$4),'טבלת פרמטרים'!$N$4,IF(EXACT(P169,'טבלת פרמטרים'!$M$5),'טבלת פרמטרים'!$N$5,IF(EXACT(P169,'טבלת פרמטרים'!$M$6),'טבלת פרמטרים'!$N$6,IF(EXACT(P169,'טבלת פרמטרים'!$M$7),'טבלת פרמטרים'!$N$7,IF(EXACT(P169,'טבלת פרמטרים'!$M$8),'טבלת פרמטרים'!$N$8,IF(EXACT(P169,'טבלת פרמטרים'!$M$9),'טבלת פרמטרים'!$N$9,""))))))))</f>
        <v/>
      </c>
      <c r="T169" s="19">
        <f>IF(EXACT(Q169,'טבלת פרמטרים'!$O$2),'טבלת פרמטרים'!$P$2,IF(EXACT(Q169,'טבלת פרמטרים'!$O$3),'טבלת פרמטרים'!$P$3,IF(EXACT(Q169,'טבלת פרמטרים'!$O$4),'טבלת פרמטרים'!$P$4,IF(EXACT(Q169,'טבלת פרמטרים'!$O$5),'טבלת פרמטרים'!$P$5,IF(EXACT(Q169,'טבלת פרמטרים'!$O$6),'טבלת פרמטרים'!$P$6,IF(EXACT(Q169,'טבלת פרמטרים'!$O$7),'טבלת פרמטרים'!$P$7,""))))))</f>
        <v>1</v>
      </c>
    </row>
    <row r="170" spans="1:20" ht="28.5" x14ac:dyDescent="0.2">
      <c r="A170" s="18">
        <v>170</v>
      </c>
      <c r="B170" s="30">
        <v>43655</v>
      </c>
      <c r="C170" s="30">
        <v>43655</v>
      </c>
      <c r="D170" s="21" t="s">
        <v>17</v>
      </c>
      <c r="E170" s="21" t="s">
        <v>22</v>
      </c>
      <c r="F170" s="21" t="s">
        <v>24</v>
      </c>
      <c r="G170" s="21" t="s">
        <v>26</v>
      </c>
      <c r="H170" s="21" t="s">
        <v>32</v>
      </c>
      <c r="I170" s="21" t="s">
        <v>126</v>
      </c>
      <c r="J170" s="21" t="s">
        <v>33</v>
      </c>
      <c r="K170" s="21" t="s">
        <v>43</v>
      </c>
      <c r="L170" s="21" t="s">
        <v>49</v>
      </c>
      <c r="M170" s="21" t="s">
        <v>54</v>
      </c>
      <c r="N170" s="21" t="s">
        <v>59</v>
      </c>
      <c r="O170" s="19">
        <f>IF(ISBLANK(D170),"",IF(D170='טבלת פרמטרים'!$A$9,1,0)+IF(E170='טבלת פרמטרים'!$B$5,2,1)+IF(F170='טבלת פרמטרים'!$C$5,3,IF(F170='טבלת פרמטרים'!$C$4,1,0))+IF(G170='טבלת פרמטרים'!$D$3,2,0)+IF(M170='טבלת פרמטרים'!$J$4,2,IF(M170='טבלת פרמטרים'!$J$3,1,0))+IF(N170='טבלת פרמטרים'!$K$6,3,IF(OR(N170='טבלת פרמטרים'!$K$4,N170='טבלת פרמטרים'!$K$5),2,IF(N170='טבלת פרמטרים'!$K$3,1,0))))</f>
        <v>7</v>
      </c>
      <c r="Q170" s="20" t="s">
        <v>329</v>
      </c>
      <c r="R170" s="19">
        <f t="shared" si="2"/>
        <v>8</v>
      </c>
      <c r="S170" s="19" t="str">
        <f>IF(EXACT(P170,'טבלת פרמטרים'!$M$2),'טבלת פרמטרים'!$N$2,IF(EXACT(P170,'טבלת פרמטרים'!$M$3),'טבלת פרמטרים'!$N$3,IF(EXACT(P170,'טבלת פרמטרים'!$M$4),'טבלת פרמטרים'!$N$4,IF(EXACT(P170,'טבלת פרמטרים'!$M$5),'טבלת פרמטרים'!$N$5,IF(EXACT(P170,'טבלת פרמטרים'!$M$6),'טבלת פרמטרים'!$N$6,IF(EXACT(P170,'טבלת פרמטרים'!$M$7),'טבלת פרמטרים'!$N$7,IF(EXACT(P170,'טבלת פרמטרים'!$M$8),'טבלת פרמטרים'!$N$8,IF(EXACT(P170,'טבלת פרמטרים'!$M$9),'טבלת פרמטרים'!$N$9,""))))))))</f>
        <v/>
      </c>
      <c r="T170" s="19">
        <f>IF(EXACT(Q170,'טבלת פרמטרים'!$O$2),'טבלת פרמטרים'!$P$2,IF(EXACT(Q170,'טבלת פרמטרים'!$O$3),'טבלת פרמטרים'!$P$3,IF(EXACT(Q170,'טבלת פרמטרים'!$O$4),'טבלת פרמטרים'!$P$4,IF(EXACT(Q170,'טבלת פרמטרים'!$O$5),'טבלת פרמטרים'!$P$5,IF(EXACT(Q170,'טבלת פרמטרים'!$O$6),'טבלת פרמטרים'!$P$6,IF(EXACT(Q170,'טבלת פרמטרים'!$O$7),'טבלת פרמטרים'!$P$7,""))))))</f>
        <v>1</v>
      </c>
    </row>
    <row r="171" spans="1:20" x14ac:dyDescent="0.2">
      <c r="A171" s="18">
        <v>171</v>
      </c>
      <c r="B171" s="30">
        <v>43649</v>
      </c>
      <c r="C171" s="30">
        <v>43656</v>
      </c>
      <c r="D171" s="21" t="s">
        <v>12</v>
      </c>
      <c r="E171" s="21" t="s">
        <v>20</v>
      </c>
      <c r="F171" s="21" t="s">
        <v>23</v>
      </c>
      <c r="G171" s="21" t="s">
        <v>26</v>
      </c>
      <c r="H171" s="21" t="s">
        <v>28</v>
      </c>
      <c r="I171" s="21" t="s">
        <v>127</v>
      </c>
      <c r="J171" s="21" t="s">
        <v>33</v>
      </c>
      <c r="K171" s="21" t="s">
        <v>46</v>
      </c>
      <c r="L171" s="21" t="s">
        <v>50</v>
      </c>
      <c r="M171" s="21" t="s">
        <v>53</v>
      </c>
      <c r="N171" s="21" t="s">
        <v>58</v>
      </c>
      <c r="O171" s="19">
        <f>IF(ISBLANK(D171),"",IF(D171='טבלת פרמטרים'!$A$9,1,0)+IF(E171='טבלת פרמטרים'!$B$5,2,1)+IF(F171='טבלת פרמטרים'!$C$5,3,IF(F171='טבלת פרמטרים'!$C$4,1,0))+IF(G171='טבלת פרמטרים'!$D$3,2,0)+IF(M171='טבלת פרמטרים'!$J$4,2,IF(M171='טבלת פרמטרים'!$J$3,1,0))+IF(N171='טבלת פרמטרים'!$K$6,3,IF(OR(N171='טבלת פרמטרים'!$K$4,N171='טבלת פרמטרים'!$K$5),2,IF(N171='טבלת פרמטרים'!$K$3,1,0))))</f>
        <v>2</v>
      </c>
      <c r="Q171" s="20" t="s">
        <v>123</v>
      </c>
      <c r="R171" s="19">
        <f t="shared" si="2"/>
        <v>2</v>
      </c>
      <c r="S171" s="19" t="str">
        <f>IF(EXACT(P171,'טבלת פרמטרים'!$M$2),'טבלת פרמטרים'!$N$2,IF(EXACT(P171,'טבלת פרמטרים'!$M$3),'טבלת פרמטרים'!$N$3,IF(EXACT(P171,'טבלת פרמטרים'!$M$4),'טבלת פרמטרים'!$N$4,IF(EXACT(P171,'טבלת פרמטרים'!$M$5),'טבלת פרמטרים'!$N$5,IF(EXACT(P171,'טבלת פרמטרים'!$M$6),'טבלת פרמטרים'!$N$6,IF(EXACT(P171,'טבלת פרמטרים'!$M$7),'טבלת פרמטרים'!$N$7,IF(EXACT(P171,'טבלת פרמטרים'!$M$8),'טבלת פרמטרים'!$N$8,IF(EXACT(P171,'טבלת פרמטרים'!$M$9),'טבלת פרמטרים'!$N$9,""))))))))</f>
        <v/>
      </c>
      <c r="T171" s="19">
        <f>IF(EXACT(Q171,'טבלת פרמטרים'!$O$2),'טבלת פרמטרים'!$P$2,IF(EXACT(Q171,'טבלת פרמטרים'!$O$3),'טבלת פרמטרים'!$P$3,IF(EXACT(Q171,'טבלת פרמטרים'!$O$4),'טבלת פרמטרים'!$P$4,IF(EXACT(Q171,'טבלת פרמטרים'!$O$5),'טבלת פרמטרים'!$P$5,IF(EXACT(Q171,'טבלת פרמטרים'!$O$6),'טבלת פרמטרים'!$P$6,IF(EXACT(Q171,'טבלת פרמטרים'!$O$7),'טבלת פרמטרים'!$P$7,""))))))</f>
        <v>0</v>
      </c>
    </row>
    <row r="172" spans="1:20" x14ac:dyDescent="0.2">
      <c r="A172" s="18">
        <v>172</v>
      </c>
      <c r="B172" s="30">
        <v>43649</v>
      </c>
      <c r="C172" s="30">
        <v>43656</v>
      </c>
      <c r="D172" s="21" t="s">
        <v>17</v>
      </c>
      <c r="E172" s="21" t="s">
        <v>20</v>
      </c>
      <c r="F172" s="21" t="s">
        <v>24</v>
      </c>
      <c r="G172" s="21" t="s">
        <v>26</v>
      </c>
      <c r="H172" s="21" t="s">
        <v>32</v>
      </c>
      <c r="I172" s="21" t="s">
        <v>126</v>
      </c>
      <c r="J172" s="21" t="s">
        <v>33</v>
      </c>
      <c r="K172" s="21" t="s">
        <v>46</v>
      </c>
      <c r="L172" s="21" t="s">
        <v>50</v>
      </c>
      <c r="M172" s="21" t="s">
        <v>55</v>
      </c>
      <c r="N172" s="21" t="s">
        <v>59</v>
      </c>
      <c r="O172" s="19">
        <f>IF(ISBLANK(D172),"",IF(D172='טבלת פרמטרים'!$A$9,1,0)+IF(E172='טבלת פרמטרים'!$B$5,2,1)+IF(F172='טבלת פרמטרים'!$C$5,3,IF(F172='טבלת פרמטרים'!$C$4,1,0))+IF(G172='טבלת פרמטרים'!$D$3,2,0)+IF(M172='טבלת פרמטרים'!$J$4,2,IF(M172='טבלת פרמטרים'!$J$3,1,0))+IF(N172='טבלת פרמטרים'!$K$6,3,IF(OR(N172='טבלת פרמטרים'!$K$4,N172='טבלת פרמטרים'!$K$5),2,IF(N172='טבלת פרמטרים'!$K$3,1,0))))</f>
        <v>7</v>
      </c>
      <c r="Q172" s="20" t="s">
        <v>123</v>
      </c>
      <c r="R172" s="19">
        <f t="shared" si="2"/>
        <v>7</v>
      </c>
      <c r="S172" s="19" t="str">
        <f>IF(EXACT(P172,'טבלת פרמטרים'!$M$2),'טבלת פרמטרים'!$N$2,IF(EXACT(P172,'טבלת פרמטרים'!$M$3),'טבלת פרמטרים'!$N$3,IF(EXACT(P172,'טבלת פרמטרים'!$M$4),'טבלת פרמטרים'!$N$4,IF(EXACT(P172,'טבלת פרמטרים'!$M$5),'טבלת פרמטרים'!$N$5,IF(EXACT(P172,'טבלת פרמטרים'!$M$6),'טבלת פרמטרים'!$N$6,IF(EXACT(P172,'טבלת פרמטרים'!$M$7),'טבלת פרמטרים'!$N$7,IF(EXACT(P172,'טבלת פרמטרים'!$M$8),'טבלת פרמטרים'!$N$8,IF(EXACT(P172,'טבלת פרמטרים'!$M$9),'טבלת פרמטרים'!$N$9,""))))))))</f>
        <v/>
      </c>
      <c r="T172" s="19">
        <f>IF(EXACT(Q172,'טבלת פרמטרים'!$O$2),'טבלת פרמטרים'!$P$2,IF(EXACT(Q172,'טבלת פרמטרים'!$O$3),'טבלת פרמטרים'!$P$3,IF(EXACT(Q172,'טבלת פרמטרים'!$O$4),'טבלת פרמטרים'!$P$4,IF(EXACT(Q172,'טבלת פרמטרים'!$O$5),'טבלת פרמטרים'!$P$5,IF(EXACT(Q172,'טבלת פרמטרים'!$O$6),'טבלת פרמטרים'!$P$6,IF(EXACT(Q172,'טבלת פרמטרים'!$O$7),'טבלת פרמטרים'!$P$7,""))))))</f>
        <v>0</v>
      </c>
    </row>
    <row r="173" spans="1:20" x14ac:dyDescent="0.2">
      <c r="A173" s="18">
        <v>173</v>
      </c>
      <c r="B173" s="30">
        <v>43649</v>
      </c>
      <c r="C173" s="30">
        <v>43656</v>
      </c>
      <c r="D173" s="21" t="s">
        <v>13</v>
      </c>
      <c r="E173" s="21" t="s">
        <v>20</v>
      </c>
      <c r="F173" s="21" t="s">
        <v>23</v>
      </c>
      <c r="G173" s="21" t="s">
        <v>26</v>
      </c>
      <c r="H173" s="21" t="s">
        <v>31</v>
      </c>
      <c r="I173" s="21" t="s">
        <v>127</v>
      </c>
      <c r="J173" s="21" t="s">
        <v>33</v>
      </c>
      <c r="K173" s="21" t="s">
        <v>46</v>
      </c>
      <c r="L173" s="21" t="s">
        <v>50</v>
      </c>
      <c r="M173" s="21" t="s">
        <v>54</v>
      </c>
      <c r="N173" s="21" t="s">
        <v>58</v>
      </c>
      <c r="O173" s="19">
        <f>IF(ISBLANK(D173),"",IF(D173='טבלת פרמטרים'!$A$9,1,0)+IF(E173='טבלת פרמטרים'!$B$5,2,1)+IF(F173='טבלת פרמטרים'!$C$5,3,IF(F173='טבלת פרמטרים'!$C$4,1,0))+IF(G173='טבלת פרמטרים'!$D$3,2,0)+IF(M173='טבלת פרמטרים'!$J$4,2,IF(M173='טבלת פרמטרים'!$J$3,1,0))+IF(N173='טבלת פרמטרים'!$K$6,3,IF(OR(N173='טבלת פרמטרים'!$K$4,N173='טבלת פרמטרים'!$K$5),2,IF(N173='טבלת פרמטרים'!$K$3,1,0))))</f>
        <v>3</v>
      </c>
      <c r="Q173" s="20" t="s">
        <v>123</v>
      </c>
      <c r="R173" s="19">
        <f t="shared" si="2"/>
        <v>3</v>
      </c>
      <c r="S173" s="19" t="str">
        <f>IF(EXACT(P173,'טבלת פרמטרים'!$M$2),'טבלת פרמטרים'!$N$2,IF(EXACT(P173,'טבלת פרמטרים'!$M$3),'טבלת פרמטרים'!$N$3,IF(EXACT(P173,'טבלת פרמטרים'!$M$4),'טבלת פרמטרים'!$N$4,IF(EXACT(P173,'טבלת פרמטרים'!$M$5),'טבלת פרמטרים'!$N$5,IF(EXACT(P173,'טבלת פרמטרים'!$M$6),'טבלת פרמטרים'!$N$6,IF(EXACT(P173,'טבלת פרמטרים'!$M$7),'טבלת פרמטרים'!$N$7,IF(EXACT(P173,'טבלת פרמטרים'!$M$8),'טבלת פרמטרים'!$N$8,IF(EXACT(P173,'טבלת פרמטרים'!$M$9),'טבלת פרמטרים'!$N$9,""))))))))</f>
        <v/>
      </c>
      <c r="T173" s="19">
        <f>IF(EXACT(Q173,'טבלת פרמטרים'!$O$2),'טבלת פרמטרים'!$P$2,IF(EXACT(Q173,'טבלת פרמטרים'!$O$3),'טבלת פרמטרים'!$P$3,IF(EXACT(Q173,'טבלת פרמטרים'!$O$4),'טבלת פרמטרים'!$P$4,IF(EXACT(Q173,'טבלת פרמטרים'!$O$5),'טבלת פרמטרים'!$P$5,IF(EXACT(Q173,'טבלת פרמטרים'!$O$6),'טבלת פרמטרים'!$P$6,IF(EXACT(Q173,'טבלת פרמטרים'!$O$7),'טבלת פרמטרים'!$P$7,""))))))</f>
        <v>0</v>
      </c>
    </row>
    <row r="174" spans="1:20" x14ac:dyDescent="0.2">
      <c r="A174" s="18">
        <v>174</v>
      </c>
      <c r="B174" s="30">
        <v>43657</v>
      </c>
      <c r="C174" s="30">
        <v>43657</v>
      </c>
      <c r="D174" s="21" t="s">
        <v>17</v>
      </c>
      <c r="E174" s="21" t="s">
        <v>20</v>
      </c>
      <c r="F174" s="21" t="s">
        <v>23</v>
      </c>
      <c r="G174" s="21" t="s">
        <v>26</v>
      </c>
      <c r="H174" s="21" t="s">
        <v>30</v>
      </c>
      <c r="I174" s="21" t="s">
        <v>127</v>
      </c>
      <c r="J174" s="21" t="s">
        <v>34</v>
      </c>
      <c r="K174" s="21" t="s">
        <v>43</v>
      </c>
      <c r="L174" s="21" t="s">
        <v>51</v>
      </c>
      <c r="M174" s="21" t="s">
        <v>53</v>
      </c>
      <c r="N174" s="21" t="s">
        <v>59</v>
      </c>
      <c r="O174" s="19">
        <f>IF(ISBLANK(D174),"",IF(D174='טבלת פרמטרים'!$A$9,1,0)+IF(E174='טבלת פרמטרים'!$B$5,2,1)+IF(F174='טבלת פרמטרים'!$C$5,3,IF(F174='טבלת פרמטרים'!$C$4,1,0))+IF(G174='טבלת פרמטרים'!$D$3,2,0)+IF(M174='טבלת פרמטרים'!$J$4,2,IF(M174='טבלת פרמטרים'!$J$3,1,0))+IF(N174='טבלת פרמטרים'!$K$6,3,IF(OR(N174='טבלת פרמטרים'!$K$4,N174='טבלת פרמטרים'!$K$5),2,IF(N174='טבלת פרמטרים'!$K$3,1,0))))</f>
        <v>4</v>
      </c>
      <c r="Q174" s="20" t="s">
        <v>123</v>
      </c>
      <c r="R174" s="19">
        <f t="shared" si="2"/>
        <v>4</v>
      </c>
      <c r="S174" s="19" t="str">
        <f>IF(EXACT(P174,'טבלת פרמטרים'!$M$2),'טבלת פרמטרים'!$N$2,IF(EXACT(P174,'טבלת פרמטרים'!$M$3),'טבלת פרמטרים'!$N$3,IF(EXACT(P174,'טבלת פרמטרים'!$M$4),'טבלת פרמטרים'!$N$4,IF(EXACT(P174,'טבלת פרמטרים'!$M$5),'טבלת פרמטרים'!$N$5,IF(EXACT(P174,'טבלת פרמטרים'!$M$6),'טבלת פרמטרים'!$N$6,IF(EXACT(P174,'טבלת פרמטרים'!$M$7),'טבלת פרמטרים'!$N$7,IF(EXACT(P174,'טבלת פרמטרים'!$M$8),'טבלת פרמטרים'!$N$8,IF(EXACT(P174,'טבלת פרמטרים'!$M$9),'טבלת פרמטרים'!$N$9,""))))))))</f>
        <v/>
      </c>
      <c r="T174" s="19">
        <f>IF(EXACT(Q174,'טבלת פרמטרים'!$O$2),'טבלת פרמטרים'!$P$2,IF(EXACT(Q174,'טבלת פרמטרים'!$O$3),'טבלת פרמטרים'!$P$3,IF(EXACT(Q174,'טבלת פרמטרים'!$O$4),'טבלת פרמטרים'!$P$4,IF(EXACT(Q174,'טבלת פרמטרים'!$O$5),'טבלת פרמטרים'!$P$5,IF(EXACT(Q174,'טבלת פרמטרים'!$O$6),'טבלת פרמטרים'!$P$6,IF(EXACT(Q174,'טבלת פרמטרים'!$O$7),'טבלת פרמטרים'!$P$7,""))))))</f>
        <v>0</v>
      </c>
    </row>
    <row r="175" spans="1:20" x14ac:dyDescent="0.2">
      <c r="A175" s="18">
        <v>175</v>
      </c>
      <c r="B175" s="30">
        <v>43662</v>
      </c>
      <c r="C175" s="30">
        <v>43662</v>
      </c>
      <c r="D175" s="21" t="s">
        <v>17</v>
      </c>
      <c r="E175" s="21" t="s">
        <v>22</v>
      </c>
      <c r="F175" s="21" t="s">
        <v>24</v>
      </c>
      <c r="G175" s="21" t="s">
        <v>26</v>
      </c>
      <c r="H175" s="21" t="s">
        <v>31</v>
      </c>
      <c r="I175" s="21" t="s">
        <v>127</v>
      </c>
      <c r="J175" s="21" t="s">
        <v>33</v>
      </c>
      <c r="K175" s="21" t="s">
        <v>43</v>
      </c>
      <c r="L175" s="21" t="s">
        <v>49</v>
      </c>
      <c r="M175" s="21" t="s">
        <v>55</v>
      </c>
      <c r="N175" s="21" t="s">
        <v>112</v>
      </c>
      <c r="O175" s="19">
        <f>IF(ISBLANK(D175),"",IF(D175='טבלת פרמטרים'!$A$9,1,0)+IF(E175='טבלת פרמטרים'!$B$5,2,1)+IF(F175='טבלת פרמטרים'!$C$5,3,IF(F175='טבלת פרמטרים'!$C$4,1,0))+IF(G175='טבלת פרמטרים'!$D$3,2,0)+IF(M175='טבלת פרמטרים'!$J$4,2,IF(M175='טבלת פרמטרים'!$J$3,1,0))+IF(N175='טבלת פרמטרים'!$K$6,3,IF(OR(N175='טבלת פרמטרים'!$K$4,N175='טבלת פרמטרים'!$K$5),2,IF(N175='טבלת פרמטרים'!$K$3,1,0))))</f>
        <v>8</v>
      </c>
      <c r="Q175" s="20" t="s">
        <v>123</v>
      </c>
      <c r="R175" s="19">
        <f t="shared" si="2"/>
        <v>8</v>
      </c>
      <c r="S175" s="19" t="str">
        <f>IF(EXACT(P175,'טבלת פרמטרים'!$M$2),'טבלת פרמטרים'!$N$2,IF(EXACT(P175,'טבלת פרמטרים'!$M$3),'טבלת פרמטרים'!$N$3,IF(EXACT(P175,'טבלת פרמטרים'!$M$4),'טבלת פרמטרים'!$N$4,IF(EXACT(P175,'טבלת פרמטרים'!$M$5),'טבלת פרמטרים'!$N$5,IF(EXACT(P175,'טבלת פרמטרים'!$M$6),'טבלת פרמטרים'!$N$6,IF(EXACT(P175,'טבלת פרמטרים'!$M$7),'טבלת פרמטרים'!$N$7,IF(EXACT(P175,'טבלת פרמטרים'!$M$8),'טבלת פרמטרים'!$N$8,IF(EXACT(P175,'טבלת פרמטרים'!$M$9),'טבלת פרמטרים'!$N$9,""))))))))</f>
        <v/>
      </c>
      <c r="T175" s="19">
        <f>IF(EXACT(Q175,'טבלת פרמטרים'!$O$2),'טבלת פרמטרים'!$P$2,IF(EXACT(Q175,'טבלת פרמטרים'!$O$3),'טבלת פרמטרים'!$P$3,IF(EXACT(Q175,'טבלת פרמטרים'!$O$4),'טבלת פרמטרים'!$P$4,IF(EXACT(Q175,'טבלת פרמטרים'!$O$5),'טבלת פרמטרים'!$P$5,IF(EXACT(Q175,'טבלת פרמטרים'!$O$6),'טבלת פרמטרים'!$P$6,IF(EXACT(Q175,'טבלת פרמטרים'!$O$7),'טבלת פרמטרים'!$P$7,""))))))</f>
        <v>0</v>
      </c>
    </row>
    <row r="176" spans="1:20" ht="28.5" x14ac:dyDescent="0.2">
      <c r="A176" s="18">
        <v>176</v>
      </c>
      <c r="B176" s="30">
        <v>43667</v>
      </c>
      <c r="C176" s="30">
        <v>43667</v>
      </c>
      <c r="D176" s="21" t="s">
        <v>17</v>
      </c>
      <c r="E176" s="21" t="s">
        <v>22</v>
      </c>
      <c r="F176" s="21" t="s">
        <v>24</v>
      </c>
      <c r="G176" s="21" t="s">
        <v>26</v>
      </c>
      <c r="H176" s="21" t="s">
        <v>29</v>
      </c>
      <c r="I176" s="21" t="s">
        <v>126</v>
      </c>
      <c r="J176" s="21" t="s">
        <v>33</v>
      </c>
      <c r="K176" s="21" t="s">
        <v>48</v>
      </c>
      <c r="L176" s="21" t="s">
        <v>49</v>
      </c>
      <c r="M176" s="21" t="s">
        <v>53</v>
      </c>
      <c r="N176" s="21" t="s">
        <v>59</v>
      </c>
      <c r="O176" s="19">
        <f>IF(ISBLANK(D176),"",IF(D176='טבלת פרמטרים'!$A$9,1,0)+IF(E176='טבלת פרמטרים'!$B$5,2,1)+IF(F176='טבלת פרמטרים'!$C$5,3,IF(F176='טבלת פרמטרים'!$C$4,1,0))+IF(G176='טבלת פרמטרים'!$D$3,2,0)+IF(M176='טבלת פרמטרים'!$J$4,2,IF(M176='טבלת פרמטרים'!$J$3,1,0))+IF(N176='טבלת פרמטרים'!$K$6,3,IF(OR(N176='טבלת פרמטרים'!$K$4,N176='טבלת פרמטרים'!$K$5),2,IF(N176='טבלת פרמטרים'!$K$3,1,0))))</f>
        <v>6</v>
      </c>
      <c r="Q176" s="20" t="s">
        <v>329</v>
      </c>
      <c r="R176" s="19">
        <f t="shared" si="2"/>
        <v>7</v>
      </c>
      <c r="S176" s="19" t="str">
        <f>IF(EXACT(P176,'טבלת פרמטרים'!$M$2),'טבלת פרמטרים'!$N$2,IF(EXACT(P176,'טבלת פרמטרים'!$M$3),'טבלת פרמטרים'!$N$3,IF(EXACT(P176,'טבלת פרמטרים'!$M$4),'טבלת פרמטרים'!$N$4,IF(EXACT(P176,'טבלת פרמטרים'!$M$5),'טבלת פרמטרים'!$N$5,IF(EXACT(P176,'טבלת פרמטרים'!$M$6),'טבלת פרמטרים'!$N$6,IF(EXACT(P176,'טבלת פרמטרים'!$M$7),'טבלת פרמטרים'!$N$7,IF(EXACT(P176,'טבלת פרמטרים'!$M$8),'טבלת פרמטרים'!$N$8,IF(EXACT(P176,'טבלת פרמטרים'!$M$9),'טבלת פרמטרים'!$N$9,""))))))))</f>
        <v/>
      </c>
      <c r="T176" s="19">
        <f>IF(EXACT(Q176,'טבלת פרמטרים'!$O$2),'טבלת פרמטרים'!$P$2,IF(EXACT(Q176,'טבלת פרמטרים'!$O$3),'טבלת פרמטרים'!$P$3,IF(EXACT(Q176,'טבלת פרמטרים'!$O$4),'טבלת פרמטרים'!$P$4,IF(EXACT(Q176,'טבלת פרמטרים'!$O$5),'טבלת פרמטרים'!$P$5,IF(EXACT(Q176,'טבלת פרמטרים'!$O$6),'טבלת פרמטרים'!$P$6,IF(EXACT(Q176,'טבלת פרמטרים'!$O$7),'טבלת פרמטרים'!$P$7,""))))))</f>
        <v>1</v>
      </c>
    </row>
    <row r="177" spans="1:20" x14ac:dyDescent="0.2">
      <c r="A177" s="18">
        <v>177</v>
      </c>
      <c r="B177" s="30">
        <v>43668</v>
      </c>
      <c r="C177" s="30">
        <v>43674</v>
      </c>
      <c r="D177" s="21" t="s">
        <v>17</v>
      </c>
      <c r="E177" s="21" t="s">
        <v>20</v>
      </c>
      <c r="F177" s="21" t="s">
        <v>23</v>
      </c>
      <c r="G177" s="21" t="s">
        <v>27</v>
      </c>
      <c r="H177" s="21" t="s">
        <v>30</v>
      </c>
      <c r="I177" s="21" t="s">
        <v>126</v>
      </c>
      <c r="J177" s="21" t="s">
        <v>36</v>
      </c>
      <c r="K177" s="21" t="s">
        <v>36</v>
      </c>
      <c r="L177" s="21" t="s">
        <v>50</v>
      </c>
      <c r="M177" s="21" t="s">
        <v>55</v>
      </c>
      <c r="N177" s="21" t="s">
        <v>58</v>
      </c>
      <c r="O177" s="19">
        <f>IF(ISBLANK(D177),"",IF(D177='טבלת פרמטרים'!$A$9,1,0)+IF(E177='טבלת פרמטרים'!$B$5,2,1)+IF(F177='טבלת פרמטרים'!$C$5,3,IF(F177='טבלת פרמטרים'!$C$4,1,0))+IF(G177='טבלת פרמטרים'!$D$3,2,0)+IF(M177='טבלת פרמטרים'!$J$4,2,IF(M177='טבלת פרמטרים'!$J$3,1,0))+IF(N177='טבלת פרמטרים'!$K$6,3,IF(OR(N177='טבלת פרמטרים'!$K$4,N177='טבלת פרמטרים'!$K$5),2,IF(N177='טבלת פרמטרים'!$K$3,1,0))))</f>
        <v>7</v>
      </c>
      <c r="Q177" s="20" t="s">
        <v>123</v>
      </c>
      <c r="R177" s="19">
        <f t="shared" si="2"/>
        <v>7</v>
      </c>
      <c r="S177" s="19" t="str">
        <f>IF(EXACT(P177,'טבלת פרמטרים'!$M$2),'טבלת פרמטרים'!$N$2,IF(EXACT(P177,'טבלת פרמטרים'!$M$3),'טבלת פרמטרים'!$N$3,IF(EXACT(P177,'טבלת פרמטרים'!$M$4),'טבלת פרמטרים'!$N$4,IF(EXACT(P177,'טבלת פרמטרים'!$M$5),'טבלת פרמטרים'!$N$5,IF(EXACT(P177,'טבלת פרמטרים'!$M$6),'טבלת פרמטרים'!$N$6,IF(EXACT(P177,'טבלת פרמטרים'!$M$7),'טבלת פרמטרים'!$N$7,IF(EXACT(P177,'טבלת פרמטרים'!$M$8),'טבלת פרמטרים'!$N$8,IF(EXACT(P177,'טבלת פרמטרים'!$M$9),'טבלת פרמטרים'!$N$9,""))))))))</f>
        <v/>
      </c>
      <c r="T177" s="19">
        <f>IF(EXACT(Q177,'טבלת פרמטרים'!$O$2),'טבלת פרמטרים'!$P$2,IF(EXACT(Q177,'טבלת פרמטרים'!$O$3),'טבלת פרמטרים'!$P$3,IF(EXACT(Q177,'טבלת פרמטרים'!$O$4),'טבלת פרמטרים'!$P$4,IF(EXACT(Q177,'טבלת פרמטרים'!$O$5),'טבלת פרמטרים'!$P$5,IF(EXACT(Q177,'טבלת פרמטרים'!$O$6),'טבלת פרמטרים'!$P$6,IF(EXACT(Q177,'טבלת פרמטרים'!$O$7),'טבלת פרמטרים'!$P$7,""))))))</f>
        <v>0</v>
      </c>
    </row>
    <row r="178" spans="1:20" x14ac:dyDescent="0.2">
      <c r="A178" s="18">
        <v>178</v>
      </c>
      <c r="B178" s="30">
        <v>43681</v>
      </c>
      <c r="C178" s="30">
        <v>43681</v>
      </c>
      <c r="D178" s="21" t="s">
        <v>16</v>
      </c>
      <c r="E178" s="21" t="s">
        <v>21</v>
      </c>
      <c r="F178" s="21" t="s">
        <v>23</v>
      </c>
      <c r="G178" s="21" t="s">
        <v>26</v>
      </c>
      <c r="H178" s="21" t="s">
        <v>32</v>
      </c>
      <c r="I178" s="21" t="s">
        <v>126</v>
      </c>
      <c r="J178" s="21" t="s">
        <v>33</v>
      </c>
      <c r="K178" s="21" t="s">
        <v>43</v>
      </c>
      <c r="L178" s="21" t="s">
        <v>50</v>
      </c>
      <c r="M178" s="21" t="s">
        <v>55</v>
      </c>
      <c r="N178" s="21" t="s">
        <v>58</v>
      </c>
      <c r="O178" s="19">
        <f>IF(ISBLANK(D178),"",IF(D178='טבלת פרמטרים'!$A$9,1,0)+IF(E178='טבלת פרמטרים'!$B$5,2,1)+IF(F178='טבלת פרמטרים'!$C$5,3,IF(F178='טבלת פרמטרים'!$C$4,1,0))+IF(G178='טבלת פרמטרים'!$D$3,2,0)+IF(M178='טבלת פרמטרים'!$J$4,2,IF(M178='טבלת פרמטרים'!$J$3,1,0))+IF(N178='טבלת פרמטרים'!$K$6,3,IF(OR(N178='טבלת פרמטרים'!$K$4,N178='טבלת פרמטרים'!$K$5),2,IF(N178='טבלת פרמטרים'!$K$3,1,0))))</f>
        <v>4</v>
      </c>
      <c r="Q178" s="20" t="s">
        <v>123</v>
      </c>
      <c r="R178" s="19">
        <f t="shared" si="2"/>
        <v>4</v>
      </c>
      <c r="S178" s="19" t="str">
        <f>IF(EXACT(P178,'טבלת פרמטרים'!$M$2),'טבלת פרמטרים'!$N$2,IF(EXACT(P178,'טבלת פרמטרים'!$M$3),'טבלת פרמטרים'!$N$3,IF(EXACT(P178,'טבלת פרמטרים'!$M$4),'טבלת פרמטרים'!$N$4,IF(EXACT(P178,'טבלת פרמטרים'!$M$5),'טבלת פרמטרים'!$N$5,IF(EXACT(P178,'טבלת פרמטרים'!$M$6),'טבלת פרמטרים'!$N$6,IF(EXACT(P178,'טבלת פרמטרים'!$M$7),'טבלת פרמטרים'!$N$7,IF(EXACT(P178,'טבלת פרמטרים'!$M$8),'טבלת פרמטרים'!$N$8,IF(EXACT(P178,'טבלת פרמטרים'!$M$9),'טבלת פרמטרים'!$N$9,""))))))))</f>
        <v/>
      </c>
      <c r="T178" s="19">
        <f>IF(EXACT(Q178,'טבלת פרמטרים'!$O$2),'טבלת פרמטרים'!$P$2,IF(EXACT(Q178,'טבלת פרמטרים'!$O$3),'טבלת פרמטרים'!$P$3,IF(EXACT(Q178,'טבלת פרמטרים'!$O$4),'טבלת פרמטרים'!$P$4,IF(EXACT(Q178,'טבלת פרמטרים'!$O$5),'טבלת פרמטרים'!$P$5,IF(EXACT(Q178,'טבלת פרמטרים'!$O$6),'טבלת פרמטרים'!$P$6,IF(EXACT(Q178,'טבלת פרמטרים'!$O$7),'טבלת פרמטרים'!$P$7,""))))))</f>
        <v>0</v>
      </c>
    </row>
    <row r="179" spans="1:20" x14ac:dyDescent="0.2">
      <c r="A179" s="18">
        <v>179</v>
      </c>
      <c r="B179" s="30">
        <v>43688</v>
      </c>
      <c r="C179" s="30">
        <v>43688</v>
      </c>
      <c r="D179" s="21" t="s">
        <v>17</v>
      </c>
      <c r="E179" s="21" t="s">
        <v>22</v>
      </c>
      <c r="F179" s="21" t="s">
        <v>24</v>
      </c>
      <c r="G179" s="21" t="s">
        <v>26</v>
      </c>
      <c r="H179" s="21" t="s">
        <v>28</v>
      </c>
      <c r="I179" s="21" t="s">
        <v>127</v>
      </c>
      <c r="J179" s="21" t="s">
        <v>33</v>
      </c>
      <c r="K179" s="21" t="s">
        <v>46</v>
      </c>
      <c r="L179" s="21" t="s">
        <v>50</v>
      </c>
      <c r="M179" s="21" t="s">
        <v>53</v>
      </c>
      <c r="N179" s="21" t="s">
        <v>57</v>
      </c>
      <c r="O179" s="19">
        <f>IF(ISBLANK(D179),"",IF(D179='טבלת פרמטרים'!$A$9,1,0)+IF(E179='טבלת פרמטרים'!$B$5,2,1)+IF(F179='טבלת פרמטרים'!$C$5,3,IF(F179='טבלת פרמטרים'!$C$4,1,0))+IF(G179='טבלת פרמטרים'!$D$3,2,0)+IF(M179='טבלת פרמטרים'!$J$4,2,IF(M179='טבלת פרמטרים'!$J$3,1,0))+IF(N179='טבלת פרמטרים'!$K$6,3,IF(OR(N179='טבלת פרמטרים'!$K$4,N179='טבלת פרמטרים'!$K$5),2,IF(N179='טבלת פרמטרים'!$K$3,1,0))))</f>
        <v>4</v>
      </c>
      <c r="Q179" s="20" t="s">
        <v>123</v>
      </c>
      <c r="R179" s="19">
        <f t="shared" si="2"/>
        <v>4</v>
      </c>
      <c r="S179" s="19" t="str">
        <f>IF(EXACT(P179,'טבלת פרמטרים'!$M$2),'טבלת פרמטרים'!$N$2,IF(EXACT(P179,'טבלת פרמטרים'!$M$3),'טבלת פרמטרים'!$N$3,IF(EXACT(P179,'טבלת פרמטרים'!$M$4),'טבלת פרמטרים'!$N$4,IF(EXACT(P179,'טבלת פרמטרים'!$M$5),'טבלת פרמטרים'!$N$5,IF(EXACT(P179,'טבלת פרמטרים'!$M$6),'טבלת פרמטרים'!$N$6,IF(EXACT(P179,'טבלת פרמטרים'!$M$7),'טבלת פרמטרים'!$N$7,IF(EXACT(P179,'טבלת פרמטרים'!$M$8),'טבלת פרמטרים'!$N$8,IF(EXACT(P179,'טבלת פרמטרים'!$M$9),'טבלת פרמטרים'!$N$9,""))))))))</f>
        <v/>
      </c>
      <c r="T179" s="19">
        <f>IF(EXACT(Q179,'טבלת פרמטרים'!$O$2),'טבלת פרמטרים'!$P$2,IF(EXACT(Q179,'טבלת פרמטרים'!$O$3),'טבלת פרמטרים'!$P$3,IF(EXACT(Q179,'טבלת פרמטרים'!$O$4),'טבלת פרמטרים'!$P$4,IF(EXACT(Q179,'טבלת פרמטרים'!$O$5),'טבלת פרמטרים'!$P$5,IF(EXACT(Q179,'טבלת פרמטרים'!$O$6),'טבלת פרמטרים'!$P$6,IF(EXACT(Q179,'טבלת פרמטרים'!$O$7),'טבלת פרמטרים'!$P$7,""))))))</f>
        <v>0</v>
      </c>
    </row>
    <row r="180" spans="1:20" x14ac:dyDescent="0.2">
      <c r="A180" s="18">
        <v>180</v>
      </c>
      <c r="B180" s="30">
        <v>43688</v>
      </c>
      <c r="C180" s="30">
        <v>43688</v>
      </c>
      <c r="D180" s="21" t="s">
        <v>16</v>
      </c>
      <c r="E180" s="21" t="s">
        <v>111</v>
      </c>
      <c r="F180" s="21" t="s">
        <v>23</v>
      </c>
      <c r="G180" s="21" t="s">
        <v>26</v>
      </c>
      <c r="H180" s="21" t="s">
        <v>32</v>
      </c>
      <c r="I180" s="21" t="s">
        <v>127</v>
      </c>
      <c r="J180" s="21" t="s">
        <v>33</v>
      </c>
      <c r="K180" s="21" t="s">
        <v>43</v>
      </c>
      <c r="L180" s="21" t="s">
        <v>51</v>
      </c>
      <c r="M180" s="21" t="s">
        <v>54</v>
      </c>
      <c r="N180" s="21" t="s">
        <v>61</v>
      </c>
      <c r="O180" s="19">
        <f>IF(ISBLANK(D180),"",IF(D180='טבלת פרמטרים'!$A$9,1,0)+IF(E180='טבלת פרמטרים'!$B$5,2,1)+IF(F180='טבלת פרמטרים'!$C$5,3,IF(F180='טבלת פרמטרים'!$C$4,1,0))+IF(G180='טבלת פרמטרים'!$D$3,2,0)+IF(M180='טבלת פרמטרים'!$J$4,2,IF(M180='טבלת פרמטרים'!$J$3,1,0))+IF(N180='טבלת פרמטרים'!$K$6,3,IF(OR(N180='טבלת פרמטרים'!$K$4,N180='טבלת פרמטרים'!$K$5),2,IF(N180='טבלת פרמטרים'!$K$3,1,0))))</f>
        <v>5</v>
      </c>
      <c r="Q180" s="20" t="s">
        <v>123</v>
      </c>
      <c r="R180" s="19">
        <f t="shared" si="2"/>
        <v>5</v>
      </c>
      <c r="S180" s="19" t="str">
        <f>IF(EXACT(P180,'טבלת פרמטרים'!$M$2),'טבלת פרמטרים'!$N$2,IF(EXACT(P180,'טבלת פרמטרים'!$M$3),'טבלת פרמטרים'!$N$3,IF(EXACT(P180,'טבלת פרמטרים'!$M$4),'טבלת פרמטרים'!$N$4,IF(EXACT(P180,'טבלת פרמטרים'!$M$5),'טבלת פרמטרים'!$N$5,IF(EXACT(P180,'טבלת פרמטרים'!$M$6),'טבלת פרמטרים'!$N$6,IF(EXACT(P180,'טבלת פרמטרים'!$M$7),'טבלת פרמטרים'!$N$7,IF(EXACT(P180,'טבלת פרמטרים'!$M$8),'טבלת פרמטרים'!$N$8,IF(EXACT(P180,'טבלת פרמטרים'!$M$9),'טבלת פרמטרים'!$N$9,""))))))))</f>
        <v/>
      </c>
      <c r="T180" s="19">
        <f>IF(EXACT(Q180,'טבלת פרמטרים'!$O$2),'טבלת פרמטרים'!$P$2,IF(EXACT(Q180,'טבלת פרמטרים'!$O$3),'טבלת פרמטרים'!$P$3,IF(EXACT(Q180,'טבלת פרמטרים'!$O$4),'טבלת פרמטרים'!$P$4,IF(EXACT(Q180,'טבלת פרמטרים'!$O$5),'טבלת פרמטרים'!$P$5,IF(EXACT(Q180,'טבלת פרמטרים'!$O$6),'טבלת פרמטרים'!$P$6,IF(EXACT(Q180,'טבלת פרמטרים'!$O$7),'טבלת פרמטרים'!$P$7,""))))))</f>
        <v>0</v>
      </c>
    </row>
    <row r="181" spans="1:20" x14ac:dyDescent="0.2">
      <c r="A181" s="18">
        <v>181</v>
      </c>
      <c r="B181" s="30">
        <v>43676</v>
      </c>
      <c r="C181" s="30">
        <v>43689</v>
      </c>
      <c r="D181" s="21" t="s">
        <v>13</v>
      </c>
      <c r="E181" s="21" t="s">
        <v>20</v>
      </c>
      <c r="F181" s="21" t="s">
        <v>23</v>
      </c>
      <c r="G181" s="21" t="s">
        <v>26</v>
      </c>
      <c r="H181" s="21" t="s">
        <v>30</v>
      </c>
      <c r="I181" s="21" t="s">
        <v>126</v>
      </c>
      <c r="J181" s="21" t="s">
        <v>41</v>
      </c>
      <c r="K181" s="21" t="s">
        <v>45</v>
      </c>
      <c r="L181" s="21" t="s">
        <v>50</v>
      </c>
      <c r="M181" s="21" t="s">
        <v>54</v>
      </c>
      <c r="N181" s="21" t="s">
        <v>58</v>
      </c>
      <c r="O181" s="19">
        <f>IF(ISBLANK(D181),"",IF(D181='טבלת פרמטרים'!$A$9,1,0)+IF(E181='טבלת פרמטרים'!$B$5,2,1)+IF(F181='טבלת פרמטרים'!$C$5,3,IF(F181='טבלת פרמטרים'!$C$4,1,0))+IF(G181='טבלת פרמטרים'!$D$3,2,0)+IF(M181='טבלת פרמטרים'!$J$4,2,IF(M181='טבלת פרמטרים'!$J$3,1,0))+IF(N181='טבלת פרמטרים'!$K$6,3,IF(OR(N181='טבלת פרמטרים'!$K$4,N181='טבלת פרמטרים'!$K$5),2,IF(N181='טבלת פרמטרים'!$K$3,1,0))))</f>
        <v>3</v>
      </c>
      <c r="Q181" s="20" t="s">
        <v>123</v>
      </c>
      <c r="R181" s="19">
        <f t="shared" si="2"/>
        <v>3</v>
      </c>
      <c r="S181" s="19" t="str">
        <f>IF(EXACT(P181,'טבלת פרמטרים'!$M$2),'טבלת פרמטרים'!$N$2,IF(EXACT(P181,'טבלת פרמטרים'!$M$3),'טבלת פרמטרים'!$N$3,IF(EXACT(P181,'טבלת פרמטרים'!$M$4),'טבלת פרמטרים'!$N$4,IF(EXACT(P181,'טבלת פרמטרים'!$M$5),'טבלת פרמטרים'!$N$5,IF(EXACT(P181,'טבלת פרמטרים'!$M$6),'טבלת פרמטרים'!$N$6,IF(EXACT(P181,'טבלת פרמטרים'!$M$7),'טבלת פרמטרים'!$N$7,IF(EXACT(P181,'טבלת פרמטרים'!$M$8),'טבלת פרמטרים'!$N$8,IF(EXACT(P181,'טבלת פרמטרים'!$M$9),'טבלת פרמטרים'!$N$9,""))))))))</f>
        <v/>
      </c>
      <c r="T181" s="19">
        <f>IF(EXACT(Q181,'טבלת פרמטרים'!$O$2),'טבלת פרמטרים'!$P$2,IF(EXACT(Q181,'טבלת פרמטרים'!$O$3),'טבלת פרמטרים'!$P$3,IF(EXACT(Q181,'טבלת פרמטרים'!$O$4),'טבלת פרמטרים'!$P$4,IF(EXACT(Q181,'טבלת פרמטרים'!$O$5),'טבלת פרמטרים'!$P$5,IF(EXACT(Q181,'טבלת פרמטרים'!$O$6),'טבלת פרמטרים'!$P$6,IF(EXACT(Q181,'טבלת פרמטרים'!$O$7),'טבלת פרמטרים'!$P$7,""))))))</f>
        <v>0</v>
      </c>
    </row>
    <row r="182" spans="1:20" x14ac:dyDescent="0.2">
      <c r="A182" s="18">
        <v>182</v>
      </c>
      <c r="B182" s="30">
        <v>43676</v>
      </c>
      <c r="C182" s="30">
        <v>43690</v>
      </c>
      <c r="D182" s="21" t="s">
        <v>13</v>
      </c>
      <c r="E182" s="21" t="s">
        <v>20</v>
      </c>
      <c r="F182" s="21" t="s">
        <v>23</v>
      </c>
      <c r="G182" s="21" t="s">
        <v>26</v>
      </c>
      <c r="H182" s="21" t="s">
        <v>29</v>
      </c>
      <c r="I182" s="21" t="s">
        <v>126</v>
      </c>
      <c r="J182" s="21" t="s">
        <v>33</v>
      </c>
      <c r="K182" s="21" t="s">
        <v>45</v>
      </c>
      <c r="L182" s="21" t="s">
        <v>51</v>
      </c>
      <c r="M182" s="21" t="s">
        <v>55</v>
      </c>
      <c r="N182" s="21" t="s">
        <v>58</v>
      </c>
      <c r="O182" s="19">
        <f>IF(ISBLANK(D182),"",IF(D182='טבלת פרמטרים'!$A$9,1,0)+IF(E182='טבלת פרמטרים'!$B$5,2,1)+IF(F182='טבלת פרמטרים'!$C$5,3,IF(F182='טבלת פרמטרים'!$C$4,1,0))+IF(G182='טבלת פרמטרים'!$D$3,2,0)+IF(M182='טבלת פרמטרים'!$J$4,2,IF(M182='טבלת פרמטרים'!$J$3,1,0))+IF(N182='טבלת פרמטרים'!$K$6,3,IF(OR(N182='טבלת פרמטרים'!$K$4,N182='טבלת פרמטרים'!$K$5),2,IF(N182='טבלת פרמטרים'!$K$3,1,0))))</f>
        <v>4</v>
      </c>
      <c r="Q182" s="20" t="s">
        <v>123</v>
      </c>
      <c r="R182" s="19">
        <f t="shared" si="2"/>
        <v>4</v>
      </c>
      <c r="S182" s="19" t="str">
        <f>IF(EXACT(P182,'טבלת פרמטרים'!$M$2),'טבלת פרמטרים'!$N$2,IF(EXACT(P182,'טבלת פרמטרים'!$M$3),'טבלת פרמטרים'!$N$3,IF(EXACT(P182,'טבלת פרמטרים'!$M$4),'טבלת פרמטרים'!$N$4,IF(EXACT(P182,'טבלת פרמטרים'!$M$5),'טבלת פרמטרים'!$N$5,IF(EXACT(P182,'טבלת פרמטרים'!$M$6),'טבלת פרמטרים'!$N$6,IF(EXACT(P182,'טבלת פרמטרים'!$M$7),'טבלת פרמטרים'!$N$7,IF(EXACT(P182,'טבלת פרמטרים'!$M$8),'טבלת פרמטרים'!$N$8,IF(EXACT(P182,'טבלת פרמטרים'!$M$9),'טבלת פרמטרים'!$N$9,""))))))))</f>
        <v/>
      </c>
      <c r="T182" s="19">
        <f>IF(EXACT(Q182,'טבלת פרמטרים'!$O$2),'טבלת פרמטרים'!$P$2,IF(EXACT(Q182,'טבלת פרמטרים'!$O$3),'טבלת פרמטרים'!$P$3,IF(EXACT(Q182,'טבלת פרמטרים'!$O$4),'טבלת פרמטרים'!$P$4,IF(EXACT(Q182,'טבלת פרמטרים'!$O$5),'טבלת פרמטרים'!$P$5,IF(EXACT(Q182,'טבלת פרמטרים'!$O$6),'טבלת פרמטרים'!$P$6,IF(EXACT(Q182,'טבלת פרמטרים'!$O$7),'טבלת פרמטרים'!$P$7,""))))))</f>
        <v>0</v>
      </c>
    </row>
    <row r="183" spans="1:20" ht="28.5" x14ac:dyDescent="0.2">
      <c r="A183" s="18">
        <v>183</v>
      </c>
      <c r="B183" s="30">
        <v>43705</v>
      </c>
      <c r="C183" s="30">
        <v>43705</v>
      </c>
      <c r="D183" s="21" t="s">
        <v>17</v>
      </c>
      <c r="E183" s="21" t="s">
        <v>22</v>
      </c>
      <c r="F183" s="21" t="s">
        <v>24</v>
      </c>
      <c r="G183" s="21" t="s">
        <v>26</v>
      </c>
      <c r="H183" s="21" t="s">
        <v>32</v>
      </c>
      <c r="I183" s="21" t="s">
        <v>126</v>
      </c>
      <c r="J183" s="21" t="s">
        <v>33</v>
      </c>
      <c r="K183" s="21" t="s">
        <v>48</v>
      </c>
      <c r="L183" s="21" t="s">
        <v>49</v>
      </c>
      <c r="M183" s="21" t="s">
        <v>55</v>
      </c>
      <c r="N183" s="21" t="s">
        <v>59</v>
      </c>
      <c r="O183" s="19">
        <f>IF(ISBLANK(D183),"",IF(D183='טבלת פרמטרים'!$A$9,1,0)+IF(E183='טבלת פרמטרים'!$B$5,2,1)+IF(F183='טבלת פרמטרים'!$C$5,3,IF(F183='טבלת פרמטרים'!$C$4,1,0))+IF(G183='טבלת פרמטרים'!$D$3,2,0)+IF(M183='טבלת פרמטרים'!$J$4,2,IF(M183='טבלת פרמטרים'!$J$3,1,0))+IF(N183='טבלת פרמטרים'!$K$6,3,IF(OR(N183='טבלת פרמטרים'!$K$4,N183='טבלת פרמטרים'!$K$5),2,IF(N183='טבלת פרמטרים'!$K$3,1,0))))</f>
        <v>8</v>
      </c>
      <c r="Q183" s="20" t="s">
        <v>329</v>
      </c>
      <c r="R183" s="19">
        <f t="shared" si="2"/>
        <v>9</v>
      </c>
      <c r="S183" s="19" t="str">
        <f>IF(EXACT(P183,'טבלת פרמטרים'!$M$2),'טבלת פרמטרים'!$N$2,IF(EXACT(P183,'טבלת פרמטרים'!$M$3),'טבלת פרמטרים'!$N$3,IF(EXACT(P183,'טבלת פרמטרים'!$M$4),'טבלת פרמטרים'!$N$4,IF(EXACT(P183,'טבלת פרמטרים'!$M$5),'טבלת פרמטרים'!$N$5,IF(EXACT(P183,'טבלת פרמטרים'!$M$6),'טבלת פרמטרים'!$N$6,IF(EXACT(P183,'טבלת פרמטרים'!$M$7),'טבלת פרמטרים'!$N$7,IF(EXACT(P183,'טבלת פרמטרים'!$M$8),'טבלת פרמטרים'!$N$8,IF(EXACT(P183,'טבלת פרמטרים'!$M$9),'טבלת פרמטרים'!$N$9,""))))))))</f>
        <v/>
      </c>
      <c r="T183" s="19">
        <f>IF(EXACT(Q183,'טבלת פרמטרים'!$O$2),'טבלת פרמטרים'!$P$2,IF(EXACT(Q183,'טבלת פרמטרים'!$O$3),'טבלת פרמטרים'!$P$3,IF(EXACT(Q183,'טבלת פרמטרים'!$O$4),'טבלת פרמטרים'!$P$4,IF(EXACT(Q183,'טבלת פרמטרים'!$O$5),'טבלת פרמטרים'!$P$5,IF(EXACT(Q183,'טבלת פרמטרים'!$O$6),'טבלת פרמטרים'!$P$6,IF(EXACT(Q183,'טבלת פרמטרים'!$O$7),'טבלת פרמטרים'!$P$7,""))))))</f>
        <v>1</v>
      </c>
    </row>
    <row r="184" spans="1:20" x14ac:dyDescent="0.2">
      <c r="A184" s="18">
        <v>184</v>
      </c>
      <c r="B184" s="30">
        <v>43706</v>
      </c>
      <c r="C184" s="30">
        <v>43706</v>
      </c>
      <c r="D184" s="21" t="s">
        <v>16</v>
      </c>
      <c r="E184" s="21" t="s">
        <v>21</v>
      </c>
      <c r="F184" s="21" t="s">
        <v>23</v>
      </c>
      <c r="G184" s="21" t="s">
        <v>27</v>
      </c>
      <c r="H184" s="21" t="s">
        <v>32</v>
      </c>
      <c r="I184" s="21" t="s">
        <v>126</v>
      </c>
      <c r="J184" s="21" t="s">
        <v>33</v>
      </c>
      <c r="K184" s="21" t="s">
        <v>45</v>
      </c>
      <c r="L184" s="21" t="s">
        <v>51</v>
      </c>
      <c r="M184" s="21" t="s">
        <v>54</v>
      </c>
      <c r="N184" s="21" t="s">
        <v>59</v>
      </c>
      <c r="O184" s="19">
        <f>IF(ISBLANK(D184),"",IF(D184='טבלת פרמטרים'!$A$9,1,0)+IF(E184='טבלת פרמטרים'!$B$5,2,1)+IF(F184='טבלת פרמטרים'!$C$5,3,IF(F184='טבלת פרמטרים'!$C$4,1,0))+IF(G184='טבלת פרמטרים'!$D$3,2,0)+IF(M184='טבלת פרמטרים'!$J$4,2,IF(M184='טבלת פרמטרים'!$J$3,1,0))+IF(N184='טבלת פרמטרים'!$K$6,3,IF(OR(N184='טבלת פרמטרים'!$K$4,N184='טבלת פרמטרים'!$K$5),2,IF(N184='טבלת פרמטרים'!$K$3,1,0))))</f>
        <v>6</v>
      </c>
      <c r="Q184" s="20" t="s">
        <v>123</v>
      </c>
      <c r="R184" s="19">
        <f t="shared" si="2"/>
        <v>6</v>
      </c>
      <c r="S184" s="19" t="str">
        <f>IF(EXACT(P184,'טבלת פרמטרים'!$M$2),'טבלת פרמטרים'!$N$2,IF(EXACT(P184,'טבלת פרמטרים'!$M$3),'טבלת פרמטרים'!$N$3,IF(EXACT(P184,'טבלת פרמטרים'!$M$4),'טבלת פרמטרים'!$N$4,IF(EXACT(P184,'טבלת פרמטרים'!$M$5),'טבלת פרמטרים'!$N$5,IF(EXACT(P184,'טבלת פרמטרים'!$M$6),'טבלת פרמטרים'!$N$6,IF(EXACT(P184,'טבלת פרמטרים'!$M$7),'טבלת פרמטרים'!$N$7,IF(EXACT(P184,'טבלת פרמטרים'!$M$8),'טבלת פרמטרים'!$N$8,IF(EXACT(P184,'טבלת פרמטרים'!$M$9),'טבלת פרמטרים'!$N$9,""))))))))</f>
        <v/>
      </c>
      <c r="T184" s="19">
        <f>IF(EXACT(Q184,'טבלת פרמטרים'!$O$2),'טבלת פרמטרים'!$P$2,IF(EXACT(Q184,'טבלת פרמטרים'!$O$3),'טבלת פרמטרים'!$P$3,IF(EXACT(Q184,'טבלת פרמטרים'!$O$4),'טבלת פרמטרים'!$P$4,IF(EXACT(Q184,'טבלת פרמטרים'!$O$5),'טבלת פרמטרים'!$P$5,IF(EXACT(Q184,'טבלת פרמטרים'!$O$6),'טבלת פרמטרים'!$P$6,IF(EXACT(Q184,'טבלת פרמטרים'!$O$7),'טבלת פרמטרים'!$P$7,""))))))</f>
        <v>0</v>
      </c>
    </row>
    <row r="185" spans="1:20" x14ac:dyDescent="0.2">
      <c r="A185" s="18">
        <v>185</v>
      </c>
      <c r="B185" s="30">
        <v>43713</v>
      </c>
      <c r="C185" s="30">
        <v>43713</v>
      </c>
      <c r="D185" s="21" t="s">
        <v>12</v>
      </c>
      <c r="E185" s="21" t="s">
        <v>20</v>
      </c>
      <c r="F185" s="21" t="s">
        <v>23</v>
      </c>
      <c r="G185" s="21" t="s">
        <v>26</v>
      </c>
      <c r="H185" s="21" t="s">
        <v>30</v>
      </c>
      <c r="I185" s="21" t="s">
        <v>126</v>
      </c>
      <c r="J185" s="21" t="s">
        <v>33</v>
      </c>
      <c r="K185" s="21" t="s">
        <v>45</v>
      </c>
      <c r="L185" s="21" t="s">
        <v>51</v>
      </c>
      <c r="M185" s="21" t="s">
        <v>55</v>
      </c>
      <c r="N185" s="21" t="s">
        <v>61</v>
      </c>
      <c r="O185" s="19">
        <f>IF(ISBLANK(D185),"",IF(D185='טבלת פרמטרים'!$A$9,1,0)+IF(E185='טבלת פרמטרים'!$B$5,2,1)+IF(F185='טבלת פרמטרים'!$C$5,3,IF(F185='טבלת פרמטרים'!$C$4,1,0))+IF(G185='טבלת פרמטרים'!$D$3,2,0)+IF(M185='טבלת פרמטרים'!$J$4,2,IF(M185='טבלת פרמטרים'!$J$3,1,0))+IF(N185='טבלת פרמטרים'!$K$6,3,IF(OR(N185='טבלת פרמטרים'!$K$4,N185='טבלת פרמטרים'!$K$5),2,IF(N185='טבלת פרמטרים'!$K$3,1,0))))</f>
        <v>6</v>
      </c>
      <c r="Q185" s="20" t="s">
        <v>123</v>
      </c>
      <c r="R185" s="19">
        <f t="shared" si="2"/>
        <v>6</v>
      </c>
      <c r="S185" s="19" t="str">
        <f>IF(EXACT(P185,'טבלת פרמטרים'!$M$2),'טבלת פרמטרים'!$N$2,IF(EXACT(P185,'טבלת פרמטרים'!$M$3),'טבלת פרמטרים'!$N$3,IF(EXACT(P185,'טבלת פרמטרים'!$M$4),'טבלת פרמטרים'!$N$4,IF(EXACT(P185,'טבלת פרמטרים'!$M$5),'טבלת פרמטרים'!$N$5,IF(EXACT(P185,'טבלת פרמטרים'!$M$6),'טבלת פרמטרים'!$N$6,IF(EXACT(P185,'טבלת פרמטרים'!$M$7),'טבלת פרמטרים'!$N$7,IF(EXACT(P185,'טבלת פרמטרים'!$M$8),'טבלת פרמטרים'!$N$8,IF(EXACT(P185,'טבלת פרמטרים'!$M$9),'טבלת פרמטרים'!$N$9,""))))))))</f>
        <v/>
      </c>
      <c r="T185" s="19">
        <f>IF(EXACT(Q185,'טבלת פרמטרים'!$O$2),'טבלת פרמטרים'!$P$2,IF(EXACT(Q185,'טבלת פרמטרים'!$O$3),'טבלת פרמטרים'!$P$3,IF(EXACT(Q185,'טבלת פרמטרים'!$O$4),'טבלת פרמטרים'!$P$4,IF(EXACT(Q185,'טבלת פרמטרים'!$O$5),'טבלת פרמטרים'!$P$5,IF(EXACT(Q185,'טבלת פרמטרים'!$O$6),'טבלת פרמטרים'!$P$6,IF(EXACT(Q185,'טבלת פרמטרים'!$O$7),'טבלת פרמטרים'!$P$7,""))))))</f>
        <v>0</v>
      </c>
    </row>
    <row r="186" spans="1:20" x14ac:dyDescent="0.2">
      <c r="A186" s="18">
        <v>186</v>
      </c>
      <c r="B186" s="30">
        <v>43709</v>
      </c>
      <c r="C186" s="30">
        <v>43710</v>
      </c>
      <c r="D186" s="21" t="s">
        <v>15</v>
      </c>
      <c r="E186" s="21" t="s">
        <v>111</v>
      </c>
      <c r="F186" s="21" t="s">
        <v>23</v>
      </c>
      <c r="G186" s="21" t="s">
        <v>26</v>
      </c>
      <c r="H186" s="21" t="s">
        <v>32</v>
      </c>
      <c r="I186" s="21" t="s">
        <v>126</v>
      </c>
      <c r="J186" s="21" t="s">
        <v>63</v>
      </c>
      <c r="K186" s="21" t="s">
        <v>44</v>
      </c>
      <c r="L186" s="21" t="s">
        <v>51</v>
      </c>
      <c r="M186" s="21" t="s">
        <v>54</v>
      </c>
      <c r="N186" s="21" t="s">
        <v>58</v>
      </c>
      <c r="O186" s="19">
        <f>IF(ISBLANK(D186),"",IF(D186='טבלת פרמטרים'!$A$9,1,0)+IF(E186='טבלת פרמטרים'!$B$5,2,1)+IF(F186='טבלת פרמטרים'!$C$5,3,IF(F186='טבלת פרמטרים'!$C$4,1,0))+IF(G186='טבלת פרמטרים'!$D$3,2,0)+IF(M186='טבלת פרמטרים'!$J$4,2,IF(M186='טבלת פרמטרים'!$J$3,1,0))+IF(N186='טבלת פרמטרים'!$K$6,3,IF(OR(N186='טבלת פרמטרים'!$K$4,N186='טבלת פרמטרים'!$K$5),2,IF(N186='טבלת פרמטרים'!$K$3,1,0))))</f>
        <v>3</v>
      </c>
      <c r="Q186" s="20" t="s">
        <v>123</v>
      </c>
      <c r="R186" s="19">
        <f t="shared" si="2"/>
        <v>3</v>
      </c>
      <c r="S186" s="19" t="str">
        <f>IF(EXACT(P186,'טבלת פרמטרים'!$M$2),'טבלת פרמטרים'!$N$2,IF(EXACT(P186,'טבלת פרמטרים'!$M$3),'טבלת פרמטרים'!$N$3,IF(EXACT(P186,'טבלת פרמטרים'!$M$4),'טבלת פרמטרים'!$N$4,IF(EXACT(P186,'טבלת פרמטרים'!$M$5),'טבלת פרמטרים'!$N$5,IF(EXACT(P186,'טבלת פרמטרים'!$M$6),'טבלת פרמטרים'!$N$6,IF(EXACT(P186,'טבלת פרמטרים'!$M$7),'טבלת פרמטרים'!$N$7,IF(EXACT(P186,'טבלת פרמטרים'!$M$8),'טבלת פרמטרים'!$N$8,IF(EXACT(P186,'טבלת פרמטרים'!$M$9),'טבלת פרמטרים'!$N$9,""))))))))</f>
        <v/>
      </c>
      <c r="T186" s="19">
        <f>IF(EXACT(Q186,'טבלת פרמטרים'!$O$2),'טבלת פרמטרים'!$P$2,IF(EXACT(Q186,'טבלת פרמטרים'!$O$3),'טבלת פרמטרים'!$P$3,IF(EXACT(Q186,'טבלת פרמטרים'!$O$4),'טבלת פרמטרים'!$P$4,IF(EXACT(Q186,'טבלת פרמטרים'!$O$5),'טבלת פרמטרים'!$P$5,IF(EXACT(Q186,'טבלת פרמטרים'!$O$6),'טבלת פרמטרים'!$P$6,IF(EXACT(Q186,'טבלת פרמטרים'!$O$7),'טבלת פרמטרים'!$P$7,""))))))</f>
        <v>0</v>
      </c>
    </row>
    <row r="187" spans="1:20" x14ac:dyDescent="0.2">
      <c r="A187" s="18">
        <v>187</v>
      </c>
      <c r="B187" s="30">
        <v>43734</v>
      </c>
      <c r="C187" s="30">
        <v>43734</v>
      </c>
      <c r="D187" s="21" t="s">
        <v>17</v>
      </c>
      <c r="E187" s="21" t="s">
        <v>20</v>
      </c>
      <c r="F187" s="21" t="s">
        <v>23</v>
      </c>
      <c r="G187" s="21" t="s">
        <v>27</v>
      </c>
      <c r="H187" s="21" t="s">
        <v>29</v>
      </c>
      <c r="I187" s="21" t="s">
        <v>127</v>
      </c>
      <c r="J187" s="21" t="s">
        <v>35</v>
      </c>
      <c r="K187" s="21" t="s">
        <v>43</v>
      </c>
      <c r="L187" s="21" t="s">
        <v>51</v>
      </c>
      <c r="M187" s="21" t="s">
        <v>53</v>
      </c>
      <c r="N187" s="21" t="s">
        <v>58</v>
      </c>
      <c r="O187" s="19">
        <f>IF(ISBLANK(D187),"",IF(D187='טבלת פרמטרים'!$A$9,1,0)+IF(E187='טבלת פרמטרים'!$B$5,2,1)+IF(F187='טבלת פרמטרים'!$C$5,3,IF(F187='טבלת פרמטרים'!$C$4,1,0))+IF(G187='טבלת פרמטרים'!$D$3,2,0)+IF(M187='טבלת פרמטרים'!$J$4,2,IF(M187='טבלת פרמטרים'!$J$3,1,0))+IF(N187='טבלת פרמטרים'!$K$6,3,IF(OR(N187='טבלת פרמטרים'!$K$4,N187='טבלת פרמטרים'!$K$5),2,IF(N187='טבלת פרמטרים'!$K$3,1,0))))</f>
        <v>5</v>
      </c>
      <c r="Q187" s="20" t="s">
        <v>123</v>
      </c>
      <c r="R187" s="19">
        <f t="shared" si="2"/>
        <v>5</v>
      </c>
      <c r="S187" s="19" t="str">
        <f>IF(EXACT(P187,'טבלת פרמטרים'!$M$2),'טבלת פרמטרים'!$N$2,IF(EXACT(P187,'טבלת פרמטרים'!$M$3),'טבלת פרמטרים'!$N$3,IF(EXACT(P187,'טבלת פרמטרים'!$M$4),'טבלת פרמטרים'!$N$4,IF(EXACT(P187,'טבלת פרמטרים'!$M$5),'טבלת פרמטרים'!$N$5,IF(EXACT(P187,'טבלת פרמטרים'!$M$6),'טבלת פרמטרים'!$N$6,IF(EXACT(P187,'טבלת פרמטרים'!$M$7),'טבלת פרמטרים'!$N$7,IF(EXACT(P187,'טבלת פרמטרים'!$M$8),'טבלת פרמטרים'!$N$8,IF(EXACT(P187,'טבלת פרמטרים'!$M$9),'טבלת פרמטרים'!$N$9,""))))))))</f>
        <v/>
      </c>
      <c r="T187" s="19">
        <f>IF(EXACT(Q187,'טבלת פרמטרים'!$O$2),'טבלת פרמטרים'!$P$2,IF(EXACT(Q187,'טבלת פרמטרים'!$O$3),'טבלת פרמטרים'!$P$3,IF(EXACT(Q187,'טבלת פרמטרים'!$O$4),'טבלת פרמטרים'!$P$4,IF(EXACT(Q187,'טבלת פרמטרים'!$O$5),'טבלת פרמטרים'!$P$5,IF(EXACT(Q187,'טבלת פרמטרים'!$O$6),'טבלת פרמטרים'!$P$6,IF(EXACT(Q187,'טבלת פרמטרים'!$O$7),'טבלת פרמטרים'!$P$7,""))))))</f>
        <v>0</v>
      </c>
    </row>
    <row r="188" spans="1:20" ht="28.5" x14ac:dyDescent="0.2">
      <c r="A188" s="18">
        <v>188</v>
      </c>
      <c r="B188" s="30">
        <v>43768</v>
      </c>
      <c r="C188" s="30">
        <v>43769</v>
      </c>
      <c r="D188" s="21" t="s">
        <v>17</v>
      </c>
      <c r="E188" s="21" t="s">
        <v>22</v>
      </c>
      <c r="F188" s="21" t="s">
        <v>24</v>
      </c>
      <c r="G188" s="21" t="s">
        <v>26</v>
      </c>
      <c r="H188" s="21" t="s">
        <v>32</v>
      </c>
      <c r="I188" s="21" t="s">
        <v>126</v>
      </c>
      <c r="J188" s="21" t="s">
        <v>39</v>
      </c>
      <c r="K188" s="21" t="s">
        <v>39</v>
      </c>
      <c r="L188" s="21" t="s">
        <v>50</v>
      </c>
      <c r="M188" s="21" t="s">
        <v>55</v>
      </c>
      <c r="N188" s="21" t="s">
        <v>112</v>
      </c>
      <c r="O188" s="19">
        <f>IF(ISBLANK(D188),"",IF(D188='טבלת פרמטרים'!$A$9,1,0)+IF(E188='טבלת פרמטרים'!$B$5,2,1)+IF(F188='טבלת פרמטרים'!$C$5,3,IF(F188='טבלת פרמטרים'!$C$4,1,0))+IF(G188='טבלת פרמטרים'!$D$3,2,0)+IF(M188='טבלת פרמטרים'!$J$4,2,IF(M188='טבלת פרמטרים'!$J$3,1,0))+IF(N188='טבלת פרמטרים'!$K$6,3,IF(OR(N188='טבלת פרמטרים'!$K$4,N188='טבלת פרמטרים'!$K$5),2,IF(N188='טבלת פרמטרים'!$K$3,1,0))))</f>
        <v>8</v>
      </c>
      <c r="Q188" s="20" t="s">
        <v>329</v>
      </c>
      <c r="R188" s="19">
        <f t="shared" ref="R188:R221" si="3">IF(ISNUMBER(T188),T188+O188,O188)</f>
        <v>9</v>
      </c>
      <c r="S188" s="19" t="str">
        <f>IF(EXACT(P188,'טבלת פרמטרים'!$M$2),'טבלת פרמטרים'!$N$2,IF(EXACT(P188,'טבלת פרמטרים'!$M$3),'טבלת פרמטרים'!$N$3,IF(EXACT(P188,'טבלת פרמטרים'!$M$4),'טבלת פרמטרים'!$N$4,IF(EXACT(P188,'טבלת פרמטרים'!$M$5),'טבלת פרמטרים'!$N$5,IF(EXACT(P188,'טבלת פרמטרים'!$M$6),'טבלת פרמטרים'!$N$6,IF(EXACT(P188,'טבלת פרמטרים'!$M$7),'טבלת פרמטרים'!$N$7,IF(EXACT(P188,'טבלת פרמטרים'!$M$8),'טבלת פרמטרים'!$N$8,IF(EXACT(P188,'טבלת פרמטרים'!$M$9),'טבלת פרמטרים'!$N$9,""))))))))</f>
        <v/>
      </c>
      <c r="T188" s="19">
        <f>IF(EXACT(Q188,'טבלת פרמטרים'!$O$2),'טבלת פרמטרים'!$P$2,IF(EXACT(Q188,'טבלת פרמטרים'!$O$3),'טבלת פרמטרים'!$P$3,IF(EXACT(Q188,'טבלת פרמטרים'!$O$4),'טבלת פרמטרים'!$P$4,IF(EXACT(Q188,'טבלת פרמטרים'!$O$5),'טבלת פרמטרים'!$P$5,IF(EXACT(Q188,'טבלת פרמטרים'!$O$6),'טבלת פרמטרים'!$P$6,IF(EXACT(Q188,'טבלת פרמטרים'!$O$7),'טבלת פרמטרים'!$P$7,""))))))</f>
        <v>1</v>
      </c>
    </row>
    <row r="189" spans="1:20" x14ac:dyDescent="0.2">
      <c r="A189" s="18">
        <v>189</v>
      </c>
      <c r="B189" s="30">
        <v>43745</v>
      </c>
      <c r="C189" s="30">
        <v>43745</v>
      </c>
      <c r="D189" s="21" t="s">
        <v>17</v>
      </c>
      <c r="E189" s="21" t="s">
        <v>22</v>
      </c>
      <c r="F189" s="21" t="s">
        <v>24</v>
      </c>
      <c r="G189" s="21" t="s">
        <v>26</v>
      </c>
      <c r="H189" s="21" t="s">
        <v>29</v>
      </c>
      <c r="I189" s="21" t="s">
        <v>126</v>
      </c>
      <c r="J189" s="21" t="s">
        <v>33</v>
      </c>
      <c r="K189" s="21" t="s">
        <v>43</v>
      </c>
      <c r="L189" s="21" t="s">
        <v>51</v>
      </c>
      <c r="M189" s="21" t="s">
        <v>55</v>
      </c>
      <c r="N189" s="21" t="s">
        <v>59</v>
      </c>
      <c r="O189" s="19">
        <f>IF(ISBLANK(D189),"",IF(D189='טבלת פרמטרים'!$A$9,1,0)+IF(E189='טבלת פרמטרים'!$B$5,2,1)+IF(F189='טבלת פרמטרים'!$C$5,3,IF(F189='טבלת פרמטרים'!$C$4,1,0))+IF(G189='טבלת פרמטרים'!$D$3,2,0)+IF(M189='טבלת פרמטרים'!$J$4,2,IF(M189='טבלת פרמטרים'!$J$3,1,0))+IF(N189='טבלת פרמטרים'!$K$6,3,IF(OR(N189='טבלת פרמטרים'!$K$4,N189='טבלת פרמטרים'!$K$5),2,IF(N189='טבלת פרמטרים'!$K$3,1,0))))</f>
        <v>8</v>
      </c>
      <c r="Q189" s="20" t="s">
        <v>123</v>
      </c>
      <c r="R189" s="19">
        <f t="shared" si="3"/>
        <v>8</v>
      </c>
      <c r="S189" s="19" t="str">
        <f>IF(EXACT(P189,'טבלת פרמטרים'!$M$2),'טבלת פרמטרים'!$N$2,IF(EXACT(P189,'טבלת פרמטרים'!$M$3),'טבלת פרמטרים'!$N$3,IF(EXACT(P189,'טבלת פרמטרים'!$M$4),'טבלת פרמטרים'!$N$4,IF(EXACT(P189,'טבלת פרמטרים'!$M$5),'טבלת פרמטרים'!$N$5,IF(EXACT(P189,'טבלת פרמטרים'!$M$6),'טבלת פרמטרים'!$N$6,IF(EXACT(P189,'טבלת פרמטרים'!$M$7),'טבלת פרמטרים'!$N$7,IF(EXACT(P189,'טבלת פרמטרים'!$M$8),'טבלת פרמטרים'!$N$8,IF(EXACT(P189,'טבלת פרמטרים'!$M$9),'טבלת פרמטרים'!$N$9,""))))))))</f>
        <v/>
      </c>
      <c r="T189" s="19">
        <f>IF(EXACT(Q189,'טבלת פרמטרים'!$O$2),'טבלת פרמטרים'!$P$2,IF(EXACT(Q189,'טבלת פרמטרים'!$O$3),'טבלת פרמטרים'!$P$3,IF(EXACT(Q189,'טבלת פרמטרים'!$O$4),'טבלת פרמטרים'!$P$4,IF(EXACT(Q189,'טבלת פרמטרים'!$O$5),'טבלת פרמטרים'!$P$5,IF(EXACT(Q189,'טבלת פרמטרים'!$O$6),'טבלת פרמטרים'!$P$6,IF(EXACT(Q189,'טבלת פרמטרים'!$O$7),'טבלת פרמטרים'!$P$7,""))))))</f>
        <v>0</v>
      </c>
    </row>
    <row r="190" spans="1:20" x14ac:dyDescent="0.2">
      <c r="A190" s="18">
        <v>190</v>
      </c>
      <c r="B190" s="30">
        <v>43534</v>
      </c>
      <c r="C190" s="30">
        <v>43534</v>
      </c>
      <c r="D190" s="21" t="s">
        <v>11</v>
      </c>
      <c r="E190" s="21" t="s">
        <v>20</v>
      </c>
      <c r="F190" s="21" t="s">
        <v>23</v>
      </c>
      <c r="G190" s="21" t="s">
        <v>26</v>
      </c>
      <c r="H190" s="21" t="s">
        <v>30</v>
      </c>
      <c r="I190" s="21" t="s">
        <v>126</v>
      </c>
      <c r="J190" s="21" t="s">
        <v>11</v>
      </c>
      <c r="K190" s="21" t="s">
        <v>43</v>
      </c>
      <c r="L190" s="21" t="s">
        <v>49</v>
      </c>
      <c r="M190" s="21" t="s">
        <v>54</v>
      </c>
      <c r="N190" s="21" t="s">
        <v>58</v>
      </c>
      <c r="O190" s="19">
        <f>IF(ISBLANK(D190),"",IF(D190='טבלת פרמטרים'!$A$9,1,0)+IF(E190='טבלת פרמטרים'!$B$5,2,1)+IF(F190='טבלת פרמטרים'!$C$5,3,IF(F190='טבלת פרמטרים'!$C$4,1,0))+IF(G190='טבלת פרמטרים'!$D$3,2,0)+IF(M190='טבלת פרמטרים'!$J$4,2,IF(M190='טבלת פרמטרים'!$J$3,1,0))+IF(N190='טבלת פרמטרים'!$K$6,3,IF(OR(N190='טבלת פרמטרים'!$K$4,N190='טבלת פרמטרים'!$K$5),2,IF(N190='טבלת פרמטרים'!$K$3,1,0))))</f>
        <v>3</v>
      </c>
      <c r="Q190" s="20" t="s">
        <v>123</v>
      </c>
      <c r="R190" s="19">
        <f t="shared" si="3"/>
        <v>3</v>
      </c>
      <c r="S190" s="19" t="str">
        <f>IF(EXACT(P190,'טבלת פרמטרים'!$M$2),'טבלת פרמטרים'!$N$2,IF(EXACT(P190,'טבלת פרמטרים'!$M$3),'טבלת פרמטרים'!$N$3,IF(EXACT(P190,'טבלת פרמטרים'!$M$4),'טבלת פרמטרים'!$N$4,IF(EXACT(P190,'טבלת פרמטרים'!$M$5),'טבלת פרמטרים'!$N$5,IF(EXACT(P190,'טבלת פרמטרים'!$M$6),'טבלת פרמטרים'!$N$6,IF(EXACT(P190,'טבלת פרמטרים'!$M$7),'טבלת פרמטרים'!$N$7,IF(EXACT(P190,'טבלת פרמטרים'!$M$8),'טבלת פרמטרים'!$N$8,IF(EXACT(P190,'טבלת פרמטרים'!$M$9),'טבלת פרמטרים'!$N$9,""))))))))</f>
        <v/>
      </c>
      <c r="T190" s="19">
        <f>IF(EXACT(Q190,'טבלת פרמטרים'!$O$2),'טבלת פרמטרים'!$P$2,IF(EXACT(Q190,'טבלת פרמטרים'!$O$3),'טבלת פרמטרים'!$P$3,IF(EXACT(Q190,'טבלת פרמטרים'!$O$4),'טבלת פרמטרים'!$P$4,IF(EXACT(Q190,'טבלת פרמטרים'!$O$5),'טבלת פרמטרים'!$P$5,IF(EXACT(Q190,'טבלת פרמטרים'!$O$6),'טבלת פרמטרים'!$P$6,IF(EXACT(Q190,'טבלת פרמטרים'!$O$7),'טבלת פרמטרים'!$P$7,""))))))</f>
        <v>0</v>
      </c>
    </row>
    <row r="191" spans="1:20" x14ac:dyDescent="0.2">
      <c r="A191" s="18">
        <v>191</v>
      </c>
      <c r="B191" s="30">
        <v>43595</v>
      </c>
      <c r="C191" s="30">
        <v>43595</v>
      </c>
      <c r="D191" s="21" t="s">
        <v>15</v>
      </c>
      <c r="E191" s="21" t="s">
        <v>111</v>
      </c>
      <c r="F191" s="21" t="s">
        <v>23</v>
      </c>
      <c r="G191" s="21" t="s">
        <v>26</v>
      </c>
      <c r="H191" s="21" t="s">
        <v>30</v>
      </c>
      <c r="I191" s="21" t="s">
        <v>127</v>
      </c>
      <c r="J191" s="21" t="s">
        <v>33</v>
      </c>
      <c r="K191" s="21" t="s">
        <v>45</v>
      </c>
      <c r="L191" s="21" t="s">
        <v>50</v>
      </c>
      <c r="M191" s="21" t="s">
        <v>54</v>
      </c>
      <c r="N191" s="21" t="s">
        <v>58</v>
      </c>
      <c r="O191" s="19">
        <f>IF(ISBLANK(D191),"",IF(D191='טבלת פרמטרים'!$A$9,1,0)+IF(E191='טבלת פרמטרים'!$B$5,2,1)+IF(F191='טבלת פרמטרים'!$C$5,3,IF(F191='טבלת פרמטרים'!$C$4,1,0))+IF(G191='טבלת פרמטרים'!$D$3,2,0)+IF(M191='טבלת פרמטרים'!$J$4,2,IF(M191='טבלת פרמטרים'!$J$3,1,0))+IF(N191='טבלת פרמטרים'!$K$6,3,IF(OR(N191='טבלת פרמטרים'!$K$4,N191='טבלת פרמטרים'!$K$5),2,IF(N191='טבלת פרמטרים'!$K$3,1,0))))</f>
        <v>3</v>
      </c>
      <c r="Q191" s="20" t="s">
        <v>123</v>
      </c>
      <c r="R191" s="19">
        <f t="shared" si="3"/>
        <v>3</v>
      </c>
      <c r="S191" s="19" t="str">
        <f>IF(EXACT(P191,'טבלת פרמטרים'!$M$2),'טבלת פרמטרים'!$N$2,IF(EXACT(P191,'טבלת פרמטרים'!$M$3),'טבלת פרמטרים'!$N$3,IF(EXACT(P191,'טבלת פרמטרים'!$M$4),'טבלת פרמטרים'!$N$4,IF(EXACT(P191,'טבלת פרמטרים'!$M$5),'טבלת פרמטרים'!$N$5,IF(EXACT(P191,'טבלת פרמטרים'!$M$6),'טבלת פרמטרים'!$N$6,IF(EXACT(P191,'טבלת פרמטרים'!$M$7),'טבלת פרמטרים'!$N$7,IF(EXACT(P191,'טבלת פרמטרים'!$M$8),'טבלת פרמטרים'!$N$8,IF(EXACT(P191,'טבלת פרמטרים'!$M$9),'טבלת פרמטרים'!$N$9,""))))))))</f>
        <v/>
      </c>
      <c r="T191" s="19">
        <f>IF(EXACT(Q191,'טבלת פרמטרים'!$O$2),'טבלת פרמטרים'!$P$2,IF(EXACT(Q191,'טבלת פרמטרים'!$O$3),'טבלת פרמטרים'!$P$3,IF(EXACT(Q191,'טבלת פרמטרים'!$O$4),'טבלת פרמטרים'!$P$4,IF(EXACT(Q191,'טבלת פרמטרים'!$O$5),'טבלת פרמטרים'!$P$5,IF(EXACT(Q191,'טבלת פרמטרים'!$O$6),'טבלת פרמטרים'!$P$6,IF(EXACT(Q191,'טבלת פרמטרים'!$O$7),'טבלת פרמטרים'!$P$7,""))))))</f>
        <v>0</v>
      </c>
    </row>
    <row r="192" spans="1:20" x14ac:dyDescent="0.2">
      <c r="A192" s="18">
        <v>192</v>
      </c>
      <c r="B192" s="30">
        <v>43768</v>
      </c>
      <c r="C192" s="30">
        <v>43768</v>
      </c>
      <c r="D192" s="21" t="s">
        <v>14</v>
      </c>
      <c r="E192" s="21" t="s">
        <v>111</v>
      </c>
      <c r="F192" s="21" t="s">
        <v>23</v>
      </c>
      <c r="G192" s="21" t="s">
        <v>26</v>
      </c>
      <c r="H192" s="21" t="s">
        <v>30</v>
      </c>
      <c r="I192" s="21" t="s">
        <v>126</v>
      </c>
      <c r="J192" s="21" t="s">
        <v>34</v>
      </c>
      <c r="K192" s="21" t="s">
        <v>43</v>
      </c>
      <c r="L192" s="21" t="s">
        <v>49</v>
      </c>
      <c r="M192" s="21" t="s">
        <v>54</v>
      </c>
      <c r="N192" s="21" t="s">
        <v>112</v>
      </c>
      <c r="O192" s="19">
        <f>IF(ISBLANK(D192),"",IF(D192='טבלת פרמטרים'!$A$9,1,0)+IF(E192='טבלת פרמטרים'!$B$5,2,1)+IF(F192='טבלת פרמטרים'!$C$5,3,IF(F192='טבלת פרמטרים'!$C$4,1,0))+IF(G192='טבלת פרמטרים'!$D$3,2,0)+IF(M192='טבלת פרמטרים'!$J$4,2,IF(M192='טבלת פרמטרים'!$J$3,1,0))+IF(N192='טבלת פרמטרים'!$K$6,3,IF(OR(N192='טבלת פרמטרים'!$K$4,N192='טבלת פרמטרים'!$K$5),2,IF(N192='טבלת פרמטרים'!$K$3,1,0))))</f>
        <v>4</v>
      </c>
      <c r="Q192" s="20" t="s">
        <v>123</v>
      </c>
      <c r="R192" s="19">
        <f t="shared" si="3"/>
        <v>4</v>
      </c>
      <c r="S192" s="19" t="str">
        <f>IF(EXACT(P192,'טבלת פרמטרים'!$M$2),'טבלת פרמטרים'!$N$2,IF(EXACT(P192,'טבלת פרמטרים'!$M$3),'טבלת פרמטרים'!$N$3,IF(EXACT(P192,'טבלת פרמטרים'!$M$4),'טבלת פרמטרים'!$N$4,IF(EXACT(P192,'טבלת פרמטרים'!$M$5),'טבלת פרמטרים'!$N$5,IF(EXACT(P192,'טבלת פרמטרים'!$M$6),'טבלת פרמטרים'!$N$6,IF(EXACT(P192,'טבלת פרמטרים'!$M$7),'טבלת פרמטרים'!$N$7,IF(EXACT(P192,'טבלת פרמטרים'!$M$8),'טבלת פרמטרים'!$N$8,IF(EXACT(P192,'טבלת פרמטרים'!$M$9),'טבלת פרמטרים'!$N$9,""))))))))</f>
        <v/>
      </c>
      <c r="T192" s="19">
        <f>IF(EXACT(Q192,'טבלת פרמטרים'!$O$2),'טבלת פרמטרים'!$P$2,IF(EXACT(Q192,'טבלת פרמטרים'!$O$3),'טבלת פרמטרים'!$P$3,IF(EXACT(Q192,'טבלת פרמטרים'!$O$4),'טבלת פרמטרים'!$P$4,IF(EXACT(Q192,'טבלת פרמטרים'!$O$5),'טבלת פרמטרים'!$P$5,IF(EXACT(Q192,'טבלת פרמטרים'!$O$6),'טבלת פרמטרים'!$P$6,IF(EXACT(Q192,'טבלת פרמטרים'!$O$7),'טבלת פרמטרים'!$P$7,""))))))</f>
        <v>0</v>
      </c>
    </row>
    <row r="193" spans="1:20" x14ac:dyDescent="0.2">
      <c r="A193" s="18">
        <v>193</v>
      </c>
      <c r="B193" s="30">
        <v>43566</v>
      </c>
      <c r="C193" s="30">
        <v>43566</v>
      </c>
      <c r="D193" s="21" t="s">
        <v>17</v>
      </c>
      <c r="E193" s="21" t="s">
        <v>21</v>
      </c>
      <c r="F193" s="21" t="s">
        <v>23</v>
      </c>
      <c r="G193" s="21" t="s">
        <v>26</v>
      </c>
      <c r="H193" s="21" t="s">
        <v>29</v>
      </c>
      <c r="I193" s="21" t="s">
        <v>126</v>
      </c>
      <c r="J193" s="21" t="s">
        <v>35</v>
      </c>
      <c r="K193" s="21" t="s">
        <v>43</v>
      </c>
      <c r="L193" s="21" t="s">
        <v>49</v>
      </c>
      <c r="M193" s="21" t="s">
        <v>53</v>
      </c>
      <c r="N193" s="21" t="s">
        <v>59</v>
      </c>
      <c r="O193" s="19">
        <f>IF(ISBLANK(D193),"",IF(D193='טבלת פרמטרים'!$A$9,1,0)+IF(E193='טבלת פרמטרים'!$B$5,2,1)+IF(F193='טבלת פרמטרים'!$C$5,3,IF(F193='טבלת פרמטרים'!$C$4,1,0))+IF(G193='טבלת פרמטרים'!$D$3,2,0)+IF(M193='טבלת פרמטרים'!$J$4,2,IF(M193='טבלת פרמטרים'!$J$3,1,0))+IF(N193='טבלת פרמטרים'!$K$6,3,IF(OR(N193='טבלת פרמטרים'!$K$4,N193='טבלת פרמטרים'!$K$5),2,IF(N193='טבלת פרמטרים'!$K$3,1,0))))</f>
        <v>4</v>
      </c>
      <c r="Q193" s="20" t="s">
        <v>123</v>
      </c>
      <c r="R193" s="19">
        <f t="shared" si="3"/>
        <v>4</v>
      </c>
      <c r="S193" s="19" t="str">
        <f>IF(EXACT(P193,'טבלת פרמטרים'!$M$2),'טבלת פרמטרים'!$N$2,IF(EXACT(P193,'טבלת פרמטרים'!$M$3),'טבלת פרמטרים'!$N$3,IF(EXACT(P193,'טבלת פרמטרים'!$M$4),'טבלת פרמטרים'!$N$4,IF(EXACT(P193,'טבלת פרמטרים'!$M$5),'טבלת פרמטרים'!$N$5,IF(EXACT(P193,'טבלת פרמטרים'!$M$6),'טבלת פרמטרים'!$N$6,IF(EXACT(P193,'טבלת פרמטרים'!$M$7),'טבלת פרמטרים'!$N$7,IF(EXACT(P193,'טבלת פרמטרים'!$M$8),'טבלת פרמטרים'!$N$8,IF(EXACT(P193,'טבלת פרמטרים'!$M$9),'טבלת פרמטרים'!$N$9,""))))))))</f>
        <v/>
      </c>
      <c r="T193" s="19">
        <f>IF(EXACT(Q193,'טבלת פרמטרים'!$O$2),'טבלת פרמטרים'!$P$2,IF(EXACT(Q193,'טבלת פרמטרים'!$O$3),'טבלת פרמטרים'!$P$3,IF(EXACT(Q193,'טבלת פרמטרים'!$O$4),'טבלת פרמטרים'!$P$4,IF(EXACT(Q193,'טבלת פרמטרים'!$O$5),'טבלת פרמטרים'!$P$5,IF(EXACT(Q193,'טבלת פרמטרים'!$O$6),'טבלת פרמטרים'!$P$6,IF(EXACT(Q193,'טבלת פרמטרים'!$O$7),'טבלת פרמטרים'!$P$7,""))))))</f>
        <v>0</v>
      </c>
    </row>
    <row r="194" spans="1:20" x14ac:dyDescent="0.2">
      <c r="A194" s="18">
        <v>194</v>
      </c>
      <c r="B194" s="30">
        <v>43749</v>
      </c>
      <c r="C194" s="30">
        <v>43749</v>
      </c>
      <c r="D194" s="21" t="s">
        <v>17</v>
      </c>
      <c r="E194" s="21" t="s">
        <v>20</v>
      </c>
      <c r="F194" s="21" t="s">
        <v>23</v>
      </c>
      <c r="G194" s="21" t="s">
        <v>26</v>
      </c>
      <c r="H194" s="21" t="s">
        <v>32</v>
      </c>
      <c r="I194" s="21" t="s">
        <v>126</v>
      </c>
      <c r="J194" s="21" t="s">
        <v>34</v>
      </c>
      <c r="K194" s="21" t="s">
        <v>48</v>
      </c>
      <c r="L194" s="21" t="s">
        <v>49</v>
      </c>
      <c r="M194" s="21" t="s">
        <v>55</v>
      </c>
      <c r="N194" s="21" t="s">
        <v>59</v>
      </c>
      <c r="O194" s="19">
        <f>IF(ISBLANK(D194),"",IF(D194='טבלת פרמטרים'!$A$9,1,0)+IF(E194='טבלת פרמטרים'!$B$5,2,1)+IF(F194='טבלת פרמטרים'!$C$5,3,IF(F194='טבלת פרמטרים'!$C$4,1,0))+IF(G194='טבלת פרמטרים'!$D$3,2,0)+IF(M194='טבלת פרמטרים'!$J$4,2,IF(M194='טבלת פרמטרים'!$J$3,1,0))+IF(N194='טבלת פרמטרים'!$K$6,3,IF(OR(N194='טבלת פרמטרים'!$K$4,N194='טבלת פרמטרים'!$K$5),2,IF(N194='טבלת פרמטרים'!$K$3,1,0))))</f>
        <v>6</v>
      </c>
      <c r="Q194" s="20" t="s">
        <v>123</v>
      </c>
      <c r="R194" s="19">
        <f t="shared" si="3"/>
        <v>6</v>
      </c>
      <c r="S194" s="19" t="str">
        <f>IF(EXACT(P194,'טבלת פרמטרים'!$M$2),'טבלת פרמטרים'!$N$2,IF(EXACT(P194,'טבלת פרמטרים'!$M$3),'טבלת פרמטרים'!$N$3,IF(EXACT(P194,'טבלת פרמטרים'!$M$4),'טבלת פרמטרים'!$N$4,IF(EXACT(P194,'טבלת פרמטרים'!$M$5),'טבלת פרמטרים'!$N$5,IF(EXACT(P194,'טבלת פרמטרים'!$M$6),'טבלת פרמטרים'!$N$6,IF(EXACT(P194,'טבלת פרמטרים'!$M$7),'טבלת פרמטרים'!$N$7,IF(EXACT(P194,'טבלת פרמטרים'!$M$8),'טבלת פרמטרים'!$N$8,IF(EXACT(P194,'טבלת פרמטרים'!$M$9),'טבלת פרמטרים'!$N$9,""))))))))</f>
        <v/>
      </c>
      <c r="T194" s="19">
        <f>IF(EXACT(Q194,'טבלת פרמטרים'!$O$2),'טבלת פרמטרים'!$P$2,IF(EXACT(Q194,'טבלת פרמטרים'!$O$3),'טבלת פרמטרים'!$P$3,IF(EXACT(Q194,'טבלת פרמטרים'!$O$4),'טבלת פרמטרים'!$P$4,IF(EXACT(Q194,'טבלת פרמטרים'!$O$5),'טבלת פרמטרים'!$P$5,IF(EXACT(Q194,'טבלת פרמטרים'!$O$6),'טבלת פרמטרים'!$P$6,IF(EXACT(Q194,'טבלת פרמטרים'!$O$7),'טבלת פרמטרים'!$P$7,""))))))</f>
        <v>0</v>
      </c>
    </row>
    <row r="195" spans="1:20" x14ac:dyDescent="0.2">
      <c r="A195" s="18">
        <v>195</v>
      </c>
      <c r="B195" s="30">
        <v>43781</v>
      </c>
      <c r="C195" s="30">
        <v>43782</v>
      </c>
      <c r="D195" s="21" t="s">
        <v>17</v>
      </c>
      <c r="E195" s="21" t="s">
        <v>22</v>
      </c>
      <c r="F195" s="21" t="s">
        <v>24</v>
      </c>
      <c r="G195" s="21" t="s">
        <v>26</v>
      </c>
      <c r="H195" s="21" t="s">
        <v>29</v>
      </c>
      <c r="I195" s="21" t="s">
        <v>126</v>
      </c>
      <c r="J195" s="21" t="s">
        <v>35</v>
      </c>
      <c r="K195" s="21" t="s">
        <v>43</v>
      </c>
      <c r="L195" s="21" t="s">
        <v>51</v>
      </c>
      <c r="M195" s="21" t="s">
        <v>53</v>
      </c>
      <c r="N195" s="21" t="s">
        <v>59</v>
      </c>
      <c r="O195" s="19">
        <f>IF(ISBLANK(D195),"",IF(D195='טבלת פרמטרים'!$A$9,1,0)+IF(E195='טבלת פרמטרים'!$B$5,2,1)+IF(F195='טבלת פרמטרים'!$C$5,3,IF(F195='טבלת פרמטרים'!$C$4,1,0))+IF(G195='טבלת פרמטרים'!$D$3,2,0)+IF(M195='טבלת פרמטרים'!$J$4,2,IF(M195='טבלת פרמטרים'!$J$3,1,0))+IF(N195='טבלת פרמטרים'!$K$6,3,IF(OR(N195='טבלת פרמטרים'!$K$4,N195='טבלת פרמטרים'!$K$5),2,IF(N195='טבלת פרמטרים'!$K$3,1,0))))</f>
        <v>6</v>
      </c>
      <c r="Q195" s="20" t="s">
        <v>123</v>
      </c>
      <c r="R195" s="19">
        <f t="shared" si="3"/>
        <v>6</v>
      </c>
      <c r="S195" s="19" t="str">
        <f>IF(EXACT(P195,'טבלת פרמטרים'!$M$2),'טבלת פרמטרים'!$N$2,IF(EXACT(P195,'טבלת פרמטרים'!$M$3),'טבלת פרמטרים'!$N$3,IF(EXACT(P195,'טבלת פרמטרים'!$M$4),'טבלת פרמטרים'!$N$4,IF(EXACT(P195,'טבלת פרמטרים'!$M$5),'טבלת פרמטרים'!$N$5,IF(EXACT(P195,'טבלת פרמטרים'!$M$6),'טבלת פרמטרים'!$N$6,IF(EXACT(P195,'טבלת פרמטרים'!$M$7),'טבלת פרמטרים'!$N$7,IF(EXACT(P195,'טבלת פרמטרים'!$M$8),'טבלת פרמטרים'!$N$8,IF(EXACT(P195,'טבלת פרמטרים'!$M$9),'טבלת פרמטרים'!$N$9,""))))))))</f>
        <v/>
      </c>
      <c r="T195" s="19">
        <f>IF(EXACT(Q195,'טבלת פרמטרים'!$O$2),'טבלת פרמטרים'!$P$2,IF(EXACT(Q195,'טבלת פרמטרים'!$O$3),'טבלת פרמטרים'!$P$3,IF(EXACT(Q195,'טבלת פרמטרים'!$O$4),'טבלת פרמטרים'!$P$4,IF(EXACT(Q195,'טבלת פרמטרים'!$O$5),'טבלת פרמטרים'!$P$5,IF(EXACT(Q195,'טבלת פרמטרים'!$O$6),'טבלת פרמטרים'!$P$6,IF(EXACT(Q195,'טבלת פרמטרים'!$O$7),'טבלת פרמטרים'!$P$7,""))))))</f>
        <v>0</v>
      </c>
    </row>
    <row r="196" spans="1:20" ht="28.5" x14ac:dyDescent="0.2">
      <c r="A196" s="18">
        <v>196</v>
      </c>
      <c r="B196" s="30">
        <v>43782</v>
      </c>
      <c r="C196" s="30">
        <v>43782</v>
      </c>
      <c r="D196" s="21" t="s">
        <v>17</v>
      </c>
      <c r="E196" s="21" t="s">
        <v>22</v>
      </c>
      <c r="F196" s="21" t="s">
        <v>24</v>
      </c>
      <c r="G196" s="21" t="s">
        <v>26</v>
      </c>
      <c r="H196" s="21" t="s">
        <v>29</v>
      </c>
      <c r="I196" s="21" t="s">
        <v>126</v>
      </c>
      <c r="J196" s="21" t="s">
        <v>39</v>
      </c>
      <c r="K196" s="21" t="s">
        <v>39</v>
      </c>
      <c r="L196" s="21" t="s">
        <v>50</v>
      </c>
      <c r="M196" s="21" t="s">
        <v>54</v>
      </c>
      <c r="N196" s="21" t="s">
        <v>57</v>
      </c>
      <c r="O196" s="19">
        <f>IF(ISBLANK(D196),"",IF(D196='טבלת פרמטרים'!$A$9,1,0)+IF(E196='טבלת פרמטרים'!$B$5,2,1)+IF(F196='טבלת פרמטרים'!$C$5,3,IF(F196='טבלת פרמטרים'!$C$4,1,0))+IF(G196='טבלת פרמטרים'!$D$3,2,0)+IF(M196='טבלת פרמטרים'!$J$4,2,IF(M196='טבלת פרמטרים'!$J$3,1,0))+IF(N196='טבלת פרמטרים'!$K$6,3,IF(OR(N196='טבלת פרמטרים'!$K$4,N196='טבלת פרמטרים'!$K$5),2,IF(N196='טבלת פרמטרים'!$K$3,1,0))))</f>
        <v>5</v>
      </c>
      <c r="Q196" s="20" t="s">
        <v>330</v>
      </c>
      <c r="R196" s="19">
        <f t="shared" si="3"/>
        <v>9</v>
      </c>
      <c r="S196" s="19" t="str">
        <f>IF(EXACT(P196,'טבלת פרמטרים'!$M$2),'טבלת פרמטרים'!$N$2,IF(EXACT(P196,'טבלת פרמטרים'!$M$3),'טבלת פרמטרים'!$N$3,IF(EXACT(P196,'טבלת פרמטרים'!$M$4),'טבלת פרמטרים'!$N$4,IF(EXACT(P196,'טבלת פרמטרים'!$M$5),'טבלת פרמטרים'!$N$5,IF(EXACT(P196,'טבלת פרמטרים'!$M$6),'טבלת פרמטרים'!$N$6,IF(EXACT(P196,'טבלת פרמטרים'!$M$7),'טבלת פרמטרים'!$N$7,IF(EXACT(P196,'טבלת פרמטרים'!$M$8),'טבלת פרמטרים'!$N$8,IF(EXACT(P196,'טבלת פרמטרים'!$M$9),'טבלת פרמטרים'!$N$9,""))))))))</f>
        <v/>
      </c>
      <c r="T196" s="19">
        <f>IF(EXACT(Q196,'טבלת פרמטרים'!$O$2),'טבלת פרמטרים'!$P$2,IF(EXACT(Q196,'טבלת פרמטרים'!$O$3),'טבלת פרמטרים'!$P$3,IF(EXACT(Q196,'טבלת פרמטרים'!$O$4),'טבלת פרמטרים'!$P$4,IF(EXACT(Q196,'טבלת פרמטרים'!$O$5),'טבלת פרמטרים'!$P$5,IF(EXACT(Q196,'טבלת פרמטרים'!$O$6),'טבלת פרמטרים'!$P$6,IF(EXACT(Q196,'טבלת פרמטרים'!$O$7),'טבלת פרמטרים'!$P$7,""))))))</f>
        <v>4</v>
      </c>
    </row>
    <row r="197" spans="1:20" x14ac:dyDescent="0.2">
      <c r="A197" s="18">
        <v>197</v>
      </c>
      <c r="B197" s="30">
        <v>43793</v>
      </c>
      <c r="C197" s="30">
        <v>43794</v>
      </c>
      <c r="D197" s="21" t="s">
        <v>16</v>
      </c>
      <c r="E197" s="21" t="s">
        <v>111</v>
      </c>
      <c r="F197" s="21" t="s">
        <v>23</v>
      </c>
      <c r="G197" s="21" t="s">
        <v>26</v>
      </c>
      <c r="H197" s="21" t="s">
        <v>30</v>
      </c>
      <c r="I197" s="21" t="s">
        <v>126</v>
      </c>
      <c r="J197" s="21" t="s">
        <v>34</v>
      </c>
      <c r="K197" s="21" t="s">
        <v>48</v>
      </c>
      <c r="L197" s="21" t="s">
        <v>49</v>
      </c>
      <c r="M197" s="21" t="s">
        <v>55</v>
      </c>
      <c r="N197" s="21" t="s">
        <v>59</v>
      </c>
      <c r="O197" s="19">
        <f>IF(ISBLANK(D197),"",IF(D197='טבלת פרמטרים'!$A$9,1,0)+IF(E197='טבלת פרמטרים'!$B$5,2,1)+IF(F197='טבלת פרמטרים'!$C$5,3,IF(F197='טבלת פרמטרים'!$C$4,1,0))+IF(G197='טבלת פרמטרים'!$D$3,2,0)+IF(M197='טבלת פרמטרים'!$J$4,2,IF(M197='טבלת פרמטרים'!$J$3,1,0))+IF(N197='טבלת פרמטרים'!$K$6,3,IF(OR(N197='טבלת פרמטרים'!$K$4,N197='טבלת פרמטרים'!$K$5),2,IF(N197='טבלת פרמטרים'!$K$3,1,0))))</f>
        <v>5</v>
      </c>
      <c r="Q197" s="20" t="s">
        <v>123</v>
      </c>
      <c r="R197" s="19">
        <f t="shared" si="3"/>
        <v>5</v>
      </c>
      <c r="S197" s="19" t="str">
        <f>IF(EXACT(P197,'טבלת פרמטרים'!$M$2),'טבלת פרמטרים'!$N$2,IF(EXACT(P197,'טבלת פרמטרים'!$M$3),'טבלת פרמטרים'!$N$3,IF(EXACT(P197,'טבלת פרמטרים'!$M$4),'טבלת פרמטרים'!$N$4,IF(EXACT(P197,'טבלת פרמטרים'!$M$5),'טבלת פרמטרים'!$N$5,IF(EXACT(P197,'טבלת פרמטרים'!$M$6),'טבלת פרמטרים'!$N$6,IF(EXACT(P197,'טבלת פרמטרים'!$M$7),'טבלת פרמטרים'!$N$7,IF(EXACT(P197,'טבלת פרמטרים'!$M$8),'טבלת פרמטרים'!$N$8,IF(EXACT(P197,'טבלת פרמטרים'!$M$9),'טבלת פרמטרים'!$N$9,""))))))))</f>
        <v/>
      </c>
      <c r="T197" s="19">
        <f>IF(EXACT(Q197,'טבלת פרמטרים'!$O$2),'טבלת פרמטרים'!$P$2,IF(EXACT(Q197,'טבלת פרמטרים'!$O$3),'טבלת פרמטרים'!$P$3,IF(EXACT(Q197,'טבלת פרמטרים'!$O$4),'טבלת פרמטרים'!$P$4,IF(EXACT(Q197,'טבלת פרמטרים'!$O$5),'טבלת פרמטרים'!$P$5,IF(EXACT(Q197,'טבלת פרמטרים'!$O$6),'טבלת פרמטרים'!$P$6,IF(EXACT(Q197,'טבלת פרמטרים'!$O$7),'טבלת פרמטרים'!$P$7,""))))))</f>
        <v>0</v>
      </c>
    </row>
    <row r="198" spans="1:20" x14ac:dyDescent="0.2">
      <c r="A198" s="18">
        <v>198</v>
      </c>
      <c r="B198" s="30">
        <v>43796</v>
      </c>
      <c r="C198" s="30">
        <v>43796</v>
      </c>
      <c r="D198" s="21" t="s">
        <v>17</v>
      </c>
      <c r="E198" s="21" t="s">
        <v>21</v>
      </c>
      <c r="F198" s="21" t="s">
        <v>23</v>
      </c>
      <c r="G198" s="21" t="s">
        <v>26</v>
      </c>
      <c r="H198" s="21" t="s">
        <v>29</v>
      </c>
      <c r="I198" s="21" t="s">
        <v>126</v>
      </c>
      <c r="J198" s="21" t="s">
        <v>35</v>
      </c>
      <c r="K198" s="21" t="s">
        <v>43</v>
      </c>
      <c r="L198" s="21" t="s">
        <v>51</v>
      </c>
      <c r="M198" s="21" t="s">
        <v>53</v>
      </c>
      <c r="N198" s="21" t="s">
        <v>59</v>
      </c>
      <c r="O198" s="19">
        <f>IF(ISBLANK(D198),"",IF(D198='טבלת פרמטרים'!$A$9,1,0)+IF(E198='טבלת פרמטרים'!$B$5,2,1)+IF(F198='טבלת פרמטרים'!$C$5,3,IF(F198='טבלת פרמטרים'!$C$4,1,0))+IF(G198='טבלת פרמטרים'!$D$3,2,0)+IF(M198='טבלת פרמטרים'!$J$4,2,IF(M198='טבלת פרמטרים'!$J$3,1,0))+IF(N198='טבלת פרמטרים'!$K$6,3,IF(OR(N198='טבלת פרמטרים'!$K$4,N198='טבלת פרמטרים'!$K$5),2,IF(N198='טבלת פרמטרים'!$K$3,1,0))))</f>
        <v>4</v>
      </c>
      <c r="Q198" s="20" t="s">
        <v>123</v>
      </c>
      <c r="R198" s="19">
        <f t="shared" si="3"/>
        <v>4</v>
      </c>
      <c r="S198" s="19" t="str">
        <f>IF(EXACT(P198,'טבלת פרמטרים'!$M$2),'טבלת פרמטרים'!$N$2,IF(EXACT(P198,'טבלת פרמטרים'!$M$3),'טבלת פרמטרים'!$N$3,IF(EXACT(P198,'טבלת פרמטרים'!$M$4),'טבלת פרמטרים'!$N$4,IF(EXACT(P198,'טבלת פרמטרים'!$M$5),'טבלת פרמטרים'!$N$5,IF(EXACT(P198,'טבלת פרמטרים'!$M$6),'טבלת פרמטרים'!$N$6,IF(EXACT(P198,'טבלת פרמטרים'!$M$7),'טבלת פרמטרים'!$N$7,IF(EXACT(P198,'טבלת פרמטרים'!$M$8),'טבלת פרמטרים'!$N$8,IF(EXACT(P198,'טבלת פרמטרים'!$M$9),'טבלת פרמטרים'!$N$9,""))))))))</f>
        <v/>
      </c>
      <c r="T198" s="19">
        <f>IF(EXACT(Q198,'טבלת פרמטרים'!$O$2),'טבלת פרמטרים'!$P$2,IF(EXACT(Q198,'טבלת פרמטרים'!$O$3),'טבלת פרמטרים'!$P$3,IF(EXACT(Q198,'טבלת פרמטרים'!$O$4),'טבלת פרמטרים'!$P$4,IF(EXACT(Q198,'טבלת פרמטרים'!$O$5),'טבלת פרמטרים'!$P$5,IF(EXACT(Q198,'טבלת פרמטרים'!$O$6),'טבלת פרמטרים'!$P$6,IF(EXACT(Q198,'טבלת פרמטרים'!$O$7),'טבלת פרמטרים'!$P$7,""))))))</f>
        <v>0</v>
      </c>
    </row>
    <row r="199" spans="1:20" x14ac:dyDescent="0.2">
      <c r="A199" s="18">
        <v>199</v>
      </c>
      <c r="B199" s="30">
        <v>43796</v>
      </c>
      <c r="C199" s="30">
        <v>43796</v>
      </c>
      <c r="D199" s="21" t="s">
        <v>14</v>
      </c>
      <c r="E199" s="21" t="s">
        <v>111</v>
      </c>
      <c r="F199" s="21" t="s">
        <v>23</v>
      </c>
      <c r="G199" s="21" t="s">
        <v>26</v>
      </c>
      <c r="H199" s="21" t="s">
        <v>29</v>
      </c>
      <c r="I199" s="21" t="s">
        <v>126</v>
      </c>
      <c r="J199" s="21" t="s">
        <v>35</v>
      </c>
      <c r="K199" s="21" t="s">
        <v>44</v>
      </c>
      <c r="L199" s="21" t="s">
        <v>51</v>
      </c>
      <c r="M199" s="21" t="s">
        <v>53</v>
      </c>
      <c r="N199" s="21" t="s">
        <v>58</v>
      </c>
      <c r="O199" s="19">
        <f>IF(ISBLANK(D199),"",IF(D199='טבלת פרמטרים'!$A$9,1,0)+IF(E199='טבלת פרמטרים'!$B$5,2,1)+IF(F199='טבלת פרמטרים'!$C$5,3,IF(F199='טבלת פרמטרים'!$C$4,1,0))+IF(G199='טבלת פרמטרים'!$D$3,2,0)+IF(M199='טבלת פרמטרים'!$J$4,2,IF(M199='טבלת פרמטרים'!$J$3,1,0))+IF(N199='טבלת פרמטרים'!$K$6,3,IF(OR(N199='טבלת פרמטרים'!$K$4,N199='טבלת פרמטרים'!$K$5),2,IF(N199='טבלת פרמטרים'!$K$3,1,0))))</f>
        <v>2</v>
      </c>
      <c r="Q199" s="20" t="s">
        <v>123</v>
      </c>
      <c r="R199" s="19">
        <f t="shared" si="3"/>
        <v>2</v>
      </c>
      <c r="S199" s="19" t="str">
        <f>IF(EXACT(P199,'טבלת פרמטרים'!$M$2),'טבלת פרמטרים'!$N$2,IF(EXACT(P199,'טבלת פרמטרים'!$M$3),'טבלת פרמטרים'!$N$3,IF(EXACT(P199,'טבלת פרמטרים'!$M$4),'טבלת פרמטרים'!$N$4,IF(EXACT(P199,'טבלת פרמטרים'!$M$5),'טבלת פרמטרים'!$N$5,IF(EXACT(P199,'טבלת פרמטרים'!$M$6),'טבלת פרמטרים'!$N$6,IF(EXACT(P199,'טבלת פרמטרים'!$M$7),'טבלת פרמטרים'!$N$7,IF(EXACT(P199,'טבלת פרמטרים'!$M$8),'טבלת פרמטרים'!$N$8,IF(EXACT(P199,'טבלת פרמטרים'!$M$9),'טבלת פרמטרים'!$N$9,""))))))))</f>
        <v/>
      </c>
      <c r="T199" s="19">
        <f>IF(EXACT(Q199,'טבלת פרמטרים'!$O$2),'טבלת פרמטרים'!$P$2,IF(EXACT(Q199,'טבלת פרמטרים'!$O$3),'טבלת פרמטרים'!$P$3,IF(EXACT(Q199,'טבלת פרמטרים'!$O$4),'טבלת פרמטרים'!$P$4,IF(EXACT(Q199,'טבלת פרמטרים'!$O$5),'טבלת פרמטרים'!$P$5,IF(EXACT(Q199,'טבלת פרמטרים'!$O$6),'טבלת פרמטרים'!$P$6,IF(EXACT(Q199,'טבלת פרמטרים'!$O$7),'טבלת פרמטרים'!$P$7,""))))))</f>
        <v>0</v>
      </c>
    </row>
    <row r="200" spans="1:20" x14ac:dyDescent="0.2">
      <c r="A200" s="18">
        <v>200</v>
      </c>
      <c r="B200" s="30">
        <v>43804</v>
      </c>
      <c r="C200" s="30">
        <v>43804</v>
      </c>
      <c r="D200" s="21" t="s">
        <v>10</v>
      </c>
      <c r="E200" s="21" t="s">
        <v>21</v>
      </c>
      <c r="F200" s="21" t="s">
        <v>23</v>
      </c>
      <c r="G200" s="21" t="s">
        <v>26</v>
      </c>
      <c r="H200" s="21" t="s">
        <v>32</v>
      </c>
      <c r="I200" s="21" t="s">
        <v>126</v>
      </c>
      <c r="J200" s="21" t="s">
        <v>33</v>
      </c>
      <c r="K200" s="21" t="s">
        <v>43</v>
      </c>
      <c r="L200" s="21" t="s">
        <v>49</v>
      </c>
      <c r="M200" s="21" t="s">
        <v>55</v>
      </c>
      <c r="N200" s="21" t="s">
        <v>59</v>
      </c>
      <c r="O200" s="19">
        <f>IF(ISBLANK(D200),"",IF(D200='טבלת פרמטרים'!$A$9,1,0)+IF(E200='טבלת פרמטרים'!$B$5,2,1)+IF(F200='טבלת פרמטרים'!$C$5,3,IF(F200='טבלת פרמטרים'!$C$4,1,0))+IF(G200='טבלת פרמטרים'!$D$3,2,0)+IF(M200='טבלת פרמטרים'!$J$4,2,IF(M200='טבלת פרמטרים'!$J$3,1,0))+IF(N200='טבלת פרמטרים'!$K$6,3,IF(OR(N200='טבלת פרמטרים'!$K$4,N200='טבלת פרמטרים'!$K$5),2,IF(N200='טבלת פרמטרים'!$K$3,1,0))))</f>
        <v>5</v>
      </c>
      <c r="Q200" s="20" t="s">
        <v>123</v>
      </c>
      <c r="R200" s="19">
        <f t="shared" si="3"/>
        <v>5</v>
      </c>
      <c r="S200" s="19" t="str">
        <f>IF(EXACT(P200,'טבלת פרמטרים'!$M$2),'טבלת פרמטרים'!$N$2,IF(EXACT(P200,'טבלת פרמטרים'!$M$3),'טבלת פרמטרים'!$N$3,IF(EXACT(P200,'טבלת פרמטרים'!$M$4),'טבלת פרמטרים'!$N$4,IF(EXACT(P200,'טבלת פרמטרים'!$M$5),'טבלת פרמטרים'!$N$5,IF(EXACT(P200,'טבלת פרמטרים'!$M$6),'טבלת פרמטרים'!$N$6,IF(EXACT(P200,'טבלת פרמטרים'!$M$7),'טבלת פרמטרים'!$N$7,IF(EXACT(P200,'טבלת פרמטרים'!$M$8),'טבלת פרמטרים'!$N$8,IF(EXACT(P200,'טבלת פרמטרים'!$M$9),'טבלת פרמטרים'!$N$9,""))))))))</f>
        <v/>
      </c>
      <c r="T200" s="19">
        <f>IF(EXACT(Q200,'טבלת פרמטרים'!$O$2),'טבלת פרמטרים'!$P$2,IF(EXACT(Q200,'טבלת פרמטרים'!$O$3),'טבלת פרמטרים'!$P$3,IF(EXACT(Q200,'טבלת פרמטרים'!$O$4),'טבלת פרמטרים'!$P$4,IF(EXACT(Q200,'טבלת פרמטרים'!$O$5),'טבלת פרמטרים'!$P$5,IF(EXACT(Q200,'טבלת פרמטרים'!$O$6),'טבלת פרמטרים'!$P$6,IF(EXACT(Q200,'טבלת פרמטרים'!$O$7),'טבלת פרמטרים'!$P$7,""))))))</f>
        <v>0</v>
      </c>
    </row>
    <row r="201" spans="1:20" x14ac:dyDescent="0.2">
      <c r="A201" s="18">
        <v>201</v>
      </c>
      <c r="B201" s="30">
        <v>43807</v>
      </c>
      <c r="C201" s="30">
        <v>43807</v>
      </c>
      <c r="D201" s="21" t="s">
        <v>17</v>
      </c>
      <c r="E201" s="21" t="s">
        <v>20</v>
      </c>
      <c r="F201" s="21" t="s">
        <v>23</v>
      </c>
      <c r="G201" s="21" t="s">
        <v>26</v>
      </c>
      <c r="H201" s="21" t="s">
        <v>31</v>
      </c>
      <c r="I201" s="21" t="s">
        <v>126</v>
      </c>
      <c r="J201" s="21" t="s">
        <v>33</v>
      </c>
      <c r="K201" s="21" t="s">
        <v>45</v>
      </c>
      <c r="L201" s="21" t="s">
        <v>51</v>
      </c>
      <c r="M201" s="21" t="s">
        <v>54</v>
      </c>
      <c r="N201" s="21" t="s">
        <v>59</v>
      </c>
      <c r="O201" s="19">
        <f>IF(ISBLANK(D201),"",IF(D201='טבלת פרמטרים'!$A$9,1,0)+IF(E201='טבלת פרמטרים'!$B$5,2,1)+IF(F201='טבלת פרמטרים'!$C$5,3,IF(F201='טבלת פרמטרים'!$C$4,1,0))+IF(G201='טבלת פרמטרים'!$D$3,2,0)+IF(M201='טבלת פרמטרים'!$J$4,2,IF(M201='טבלת פרמטרים'!$J$3,1,0))+IF(N201='טבלת פרמטרים'!$K$6,3,IF(OR(N201='טבלת פרמטרים'!$K$4,N201='טבלת פרמטרים'!$K$5),2,IF(N201='טבלת פרמטרים'!$K$3,1,0))))</f>
        <v>5</v>
      </c>
      <c r="Q201" s="20" t="s">
        <v>123</v>
      </c>
      <c r="R201" s="19">
        <f t="shared" si="3"/>
        <v>5</v>
      </c>
      <c r="S201" s="19" t="str">
        <f>IF(EXACT(P201,'טבלת פרמטרים'!$M$2),'טבלת פרמטרים'!$N$2,IF(EXACT(P201,'טבלת פרמטרים'!$M$3),'טבלת פרמטרים'!$N$3,IF(EXACT(P201,'טבלת פרמטרים'!$M$4),'טבלת פרמטרים'!$N$4,IF(EXACT(P201,'טבלת פרמטרים'!$M$5),'טבלת פרמטרים'!$N$5,IF(EXACT(P201,'טבלת פרמטרים'!$M$6),'טבלת פרמטרים'!$N$6,IF(EXACT(P201,'טבלת פרמטרים'!$M$7),'טבלת פרמטרים'!$N$7,IF(EXACT(P201,'טבלת פרמטרים'!$M$8),'טבלת פרמטרים'!$N$8,IF(EXACT(P201,'טבלת פרמטרים'!$M$9),'טבלת פרמטרים'!$N$9,""))))))))</f>
        <v/>
      </c>
      <c r="T201" s="19">
        <f>IF(EXACT(Q201,'טבלת פרמטרים'!$O$2),'טבלת פרמטרים'!$P$2,IF(EXACT(Q201,'טבלת פרמטרים'!$O$3),'טבלת פרמטרים'!$P$3,IF(EXACT(Q201,'טבלת פרמטרים'!$O$4),'טבלת פרמטרים'!$P$4,IF(EXACT(Q201,'טבלת פרמטרים'!$O$5),'טבלת פרמטרים'!$P$5,IF(EXACT(Q201,'טבלת פרמטרים'!$O$6),'טבלת פרמטרים'!$P$6,IF(EXACT(Q201,'טבלת פרמטרים'!$O$7),'טבלת פרמטרים'!$P$7,""))))))</f>
        <v>0</v>
      </c>
    </row>
    <row r="202" spans="1:20" x14ac:dyDescent="0.2">
      <c r="A202" s="18">
        <v>202</v>
      </c>
      <c r="B202" s="30">
        <v>43727</v>
      </c>
      <c r="C202" s="30">
        <v>43727</v>
      </c>
      <c r="D202" s="21" t="s">
        <v>17</v>
      </c>
      <c r="E202" s="21" t="s">
        <v>20</v>
      </c>
      <c r="F202" s="21" t="s">
        <v>23</v>
      </c>
      <c r="G202" s="21" t="s">
        <v>26</v>
      </c>
      <c r="H202" s="21" t="s">
        <v>28</v>
      </c>
      <c r="I202" s="21" t="s">
        <v>126</v>
      </c>
      <c r="J202" s="21" t="s">
        <v>33</v>
      </c>
      <c r="K202" s="21" t="s">
        <v>46</v>
      </c>
      <c r="L202" s="21" t="s">
        <v>50</v>
      </c>
      <c r="M202" s="21" t="s">
        <v>53</v>
      </c>
      <c r="N202" s="21" t="s">
        <v>59</v>
      </c>
      <c r="O202" s="19">
        <f>IF(ISBLANK(D202),"",IF(D202='טבלת פרמטרים'!$A$9,1,0)+IF(E202='טבלת פרמטרים'!$B$5,2,1)+IF(F202='טבלת פרמטרים'!$C$5,3,IF(F202='טבלת פרמטרים'!$C$4,1,0))+IF(G202='טבלת פרמטרים'!$D$3,2,0)+IF(M202='טבלת פרמטרים'!$J$4,2,IF(M202='טבלת פרמטרים'!$J$3,1,0))+IF(N202='טבלת פרמטרים'!$K$6,3,IF(OR(N202='טבלת פרמטרים'!$K$4,N202='טבלת פרמטרים'!$K$5),2,IF(N202='טבלת פרמטרים'!$K$3,1,0))))</f>
        <v>4</v>
      </c>
      <c r="Q202" s="20" t="s">
        <v>123</v>
      </c>
      <c r="R202" s="19">
        <f t="shared" si="3"/>
        <v>4</v>
      </c>
      <c r="S202" s="19" t="str">
        <f>IF(EXACT(P202,'טבלת פרמטרים'!$M$2),'טבלת פרמטרים'!$N$2,IF(EXACT(P202,'טבלת פרמטרים'!$M$3),'טבלת פרמטרים'!$N$3,IF(EXACT(P202,'טבלת פרמטרים'!$M$4),'טבלת פרמטרים'!$N$4,IF(EXACT(P202,'טבלת פרמטרים'!$M$5),'טבלת פרמטרים'!$N$5,IF(EXACT(P202,'טבלת פרמטרים'!$M$6),'טבלת פרמטרים'!$N$6,IF(EXACT(P202,'טבלת פרמטרים'!$M$7),'טבלת פרמטרים'!$N$7,IF(EXACT(P202,'טבלת פרמטרים'!$M$8),'טבלת פרמטרים'!$N$8,IF(EXACT(P202,'טבלת פרמטרים'!$M$9),'טבלת פרמטרים'!$N$9,""))))))))</f>
        <v/>
      </c>
      <c r="T202" s="19">
        <f>IF(EXACT(Q202,'טבלת פרמטרים'!$O$2),'טבלת פרמטרים'!$P$2,IF(EXACT(Q202,'טבלת פרמטרים'!$O$3),'טבלת פרמטרים'!$P$3,IF(EXACT(Q202,'טבלת פרמטרים'!$O$4),'טבלת פרמטרים'!$P$4,IF(EXACT(Q202,'טבלת פרמטרים'!$O$5),'טבלת פרמטרים'!$P$5,IF(EXACT(Q202,'טבלת פרמטרים'!$O$6),'טבלת פרמטרים'!$P$6,IF(EXACT(Q202,'טבלת פרמטרים'!$O$7),'טבלת פרמטרים'!$P$7,""))))))</f>
        <v>0</v>
      </c>
    </row>
    <row r="203" spans="1:20" x14ac:dyDescent="0.2">
      <c r="A203" s="18">
        <v>203</v>
      </c>
      <c r="B203" s="30">
        <v>43814</v>
      </c>
      <c r="C203" s="30">
        <v>43814</v>
      </c>
      <c r="D203" s="21" t="s">
        <v>14</v>
      </c>
      <c r="E203" s="21" t="s">
        <v>20</v>
      </c>
      <c r="F203" s="21" t="s">
        <v>23</v>
      </c>
      <c r="G203" s="21" t="s">
        <v>26</v>
      </c>
      <c r="H203" s="21" t="s">
        <v>29</v>
      </c>
      <c r="I203" s="21" t="s">
        <v>127</v>
      </c>
      <c r="J203" s="21" t="s">
        <v>35</v>
      </c>
      <c r="K203" s="21" t="s">
        <v>44</v>
      </c>
      <c r="L203" s="21" t="s">
        <v>51</v>
      </c>
      <c r="M203" s="21" t="s">
        <v>53</v>
      </c>
      <c r="N203" s="21" t="s">
        <v>59</v>
      </c>
      <c r="O203" s="19">
        <f>IF(ISBLANK(D203),"",IF(D203='טבלת פרמטרים'!$A$9,1,0)+IF(E203='טבלת פרמטרים'!$B$5,2,1)+IF(F203='טבלת פרמטרים'!$C$5,3,IF(F203='טבלת פרמטרים'!$C$4,1,0))+IF(G203='טבלת פרמטרים'!$D$3,2,0)+IF(M203='טבלת פרמטרים'!$J$4,2,IF(M203='טבלת פרמטרים'!$J$3,1,0))+IF(N203='טבלת פרמטרים'!$K$6,3,IF(OR(N203='טבלת פרמטרים'!$K$4,N203='טבלת פרמטרים'!$K$5),2,IF(N203='טבלת פרמטרים'!$K$3,1,0))))</f>
        <v>3</v>
      </c>
      <c r="Q203" s="20" t="s">
        <v>123</v>
      </c>
      <c r="R203" s="19">
        <f t="shared" si="3"/>
        <v>3</v>
      </c>
      <c r="S203" s="19" t="str">
        <f>IF(EXACT(P203,'טבלת פרמטרים'!$M$2),'טבלת פרמטרים'!$N$2,IF(EXACT(P203,'טבלת פרמטרים'!$M$3),'טבלת פרמטרים'!$N$3,IF(EXACT(P203,'טבלת פרמטרים'!$M$4),'טבלת פרמטרים'!$N$4,IF(EXACT(P203,'טבלת פרמטרים'!$M$5),'טבלת פרמטרים'!$N$5,IF(EXACT(P203,'טבלת פרמטרים'!$M$6),'טבלת פרמטרים'!$N$6,IF(EXACT(P203,'טבלת פרמטרים'!$M$7),'טבלת פרמטרים'!$N$7,IF(EXACT(P203,'טבלת פרמטרים'!$M$8),'טבלת פרמטרים'!$N$8,IF(EXACT(P203,'טבלת פרמטרים'!$M$9),'טבלת פרמטרים'!$N$9,""))))))))</f>
        <v/>
      </c>
      <c r="T203" s="19">
        <f>IF(EXACT(Q203,'טבלת פרמטרים'!$O$2),'טבלת פרמטרים'!$P$2,IF(EXACT(Q203,'טבלת פרמטרים'!$O$3),'טבלת פרמטרים'!$P$3,IF(EXACT(Q203,'טבלת פרמטרים'!$O$4),'טבלת פרמטרים'!$P$4,IF(EXACT(Q203,'טבלת פרמטרים'!$O$5),'טבלת פרמטרים'!$P$5,IF(EXACT(Q203,'טבלת פרמטרים'!$O$6),'טבלת פרמטרים'!$P$6,IF(EXACT(Q203,'טבלת פרמטרים'!$O$7),'טבלת פרמטרים'!$P$7,""))))))</f>
        <v>0</v>
      </c>
    </row>
    <row r="204" spans="1:20" x14ac:dyDescent="0.2">
      <c r="A204" s="18">
        <v>204</v>
      </c>
      <c r="B204" s="30">
        <v>43761</v>
      </c>
      <c r="C204" s="30">
        <v>43824</v>
      </c>
      <c r="D204" s="21" t="s">
        <v>10</v>
      </c>
      <c r="E204" s="21" t="s">
        <v>20</v>
      </c>
      <c r="F204" s="21" t="s">
        <v>23</v>
      </c>
      <c r="G204" s="21" t="s">
        <v>26</v>
      </c>
      <c r="H204" s="21" t="s">
        <v>30</v>
      </c>
      <c r="I204" s="21" t="s">
        <v>127</v>
      </c>
      <c r="J204" s="21" t="s">
        <v>33</v>
      </c>
      <c r="K204" s="21" t="s">
        <v>46</v>
      </c>
      <c r="L204" s="21" t="s">
        <v>50</v>
      </c>
      <c r="M204" s="21" t="s">
        <v>54</v>
      </c>
      <c r="N204" s="21" t="s">
        <v>58</v>
      </c>
      <c r="O204" s="19">
        <f>IF(ISBLANK(D204),"",IF(D204='טבלת פרמטרים'!$A$9,1,0)+IF(E204='טבלת פרמטרים'!$B$5,2,1)+IF(F204='טבלת פרמטרים'!$C$5,3,IF(F204='טבלת פרמטרים'!$C$4,1,0))+IF(G204='טבלת פרמטרים'!$D$3,2,0)+IF(M204='טבלת פרמטרים'!$J$4,2,IF(M204='טבלת פרמטרים'!$J$3,1,0))+IF(N204='טבלת פרמטרים'!$K$6,3,IF(OR(N204='טבלת פרמטרים'!$K$4,N204='טבלת פרמטרים'!$K$5),2,IF(N204='טבלת פרמטרים'!$K$3,1,0))))</f>
        <v>3</v>
      </c>
      <c r="Q204" s="20" t="s">
        <v>123</v>
      </c>
      <c r="R204" s="19">
        <f t="shared" si="3"/>
        <v>3</v>
      </c>
      <c r="S204" s="19" t="str">
        <f>IF(EXACT(P204,'טבלת פרמטרים'!$M$2),'טבלת פרמטרים'!$N$2,IF(EXACT(P204,'טבלת פרמטרים'!$M$3),'טבלת פרמטרים'!$N$3,IF(EXACT(P204,'טבלת פרמטרים'!$M$4),'טבלת פרמטרים'!$N$4,IF(EXACT(P204,'טבלת פרמטרים'!$M$5),'טבלת פרמטרים'!$N$5,IF(EXACT(P204,'טבלת פרמטרים'!$M$6),'טבלת פרמטרים'!$N$6,IF(EXACT(P204,'טבלת פרמטרים'!$M$7),'טבלת פרמטרים'!$N$7,IF(EXACT(P204,'טבלת פרמטרים'!$M$8),'טבלת פרמטרים'!$N$8,IF(EXACT(P204,'טבלת פרמטרים'!$M$9),'טבלת פרמטרים'!$N$9,""))))))))</f>
        <v/>
      </c>
      <c r="T204" s="19">
        <f>IF(EXACT(Q204,'טבלת פרמטרים'!$O$2),'טבלת פרמטרים'!$P$2,IF(EXACT(Q204,'טבלת פרמטרים'!$O$3),'טבלת פרמטרים'!$P$3,IF(EXACT(Q204,'טבלת פרמטרים'!$O$4),'טבלת פרמטרים'!$P$4,IF(EXACT(Q204,'טבלת פרמטרים'!$O$5),'טבלת פרמטרים'!$P$5,IF(EXACT(Q204,'טבלת פרמטרים'!$O$6),'טבלת פרמטרים'!$P$6,IF(EXACT(Q204,'טבלת פרמטרים'!$O$7),'טבלת פרמטרים'!$P$7,""))))))</f>
        <v>0</v>
      </c>
    </row>
    <row r="205" spans="1:20" x14ac:dyDescent="0.2">
      <c r="A205" s="18">
        <v>205</v>
      </c>
      <c r="B205" s="30">
        <v>43803</v>
      </c>
      <c r="C205" s="30">
        <v>43824</v>
      </c>
      <c r="D205" s="21" t="s">
        <v>10</v>
      </c>
      <c r="E205" s="21" t="s">
        <v>20</v>
      </c>
      <c r="F205" s="21" t="s">
        <v>23</v>
      </c>
      <c r="G205" s="21" t="s">
        <v>26</v>
      </c>
      <c r="H205" s="21" t="s">
        <v>30</v>
      </c>
      <c r="I205" s="21" t="s">
        <v>126</v>
      </c>
      <c r="J205" s="21" t="s">
        <v>34</v>
      </c>
      <c r="K205" s="21" t="s">
        <v>44</v>
      </c>
      <c r="L205" s="21" t="s">
        <v>51</v>
      </c>
      <c r="M205" s="21" t="s">
        <v>54</v>
      </c>
      <c r="N205" s="21" t="s">
        <v>58</v>
      </c>
      <c r="O205" s="19">
        <f>IF(ISBLANK(D205),"",IF(D205='טבלת פרמטרים'!$A$9,1,0)+IF(E205='טבלת פרמטרים'!$B$5,2,1)+IF(F205='טבלת פרמטרים'!$C$5,3,IF(F205='טבלת פרמטרים'!$C$4,1,0))+IF(G205='טבלת פרמטרים'!$D$3,2,0)+IF(M205='טבלת פרמטרים'!$J$4,2,IF(M205='טבלת פרמטרים'!$J$3,1,0))+IF(N205='טבלת פרמטרים'!$K$6,3,IF(OR(N205='טבלת פרמטרים'!$K$4,N205='טבלת פרמטרים'!$K$5),2,IF(N205='טבלת פרמטרים'!$K$3,1,0))))</f>
        <v>3</v>
      </c>
      <c r="Q205" s="20" t="s">
        <v>123</v>
      </c>
      <c r="R205" s="19">
        <f t="shared" si="3"/>
        <v>3</v>
      </c>
      <c r="S205" s="19" t="str">
        <f>IF(EXACT(P205,'טבלת פרמטרים'!$M$2),'טבלת פרמטרים'!$N$2,IF(EXACT(P205,'טבלת פרמטרים'!$M$3),'טבלת פרמטרים'!$N$3,IF(EXACT(P205,'טבלת פרמטרים'!$M$4),'טבלת פרמטרים'!$N$4,IF(EXACT(P205,'טבלת פרמטרים'!$M$5),'טבלת פרמטרים'!$N$5,IF(EXACT(P205,'טבלת פרמטרים'!$M$6),'טבלת פרמטרים'!$N$6,IF(EXACT(P205,'טבלת פרמטרים'!$M$7),'טבלת פרמטרים'!$N$7,IF(EXACT(P205,'טבלת פרמטרים'!$M$8),'טבלת פרמטרים'!$N$8,IF(EXACT(P205,'טבלת פרמטרים'!$M$9),'טבלת פרמטרים'!$N$9,""))))))))</f>
        <v/>
      </c>
      <c r="T205" s="19">
        <f>IF(EXACT(Q205,'טבלת פרמטרים'!$O$2),'טבלת פרמטרים'!$P$2,IF(EXACT(Q205,'טבלת פרמטרים'!$O$3),'טבלת פרמטרים'!$P$3,IF(EXACT(Q205,'טבלת פרמטרים'!$O$4),'טבלת פרמטרים'!$P$4,IF(EXACT(Q205,'טבלת פרמטרים'!$O$5),'טבלת פרמטרים'!$P$5,IF(EXACT(Q205,'טבלת פרמטרים'!$O$6),'טבלת פרמטרים'!$P$6,IF(EXACT(Q205,'טבלת פרמטרים'!$O$7),'טבלת פרמטרים'!$P$7,""))))))</f>
        <v>0</v>
      </c>
    </row>
    <row r="206" spans="1:20" x14ac:dyDescent="0.2">
      <c r="A206" s="18">
        <v>206</v>
      </c>
      <c r="B206" s="30">
        <v>43803</v>
      </c>
      <c r="C206" s="30">
        <v>43824</v>
      </c>
      <c r="D206" s="21" t="s">
        <v>17</v>
      </c>
      <c r="E206" s="21" t="s">
        <v>20</v>
      </c>
      <c r="F206" s="21" t="s">
        <v>23</v>
      </c>
      <c r="G206" s="21" t="s">
        <v>27</v>
      </c>
      <c r="H206" s="21" t="s">
        <v>31</v>
      </c>
      <c r="I206" s="21" t="s">
        <v>126</v>
      </c>
      <c r="J206" s="21" t="s">
        <v>33</v>
      </c>
      <c r="K206" s="21" t="s">
        <v>44</v>
      </c>
      <c r="L206" s="21" t="s">
        <v>51</v>
      </c>
      <c r="M206" s="21" t="s">
        <v>53</v>
      </c>
      <c r="N206" s="21" t="s">
        <v>57</v>
      </c>
      <c r="O206" s="19">
        <f>IF(ISBLANK(D206),"",IF(D206='טבלת פרמטרים'!$A$9,1,0)+IF(E206='טבלת פרמטרים'!$B$5,2,1)+IF(F206='טבלת פרמטרים'!$C$5,3,IF(F206='טבלת פרמטרים'!$C$4,1,0))+IF(G206='טבלת פרמטרים'!$D$3,2,0)+IF(M206='טבלת פרמטרים'!$J$4,2,IF(M206='טבלת פרמטרים'!$J$3,1,0))+IF(N206='טבלת פרמטרים'!$K$6,3,IF(OR(N206='טבלת פרמטרים'!$K$4,N206='טבלת פרמטרים'!$K$5),2,IF(N206='טבלת פרמטרים'!$K$3,1,0))))</f>
        <v>4</v>
      </c>
      <c r="Q206" s="20" t="s">
        <v>123</v>
      </c>
      <c r="R206" s="19">
        <f t="shared" si="3"/>
        <v>4</v>
      </c>
      <c r="S206" s="19" t="str">
        <f>IF(EXACT(P206,'טבלת פרמטרים'!$M$2),'טבלת פרמטרים'!$N$2,IF(EXACT(P206,'טבלת פרמטרים'!$M$3),'טבלת פרמטרים'!$N$3,IF(EXACT(P206,'טבלת פרמטרים'!$M$4),'טבלת פרמטרים'!$N$4,IF(EXACT(P206,'טבלת פרמטרים'!$M$5),'טבלת פרמטרים'!$N$5,IF(EXACT(P206,'טבלת פרמטרים'!$M$6),'טבלת פרמטרים'!$N$6,IF(EXACT(P206,'טבלת פרמטרים'!$M$7),'טבלת פרמטרים'!$N$7,IF(EXACT(P206,'טבלת פרמטרים'!$M$8),'טבלת פרמטרים'!$N$8,IF(EXACT(P206,'טבלת פרמטרים'!$M$9),'טבלת פרמטרים'!$N$9,""))))))))</f>
        <v/>
      </c>
      <c r="T206" s="19">
        <f>IF(EXACT(Q206,'טבלת פרמטרים'!$O$2),'טבלת פרמטרים'!$P$2,IF(EXACT(Q206,'טבלת פרמטרים'!$O$3),'טבלת פרמטרים'!$P$3,IF(EXACT(Q206,'טבלת פרמטרים'!$O$4),'טבלת פרמטרים'!$P$4,IF(EXACT(Q206,'טבלת פרמטרים'!$O$5),'טבלת פרמטרים'!$P$5,IF(EXACT(Q206,'טבלת פרמטרים'!$O$6),'טבלת פרמטרים'!$P$6,IF(EXACT(Q206,'טבלת פרמטרים'!$O$7),'טבלת פרמטרים'!$P$7,""))))))</f>
        <v>0</v>
      </c>
    </row>
    <row r="207" spans="1:20" x14ac:dyDescent="0.2">
      <c r="A207" s="18">
        <v>207</v>
      </c>
      <c r="B207" s="30">
        <v>43828</v>
      </c>
      <c r="C207" s="30">
        <v>43828</v>
      </c>
      <c r="D207" s="21" t="s">
        <v>14</v>
      </c>
      <c r="E207" s="21" t="s">
        <v>111</v>
      </c>
      <c r="F207" s="21" t="s">
        <v>23</v>
      </c>
      <c r="G207" s="21" t="s">
        <v>26</v>
      </c>
      <c r="H207" s="21" t="s">
        <v>30</v>
      </c>
      <c r="I207" s="21" t="s">
        <v>126</v>
      </c>
      <c r="J207" s="21" t="s">
        <v>33</v>
      </c>
      <c r="K207" s="21" t="s">
        <v>44</v>
      </c>
      <c r="L207" s="21" t="s">
        <v>51</v>
      </c>
      <c r="M207" s="21" t="s">
        <v>53</v>
      </c>
      <c r="N207" s="21" t="s">
        <v>58</v>
      </c>
      <c r="O207" s="19">
        <f>IF(ISBLANK(D207),"",IF(D207='טבלת פרמטרים'!$A$9,1,0)+IF(E207='טבלת פרמטרים'!$B$5,2,1)+IF(F207='טבלת פרמטרים'!$C$5,3,IF(F207='טבלת פרמטרים'!$C$4,1,0))+IF(G207='טבלת פרמטרים'!$D$3,2,0)+IF(M207='טבלת פרמטרים'!$J$4,2,IF(M207='טבלת פרמטרים'!$J$3,1,0))+IF(N207='טבלת פרמטרים'!$K$6,3,IF(OR(N207='טבלת פרמטרים'!$K$4,N207='טבלת פרמטרים'!$K$5),2,IF(N207='טבלת פרמטרים'!$K$3,1,0))))</f>
        <v>2</v>
      </c>
      <c r="Q207" s="20" t="s">
        <v>123</v>
      </c>
      <c r="R207" s="19">
        <f t="shared" si="3"/>
        <v>2</v>
      </c>
      <c r="S207" s="19" t="str">
        <f>IF(EXACT(P207,'טבלת פרמטרים'!$M$2),'טבלת פרמטרים'!$N$2,IF(EXACT(P207,'טבלת פרמטרים'!$M$3),'טבלת פרמטרים'!$N$3,IF(EXACT(P207,'טבלת פרמטרים'!$M$4),'טבלת פרמטרים'!$N$4,IF(EXACT(P207,'טבלת פרמטרים'!$M$5),'טבלת פרמטרים'!$N$5,IF(EXACT(P207,'טבלת פרמטרים'!$M$6),'טבלת פרמטרים'!$N$6,IF(EXACT(P207,'טבלת פרמטרים'!$M$7),'טבלת פרמטרים'!$N$7,IF(EXACT(P207,'טבלת פרמטרים'!$M$8),'טבלת פרמטרים'!$N$8,IF(EXACT(P207,'טבלת פרמטרים'!$M$9),'טבלת פרמטרים'!$N$9,""))))))))</f>
        <v/>
      </c>
      <c r="T207" s="19">
        <f>IF(EXACT(Q207,'טבלת פרמטרים'!$O$2),'טבלת פרמטרים'!$P$2,IF(EXACT(Q207,'טבלת פרמטרים'!$O$3),'טבלת פרמטרים'!$P$3,IF(EXACT(Q207,'טבלת פרמטרים'!$O$4),'טבלת פרמטרים'!$P$4,IF(EXACT(Q207,'טבלת פרמטרים'!$O$5),'טבלת פרמטרים'!$P$5,IF(EXACT(Q207,'טבלת פרמטרים'!$O$6),'טבלת פרמטרים'!$P$6,IF(EXACT(Q207,'טבלת פרמטרים'!$O$7),'טבלת פרמטרים'!$P$7,""))))))</f>
        <v>0</v>
      </c>
    </row>
    <row r="208" spans="1:20" x14ac:dyDescent="0.2">
      <c r="A208" s="18">
        <v>208</v>
      </c>
      <c r="B208" s="30">
        <v>43828</v>
      </c>
      <c r="C208" s="30">
        <v>43828</v>
      </c>
      <c r="D208" s="21" t="s">
        <v>14</v>
      </c>
      <c r="E208" s="21" t="s">
        <v>111</v>
      </c>
      <c r="F208" s="21" t="s">
        <v>23</v>
      </c>
      <c r="G208" s="21" t="s">
        <v>26</v>
      </c>
      <c r="H208" s="21" t="s">
        <v>30</v>
      </c>
      <c r="I208" s="21" t="s">
        <v>126</v>
      </c>
      <c r="J208" s="21" t="s">
        <v>33</v>
      </c>
      <c r="K208" s="21" t="s">
        <v>44</v>
      </c>
      <c r="L208" s="21" t="s">
        <v>51</v>
      </c>
      <c r="M208" s="21" t="s">
        <v>53</v>
      </c>
      <c r="N208" s="21" t="s">
        <v>58</v>
      </c>
      <c r="O208" s="19">
        <f>IF(ISBLANK(D208),"",IF(D208='טבלת פרמטרים'!$A$9,1,0)+IF(E208='טבלת פרמטרים'!$B$5,2,1)+IF(F208='טבלת פרמטרים'!$C$5,3,IF(F208='טבלת פרמטרים'!$C$4,1,0))+IF(G208='טבלת פרמטרים'!$D$3,2,0)+IF(M208='טבלת פרמטרים'!$J$4,2,IF(M208='טבלת פרמטרים'!$J$3,1,0))+IF(N208='טבלת פרמטרים'!$K$6,3,IF(OR(N208='טבלת פרמטרים'!$K$4,N208='טבלת פרמטרים'!$K$5),2,IF(N208='טבלת פרמטרים'!$K$3,1,0))))</f>
        <v>2</v>
      </c>
      <c r="Q208" s="20" t="s">
        <v>123</v>
      </c>
      <c r="R208" s="19">
        <f t="shared" si="3"/>
        <v>2</v>
      </c>
      <c r="S208" s="19" t="str">
        <f>IF(EXACT(P208,'טבלת פרמטרים'!$M$2),'טבלת פרמטרים'!$N$2,IF(EXACT(P208,'טבלת פרמטרים'!$M$3),'טבלת פרמטרים'!$N$3,IF(EXACT(P208,'טבלת פרמטרים'!$M$4),'טבלת פרמטרים'!$N$4,IF(EXACT(P208,'טבלת פרמטרים'!$M$5),'טבלת פרמטרים'!$N$5,IF(EXACT(P208,'טבלת פרמטרים'!$M$6),'טבלת פרמטרים'!$N$6,IF(EXACT(P208,'טבלת פרמטרים'!$M$7),'טבלת פרמטרים'!$N$7,IF(EXACT(P208,'טבלת פרמטרים'!$M$8),'טבלת פרמטרים'!$N$8,IF(EXACT(P208,'טבלת פרמטרים'!$M$9),'טבלת פרמטרים'!$N$9,""))))))))</f>
        <v/>
      </c>
      <c r="T208" s="19">
        <f>IF(EXACT(Q208,'טבלת פרמטרים'!$O$2),'טבלת פרמטרים'!$P$2,IF(EXACT(Q208,'טבלת פרמטרים'!$O$3),'טבלת פרמטרים'!$P$3,IF(EXACT(Q208,'טבלת פרמטרים'!$O$4),'טבלת פרמטרים'!$P$4,IF(EXACT(Q208,'טבלת פרמטרים'!$O$5),'טבלת פרמטרים'!$P$5,IF(EXACT(Q208,'טבלת פרמטרים'!$O$6),'טבלת פרמטרים'!$P$6,IF(EXACT(Q208,'טבלת פרמטרים'!$O$7),'טבלת פרמטרים'!$P$7,""))))))</f>
        <v>0</v>
      </c>
    </row>
    <row r="209" spans="1:20" x14ac:dyDescent="0.2">
      <c r="A209" s="18">
        <v>209</v>
      </c>
      <c r="B209" s="30">
        <v>43828</v>
      </c>
      <c r="C209" s="30">
        <v>43828</v>
      </c>
      <c r="D209" s="21" t="s">
        <v>14</v>
      </c>
      <c r="E209" s="21" t="s">
        <v>111</v>
      </c>
      <c r="F209" s="21" t="s">
        <v>23</v>
      </c>
      <c r="G209" s="21" t="s">
        <v>26</v>
      </c>
      <c r="H209" s="21" t="s">
        <v>30</v>
      </c>
      <c r="I209" s="21" t="s">
        <v>126</v>
      </c>
      <c r="J209" s="21" t="s">
        <v>33</v>
      </c>
      <c r="K209" s="21" t="s">
        <v>44</v>
      </c>
      <c r="L209" s="21" t="s">
        <v>51</v>
      </c>
      <c r="M209" s="21" t="s">
        <v>53</v>
      </c>
      <c r="N209" s="21" t="s">
        <v>58</v>
      </c>
      <c r="O209" s="19">
        <f>IF(ISBLANK(D209),"",IF(D209='טבלת פרמטרים'!$A$9,1,0)+IF(E209='טבלת פרמטרים'!$B$5,2,1)+IF(F209='טבלת פרמטרים'!$C$5,3,IF(F209='טבלת פרמטרים'!$C$4,1,0))+IF(G209='טבלת פרמטרים'!$D$3,2,0)+IF(M209='טבלת פרמטרים'!$J$4,2,IF(M209='טבלת פרמטרים'!$J$3,1,0))+IF(N209='טבלת פרמטרים'!$K$6,3,IF(OR(N209='טבלת פרמטרים'!$K$4,N209='טבלת פרמטרים'!$K$5),2,IF(N209='טבלת פרמטרים'!$K$3,1,0))))</f>
        <v>2</v>
      </c>
      <c r="Q209" s="20" t="s">
        <v>123</v>
      </c>
      <c r="R209" s="19">
        <f t="shared" si="3"/>
        <v>2</v>
      </c>
      <c r="S209" s="19" t="str">
        <f>IF(EXACT(P209,'טבלת פרמטרים'!$M$2),'טבלת פרמטרים'!$N$2,IF(EXACT(P209,'טבלת פרמטרים'!$M$3),'טבלת פרמטרים'!$N$3,IF(EXACT(P209,'טבלת פרמטרים'!$M$4),'טבלת פרמטרים'!$N$4,IF(EXACT(P209,'טבלת פרמטרים'!$M$5),'טבלת פרמטרים'!$N$5,IF(EXACT(P209,'טבלת פרמטרים'!$M$6),'טבלת פרמטרים'!$N$6,IF(EXACT(P209,'טבלת פרמטרים'!$M$7),'טבלת פרמטרים'!$N$7,IF(EXACT(P209,'טבלת פרמטרים'!$M$8),'טבלת פרמטרים'!$N$8,IF(EXACT(P209,'טבלת פרמטרים'!$M$9),'טבלת פרמטרים'!$N$9,""))))))))</f>
        <v/>
      </c>
      <c r="T209" s="19">
        <f>IF(EXACT(Q209,'טבלת פרמטרים'!$O$2),'טבלת פרמטרים'!$P$2,IF(EXACT(Q209,'טבלת פרמטרים'!$O$3),'טבלת פרמטרים'!$P$3,IF(EXACT(Q209,'טבלת פרמטרים'!$O$4),'טבלת פרמטרים'!$P$4,IF(EXACT(Q209,'טבלת פרמטרים'!$O$5),'טבלת פרמטרים'!$P$5,IF(EXACT(Q209,'טבלת פרמטרים'!$O$6),'טבלת פרמטרים'!$P$6,IF(EXACT(Q209,'טבלת פרמטרים'!$O$7),'טבלת פרמטרים'!$P$7,""))))))</f>
        <v>0</v>
      </c>
    </row>
    <row r="210" spans="1:20" x14ac:dyDescent="0.2">
      <c r="A210" s="18">
        <v>210</v>
      </c>
      <c r="B210" s="30">
        <v>43837</v>
      </c>
      <c r="C210" s="30">
        <v>43837</v>
      </c>
      <c r="D210" s="21" t="s">
        <v>12</v>
      </c>
      <c r="E210" s="21" t="s">
        <v>21</v>
      </c>
      <c r="F210" s="21" t="s">
        <v>23</v>
      </c>
      <c r="G210" s="21" t="s">
        <v>26</v>
      </c>
      <c r="H210" s="21" t="s">
        <v>29</v>
      </c>
      <c r="I210" s="21" t="s">
        <v>126</v>
      </c>
      <c r="J210" s="21" t="s">
        <v>35</v>
      </c>
      <c r="K210" s="21" t="s">
        <v>43</v>
      </c>
      <c r="L210" s="21" t="s">
        <v>51</v>
      </c>
      <c r="M210" s="21" t="s">
        <v>53</v>
      </c>
      <c r="N210" s="21" t="s">
        <v>58</v>
      </c>
      <c r="O210" s="19">
        <f>IF(ISBLANK(D210),"",IF(D210='טבלת פרמטרים'!$A$9,1,0)+IF(E210='טבלת פרמטרים'!$B$5,2,1)+IF(F210='טבלת פרמטרים'!$C$5,3,IF(F210='טבלת פרמטרים'!$C$4,1,0))+IF(G210='טבלת פרמטרים'!$D$3,2,0)+IF(M210='טבלת פרמטרים'!$J$4,2,IF(M210='טבלת פרמטרים'!$J$3,1,0))+IF(N210='טבלת פרמטרים'!$K$6,3,IF(OR(N210='טבלת פרמטרים'!$K$4,N210='טבלת פרמטרים'!$K$5),2,IF(N210='טבלת פרמטרים'!$K$3,1,0))))</f>
        <v>2</v>
      </c>
      <c r="Q210" s="20" t="s">
        <v>123</v>
      </c>
      <c r="R210" s="19">
        <f t="shared" si="3"/>
        <v>2</v>
      </c>
      <c r="S210" s="19" t="str">
        <f>IF(EXACT(P210,'טבלת פרמטרים'!$M$2),'טבלת פרמטרים'!$N$2,IF(EXACT(P210,'טבלת פרמטרים'!$M$3),'טבלת פרמטרים'!$N$3,IF(EXACT(P210,'טבלת פרמטרים'!$M$4),'טבלת פרמטרים'!$N$4,IF(EXACT(P210,'טבלת פרמטרים'!$M$5),'טבלת פרמטרים'!$N$5,IF(EXACT(P210,'טבלת פרמטרים'!$M$6),'טבלת פרמטרים'!$N$6,IF(EXACT(P210,'טבלת פרמטרים'!$M$7),'טבלת פרמטרים'!$N$7,IF(EXACT(P210,'טבלת פרמטרים'!$M$8),'טבלת פרמטרים'!$N$8,IF(EXACT(P210,'טבלת פרמטרים'!$M$9),'טבלת פרמטרים'!$N$9,""))))))))</f>
        <v/>
      </c>
      <c r="T210" s="19">
        <f>IF(EXACT(Q210,'טבלת פרמטרים'!$O$2),'טבלת פרמטרים'!$P$2,IF(EXACT(Q210,'טבלת פרמטרים'!$O$3),'טבלת פרמטרים'!$P$3,IF(EXACT(Q210,'טבלת פרמטרים'!$O$4),'טבלת פרמטרים'!$P$4,IF(EXACT(Q210,'טבלת פרמטרים'!$O$5),'טבלת פרמטרים'!$P$5,IF(EXACT(Q210,'טבלת פרמטרים'!$O$6),'טבלת פרמטרים'!$P$6,IF(EXACT(Q210,'טבלת פרמטרים'!$O$7),'טבלת פרמטרים'!$P$7,""))))))</f>
        <v>0</v>
      </c>
    </row>
    <row r="211" spans="1:20" x14ac:dyDescent="0.2">
      <c r="A211" s="18">
        <v>211</v>
      </c>
      <c r="B211" s="30">
        <v>43837</v>
      </c>
      <c r="C211" s="30">
        <v>43837</v>
      </c>
      <c r="D211" s="21" t="s">
        <v>12</v>
      </c>
      <c r="E211" s="21" t="s">
        <v>21</v>
      </c>
      <c r="F211" s="21" t="s">
        <v>23</v>
      </c>
      <c r="G211" s="21" t="s">
        <v>26</v>
      </c>
      <c r="H211" s="21" t="s">
        <v>29</v>
      </c>
      <c r="I211" s="21" t="s">
        <v>126</v>
      </c>
      <c r="J211" s="21" t="s">
        <v>33</v>
      </c>
      <c r="K211" s="21" t="s">
        <v>45</v>
      </c>
      <c r="L211" s="21" t="s">
        <v>51</v>
      </c>
      <c r="M211" s="21" t="s">
        <v>53</v>
      </c>
      <c r="N211" s="21" t="s">
        <v>58</v>
      </c>
      <c r="O211" s="19">
        <f>IF(ISBLANK(D211),"",IF(D211='טבלת פרמטרים'!$A$9,1,0)+IF(E211='טבלת פרמטרים'!$B$5,2,1)+IF(F211='טבלת פרמטרים'!$C$5,3,IF(F211='טבלת פרמטרים'!$C$4,1,0))+IF(G211='טבלת פרמטרים'!$D$3,2,0)+IF(M211='טבלת פרמטרים'!$J$4,2,IF(M211='טבלת פרמטרים'!$J$3,1,0))+IF(N211='טבלת פרמטרים'!$K$6,3,IF(OR(N211='טבלת פרמטרים'!$K$4,N211='טבלת פרמטרים'!$K$5),2,IF(N211='טבלת פרמטרים'!$K$3,1,0))))</f>
        <v>2</v>
      </c>
      <c r="Q211" s="20" t="s">
        <v>123</v>
      </c>
      <c r="R211" s="19">
        <f t="shared" si="3"/>
        <v>2</v>
      </c>
      <c r="S211" s="19" t="str">
        <f>IF(EXACT(P211,'טבלת פרמטרים'!$M$2),'טבלת פרמטרים'!$N$2,IF(EXACT(P211,'טבלת פרמטרים'!$M$3),'טבלת פרמטרים'!$N$3,IF(EXACT(P211,'טבלת פרמטרים'!$M$4),'טבלת פרמטרים'!$N$4,IF(EXACT(P211,'טבלת פרמטרים'!$M$5),'טבלת פרמטרים'!$N$5,IF(EXACT(P211,'טבלת פרמטרים'!$M$6),'טבלת פרמטרים'!$N$6,IF(EXACT(P211,'טבלת פרמטרים'!$M$7),'טבלת פרמטרים'!$N$7,IF(EXACT(P211,'טבלת פרמטרים'!$M$8),'טבלת פרמטרים'!$N$8,IF(EXACT(P211,'טבלת פרמטרים'!$M$9),'טבלת פרמטרים'!$N$9,""))))))))</f>
        <v/>
      </c>
      <c r="T211" s="19">
        <f>IF(EXACT(Q211,'טבלת פרמטרים'!$O$2),'טבלת פרמטרים'!$P$2,IF(EXACT(Q211,'טבלת פרמטרים'!$O$3),'טבלת פרמטרים'!$P$3,IF(EXACT(Q211,'טבלת פרמטרים'!$O$4),'טבלת פרמטרים'!$P$4,IF(EXACT(Q211,'טבלת פרמטרים'!$O$5),'טבלת פרמטרים'!$P$5,IF(EXACT(Q211,'טבלת פרמטרים'!$O$6),'טבלת פרמטרים'!$P$6,IF(EXACT(Q211,'טבלת פרמטרים'!$O$7),'טבלת פרמטרים'!$P$7,""))))))</f>
        <v>0</v>
      </c>
    </row>
    <row r="212" spans="1:20" ht="28.5" x14ac:dyDescent="0.2">
      <c r="A212" s="18">
        <v>212</v>
      </c>
      <c r="B212" s="30">
        <v>43837</v>
      </c>
      <c r="C212" s="30">
        <v>43837</v>
      </c>
      <c r="D212" s="21" t="s">
        <v>17</v>
      </c>
      <c r="E212" s="21" t="s">
        <v>22</v>
      </c>
      <c r="F212" s="21" t="s">
        <v>24</v>
      </c>
      <c r="G212" s="21" t="s">
        <v>26</v>
      </c>
      <c r="H212" s="21" t="s">
        <v>28</v>
      </c>
      <c r="I212" s="21" t="s">
        <v>126</v>
      </c>
      <c r="J212" s="21" t="s">
        <v>33</v>
      </c>
      <c r="K212" s="21" t="s">
        <v>43</v>
      </c>
      <c r="L212" s="21" t="s">
        <v>51</v>
      </c>
      <c r="M212" s="21" t="s">
        <v>53</v>
      </c>
      <c r="N212" s="21" t="s">
        <v>57</v>
      </c>
      <c r="O212" s="19">
        <f>IF(ISBLANK(D212),"",IF(D212='טבלת פרמטרים'!$A$9,1,0)+IF(E212='טבלת פרמטרים'!$B$5,2,1)+IF(F212='טבלת פרמטרים'!$C$5,3,IF(F212='טבלת פרמטרים'!$C$4,1,0))+IF(G212='טבלת פרמטרים'!$D$3,2,0)+IF(M212='טבלת פרמטרים'!$J$4,2,IF(M212='טבלת פרמטרים'!$J$3,1,0))+IF(N212='טבלת פרמטרים'!$K$6,3,IF(OR(N212='טבלת פרמטרים'!$K$4,N212='טבלת פרמטרים'!$K$5),2,IF(N212='טבלת פרמטרים'!$K$3,1,0))))</f>
        <v>4</v>
      </c>
      <c r="Q212" s="20" t="s">
        <v>329</v>
      </c>
      <c r="R212" s="19">
        <f t="shared" si="3"/>
        <v>5</v>
      </c>
      <c r="S212" s="19" t="str">
        <f>IF(EXACT(P212,'טבלת פרמטרים'!$M$2),'טבלת פרמטרים'!$N$2,IF(EXACT(P212,'טבלת פרמטרים'!$M$3),'טבלת פרמטרים'!$N$3,IF(EXACT(P212,'טבלת פרמטרים'!$M$4),'טבלת פרמטרים'!$N$4,IF(EXACT(P212,'טבלת פרמטרים'!$M$5),'טבלת פרמטרים'!$N$5,IF(EXACT(P212,'טבלת פרמטרים'!$M$6),'טבלת פרמטרים'!$N$6,IF(EXACT(P212,'טבלת פרמטרים'!$M$7),'טבלת פרמטרים'!$N$7,IF(EXACT(P212,'טבלת פרמטרים'!$M$8),'טבלת פרמטרים'!$N$8,IF(EXACT(P212,'טבלת פרמטרים'!$M$9),'טבלת פרמטרים'!$N$9,""))))))))</f>
        <v/>
      </c>
      <c r="T212" s="19">
        <f>IF(EXACT(Q212,'טבלת פרמטרים'!$O$2),'טבלת פרמטרים'!$P$2,IF(EXACT(Q212,'טבלת פרמטרים'!$O$3),'טבלת פרמטרים'!$P$3,IF(EXACT(Q212,'טבלת פרמטרים'!$O$4),'טבלת פרמטרים'!$P$4,IF(EXACT(Q212,'טבלת פרמטרים'!$O$5),'טבלת פרמטרים'!$P$5,IF(EXACT(Q212,'טבלת פרמטרים'!$O$6),'טבלת פרמטרים'!$P$6,IF(EXACT(Q212,'טבלת פרמטרים'!$O$7),'טבלת פרמטרים'!$P$7,""))))))</f>
        <v>1</v>
      </c>
    </row>
    <row r="213" spans="1:20" x14ac:dyDescent="0.2">
      <c r="A213" s="18">
        <v>213</v>
      </c>
      <c r="B213" s="30">
        <v>43843</v>
      </c>
      <c r="C213" s="30">
        <v>43843</v>
      </c>
      <c r="D213" s="21" t="s">
        <v>19</v>
      </c>
      <c r="E213" s="21" t="s">
        <v>111</v>
      </c>
      <c r="F213" s="21" t="s">
        <v>23</v>
      </c>
      <c r="G213" s="21" t="s">
        <v>26</v>
      </c>
      <c r="H213" s="21" t="s">
        <v>31</v>
      </c>
      <c r="I213" s="21" t="s">
        <v>126</v>
      </c>
      <c r="J213" s="21" t="s">
        <v>33</v>
      </c>
      <c r="K213" s="21" t="s">
        <v>45</v>
      </c>
      <c r="L213" s="21" t="s">
        <v>51</v>
      </c>
      <c r="M213" s="21" t="s">
        <v>53</v>
      </c>
      <c r="N213" s="21" t="s">
        <v>112</v>
      </c>
      <c r="O213" s="19">
        <f>IF(ISBLANK(D213),"",IF(D213='טבלת פרמטרים'!$A$9,1,0)+IF(E213='טבלת פרמטרים'!$B$5,2,1)+IF(F213='טבלת פרמטרים'!$C$5,3,IF(F213='טבלת פרמטרים'!$C$4,1,0))+IF(G213='טבלת פרמטרים'!$D$3,2,0)+IF(M213='טבלת פרמטרים'!$J$4,2,IF(M213='טבלת פרמטרים'!$J$3,1,0))+IF(N213='טבלת פרמטרים'!$K$6,3,IF(OR(N213='טבלת פרמטרים'!$K$4,N213='טבלת פרמטרים'!$K$5),2,IF(N213='טבלת פרמטרים'!$K$3,1,0))))</f>
        <v>3</v>
      </c>
      <c r="Q213" s="20" t="s">
        <v>123</v>
      </c>
      <c r="R213" s="19">
        <f t="shared" si="3"/>
        <v>3</v>
      </c>
      <c r="S213" s="19" t="str">
        <f>IF(EXACT(P213,'טבלת פרמטרים'!$M$2),'טבלת פרמטרים'!$N$2,IF(EXACT(P213,'טבלת פרמטרים'!$M$3),'טבלת פרמטרים'!$N$3,IF(EXACT(P213,'טבלת פרמטרים'!$M$4),'טבלת פרמטרים'!$N$4,IF(EXACT(P213,'טבלת פרמטרים'!$M$5),'טבלת פרמטרים'!$N$5,IF(EXACT(P213,'טבלת פרמטרים'!$M$6),'טבלת פרמטרים'!$N$6,IF(EXACT(P213,'טבלת פרמטרים'!$M$7),'טבלת פרמטרים'!$N$7,IF(EXACT(P213,'טבלת פרמטרים'!$M$8),'טבלת פרמטרים'!$N$8,IF(EXACT(P213,'טבלת פרמטרים'!$M$9),'טבלת פרמטרים'!$N$9,""))))))))</f>
        <v/>
      </c>
      <c r="T213" s="19">
        <f>IF(EXACT(Q213,'טבלת פרמטרים'!$O$2),'טבלת פרמטרים'!$P$2,IF(EXACT(Q213,'טבלת פרמטרים'!$O$3),'טבלת פרמטרים'!$P$3,IF(EXACT(Q213,'טבלת פרמטרים'!$O$4),'טבלת פרמטרים'!$P$4,IF(EXACT(Q213,'טבלת פרמטרים'!$O$5),'טבלת פרמטרים'!$P$5,IF(EXACT(Q213,'טבלת פרמטרים'!$O$6),'טבלת פרמטרים'!$P$6,IF(EXACT(Q213,'טבלת פרמטרים'!$O$7),'טבלת פרמטרים'!$P$7,""))))))</f>
        <v>0</v>
      </c>
    </row>
    <row r="214" spans="1:20" x14ac:dyDescent="0.2">
      <c r="A214" s="18">
        <v>214</v>
      </c>
      <c r="B214" s="30">
        <v>43856</v>
      </c>
      <c r="C214" s="30">
        <v>43858</v>
      </c>
      <c r="D214" s="21" t="s">
        <v>15</v>
      </c>
      <c r="E214" s="21" t="s">
        <v>21</v>
      </c>
      <c r="F214" s="21" t="s">
        <v>23</v>
      </c>
      <c r="G214" s="21" t="s">
        <v>26</v>
      </c>
      <c r="H214" s="21" t="s">
        <v>30</v>
      </c>
      <c r="I214" s="21" t="s">
        <v>127</v>
      </c>
      <c r="J214" s="21" t="s">
        <v>35</v>
      </c>
      <c r="K214" s="21" t="s">
        <v>45</v>
      </c>
      <c r="L214" s="21" t="s">
        <v>50</v>
      </c>
      <c r="M214" s="21" t="s">
        <v>55</v>
      </c>
      <c r="N214" s="21" t="s">
        <v>58</v>
      </c>
      <c r="O214" s="19">
        <f>IF(ISBLANK(D214),"",IF(D214='טבלת פרמטרים'!$A$9,1,0)+IF(E214='טבלת פרמטרים'!$B$5,2,1)+IF(F214='טבלת פרמטרים'!$C$5,3,IF(F214='טבלת פרמטרים'!$C$4,1,0))+IF(G214='טבלת פרמטרים'!$D$3,2,0)+IF(M214='טבלת פרמטרים'!$J$4,2,IF(M214='טבלת פרמטרים'!$J$3,1,0))+IF(N214='טבלת פרמטרים'!$K$6,3,IF(OR(N214='טבלת פרמטרים'!$K$4,N214='טבלת פרמטרים'!$K$5),2,IF(N214='טבלת פרמטרים'!$K$3,1,0))))</f>
        <v>4</v>
      </c>
      <c r="Q214" s="20" t="s">
        <v>123</v>
      </c>
      <c r="R214" s="19">
        <f t="shared" si="3"/>
        <v>4</v>
      </c>
      <c r="S214" s="19" t="str">
        <f>IF(EXACT(P214,'טבלת פרמטרים'!$M$2),'טבלת פרמטרים'!$N$2,IF(EXACT(P214,'טבלת פרמטרים'!$M$3),'טבלת פרמטרים'!$N$3,IF(EXACT(P214,'טבלת פרמטרים'!$M$4),'טבלת פרמטרים'!$N$4,IF(EXACT(P214,'טבלת פרמטרים'!$M$5),'טבלת פרמטרים'!$N$5,IF(EXACT(P214,'טבלת פרמטרים'!$M$6),'טבלת פרמטרים'!$N$6,IF(EXACT(P214,'טבלת פרמטרים'!$M$7),'טבלת פרמטרים'!$N$7,IF(EXACT(P214,'טבלת פרמטרים'!$M$8),'טבלת פרמטרים'!$N$8,IF(EXACT(P214,'טבלת פרמטרים'!$M$9),'טבלת פרמטרים'!$N$9,""))))))))</f>
        <v/>
      </c>
      <c r="T214" s="19">
        <f>IF(EXACT(Q214,'טבלת פרמטרים'!$O$2),'טבלת פרמטרים'!$P$2,IF(EXACT(Q214,'טבלת פרמטרים'!$O$3),'טבלת פרמטרים'!$P$3,IF(EXACT(Q214,'טבלת פרמטרים'!$O$4),'טבלת פרמטרים'!$P$4,IF(EXACT(Q214,'טבלת פרמטרים'!$O$5),'טבלת פרמטרים'!$P$5,IF(EXACT(Q214,'טבלת פרמטרים'!$O$6),'טבלת פרמטרים'!$P$6,IF(EXACT(Q214,'טבלת פרמטרים'!$O$7),'טבלת פרמטרים'!$P$7,""))))))</f>
        <v>0</v>
      </c>
    </row>
    <row r="215" spans="1:20" x14ac:dyDescent="0.2">
      <c r="A215" s="18">
        <v>215</v>
      </c>
      <c r="B215" s="30">
        <v>43844</v>
      </c>
      <c r="C215" s="30">
        <v>43851</v>
      </c>
      <c r="D215" s="21" t="s">
        <v>11</v>
      </c>
      <c r="E215" s="21" t="s">
        <v>20</v>
      </c>
      <c r="F215" s="21" t="s">
        <v>23</v>
      </c>
      <c r="G215" s="21" t="s">
        <v>26</v>
      </c>
      <c r="H215" s="21" t="s">
        <v>29</v>
      </c>
      <c r="I215" s="21" t="s">
        <v>126</v>
      </c>
      <c r="J215" s="21" t="s">
        <v>11</v>
      </c>
      <c r="K215" s="21" t="s">
        <v>44</v>
      </c>
      <c r="L215" s="21" t="s">
        <v>51</v>
      </c>
      <c r="M215" s="21" t="s">
        <v>54</v>
      </c>
      <c r="N215" s="21" t="s">
        <v>58</v>
      </c>
      <c r="O215" s="19">
        <f>IF(ISBLANK(D215),"",IF(D215='טבלת פרמטרים'!$A$9,1,0)+IF(E215='טבלת פרמטרים'!$B$5,2,1)+IF(F215='טבלת פרמטרים'!$C$5,3,IF(F215='טבלת פרמטרים'!$C$4,1,0))+IF(G215='טבלת פרמטרים'!$D$3,2,0)+IF(M215='טבלת פרמטרים'!$J$4,2,IF(M215='טבלת פרמטרים'!$J$3,1,0))+IF(N215='טבלת פרמטרים'!$K$6,3,IF(OR(N215='טבלת פרמטרים'!$K$4,N215='טבלת פרמטרים'!$K$5),2,IF(N215='טבלת פרמטרים'!$K$3,1,0))))</f>
        <v>3</v>
      </c>
      <c r="Q215" s="20" t="s">
        <v>123</v>
      </c>
      <c r="R215" s="19">
        <f t="shared" si="3"/>
        <v>3</v>
      </c>
      <c r="S215" s="19" t="str">
        <f>IF(EXACT(P215,'טבלת פרמטרים'!$M$2),'טבלת פרמטרים'!$N$2,IF(EXACT(P215,'טבלת פרמטרים'!$M$3),'טבלת פרמטרים'!$N$3,IF(EXACT(P215,'טבלת פרמטרים'!$M$4),'טבלת פרמטרים'!$N$4,IF(EXACT(P215,'טבלת פרמטרים'!$M$5),'טבלת פרמטרים'!$N$5,IF(EXACT(P215,'טבלת פרמטרים'!$M$6),'טבלת פרמטרים'!$N$6,IF(EXACT(P215,'טבלת פרמטרים'!$M$7),'טבלת פרמטרים'!$N$7,IF(EXACT(P215,'טבלת פרמטרים'!$M$8),'טבלת פרמטרים'!$N$8,IF(EXACT(P215,'טבלת פרמטרים'!$M$9),'טבלת פרמטרים'!$N$9,""))))))))</f>
        <v/>
      </c>
      <c r="T215" s="19">
        <f>IF(EXACT(Q215,'טבלת פרמטרים'!$O$2),'טבלת פרמטרים'!$P$2,IF(EXACT(Q215,'טבלת פרמטרים'!$O$3),'טבלת פרמטרים'!$P$3,IF(EXACT(Q215,'טבלת פרמטרים'!$O$4),'טבלת פרמטרים'!$P$4,IF(EXACT(Q215,'טבלת פרמטרים'!$O$5),'טבלת פרמטרים'!$P$5,IF(EXACT(Q215,'טבלת פרמטרים'!$O$6),'טבלת פרמטרים'!$P$6,IF(EXACT(Q215,'טבלת פרמטרים'!$O$7),'טבלת פרמטרים'!$P$7,""))))))</f>
        <v>0</v>
      </c>
    </row>
    <row r="216" spans="1:20" ht="28.5" x14ac:dyDescent="0.2">
      <c r="A216" s="18">
        <v>216</v>
      </c>
      <c r="B216" s="30">
        <v>43851</v>
      </c>
      <c r="C216" s="30">
        <v>43851</v>
      </c>
      <c r="D216" s="21" t="s">
        <v>17</v>
      </c>
      <c r="E216" s="21" t="s">
        <v>22</v>
      </c>
      <c r="F216" s="21" t="s">
        <v>24</v>
      </c>
      <c r="G216" s="21" t="s">
        <v>26</v>
      </c>
      <c r="H216" s="21" t="s">
        <v>29</v>
      </c>
      <c r="I216" s="21" t="s">
        <v>126</v>
      </c>
      <c r="J216" s="21" t="s">
        <v>35</v>
      </c>
      <c r="K216" s="21" t="s">
        <v>44</v>
      </c>
      <c r="L216" s="21" t="s">
        <v>50</v>
      </c>
      <c r="M216" s="21" t="s">
        <v>55</v>
      </c>
      <c r="N216" s="21" t="s">
        <v>59</v>
      </c>
      <c r="O216" s="19">
        <f>IF(ISBLANK(D216),"",IF(D216='טבלת פרמטרים'!$A$9,1,0)+IF(E216='טבלת פרמטרים'!$B$5,2,1)+IF(F216='טבלת פרמטרים'!$C$5,3,IF(F216='טבלת פרמטרים'!$C$4,1,0))+IF(G216='טבלת פרמטרים'!$D$3,2,0)+IF(M216='טבלת פרמטרים'!$J$4,2,IF(M216='טבלת פרמטרים'!$J$3,1,0))+IF(N216='טבלת פרמטרים'!$K$6,3,IF(OR(N216='טבלת פרמטרים'!$K$4,N216='טבלת פרמטרים'!$K$5),2,IF(N216='טבלת פרמטרים'!$K$3,1,0))))</f>
        <v>8</v>
      </c>
      <c r="Q216" s="20" t="s">
        <v>330</v>
      </c>
      <c r="R216" s="19">
        <f t="shared" si="3"/>
        <v>12</v>
      </c>
      <c r="S216" s="19" t="str">
        <f>IF(EXACT(P216,'טבלת פרמטרים'!$M$2),'טבלת פרמטרים'!$N$2,IF(EXACT(P216,'טבלת פרמטרים'!$M$3),'טבלת פרמטרים'!$N$3,IF(EXACT(P216,'טבלת פרמטרים'!$M$4),'טבלת פרמטרים'!$N$4,IF(EXACT(P216,'טבלת פרמטרים'!$M$5),'טבלת פרמטרים'!$N$5,IF(EXACT(P216,'טבלת פרמטרים'!$M$6),'טבלת פרמטרים'!$N$6,IF(EXACT(P216,'טבלת פרמטרים'!$M$7),'טבלת פרמטרים'!$N$7,IF(EXACT(P216,'טבלת פרמטרים'!$M$8),'טבלת פרמטרים'!$N$8,IF(EXACT(P216,'טבלת פרמטרים'!$M$9),'טבלת פרמטרים'!$N$9,""))))))))</f>
        <v/>
      </c>
      <c r="T216" s="19">
        <f>IF(EXACT(Q216,'טבלת פרמטרים'!$O$2),'טבלת פרמטרים'!$P$2,IF(EXACT(Q216,'טבלת פרמטרים'!$O$3),'טבלת פרמטרים'!$P$3,IF(EXACT(Q216,'טבלת פרמטרים'!$O$4),'טבלת פרמטרים'!$P$4,IF(EXACT(Q216,'טבלת פרמטרים'!$O$5),'טבלת פרמטרים'!$P$5,IF(EXACT(Q216,'טבלת פרמטרים'!$O$6),'טבלת פרמטרים'!$P$6,IF(EXACT(Q216,'טבלת פרמטרים'!$O$7),'טבלת פרמטרים'!$P$7,""))))))</f>
        <v>4</v>
      </c>
    </row>
    <row r="217" spans="1:20" x14ac:dyDescent="0.2">
      <c r="A217" s="18">
        <v>217</v>
      </c>
      <c r="B217" s="30">
        <v>43872</v>
      </c>
      <c r="C217" s="30">
        <v>43872</v>
      </c>
      <c r="D217" s="21" t="s">
        <v>12</v>
      </c>
      <c r="E217" s="21" t="s">
        <v>20</v>
      </c>
      <c r="F217" s="21" t="s">
        <v>23</v>
      </c>
      <c r="G217" s="21" t="s">
        <v>26</v>
      </c>
      <c r="H217" s="21" t="s">
        <v>32</v>
      </c>
      <c r="I217" s="21" t="s">
        <v>126</v>
      </c>
      <c r="K217" s="21" t="s">
        <v>45</v>
      </c>
      <c r="L217" s="21" t="s">
        <v>51</v>
      </c>
      <c r="M217" s="21" t="s">
        <v>53</v>
      </c>
      <c r="N217" s="21" t="s">
        <v>58</v>
      </c>
      <c r="O217" s="19">
        <f>IF(ISBLANK(D217),"",IF(D217='טבלת פרמטרים'!$A$9,1,0)+IF(E217='טבלת פרמטרים'!$B$5,2,1)+IF(F217='טבלת פרמטרים'!$C$5,3,IF(F217='טבלת פרמטרים'!$C$4,1,0))+IF(G217='טבלת פרמטרים'!$D$3,2,0)+IF(M217='טבלת פרמטרים'!$J$4,2,IF(M217='טבלת פרמטרים'!$J$3,1,0))+IF(N217='טבלת פרמטרים'!$K$6,3,IF(OR(N217='טבלת פרמטרים'!$K$4,N217='טבלת פרמטרים'!$K$5),2,IF(N217='טבלת פרמטרים'!$K$3,1,0))))</f>
        <v>2</v>
      </c>
      <c r="Q217" s="20" t="s">
        <v>123</v>
      </c>
      <c r="R217" s="19">
        <f t="shared" si="3"/>
        <v>2</v>
      </c>
      <c r="S217" s="19" t="str">
        <f>IF(EXACT(P217,'טבלת פרמטרים'!$M$2),'טבלת פרמטרים'!$N$2,IF(EXACT(P217,'טבלת פרמטרים'!$M$3),'טבלת פרמטרים'!$N$3,IF(EXACT(P217,'טבלת פרמטרים'!$M$4),'טבלת פרמטרים'!$N$4,IF(EXACT(P217,'טבלת פרמטרים'!$M$5),'טבלת פרמטרים'!$N$5,IF(EXACT(P217,'טבלת פרמטרים'!$M$6),'טבלת פרמטרים'!$N$6,IF(EXACT(P217,'טבלת פרמטרים'!$M$7),'טבלת פרמטרים'!$N$7,IF(EXACT(P217,'טבלת פרמטרים'!$M$8),'טבלת פרמטרים'!$N$8,IF(EXACT(P217,'טבלת פרמטרים'!$M$9),'טבלת פרמטרים'!$N$9,""))))))))</f>
        <v/>
      </c>
      <c r="T217" s="19">
        <f>IF(EXACT(Q217,'טבלת פרמטרים'!$O$2),'טבלת פרמטרים'!$P$2,IF(EXACT(Q217,'טבלת פרמטרים'!$O$3),'טבלת פרמטרים'!$P$3,IF(EXACT(Q217,'טבלת פרמטרים'!$O$4),'טבלת פרמטרים'!$P$4,IF(EXACT(Q217,'טבלת פרמטרים'!$O$5),'טבלת פרמטרים'!$P$5,IF(EXACT(Q217,'טבלת פרמטרים'!$O$6),'טבלת פרמטרים'!$P$6,IF(EXACT(Q217,'טבלת פרמטרים'!$O$7),'טבלת פרמטרים'!$P$7,""))))))</f>
        <v>0</v>
      </c>
    </row>
    <row r="218" spans="1:20" x14ac:dyDescent="0.2">
      <c r="A218" s="18">
        <v>218</v>
      </c>
      <c r="B218" s="30">
        <v>43880</v>
      </c>
      <c r="C218" s="30">
        <v>43880</v>
      </c>
      <c r="D218" s="21" t="s">
        <v>16</v>
      </c>
      <c r="E218" s="21" t="s">
        <v>21</v>
      </c>
      <c r="F218" s="21" t="s">
        <v>23</v>
      </c>
      <c r="G218" s="21" t="s">
        <v>26</v>
      </c>
      <c r="H218" s="21" t="s">
        <v>29</v>
      </c>
      <c r="I218" s="21" t="s">
        <v>126</v>
      </c>
      <c r="J218" s="21" t="s">
        <v>33</v>
      </c>
      <c r="K218" s="21" t="s">
        <v>44</v>
      </c>
      <c r="L218" s="21" t="s">
        <v>51</v>
      </c>
      <c r="M218" s="21" t="s">
        <v>54</v>
      </c>
      <c r="N218" s="21" t="s">
        <v>58</v>
      </c>
      <c r="O218" s="19">
        <f>IF(ISBLANK(D218),"",IF(D218='טבלת פרמטרים'!$A$9,1,0)+IF(E218='טבלת פרמטרים'!$B$5,2,1)+IF(F218='טבלת פרמטרים'!$C$5,3,IF(F218='טבלת פרמטרים'!$C$4,1,0))+IF(G218='טבלת פרמטרים'!$D$3,2,0)+IF(M218='טבלת פרמטרים'!$J$4,2,IF(M218='טבלת פרמטרים'!$J$3,1,0))+IF(N218='טבלת פרמטרים'!$K$6,3,IF(OR(N218='טבלת פרמטרים'!$K$4,N218='טבלת פרמטרים'!$K$5),2,IF(N218='טבלת פרמטרים'!$K$3,1,0))))</f>
        <v>3</v>
      </c>
      <c r="Q218" s="20" t="s">
        <v>123</v>
      </c>
      <c r="R218" s="19">
        <f t="shared" si="3"/>
        <v>3</v>
      </c>
      <c r="S218" s="19" t="str">
        <f>IF(EXACT(P218,'טבלת פרמטרים'!$M$2),'טבלת פרמטרים'!$N$2,IF(EXACT(P218,'טבלת פרמטרים'!$M$3),'טבלת פרמטרים'!$N$3,IF(EXACT(P218,'טבלת פרמטרים'!$M$4),'טבלת פרמטרים'!$N$4,IF(EXACT(P218,'טבלת פרמטרים'!$M$5),'טבלת פרמטרים'!$N$5,IF(EXACT(P218,'טבלת פרמטרים'!$M$6),'טבלת פרמטרים'!$N$6,IF(EXACT(P218,'טבלת פרמטרים'!$M$7),'טבלת פרמטרים'!$N$7,IF(EXACT(P218,'טבלת פרמטרים'!$M$8),'טבלת פרמטרים'!$N$8,IF(EXACT(P218,'טבלת פרמטרים'!$M$9),'טבלת פרמטרים'!$N$9,""))))))))</f>
        <v/>
      </c>
      <c r="T218" s="19">
        <f>IF(EXACT(Q218,'טבלת פרמטרים'!$O$2),'טבלת פרמטרים'!$P$2,IF(EXACT(Q218,'טבלת פרמטרים'!$O$3),'טבלת פרמטרים'!$P$3,IF(EXACT(Q218,'טבלת פרמטרים'!$O$4),'טבלת פרמטרים'!$P$4,IF(EXACT(Q218,'טבלת פרמטרים'!$O$5),'טבלת פרמטרים'!$P$5,IF(EXACT(Q218,'טבלת פרמטרים'!$O$6),'טבלת פרמטרים'!$P$6,IF(EXACT(Q218,'טבלת פרמטרים'!$O$7),'טבלת פרמטרים'!$P$7,""))))))</f>
        <v>0</v>
      </c>
    </row>
    <row r="219" spans="1:20" x14ac:dyDescent="0.2">
      <c r="A219" s="18">
        <v>219</v>
      </c>
      <c r="B219" s="30">
        <v>43880</v>
      </c>
      <c r="C219" s="30">
        <v>43881</v>
      </c>
      <c r="D219" s="21" t="s">
        <v>17</v>
      </c>
      <c r="E219" s="21" t="s">
        <v>22</v>
      </c>
      <c r="F219" s="21" t="s">
        <v>23</v>
      </c>
      <c r="G219" s="21" t="s">
        <v>26</v>
      </c>
      <c r="H219" s="21" t="s">
        <v>29</v>
      </c>
      <c r="I219" s="21" t="s">
        <v>126</v>
      </c>
      <c r="J219" s="21" t="s">
        <v>35</v>
      </c>
      <c r="K219" s="21" t="s">
        <v>43</v>
      </c>
      <c r="L219" s="21" t="s">
        <v>51</v>
      </c>
      <c r="M219" s="21" t="s">
        <v>54</v>
      </c>
      <c r="N219" s="21" t="s">
        <v>58</v>
      </c>
      <c r="O219" s="19">
        <f>IF(ISBLANK(D219),"",IF(D219='טבלת פרמטרים'!$A$9,1,0)+IF(E219='טבלת פרמטרים'!$B$5,2,1)+IF(F219='טבלת פרמטרים'!$C$5,3,IF(F219='טבלת פרמטרים'!$C$4,1,0))+IF(G219='טבלת פרמטרים'!$D$3,2,0)+IF(M219='טבלת פרמטרים'!$J$4,2,IF(M219='טבלת פרמטרים'!$J$3,1,0))+IF(N219='טבלת פרמטרים'!$K$6,3,IF(OR(N219='טבלת פרמטרים'!$K$4,N219='טבלת פרמטרים'!$K$5),2,IF(N219='טבלת פרמטרים'!$K$3,1,0))))</f>
        <v>5</v>
      </c>
      <c r="Q219" s="20" t="s">
        <v>123</v>
      </c>
      <c r="R219" s="19">
        <f t="shared" si="3"/>
        <v>5</v>
      </c>
      <c r="S219" s="19" t="str">
        <f>IF(EXACT(P219,'טבלת פרמטרים'!$M$2),'טבלת פרמטרים'!$N$2,IF(EXACT(P219,'טבלת פרמטרים'!$M$3),'טבלת פרמטרים'!$N$3,IF(EXACT(P219,'טבלת פרמטרים'!$M$4),'טבלת פרמטרים'!$N$4,IF(EXACT(P219,'טבלת פרמטרים'!$M$5),'טבלת פרמטרים'!$N$5,IF(EXACT(P219,'טבלת פרמטרים'!$M$6),'טבלת פרמטרים'!$N$6,IF(EXACT(P219,'טבלת פרמטרים'!$M$7),'טבלת פרמטרים'!$N$7,IF(EXACT(P219,'טבלת פרמטרים'!$M$8),'טבלת פרמטרים'!$N$8,IF(EXACT(P219,'טבלת פרמטרים'!$M$9),'טבלת פרמטרים'!$N$9,""))))))))</f>
        <v/>
      </c>
      <c r="T219" s="19">
        <f>IF(EXACT(Q219,'טבלת פרמטרים'!$O$2),'טבלת פרמטרים'!$P$2,IF(EXACT(Q219,'טבלת פרמטרים'!$O$3),'טבלת פרמטרים'!$P$3,IF(EXACT(Q219,'טבלת פרמטרים'!$O$4),'טבלת פרמטרים'!$P$4,IF(EXACT(Q219,'טבלת פרמטרים'!$O$5),'טבלת פרמטרים'!$P$5,IF(EXACT(Q219,'טבלת פרמטרים'!$O$6),'טבלת פרמטרים'!$P$6,IF(EXACT(Q219,'טבלת פרמטרים'!$O$7),'טבלת פרמטרים'!$P$7,""))))))</f>
        <v>0</v>
      </c>
    </row>
    <row r="220" spans="1:20" x14ac:dyDescent="0.2">
      <c r="A220" s="18">
        <v>220</v>
      </c>
      <c r="B220" s="30">
        <v>43865</v>
      </c>
      <c r="C220" s="30">
        <v>43865</v>
      </c>
      <c r="D220" s="21" t="s">
        <v>11</v>
      </c>
      <c r="E220" s="21" t="s">
        <v>21</v>
      </c>
      <c r="F220" s="21" t="s">
        <v>23</v>
      </c>
      <c r="G220" s="21" t="s">
        <v>26</v>
      </c>
      <c r="H220" s="21" t="s">
        <v>31</v>
      </c>
      <c r="I220" s="21" t="s">
        <v>126</v>
      </c>
      <c r="J220" s="21" t="s">
        <v>36</v>
      </c>
      <c r="K220" s="21" t="s">
        <v>36</v>
      </c>
      <c r="L220" s="21" t="s">
        <v>51</v>
      </c>
      <c r="M220" s="21" t="s">
        <v>55</v>
      </c>
      <c r="N220" s="21" t="s">
        <v>59</v>
      </c>
      <c r="O220" s="19">
        <f>IF(ISBLANK(D220),"",IF(D220='טבלת פרמטרים'!$A$9,1,0)+IF(E220='טבלת פרמטרים'!$B$5,2,1)+IF(F220='טבלת פרמטרים'!$C$5,3,IF(F220='טבלת פרמטרים'!$C$4,1,0))+IF(G220='טבלת פרמטרים'!$D$3,2,0)+IF(M220='טבלת פרמטרים'!$J$4,2,IF(M220='טבלת פרמטרים'!$J$3,1,0))+IF(N220='טבלת פרמטרים'!$K$6,3,IF(OR(N220='טבלת פרמטרים'!$K$4,N220='טבלת פרמטרים'!$K$5),2,IF(N220='טבלת פרמטרים'!$K$3,1,0))))</f>
        <v>5</v>
      </c>
      <c r="Q220" s="20" t="s">
        <v>123</v>
      </c>
      <c r="R220" s="19">
        <f t="shared" si="3"/>
        <v>5</v>
      </c>
      <c r="S220" s="19" t="str">
        <f>IF(EXACT(P220,'טבלת פרמטרים'!$M$2),'טבלת פרמטרים'!$N$2,IF(EXACT(P220,'טבלת פרמטרים'!$M$3),'טבלת פרמטרים'!$N$3,IF(EXACT(P220,'טבלת פרמטרים'!$M$4),'טבלת פרמטרים'!$N$4,IF(EXACT(P220,'טבלת פרמטרים'!$M$5),'טבלת פרמטרים'!$N$5,IF(EXACT(P220,'טבלת פרמטרים'!$M$6),'טבלת פרמטרים'!$N$6,IF(EXACT(P220,'טבלת פרמטרים'!$M$7),'טבלת פרמטרים'!$N$7,IF(EXACT(P220,'טבלת פרמטרים'!$M$8),'טבלת פרמטרים'!$N$8,IF(EXACT(P220,'טבלת פרמטרים'!$M$9),'טבלת פרמטרים'!$N$9,""))))))))</f>
        <v/>
      </c>
      <c r="T220" s="19">
        <f>IF(EXACT(Q220,'טבלת פרמטרים'!$O$2),'טבלת פרמטרים'!$P$2,IF(EXACT(Q220,'טבלת פרמטרים'!$O$3),'טבלת פרמטרים'!$P$3,IF(EXACT(Q220,'טבלת פרמטרים'!$O$4),'טבלת פרמטרים'!$P$4,IF(EXACT(Q220,'טבלת פרמטרים'!$O$5),'טבלת פרמטרים'!$P$5,IF(EXACT(Q220,'טבלת פרמטרים'!$O$6),'טבלת פרמטרים'!$P$6,IF(EXACT(Q220,'טבלת פרמטרים'!$O$7),'טבלת פרמטרים'!$P$7,""))))))</f>
        <v>0</v>
      </c>
    </row>
    <row r="221" spans="1:20" x14ac:dyDescent="0.2">
      <c r="A221" s="18">
        <v>221</v>
      </c>
      <c r="B221" s="30">
        <v>43880</v>
      </c>
      <c r="C221" s="30">
        <v>43881</v>
      </c>
      <c r="D221" s="21" t="s">
        <v>13</v>
      </c>
      <c r="E221" s="21" t="s">
        <v>111</v>
      </c>
      <c r="F221" s="21" t="s">
        <v>23</v>
      </c>
      <c r="G221" s="21" t="s">
        <v>26</v>
      </c>
      <c r="H221" s="21" t="s">
        <v>30</v>
      </c>
      <c r="I221" s="21" t="s">
        <v>126</v>
      </c>
      <c r="J221" s="21" t="s">
        <v>34</v>
      </c>
      <c r="K221" s="21" t="s">
        <v>44</v>
      </c>
      <c r="L221" s="21" t="s">
        <v>51</v>
      </c>
      <c r="M221" s="21" t="s">
        <v>53</v>
      </c>
      <c r="N221" s="21" t="s">
        <v>58</v>
      </c>
      <c r="O221" s="19">
        <f>IF(ISBLANK(D221),"",IF(D221='טבלת פרמטרים'!$A$9,1,0)+IF(E221='טבלת פרמטרים'!$B$5,2,1)+IF(F221='טבלת פרמטרים'!$C$5,3,IF(F221='טבלת פרמטרים'!$C$4,1,0))+IF(G221='טבלת פרמטרים'!$D$3,2,0)+IF(M221='טבלת פרמטרים'!$J$4,2,IF(M221='טבלת פרמטרים'!$J$3,1,0))+IF(N221='טבלת פרמטרים'!$K$6,3,IF(OR(N221='טבלת פרמטרים'!$K$4,N221='טבלת פרמטרים'!$K$5),2,IF(N221='טבלת פרמטרים'!$K$3,1,0))))</f>
        <v>2</v>
      </c>
      <c r="Q221" s="20" t="s">
        <v>123</v>
      </c>
      <c r="R221" s="19">
        <f t="shared" si="3"/>
        <v>2</v>
      </c>
      <c r="S221" s="19" t="str">
        <f>IF(EXACT(P221,'טבלת פרמטרים'!$M$2),'טבלת פרמטרים'!$N$2,IF(EXACT(P221,'טבלת פרמטרים'!$M$3),'טבלת פרמטרים'!$N$3,IF(EXACT(P221,'טבלת פרמטרים'!$M$4),'טבלת פרמטרים'!$N$4,IF(EXACT(P221,'טבלת פרמטרים'!$M$5),'טבלת פרמטרים'!$N$5,IF(EXACT(P221,'טבלת פרמטרים'!$M$6),'טבלת פרמטרים'!$N$6,IF(EXACT(P221,'טבלת פרמטרים'!$M$7),'טבלת פרמטרים'!$N$7,IF(EXACT(P221,'טבלת פרמטרים'!$M$8),'טבלת פרמטרים'!$N$8,IF(EXACT(P221,'טבלת פרמטרים'!$M$9),'טבלת פרמטרים'!$N$9,""))))))))</f>
        <v/>
      </c>
      <c r="T221" s="19">
        <f>IF(EXACT(Q221,'טבלת פרמטרים'!$O$2),'טבלת פרמטרים'!$P$2,IF(EXACT(Q221,'טבלת פרמטרים'!$O$3),'טבלת פרמטרים'!$P$3,IF(EXACT(Q221,'טבלת פרמטרים'!$O$4),'טבלת פרמטרים'!$P$4,IF(EXACT(Q221,'טבלת פרמטרים'!$O$5),'טבלת פרמטרים'!$P$5,IF(EXACT(Q221,'טבלת פרמטרים'!$O$6),'טבלת פרמטרים'!$P$6,IF(EXACT(Q221,'טבלת פרמטרים'!$O$7),'טבלת פרמטרים'!$P$7,""))))))</f>
        <v>0</v>
      </c>
    </row>
    <row r="222" spans="1:20" ht="28.5" x14ac:dyDescent="0.2">
      <c r="A222" s="18">
        <v>222</v>
      </c>
      <c r="B222" s="30">
        <v>43901</v>
      </c>
      <c r="C222" s="30">
        <v>43901</v>
      </c>
      <c r="D222" s="21" t="s">
        <v>17</v>
      </c>
      <c r="E222" s="21" t="s">
        <v>22</v>
      </c>
      <c r="F222" s="21" t="s">
        <v>24</v>
      </c>
      <c r="G222" s="21" t="s">
        <v>26</v>
      </c>
      <c r="H222" s="21" t="s">
        <v>29</v>
      </c>
      <c r="I222" s="21" t="s">
        <v>126</v>
      </c>
      <c r="J222" s="21" t="s">
        <v>34</v>
      </c>
      <c r="K222" s="21" t="s">
        <v>149</v>
      </c>
      <c r="L222" s="21" t="s">
        <v>50</v>
      </c>
      <c r="M222" s="21" t="s">
        <v>53</v>
      </c>
      <c r="N222" s="21" t="s">
        <v>59</v>
      </c>
      <c r="O222" s="19">
        <f>IF(ISBLANK(D222),"",IF(D222='טבלת פרמטרים'!$A$9,1,0)+IF(E222='טבלת פרמטרים'!$B$5,2,1)+IF(F222='טבלת פרמטרים'!$C$5,3,IF(F222='טבלת פרמטרים'!$C$4,1,0))+IF(G222='טבלת פרמטרים'!$D$3,2,0)+IF(M222='טבלת פרמטרים'!$J$4,2,IF(M222='טבלת פרמטרים'!$J$3,1,0))+IF(N222='טבלת פרמטרים'!$K$6,3,IF(OR(N222='טבלת פרמטרים'!$K$4,N222='טבלת פרמטרים'!$K$5),2,IF(N222='טבלת פרמטרים'!$K$3,1,0))))</f>
        <v>6</v>
      </c>
      <c r="Q222" s="20" t="s">
        <v>329</v>
      </c>
      <c r="R222" s="19">
        <f t="shared" ref="R222" si="4">IF(ISNUMBER(T222),T222+O222,O222)</f>
        <v>7</v>
      </c>
      <c r="T222" s="19">
        <f>IF(EXACT(Q222,'טבלת פרמטרים'!$O$2),'טבלת פרמטרים'!$P$2,IF(EXACT(Q222,'טבלת פרמטרים'!$O$3),'טבלת פרמטרים'!$P$3,IF(EXACT(Q222,'טבלת פרמטרים'!$O$4),'טבלת פרמטרים'!$P$4,IF(EXACT(Q222,'טבלת פרמטרים'!$O$5),'טבלת פרמטרים'!$P$5,IF(EXACT(Q222,'טבלת פרמטרים'!$O$6),'טבלת פרמטרים'!$P$6,IF(EXACT(Q222,'טבלת פרמטרים'!$O$7),'טבלת פרמטרים'!$P$7,""))))))</f>
        <v>1</v>
      </c>
    </row>
    <row r="223" spans="1:20" x14ac:dyDescent="0.2">
      <c r="A223" s="18">
        <v>223</v>
      </c>
      <c r="B223" s="30">
        <v>43901</v>
      </c>
      <c r="C223" s="30">
        <v>43901</v>
      </c>
      <c r="D223" s="21" t="s">
        <v>14</v>
      </c>
      <c r="E223" s="21" t="s">
        <v>111</v>
      </c>
      <c r="F223" s="21" t="s">
        <v>23</v>
      </c>
      <c r="G223" s="21" t="s">
        <v>26</v>
      </c>
      <c r="H223" s="21" t="s">
        <v>29</v>
      </c>
      <c r="I223" s="21" t="s">
        <v>126</v>
      </c>
      <c r="J223" s="21" t="s">
        <v>35</v>
      </c>
      <c r="K223" s="21" t="s">
        <v>43</v>
      </c>
      <c r="L223" s="21" t="s">
        <v>51</v>
      </c>
      <c r="M223" s="21" t="s">
        <v>53</v>
      </c>
      <c r="N223" s="21" t="s">
        <v>58</v>
      </c>
      <c r="O223" s="19">
        <f>IF(ISBLANK(D223),"",IF(D223='טבלת פרמטרים'!$A$9,1,0)+IF(E223='טבלת פרמטרים'!$B$5,2,1)+IF(F223='טבלת פרמטרים'!$C$5,3,IF(F223='טבלת פרמטרים'!$C$4,1,0))+IF(G223='טבלת פרמטרים'!$D$3,2,0)+IF(M223='טבלת פרמטרים'!$J$4,2,IF(M223='טבלת פרמטרים'!$J$3,1,0))+IF(N223='טבלת פרמטרים'!$K$6,3,IF(OR(N223='טבלת פרמטרים'!$K$4,N223='טבלת פרמטרים'!$K$5),2,IF(N223='טבלת פרמטרים'!$K$3,1,0))))</f>
        <v>2</v>
      </c>
      <c r="Q223" s="20" t="s">
        <v>123</v>
      </c>
      <c r="R223" s="19">
        <f t="shared" ref="R223" si="5">IF(ISNUMBER(T223),T223+O223,O223)</f>
        <v>2</v>
      </c>
      <c r="T223" s="19">
        <f>IF(EXACT(Q223,'טבלת פרמטרים'!$O$2),'טבלת פרמטרים'!$P$2,IF(EXACT(Q223,'טבלת פרמטרים'!$O$3),'טבלת פרמטרים'!$P$3,IF(EXACT(Q223,'טבלת פרמטרים'!$O$4),'טבלת פרמטרים'!$P$4,IF(EXACT(Q223,'טבלת פרמטרים'!$O$5),'טבלת פרמטרים'!$P$5,IF(EXACT(Q223,'טבלת פרמטרים'!$O$6),'טבלת פרמטרים'!$P$6,IF(EXACT(Q223,'טבלת פרמטרים'!$O$7),'טבלת פרמטרים'!$P$7,""))))))</f>
        <v>0</v>
      </c>
    </row>
    <row r="224" spans="1:20" x14ac:dyDescent="0.2">
      <c r="A224" s="18">
        <v>224</v>
      </c>
      <c r="B224" s="30">
        <v>43902</v>
      </c>
      <c r="C224" s="30">
        <v>43905</v>
      </c>
      <c r="D224" s="21" t="s">
        <v>11</v>
      </c>
      <c r="E224" s="21" t="s">
        <v>111</v>
      </c>
      <c r="F224" s="21" t="s">
        <v>23</v>
      </c>
      <c r="G224" s="21" t="s">
        <v>26</v>
      </c>
      <c r="H224" s="21" t="s">
        <v>32</v>
      </c>
      <c r="I224" s="21" t="s">
        <v>126</v>
      </c>
      <c r="J224" s="21" t="s">
        <v>11</v>
      </c>
      <c r="K224" s="21" t="s">
        <v>43</v>
      </c>
      <c r="L224" s="21" t="s">
        <v>50</v>
      </c>
      <c r="M224" s="21" t="s">
        <v>54</v>
      </c>
      <c r="N224" s="21" t="s">
        <v>58</v>
      </c>
      <c r="O224" s="19">
        <f>IF(ISBLANK(D224),"",IF(D224='טבלת פרמטרים'!$A$9,1,0)+IF(E224='טבלת פרמטרים'!$B$5,2,1)+IF(F224='טבלת פרמטרים'!$C$5,3,IF(F224='טבלת פרמטרים'!$C$4,1,0))+IF(G224='טבלת פרמטרים'!$D$3,2,0)+IF(M224='טבלת פרמטרים'!$J$4,2,IF(M224='טבלת פרמטרים'!$J$3,1,0))+IF(N224='טבלת פרמטרים'!$K$6,3,IF(OR(N224='טבלת פרמטרים'!$K$4,N224='טבלת פרמטרים'!$K$5),2,IF(N224='טבלת פרמטרים'!$K$3,1,0))))</f>
        <v>3</v>
      </c>
      <c r="Q224" s="20" t="s">
        <v>123</v>
      </c>
      <c r="R224" s="19">
        <f t="shared" ref="R224:R240" si="6">IF(ISNUMBER(T224),T224+O224,O224)</f>
        <v>3</v>
      </c>
      <c r="T224" s="19">
        <f>IF(EXACT(Q224,'טבלת פרמטרים'!$O$2),'טבלת פרמטרים'!$P$2,IF(EXACT(Q224,'טבלת פרמטרים'!$O$3),'טבלת פרמטרים'!$P$3,IF(EXACT(Q224,'טבלת פרמטרים'!$O$4),'טבלת פרמטרים'!$P$4,IF(EXACT(Q224,'טבלת פרמטרים'!$O$5),'טבלת פרמטרים'!$P$5,IF(EXACT(Q224,'טבלת פרמטרים'!$O$6),'טבלת פרמטרים'!$P$6,IF(EXACT(Q224,'טבלת פרמטרים'!$O$7),'טבלת פרמטרים'!$P$7,""))))))</f>
        <v>0</v>
      </c>
    </row>
    <row r="225" spans="1:21" x14ac:dyDescent="0.2">
      <c r="A225" s="18">
        <v>225</v>
      </c>
      <c r="B225" s="30">
        <v>43886</v>
      </c>
      <c r="C225" s="30">
        <v>43886</v>
      </c>
      <c r="D225" s="21" t="s">
        <v>11</v>
      </c>
      <c r="E225" s="21" t="s">
        <v>111</v>
      </c>
      <c r="F225" s="21" t="s">
        <v>23</v>
      </c>
      <c r="G225" s="21" t="s">
        <v>26</v>
      </c>
      <c r="H225" s="21" t="s">
        <v>31</v>
      </c>
      <c r="I225" s="21" t="s">
        <v>127</v>
      </c>
      <c r="J225" s="21" t="s">
        <v>11</v>
      </c>
      <c r="K225" s="21" t="s">
        <v>43</v>
      </c>
      <c r="L225" s="21" t="s">
        <v>51</v>
      </c>
      <c r="M225" s="21" t="s">
        <v>53</v>
      </c>
      <c r="N225" s="21" t="s">
        <v>59</v>
      </c>
      <c r="O225" s="19">
        <f>IF(ISBLANK(D225),"",IF(D225='טבלת פרמטרים'!$A$9,1,0)+IF(E225='טבלת פרמטרים'!$B$5,2,1)+IF(F225='טבלת פרמטרים'!$C$5,3,IF(F225='טבלת פרמטרים'!$C$4,1,0))+IF(G225='טבלת פרמטרים'!$D$3,2,0)+IF(M225='טבלת פרמטרים'!$J$4,2,IF(M225='טבלת פרמטרים'!$J$3,1,0))+IF(N225='טבלת פרמטרים'!$K$6,3,IF(OR(N225='טבלת פרמטרים'!$K$4,N225='טבלת פרמטרים'!$K$5),2,IF(N225='טבלת פרמטרים'!$K$3,1,0))))</f>
        <v>3</v>
      </c>
      <c r="Q225" s="20" t="s">
        <v>123</v>
      </c>
      <c r="R225" s="19">
        <f t="shared" si="6"/>
        <v>3</v>
      </c>
      <c r="T225" s="19">
        <f>IF(EXACT(Q225,'טבלת פרמטרים'!$O$2),'טבלת פרמטרים'!$P$2,IF(EXACT(Q225,'טבלת פרמטרים'!$O$3),'טבלת פרמטרים'!$P$3,IF(EXACT(Q225,'טבלת פרמטרים'!$O$4),'טבלת פרמטרים'!$P$4,IF(EXACT(Q225,'טבלת פרמטרים'!$O$5),'טבלת פרמטרים'!$P$5,IF(EXACT(Q225,'טבלת פרמטרים'!$O$6),'טבלת פרמטרים'!$P$6,IF(EXACT(Q225,'טבלת פרמטרים'!$O$7),'טבלת פרמטרים'!$P$7,""))))))</f>
        <v>0</v>
      </c>
    </row>
    <row r="226" spans="1:21" x14ac:dyDescent="0.2">
      <c r="A226" s="18">
        <v>226</v>
      </c>
      <c r="B226" s="30">
        <v>43914</v>
      </c>
      <c r="C226" s="30">
        <v>43914</v>
      </c>
      <c r="D226" s="21" t="s">
        <v>17</v>
      </c>
      <c r="E226" s="21" t="s">
        <v>20</v>
      </c>
      <c r="F226" s="21" t="s">
        <v>23</v>
      </c>
      <c r="G226" s="21" t="s">
        <v>26</v>
      </c>
      <c r="H226" s="21" t="s">
        <v>30</v>
      </c>
      <c r="I226" s="21" t="s">
        <v>127</v>
      </c>
      <c r="J226" s="21" t="s">
        <v>33</v>
      </c>
      <c r="K226" s="21" t="s">
        <v>45</v>
      </c>
      <c r="L226" s="21" t="s">
        <v>51</v>
      </c>
      <c r="M226" s="21" t="s">
        <v>55</v>
      </c>
      <c r="N226" s="21" t="s">
        <v>59</v>
      </c>
      <c r="O226" s="19">
        <f>IF(ISBLANK(D226),"",IF(D226='טבלת פרמטרים'!$A$9,1,0)+IF(E226='טבלת פרמטרים'!$B$5,2,1)+IF(F226='טבלת פרמטרים'!$C$5,3,IF(F226='טבלת פרמטרים'!$C$4,1,0))+IF(G226='טבלת פרמטרים'!$D$3,2,0)+IF(M226='טבלת פרמטרים'!$J$4,2,IF(M226='טבלת פרמטרים'!$J$3,1,0))+IF(N226='טבלת פרמטרים'!$K$6,3,IF(OR(N226='טבלת פרמטרים'!$K$4,N226='טבלת פרמטרים'!$K$5),2,IF(N226='טבלת פרמטרים'!$K$3,1,0))))</f>
        <v>6</v>
      </c>
      <c r="Q226" s="20" t="s">
        <v>123</v>
      </c>
      <c r="R226" s="19">
        <f t="shared" si="6"/>
        <v>6</v>
      </c>
      <c r="T226" s="19">
        <f>IF(EXACT(Q226,'טבלת פרמטרים'!$O$2),'טבלת פרמטרים'!$P$2,IF(EXACT(Q226,'טבלת פרמטרים'!$O$3),'טבלת פרמטרים'!$P$3,IF(EXACT(Q226,'טבלת פרמטרים'!$O$4),'טבלת פרמטרים'!$P$4,IF(EXACT(Q226,'טבלת פרמטרים'!$O$5),'טבלת פרמטרים'!$P$5,IF(EXACT(Q226,'טבלת פרמטרים'!$O$6),'טבלת פרמטרים'!$P$6,IF(EXACT(Q226,'טבלת פרמטרים'!$O$7),'טבלת פרמטרים'!$P$7,""))))))</f>
        <v>0</v>
      </c>
    </row>
    <row r="227" spans="1:21" x14ac:dyDescent="0.2">
      <c r="A227" s="18">
        <v>227</v>
      </c>
      <c r="B227" s="30">
        <v>43941</v>
      </c>
      <c r="C227" s="30">
        <v>43941</v>
      </c>
      <c r="D227" s="21" t="s">
        <v>17</v>
      </c>
      <c r="E227" s="21" t="s">
        <v>20</v>
      </c>
      <c r="F227" s="21" t="s">
        <v>23</v>
      </c>
      <c r="G227" s="21" t="s">
        <v>27</v>
      </c>
      <c r="H227" s="21" t="s">
        <v>31</v>
      </c>
      <c r="I227" s="21" t="s">
        <v>126</v>
      </c>
      <c r="J227" s="21" t="s">
        <v>35</v>
      </c>
      <c r="K227" s="21" t="s">
        <v>44</v>
      </c>
      <c r="L227" s="21" t="s">
        <v>51</v>
      </c>
      <c r="M227" s="21" t="s">
        <v>54</v>
      </c>
      <c r="N227" s="21" t="s">
        <v>59</v>
      </c>
      <c r="O227" s="19">
        <f>IF(ISBLANK(D227),"",IF(D227='טבלת פרמטרים'!$A$9,1,0)+IF(E227='טבלת פרמטרים'!$B$5,2,1)+IF(F227='טבלת פרמטרים'!$C$5,3,IF(F227='טבלת פרמטרים'!$C$4,1,0))+IF(G227='טבלת פרמטרים'!$D$3,2,0)+IF(M227='טבלת פרמטרים'!$J$4,2,IF(M227='טבלת פרמטרים'!$J$3,1,0))+IF(N227='טבלת פרמטרים'!$K$6,3,IF(OR(N227='טבלת פרמטרים'!$K$4,N227='טבלת פרמטרים'!$K$5),2,IF(N227='טבלת פרמטרים'!$K$3,1,0))))</f>
        <v>7</v>
      </c>
      <c r="Q227" s="20" t="s">
        <v>123</v>
      </c>
      <c r="R227" s="19">
        <f t="shared" si="6"/>
        <v>7</v>
      </c>
      <c r="T227" s="19">
        <f>IF(EXACT(Q227,'טבלת פרמטרים'!$O$2),'טבלת פרמטרים'!$P$2,IF(EXACT(Q227,'טבלת פרמטרים'!$O$3),'טבלת פרמטרים'!$P$3,IF(EXACT(Q227,'טבלת פרמטרים'!$O$4),'טבלת פרמטרים'!$P$4,IF(EXACT(Q227,'טבלת פרמטרים'!$O$5),'טבלת פרמטרים'!$P$5,IF(EXACT(Q227,'טבלת פרמטרים'!$O$6),'טבלת פרמטרים'!$P$6,IF(EXACT(Q227,'טבלת פרמטרים'!$O$7),'טבלת פרמטרים'!$P$7,""))))))</f>
        <v>0</v>
      </c>
    </row>
    <row r="228" spans="1:21" x14ac:dyDescent="0.2">
      <c r="A228" s="18">
        <v>228</v>
      </c>
      <c r="B228" s="30">
        <v>43948</v>
      </c>
      <c r="C228" s="30">
        <v>43948</v>
      </c>
      <c r="D228" s="21" t="s">
        <v>19</v>
      </c>
      <c r="E228" s="21" t="s">
        <v>20</v>
      </c>
      <c r="F228" s="21" t="s">
        <v>23</v>
      </c>
      <c r="G228" s="21" t="s">
        <v>26</v>
      </c>
      <c r="H228" s="21" t="s">
        <v>31</v>
      </c>
      <c r="J228" s="21" t="s">
        <v>63</v>
      </c>
      <c r="K228" s="21" t="s">
        <v>45</v>
      </c>
      <c r="L228" s="21" t="s">
        <v>50</v>
      </c>
      <c r="M228" s="21" t="s">
        <v>53</v>
      </c>
      <c r="N228" s="21" t="s">
        <v>59</v>
      </c>
      <c r="O228" s="19">
        <f>IF(ISBLANK(D228),"",IF(D228='טבלת פרמטרים'!$A$9,1,0)+IF(E228='טבלת פרמטרים'!$B$5,2,1)+IF(F228='טבלת פרמטרים'!$C$5,3,IF(F228='טבלת פרמטרים'!$C$4,1,0))+IF(G228='טבלת פרמטרים'!$D$3,2,0)+IF(M228='טבלת פרמטרים'!$J$4,2,IF(M228='טבלת פרמטרים'!$J$3,1,0))+IF(N228='טבלת פרמטרים'!$K$6,3,IF(OR(N228='טבלת פרמטרים'!$K$4,N228='טבלת פרמטרים'!$K$5),2,IF(N228='טבלת פרמטרים'!$K$3,1,0))))</f>
        <v>3</v>
      </c>
      <c r="Q228" s="20" t="s">
        <v>123</v>
      </c>
      <c r="R228" s="19">
        <f t="shared" si="6"/>
        <v>3</v>
      </c>
      <c r="T228" s="19">
        <f>IF(EXACT(Q228,'טבלת פרמטרים'!$O$2),'טבלת פרמטרים'!$P$2,IF(EXACT(Q228,'טבלת פרמטרים'!$O$3),'טבלת פרמטרים'!$P$3,IF(EXACT(Q228,'טבלת פרמטרים'!$O$4),'טבלת פרמטרים'!$P$4,IF(EXACT(Q228,'טבלת פרמטרים'!$O$5),'טבלת פרמטרים'!$P$5,IF(EXACT(Q228,'טבלת פרמטרים'!$O$6),'טבלת פרמטרים'!$P$6,IF(EXACT(Q228,'טבלת פרמטרים'!$O$7),'טבלת פרמטרים'!$P$7,""))))))</f>
        <v>0</v>
      </c>
      <c r="U228" s="19" t="s">
        <v>324</v>
      </c>
    </row>
    <row r="229" spans="1:21" x14ac:dyDescent="0.2">
      <c r="A229" s="18">
        <v>229</v>
      </c>
      <c r="B229" s="30">
        <v>43956</v>
      </c>
      <c r="C229" s="30">
        <v>43958</v>
      </c>
      <c r="D229" s="21" t="s">
        <v>11</v>
      </c>
      <c r="E229" s="21" t="s">
        <v>111</v>
      </c>
      <c r="F229" s="21" t="s">
        <v>23</v>
      </c>
      <c r="G229" s="21" t="s">
        <v>26</v>
      </c>
      <c r="H229" s="21" t="s">
        <v>28</v>
      </c>
      <c r="J229" s="21" t="s">
        <v>11</v>
      </c>
      <c r="K229" s="21" t="s">
        <v>44</v>
      </c>
      <c r="L229" s="21" t="s">
        <v>51</v>
      </c>
      <c r="M229" s="21" t="s">
        <v>53</v>
      </c>
      <c r="N229" s="21" t="s">
        <v>58</v>
      </c>
      <c r="O229" s="19">
        <f>IF(ISBLANK(D229),"",IF(D229='טבלת פרמטרים'!$A$9,1,0)+IF(E229='טבלת פרמטרים'!$B$5,2,1)+IF(F229='טבלת פרמטרים'!$C$5,3,IF(F229='טבלת פרמטרים'!$C$4,1,0))+IF(G229='טבלת פרמטרים'!$D$3,2,0)+IF(M229='טבלת פרמטרים'!$J$4,2,IF(M229='טבלת פרמטרים'!$J$3,1,0))+IF(N229='טבלת פרמטרים'!$K$6,3,IF(OR(N229='טבלת פרמטרים'!$K$4,N229='טבלת פרמטרים'!$K$5),2,IF(N229='טבלת פרמטרים'!$K$3,1,0))))</f>
        <v>2</v>
      </c>
      <c r="Q229" s="20" t="s">
        <v>123</v>
      </c>
      <c r="R229" s="19">
        <f t="shared" si="6"/>
        <v>2</v>
      </c>
      <c r="T229" s="19">
        <f>IF(EXACT(Q229,'טבלת פרמטרים'!$O$2),'טבלת פרמטרים'!$P$2,IF(EXACT(Q229,'טבלת פרמטרים'!$O$3),'טבלת פרמטרים'!$P$3,IF(EXACT(Q229,'טבלת פרמטרים'!$O$4),'טבלת פרמטרים'!$P$4,IF(EXACT(Q229,'טבלת פרמטרים'!$O$5),'טבלת פרמטרים'!$P$5,IF(EXACT(Q229,'טבלת פרמטרים'!$O$6),'טבלת פרמטרים'!$P$6,IF(EXACT(Q229,'טבלת פרמטרים'!$O$7),'טבלת פרמטרים'!$P$7,""))))))</f>
        <v>0</v>
      </c>
    </row>
    <row r="230" spans="1:21" ht="28.5" x14ac:dyDescent="0.2">
      <c r="A230" s="18">
        <v>230</v>
      </c>
      <c r="B230" s="30">
        <v>43963</v>
      </c>
      <c r="C230" s="30">
        <v>43964</v>
      </c>
      <c r="D230" s="21" t="s">
        <v>17</v>
      </c>
      <c r="E230" s="21" t="s">
        <v>22</v>
      </c>
      <c r="F230" s="21" t="s">
        <v>24</v>
      </c>
      <c r="G230" s="21" t="s">
        <v>26</v>
      </c>
      <c r="H230" s="21" t="s">
        <v>29</v>
      </c>
      <c r="I230" s="21" t="s">
        <v>126</v>
      </c>
      <c r="J230" s="21" t="s">
        <v>35</v>
      </c>
      <c r="K230" s="21" t="s">
        <v>43</v>
      </c>
      <c r="L230" s="21" t="s">
        <v>51</v>
      </c>
      <c r="M230" s="21" t="s">
        <v>53</v>
      </c>
      <c r="N230" s="21" t="s">
        <v>58</v>
      </c>
      <c r="O230" s="19">
        <f>IF(ISBLANK(D230),"",IF(D230='טבלת פרמטרים'!$A$9,1,0)+IF(E230='טבלת פרמטרים'!$B$5,2,1)+IF(F230='טבלת פרמטרים'!$C$5,3,IF(F230='טבלת פרמטרים'!$C$4,1,0))+IF(G230='טבלת פרמטרים'!$D$3,2,0)+IF(M230='טבלת פרמטרים'!$J$4,2,IF(M230='טבלת פרמטרים'!$J$3,1,0))+IF(N230='טבלת פרמטרים'!$K$6,3,IF(OR(N230='טבלת פרמטרים'!$K$4,N230='טבלת פרמטרים'!$K$5),2,IF(N230='טבלת פרמטרים'!$K$3,1,0))))</f>
        <v>5</v>
      </c>
      <c r="Q230" s="20" t="s">
        <v>329</v>
      </c>
      <c r="R230" s="19">
        <f>IF(ISNUMBER(T230),T230+O230,O230)</f>
        <v>6</v>
      </c>
      <c r="T230" s="19">
        <f>IF(EXACT(Q230,'טבלת פרמטרים'!$O$2),'טבלת פרמטרים'!$P$2,IF(EXACT(Q230,'טבלת פרמטרים'!$O$3),'טבלת פרמטרים'!$P$3,IF(EXACT(Q230,'טבלת פרמטרים'!$O$4),'טבלת פרמטרים'!$P$4,IF(EXACT(Q230,'טבלת פרמטרים'!$O$5),'טבלת פרמטרים'!$P$5,IF(EXACT(Q230,'טבלת פרמטרים'!$O$6),'טבלת פרמטרים'!$P$6,IF(EXACT(Q230,'טבלת פרמטרים'!$O$7),'טבלת פרמטרים'!$P$7,""))))))</f>
        <v>1</v>
      </c>
    </row>
    <row r="231" spans="1:21" x14ac:dyDescent="0.2">
      <c r="A231" s="18">
        <v>231</v>
      </c>
      <c r="B231" s="30">
        <v>43969</v>
      </c>
      <c r="C231" s="30">
        <v>43969</v>
      </c>
      <c r="D231" s="21" t="s">
        <v>11</v>
      </c>
      <c r="E231" s="21" t="s">
        <v>111</v>
      </c>
      <c r="F231" s="21" t="s">
        <v>23</v>
      </c>
      <c r="G231" s="21" t="s">
        <v>26</v>
      </c>
      <c r="H231" s="21" t="s">
        <v>32</v>
      </c>
      <c r="J231" s="21" t="s">
        <v>63</v>
      </c>
      <c r="L231" s="21" t="s">
        <v>51</v>
      </c>
      <c r="M231" s="21" t="s">
        <v>53</v>
      </c>
      <c r="N231" s="21" t="s">
        <v>59</v>
      </c>
      <c r="O231" s="19">
        <f>IF(ISBLANK(D231),"",IF(D231='טבלת פרמטרים'!$A$9,1,0)+IF(E231='טבלת פרמטרים'!$B$5,2,1)+IF(F231='טבלת פרמטרים'!$C$5,3,IF(F231='טבלת פרמטרים'!$C$4,1,0))+IF(G231='טבלת פרמטרים'!$D$3,2,0)+IF(M231='טבלת פרמטרים'!$J$4,2,IF(M231='טבלת פרמטרים'!$J$3,1,0))+IF(N231='טבלת פרמטרים'!$K$6,3,IF(OR(N231='טבלת פרמטרים'!$K$4,N231='טבלת פרמטרים'!$K$5),2,IF(N231='טבלת פרמטרים'!$K$3,1,0))))</f>
        <v>3</v>
      </c>
      <c r="Q231" s="20" t="s">
        <v>123</v>
      </c>
      <c r="R231" s="19">
        <f t="shared" si="6"/>
        <v>3</v>
      </c>
      <c r="T231" s="19">
        <f>IF(EXACT(Q231,'טבלת פרמטרים'!$O$2),'טבלת פרמטרים'!$P$2,IF(EXACT(Q231,'טבלת פרמטרים'!$O$3),'טבלת פרמטרים'!$P$3,IF(EXACT(Q231,'טבלת פרמטרים'!$O$4),'טבלת פרמטרים'!$P$4,IF(EXACT(Q231,'טבלת פרמטרים'!$O$5),'טבלת פרמטרים'!$P$5,IF(EXACT(Q231,'טבלת פרמטרים'!$O$6),'טבלת פרמטרים'!$P$6,IF(EXACT(Q231,'טבלת פרמטרים'!$O$7),'טבלת פרמטרים'!$P$7,""))))))</f>
        <v>0</v>
      </c>
    </row>
    <row r="232" spans="1:21" x14ac:dyDescent="0.2">
      <c r="A232" s="18">
        <v>232</v>
      </c>
      <c r="B232" s="30">
        <v>43969</v>
      </c>
      <c r="C232" s="30">
        <v>43969</v>
      </c>
      <c r="D232" s="21" t="s">
        <v>13</v>
      </c>
      <c r="E232" s="21" t="s">
        <v>20</v>
      </c>
      <c r="F232" s="21" t="s">
        <v>23</v>
      </c>
      <c r="G232" s="21" t="s">
        <v>26</v>
      </c>
      <c r="H232" s="21" t="s">
        <v>30</v>
      </c>
      <c r="J232" s="21" t="s">
        <v>33</v>
      </c>
      <c r="K232" s="21" t="s">
        <v>46</v>
      </c>
      <c r="L232" s="21" t="s">
        <v>50</v>
      </c>
      <c r="M232" s="21" t="s">
        <v>54</v>
      </c>
      <c r="N232" s="21" t="s">
        <v>59</v>
      </c>
      <c r="O232" s="19">
        <f>IF(ISBLANK(D232),"",IF(D232='טבלת פרמטרים'!$A$9,1,0)+IF(E232='טבלת פרמטרים'!$B$5,2,1)+IF(F232='טבלת פרמטרים'!$C$5,3,IF(F232='טבלת פרמטרים'!$C$4,1,0))+IF(G232='טבלת פרמטרים'!$D$3,2,0)+IF(M232='טבלת פרמטרים'!$J$4,2,IF(M232='טבלת פרמטרים'!$J$3,1,0))+IF(N232='טבלת פרמטרים'!$K$6,3,IF(OR(N232='טבלת פרמטרים'!$K$4,N232='טבלת פרמטרים'!$K$5),2,IF(N232='טבלת פרמטרים'!$K$3,1,0))))</f>
        <v>4</v>
      </c>
      <c r="Q232" s="20" t="s">
        <v>123</v>
      </c>
      <c r="R232" s="19">
        <f t="shared" si="6"/>
        <v>4</v>
      </c>
      <c r="T232" s="19">
        <f>IF(EXACT(Q232,'טבלת פרמטרים'!$O$2),'טבלת פרמטרים'!$P$2,IF(EXACT(Q232,'טבלת פרמטרים'!$O$3),'טבלת פרמטרים'!$P$3,IF(EXACT(Q232,'טבלת פרמטרים'!$O$4),'טבלת פרמטרים'!$P$4,IF(EXACT(Q232,'טבלת פרמטרים'!$O$5),'טבלת פרמטרים'!$P$5,IF(EXACT(Q232,'טבלת פרמטרים'!$O$6),'טבלת פרמטרים'!$P$6,IF(EXACT(Q232,'טבלת פרמטרים'!$O$7),'טבלת פרמטרים'!$P$7,""))))))</f>
        <v>0</v>
      </c>
    </row>
    <row r="233" spans="1:21" ht="28.5" x14ac:dyDescent="0.2">
      <c r="A233" s="18">
        <v>233</v>
      </c>
      <c r="B233" s="30">
        <v>43617</v>
      </c>
      <c r="C233" s="30">
        <v>43989</v>
      </c>
      <c r="D233" s="21" t="s">
        <v>17</v>
      </c>
      <c r="E233" s="21" t="s">
        <v>22</v>
      </c>
      <c r="F233" s="21" t="s">
        <v>25</v>
      </c>
      <c r="G233" s="21" t="s">
        <v>27</v>
      </c>
      <c r="H233" s="21" t="s">
        <v>32</v>
      </c>
      <c r="J233" s="21" t="s">
        <v>35</v>
      </c>
      <c r="M233" s="21" t="s">
        <v>55</v>
      </c>
      <c r="N233" s="21" t="s">
        <v>58</v>
      </c>
      <c r="O233" s="19">
        <f>IF(ISBLANK(D233),"",IF(D233='טבלת פרמטרים'!$A$9,1,0)+IF(E233='טבלת פרמטרים'!$B$5,2,1)+IF(F233='טבלת פרמטרים'!$C$5,3,IF(F233='טבלת פרמטרים'!$C$4,1,0))+IF(G233='טבלת פרמטרים'!$D$3,2,0)+IF(M233='טבלת פרמטרים'!$J$4,2,IF(M233='טבלת פרמטרים'!$J$3,1,0))+IF(N233='טבלת פרמטרים'!$K$6,3,IF(OR(N233='טבלת פרמטרים'!$K$4,N233='טבלת פרמטרים'!$K$5),2,IF(N233='טבלת פרמטרים'!$K$3,1,0))))</f>
        <v>11</v>
      </c>
      <c r="Q233" s="20" t="s">
        <v>329</v>
      </c>
      <c r="R233" s="19">
        <f t="shared" si="6"/>
        <v>12</v>
      </c>
      <c r="T233" s="19">
        <f>IF(EXACT(Q233,'טבלת פרמטרים'!$O$2),'טבלת פרמטרים'!$P$2,IF(EXACT(Q233,'טבלת פרמטרים'!$O$3),'טבלת פרמטרים'!$P$3,IF(EXACT(Q233,'טבלת פרמטרים'!$O$4),'טבלת פרמטרים'!$P$4,IF(EXACT(Q233,'טבלת פרמטרים'!$O$5),'טבלת פרמטרים'!$P$5,IF(EXACT(Q233,'טבלת פרמטרים'!$O$6),'טבלת פרמטרים'!$P$6,IF(EXACT(Q233,'טבלת פרמטרים'!$O$7),'טבלת פרמטרים'!$P$7,""))))))</f>
        <v>1</v>
      </c>
    </row>
    <row r="234" spans="1:21" x14ac:dyDescent="0.2">
      <c r="A234" s="18">
        <v>234</v>
      </c>
      <c r="B234" s="30">
        <v>43991</v>
      </c>
      <c r="C234" s="30">
        <v>43992</v>
      </c>
      <c r="D234" s="21" t="s">
        <v>16</v>
      </c>
      <c r="E234" s="21" t="s">
        <v>21</v>
      </c>
      <c r="F234" s="21" t="s">
        <v>23</v>
      </c>
      <c r="G234" s="21" t="s">
        <v>26</v>
      </c>
      <c r="H234" s="21" t="s">
        <v>29</v>
      </c>
      <c r="I234" s="21" t="s">
        <v>127</v>
      </c>
      <c r="J234" s="21" t="s">
        <v>35</v>
      </c>
      <c r="K234" s="21" t="s">
        <v>43</v>
      </c>
      <c r="L234" s="21" t="s">
        <v>51</v>
      </c>
      <c r="M234" s="21" t="s">
        <v>53</v>
      </c>
      <c r="N234" s="21" t="s">
        <v>58</v>
      </c>
      <c r="O234" s="19">
        <f>IF(ISBLANK(D234),"",IF(D234='טבלת פרמטרים'!$A$9,1,0)+IF(E234='טבלת פרמטרים'!$B$5,2,1)+IF(F234='טבלת פרמטרים'!$C$5,3,IF(F234='טבלת פרמטרים'!$C$4,1,0))+IF(G234='טבלת פרמטרים'!$D$3,2,0)+IF(M234='טבלת פרמטרים'!$J$4,2,IF(M234='טבלת פרמטרים'!$J$3,1,0))+IF(N234='טבלת פרמטרים'!$K$6,3,IF(OR(N234='טבלת פרמטרים'!$K$4,N234='טבלת פרמטרים'!$K$5),2,IF(N234='טבלת פרמטרים'!$K$3,1,0))))</f>
        <v>2</v>
      </c>
      <c r="Q234" s="20" t="s">
        <v>123</v>
      </c>
      <c r="R234" s="19">
        <f t="shared" si="6"/>
        <v>2</v>
      </c>
      <c r="T234" s="19">
        <f>IF(EXACT(Q234,'טבלת פרמטרים'!$O$2),'טבלת פרמטרים'!$P$2,IF(EXACT(Q234,'טבלת פרמטרים'!$O$3),'טבלת פרמטרים'!$P$3,IF(EXACT(Q234,'טבלת פרמטרים'!$O$4),'טבלת פרמטרים'!$P$4,IF(EXACT(Q234,'טבלת פרמטרים'!$O$5),'טבלת פרמטרים'!$P$5,IF(EXACT(Q234,'טבלת פרמטרים'!$O$6),'טבלת פרמטרים'!$P$6,IF(EXACT(Q234,'טבלת פרמטרים'!$O$7),'טבלת פרמטרים'!$P$7,""))))))</f>
        <v>0</v>
      </c>
    </row>
    <row r="235" spans="1:21" ht="28.5" x14ac:dyDescent="0.2">
      <c r="A235" s="18">
        <v>235</v>
      </c>
      <c r="B235" s="30">
        <v>44081</v>
      </c>
      <c r="C235" s="30">
        <v>44081</v>
      </c>
      <c r="D235" s="21" t="s">
        <v>17</v>
      </c>
      <c r="E235" s="21" t="s">
        <v>22</v>
      </c>
      <c r="F235" s="21" t="s">
        <v>24</v>
      </c>
      <c r="G235" s="21" t="s">
        <v>26</v>
      </c>
      <c r="H235" s="21" t="s">
        <v>29</v>
      </c>
      <c r="I235" s="21" t="s">
        <v>127</v>
      </c>
      <c r="J235" s="21" t="s">
        <v>34</v>
      </c>
      <c r="K235" s="21" t="s">
        <v>48</v>
      </c>
      <c r="L235" s="21" t="s">
        <v>49</v>
      </c>
      <c r="M235" s="21" t="s">
        <v>53</v>
      </c>
      <c r="N235" s="21" t="s">
        <v>59</v>
      </c>
      <c r="O235" s="19">
        <f>IF(ISBLANK(D235),"",IF(D235='טבלת פרמטרים'!$A$9,1,0)+IF(E235='טבלת פרמטרים'!$B$5,2,1)+IF(F235='טבלת פרמטרים'!$C$5,3,IF(F235='טבלת פרמטרים'!$C$4,1,0))+IF(G235='טבלת פרמטרים'!$D$3,2,0)+IF(M235='טבלת פרמטרים'!$J$4,2,IF(M235='טבלת פרמטרים'!$J$3,1,0))+IF(N235='טבלת פרמטרים'!$K$6,3,IF(OR(N235='טבלת פרמטרים'!$K$4,N235='טבלת פרמטרים'!$K$5),2,IF(N235='טבלת פרמטרים'!$K$3,1,0))))</f>
        <v>6</v>
      </c>
      <c r="Q235" s="20" t="s">
        <v>329</v>
      </c>
      <c r="R235" s="19">
        <f t="shared" si="6"/>
        <v>7</v>
      </c>
      <c r="T235" s="19">
        <f>IF(EXACT(Q235,'טבלת פרמטרים'!$O$2),'טבלת פרמטרים'!$P$2,IF(EXACT(Q235,'טבלת פרמטרים'!$O$3),'טבלת פרמטרים'!$P$3,IF(EXACT(Q235,'טבלת פרמטרים'!$O$4),'טבלת פרמטרים'!$P$4,IF(EXACT(Q235,'טבלת פרמטרים'!$O$5),'טבלת פרמטרים'!$P$5,IF(EXACT(Q235,'טבלת פרמטרים'!$O$6),'טבלת פרמטרים'!$P$6,IF(EXACT(Q235,'טבלת פרמטרים'!$O$7),'טבלת פרמטרים'!$P$7,""))))))</f>
        <v>1</v>
      </c>
    </row>
    <row r="236" spans="1:21" x14ac:dyDescent="0.2">
      <c r="A236" s="18">
        <v>236</v>
      </c>
      <c r="B236" s="30">
        <v>43997</v>
      </c>
      <c r="C236" s="30">
        <v>43998</v>
      </c>
      <c r="D236" s="21" t="s">
        <v>16</v>
      </c>
      <c r="E236" s="21" t="s">
        <v>111</v>
      </c>
      <c r="F236" s="21" t="s">
        <v>23</v>
      </c>
      <c r="G236" s="21" t="s">
        <v>26</v>
      </c>
      <c r="H236" s="21" t="s">
        <v>30</v>
      </c>
      <c r="J236" s="21" t="s">
        <v>34</v>
      </c>
      <c r="K236" s="21" t="s">
        <v>149</v>
      </c>
      <c r="L236" s="21" t="s">
        <v>50</v>
      </c>
      <c r="M236" s="21" t="s">
        <v>55</v>
      </c>
      <c r="N236" s="21" t="s">
        <v>59</v>
      </c>
      <c r="O236" s="19">
        <f>IF(ISBLANK(D236),"",IF(D236='טבלת פרמטרים'!$A$9,1,0)+IF(E236='טבלת פרמטרים'!$B$5,2,1)+IF(F236='טבלת פרמטרים'!$C$5,3,IF(F236='טבלת פרמטרים'!$C$4,1,0))+IF(G236='טבלת פרמטרים'!$D$3,2,0)+IF(M236='טבלת פרמטרים'!$J$4,2,IF(M236='טבלת פרמטרים'!$J$3,1,0))+IF(N236='טבלת פרמטרים'!$K$6,3,IF(OR(N236='טבלת פרמטרים'!$K$4,N236='טבלת פרמטרים'!$K$5),2,IF(N236='טבלת פרמטרים'!$K$3,1,0))))</f>
        <v>5</v>
      </c>
      <c r="Q236" s="20" t="s">
        <v>123</v>
      </c>
      <c r="R236" s="19">
        <f t="shared" si="6"/>
        <v>5</v>
      </c>
      <c r="T236" s="19">
        <f>IF(EXACT(Q236,'טבלת פרמטרים'!$O$2),'טבלת פרמטרים'!$P$2,IF(EXACT(Q236,'טבלת פרמטרים'!$O$3),'טבלת פרמטרים'!$P$3,IF(EXACT(Q236,'טבלת פרמטרים'!$O$4),'טבלת פרמטרים'!$P$4,IF(EXACT(Q236,'טבלת פרמטרים'!$O$5),'טבלת פרמטרים'!$P$5,IF(EXACT(Q236,'טבלת פרמטרים'!$O$6),'טבלת פרמטרים'!$P$6,IF(EXACT(Q236,'טבלת פרמטרים'!$O$7),'טבלת פרמטרים'!$P$7,""))))))</f>
        <v>0</v>
      </c>
    </row>
    <row r="237" spans="1:21" x14ac:dyDescent="0.2">
      <c r="A237" s="18">
        <v>237</v>
      </c>
      <c r="B237" s="30">
        <v>43884</v>
      </c>
      <c r="C237" s="30">
        <v>44004</v>
      </c>
      <c r="D237" s="21" t="s">
        <v>13</v>
      </c>
      <c r="E237" s="21" t="s">
        <v>21</v>
      </c>
      <c r="F237" s="21" t="s">
        <v>23</v>
      </c>
      <c r="G237" s="21" t="s">
        <v>27</v>
      </c>
      <c r="H237" s="21" t="s">
        <v>30</v>
      </c>
      <c r="K237" s="21" t="s">
        <v>43</v>
      </c>
      <c r="L237" s="21" t="s">
        <v>49</v>
      </c>
      <c r="M237" s="21" t="s">
        <v>55</v>
      </c>
      <c r="N237" s="21" t="s">
        <v>58</v>
      </c>
      <c r="O237" s="19">
        <f>IF(ISBLANK(D237),"",IF(D237='טבלת פרמטרים'!$A$9,1,0)+IF(E237='טבלת פרמטרים'!$B$5,2,1)+IF(F237='טבלת פרמטרים'!$C$5,3,IF(F237='טבלת פרמטרים'!$C$4,1,0))+IF(G237='טבלת פרמטרים'!$D$3,2,0)+IF(M237='טבלת פרמטרים'!$J$4,2,IF(M237='טבלת פרמטרים'!$J$3,1,0))+IF(N237='טבלת פרמטרים'!$K$6,3,IF(OR(N237='טבלת פרמטרים'!$K$4,N237='טבלת פרמטרים'!$K$5),2,IF(N237='טבלת פרמטרים'!$K$3,1,0))))</f>
        <v>6</v>
      </c>
      <c r="Q237" s="20" t="s">
        <v>123</v>
      </c>
      <c r="R237" s="19">
        <f t="shared" si="6"/>
        <v>6</v>
      </c>
      <c r="T237" s="19">
        <f>IF(EXACT(Q237,'טבלת פרמטרים'!$O$2),'טבלת פרמטרים'!$P$2,IF(EXACT(Q237,'טבלת פרמטרים'!$O$3),'טבלת פרמטרים'!$P$3,IF(EXACT(Q237,'טבלת פרמטרים'!$O$4),'טבלת פרמטרים'!$P$4,IF(EXACT(Q237,'טבלת פרמטרים'!$O$5),'טבלת פרמטרים'!$P$5,IF(EXACT(Q237,'טבלת פרמטרים'!$O$6),'טבלת פרמטרים'!$P$6,IF(EXACT(Q237,'טבלת פרמטרים'!$O$7),'טבלת פרמטרים'!$P$7,""))))))</f>
        <v>0</v>
      </c>
      <c r="U237" s="19" t="s">
        <v>349</v>
      </c>
    </row>
    <row r="238" spans="1:21" x14ac:dyDescent="0.2">
      <c r="A238" s="18">
        <v>238</v>
      </c>
      <c r="B238" s="30">
        <v>43989</v>
      </c>
      <c r="C238" s="30">
        <v>43989</v>
      </c>
      <c r="D238" s="21" t="s">
        <v>15</v>
      </c>
      <c r="E238" s="21" t="s">
        <v>20</v>
      </c>
      <c r="F238" s="21" t="s">
        <v>23</v>
      </c>
      <c r="G238" s="21" t="s">
        <v>26</v>
      </c>
      <c r="H238" s="21" t="s">
        <v>32</v>
      </c>
      <c r="K238" s="21" t="s">
        <v>45</v>
      </c>
      <c r="L238" s="21" t="s">
        <v>51</v>
      </c>
      <c r="M238" s="21" t="s">
        <v>55</v>
      </c>
      <c r="N238" s="21" t="s">
        <v>58</v>
      </c>
      <c r="O238" s="19">
        <f>IF(ISBLANK(D238),"",IF(D238='טבלת פרמטרים'!$A$9,1,0)+IF(E238='טבלת פרמטרים'!$B$5,2,1)+IF(F238='טבלת פרמטרים'!$C$5,3,IF(F238='טבלת פרמטרים'!$C$4,1,0))+IF(G238='טבלת פרמטרים'!$D$3,2,0)+IF(M238='טבלת פרמטרים'!$J$4,2,IF(M238='טבלת פרמטרים'!$J$3,1,0))+IF(N238='טבלת פרמטרים'!$K$6,3,IF(OR(N238='טבלת פרמטרים'!$K$4,N238='טבלת פרמטרים'!$K$5),2,IF(N238='טבלת פרמטרים'!$K$3,1,0))))</f>
        <v>4</v>
      </c>
      <c r="Q238" s="20" t="s">
        <v>123</v>
      </c>
      <c r="R238" s="19">
        <f t="shared" si="6"/>
        <v>4</v>
      </c>
      <c r="T238" s="19">
        <f>IF(EXACT(Q238,'טבלת פרמטרים'!$O$2),'טבלת פרמטרים'!$P$2,IF(EXACT(Q238,'טבלת פרמטרים'!$O$3),'טבלת פרמטרים'!$P$3,IF(EXACT(Q238,'טבלת פרמטרים'!$O$4),'טבלת פרמטרים'!$P$4,IF(EXACT(Q238,'טבלת פרמטרים'!$O$5),'טבלת פרמטרים'!$P$5,IF(EXACT(Q238,'טבלת פרמטרים'!$O$6),'טבלת פרמטרים'!$P$6,IF(EXACT(Q238,'טבלת פרמטרים'!$O$7),'טבלת פרמטרים'!$P$7,""))))))</f>
        <v>0</v>
      </c>
    </row>
    <row r="239" spans="1:21" x14ac:dyDescent="0.2">
      <c r="A239" s="18">
        <v>239</v>
      </c>
      <c r="B239" s="30">
        <v>43971</v>
      </c>
      <c r="C239" s="30">
        <v>44021</v>
      </c>
      <c r="D239" s="21" t="s">
        <v>13</v>
      </c>
      <c r="E239" s="21" t="s">
        <v>20</v>
      </c>
      <c r="F239" s="21" t="s">
        <v>23</v>
      </c>
      <c r="G239" s="21" t="s">
        <v>27</v>
      </c>
      <c r="H239" s="21" t="s">
        <v>30</v>
      </c>
      <c r="I239" s="21" t="s">
        <v>126</v>
      </c>
      <c r="J239" s="21" t="s">
        <v>35</v>
      </c>
      <c r="K239" s="21" t="s">
        <v>43</v>
      </c>
      <c r="L239" s="21" t="s">
        <v>49</v>
      </c>
      <c r="M239" s="21" t="s">
        <v>55</v>
      </c>
      <c r="N239" s="21" t="s">
        <v>58</v>
      </c>
      <c r="O239" s="19">
        <f>IF(ISBLANK(D239),"",IF(D239='טבלת פרמטרים'!$A$9,1,0)+IF(E239='טבלת פרמטרים'!$B$5,2,1)+IF(F239='טבלת פרמטרים'!$C$5,3,IF(F239='טבלת פרמטרים'!$C$4,1,0))+IF(G239='טבלת פרמטרים'!$D$3,2,0)+IF(M239='טבלת פרמטרים'!$J$4,2,IF(M239='טבלת פרמטרים'!$J$3,1,0))+IF(N239='טבלת פרמטרים'!$K$6,3,IF(OR(N239='טבלת פרמטרים'!$K$4,N239='טבלת פרמטרים'!$K$5),2,IF(N239='טבלת פרמטרים'!$K$3,1,0))))</f>
        <v>6</v>
      </c>
      <c r="Q239" s="20" t="s">
        <v>123</v>
      </c>
      <c r="R239" s="19">
        <f t="shared" si="6"/>
        <v>6</v>
      </c>
      <c r="T239" s="19">
        <f>IF(EXACT(Q239,'טבלת פרמטרים'!$O$2),'טבלת פרמטרים'!$P$2,IF(EXACT(Q239,'טבלת פרמטרים'!$O$3),'טבלת פרמטרים'!$P$3,IF(EXACT(Q239,'טבלת פרמטרים'!$O$4),'טבלת פרמטרים'!$P$4,IF(EXACT(Q239,'טבלת פרמטרים'!$O$5),'טבלת פרמטרים'!$P$5,IF(EXACT(Q239,'טבלת פרמטרים'!$O$6),'טבלת פרמטרים'!$P$6,IF(EXACT(Q239,'טבלת פרמטרים'!$O$7),'טבלת פרמטרים'!$P$7,""))))))</f>
        <v>0</v>
      </c>
    </row>
    <row r="240" spans="1:21" x14ac:dyDescent="0.2">
      <c r="A240" s="18">
        <v>240</v>
      </c>
      <c r="B240" s="30">
        <v>44076</v>
      </c>
      <c r="C240" s="30">
        <v>44076</v>
      </c>
      <c r="D240" s="21" t="s">
        <v>13</v>
      </c>
      <c r="E240" s="21" t="s">
        <v>20</v>
      </c>
      <c r="F240" s="21" t="s">
        <v>23</v>
      </c>
      <c r="G240" s="21" t="s">
        <v>26</v>
      </c>
      <c r="H240" s="21" t="s">
        <v>30</v>
      </c>
      <c r="J240" s="21" t="s">
        <v>41</v>
      </c>
      <c r="K240" s="21" t="s">
        <v>45</v>
      </c>
      <c r="L240" s="21" t="s">
        <v>51</v>
      </c>
      <c r="M240" s="21" t="s">
        <v>54</v>
      </c>
      <c r="N240" s="21" t="s">
        <v>58</v>
      </c>
      <c r="O240" s="19">
        <f>IF(ISBLANK(D240),"",IF(D240='טבלת פרמטרים'!$A$9,1,0)+IF(E240='טבלת פרמטרים'!$B$5,2,1)+IF(F240='טבלת פרמטרים'!$C$5,3,IF(F240='טבלת פרמטרים'!$C$4,1,0))+IF(G240='טבלת פרמטרים'!$D$3,2,0)+IF(M240='טבלת פרמטרים'!$J$4,2,IF(M240='טבלת פרמטרים'!$J$3,1,0))+IF(N240='טבלת פרמטרים'!$K$6,3,IF(OR(N240='טבלת פרמטרים'!$K$4,N240='טבלת פרמטרים'!$K$5),2,IF(N240='טבלת פרמטרים'!$K$3,1,0))))</f>
        <v>3</v>
      </c>
      <c r="Q240" s="20" t="s">
        <v>123</v>
      </c>
      <c r="R240" s="19">
        <f t="shared" si="6"/>
        <v>3</v>
      </c>
      <c r="T240" s="19">
        <f>IF(EXACT(Q240,'טבלת פרמטרים'!$O$2),'טבלת פרמטרים'!$P$2,IF(EXACT(Q240,'טבלת פרמטרים'!$O$3),'טבלת פרמטרים'!$P$3,IF(EXACT(Q240,'טבלת פרמטרים'!$O$4),'טבלת פרמטרים'!$P$4,IF(EXACT(Q240,'טבלת פרמטרים'!$O$5),'טבלת פרמטרים'!$P$5,IF(EXACT(Q240,'טבלת פרמטרים'!$O$6),'טבלת פרמטרים'!$P$6,IF(EXACT(Q240,'טבלת פרמטרים'!$O$7),'טבלת פרמטרים'!$P$7,""))))))</f>
        <v>0</v>
      </c>
    </row>
    <row r="241" spans="1:20" x14ac:dyDescent="0.2">
      <c r="A241" s="18">
        <v>241</v>
      </c>
      <c r="O241" s="19" t="str">
        <f>IF(ISBLANK(D241),"",IF(D241='טבלת פרמטרים'!$A$9,1,0)+IF(E241='טבלת פרמטרים'!$B$5,2,1)+IF(F241='טבלת פרמטרים'!$C$5,3,IF(F241='טבלת פרמטרים'!$C$4,1,0))+IF(G241='טבלת פרמטרים'!$D$3,2,0)+IF(M241='טבלת פרמטרים'!$J$4,2,IF(M241='טבלת פרמטרים'!$J$3,1,0))+IF(N241='טבלת פרמטרים'!$K$6,3,IF(OR(N241='טבלת פרמטרים'!$K$4,N241='טבלת פרמטרים'!$K$5),2,IF(N241='טבלת פרמטרים'!$K$3,1,0))))</f>
        <v/>
      </c>
      <c r="R241" s="19" t="str">
        <f t="shared" ref="R241" si="7">IF(ISNUMBER(T241),T241+O241,O241)</f>
        <v/>
      </c>
      <c r="T241" s="19" t="str">
        <f>IF(EXACT(Q241,'טבלת פרמטרים'!$O$2),'טבלת פרמטרים'!$P$2,IF(EXACT(Q241,'טבלת פרמטרים'!$O$3),'טבלת פרמטרים'!$P$3,IF(EXACT(Q241,'טבלת פרמטרים'!$O$4),'טבלת פרמטרים'!$P$4,IF(EXACT(Q241,'טבלת פרמטרים'!$O$5),'טבלת פרמטרים'!$P$5,IF(EXACT(Q241,'טבלת פרמטרים'!$O$6),'טבלת פרמטרים'!$P$6,IF(EXACT(Q241,'טבלת פרמטרים'!$O$7),'טבלת פרמטרים'!$P$7,""))))))</f>
        <v/>
      </c>
    </row>
    <row r="242" spans="1:20" x14ac:dyDescent="0.2">
      <c r="A242" s="18">
        <v>242</v>
      </c>
      <c r="B242" s="30">
        <v>44056</v>
      </c>
      <c r="C242" s="30">
        <v>44056</v>
      </c>
      <c r="D242" s="21" t="s">
        <v>12</v>
      </c>
      <c r="E242" s="21" t="s">
        <v>20</v>
      </c>
      <c r="F242" s="21" t="s">
        <v>23</v>
      </c>
      <c r="G242" s="21" t="s">
        <v>26</v>
      </c>
      <c r="H242" s="21" t="s">
        <v>30</v>
      </c>
      <c r="I242" s="21" t="s">
        <v>126</v>
      </c>
      <c r="K242" s="21" t="s">
        <v>45</v>
      </c>
      <c r="L242" s="21" t="s">
        <v>51</v>
      </c>
      <c r="M242" s="21" t="s">
        <v>55</v>
      </c>
      <c r="N242" s="21" t="s">
        <v>59</v>
      </c>
      <c r="O242" s="19">
        <f>IF(ISBLANK(D242),"",IF(D242='טבלת פרמטרים'!$A$9,1,0)+IF(E242='טבלת פרמטרים'!$B$5,2,1)+IF(F242='טבלת פרמטרים'!$C$5,3,IF(F242='טבלת פרמטרים'!$C$4,1,0))+IF(G242='טבלת פרמטרים'!$D$3,2,0)+IF(M242='טבלת פרמטרים'!$J$4,2,IF(M242='טבלת פרמטרים'!$J$3,1,0))+IF(N242='טבלת פרמטרים'!$K$6,3,IF(OR(N242='טבלת פרמטרים'!$K$4,N242='טבלת פרמטרים'!$K$5),2,IF(N242='טבלת פרמטרים'!$K$3,1,0))))</f>
        <v>5</v>
      </c>
      <c r="Q242" s="20" t="s">
        <v>123</v>
      </c>
      <c r="R242" s="19">
        <f t="shared" ref="R242:R305" si="8">IF(ISNUMBER(T242),T242+O242,O242)</f>
        <v>5</v>
      </c>
      <c r="T242" s="19">
        <f>IF(EXACT(Q242,'טבלת פרמטרים'!$O$2),'טבלת פרמטרים'!$P$2,IF(EXACT(Q242,'טבלת פרמטרים'!$O$3),'טבלת פרמטרים'!$P$3,IF(EXACT(Q242,'טבלת פרמטרים'!$O$4),'טבלת פרמטרים'!$P$4,IF(EXACT(Q242,'טבלת פרמטרים'!$O$5),'טבלת פרמטרים'!$P$5,IF(EXACT(Q242,'טבלת פרמטרים'!$O$6),'טבלת פרמטרים'!$P$6,IF(EXACT(Q242,'טבלת פרמטרים'!$O$7),'טבלת פרמטרים'!$P$7,""))))))</f>
        <v>0</v>
      </c>
    </row>
    <row r="243" spans="1:20" x14ac:dyDescent="0.2">
      <c r="A243" s="18">
        <v>243</v>
      </c>
      <c r="B243" s="30">
        <v>44067</v>
      </c>
      <c r="C243" s="30">
        <v>44067</v>
      </c>
      <c r="D243" s="21" t="s">
        <v>11</v>
      </c>
      <c r="E243" s="21" t="s">
        <v>20</v>
      </c>
      <c r="F243" s="21" t="s">
        <v>23</v>
      </c>
      <c r="G243" s="21" t="s">
        <v>26</v>
      </c>
      <c r="H243" s="21" t="s">
        <v>30</v>
      </c>
      <c r="J243" s="21" t="s">
        <v>11</v>
      </c>
      <c r="K243" s="21" t="s">
        <v>43</v>
      </c>
      <c r="L243" s="21" t="s">
        <v>51</v>
      </c>
      <c r="M243" s="21" t="s">
        <v>53</v>
      </c>
      <c r="N243" s="21" t="s">
        <v>58</v>
      </c>
      <c r="O243" s="19">
        <f>IF(ISBLANK(D243),"",IF(D243='טבלת פרמטרים'!$A$9,1,0)+IF(E243='טבלת פרמטרים'!$B$5,2,1)+IF(F243='טבלת פרמטרים'!$C$5,3,IF(F243='טבלת פרמטרים'!$C$4,1,0))+IF(G243='טבלת פרמטרים'!$D$3,2,0)+IF(M243='טבלת פרמטרים'!$J$4,2,IF(M243='טבלת פרמטרים'!$J$3,1,0))+IF(N243='טבלת פרמטרים'!$K$6,3,IF(OR(N243='טבלת פרמטרים'!$K$4,N243='טבלת פרמטרים'!$K$5),2,IF(N243='טבלת פרמטרים'!$K$3,1,0))))</f>
        <v>2</v>
      </c>
      <c r="Q243" s="20" t="s">
        <v>123</v>
      </c>
      <c r="R243" s="19">
        <f t="shared" si="8"/>
        <v>2</v>
      </c>
      <c r="T243" s="19">
        <f>IF(EXACT(Q243,'טבלת פרמטרים'!$O$2),'טבלת פרמטרים'!$P$2,IF(EXACT(Q243,'טבלת פרמטרים'!$O$3),'טבלת פרמטרים'!$P$3,IF(EXACT(Q243,'טבלת פרמטרים'!$O$4),'טבלת פרמטרים'!$P$4,IF(EXACT(Q243,'טבלת פרמטרים'!$O$5),'טבלת פרמטרים'!$P$5,IF(EXACT(Q243,'טבלת פרמטרים'!$O$6),'טבלת פרמטרים'!$P$6,IF(EXACT(Q243,'טבלת פרמטרים'!$O$7),'טבלת פרמטרים'!$P$7,""))))))</f>
        <v>0</v>
      </c>
    </row>
    <row r="244" spans="1:20" x14ac:dyDescent="0.2">
      <c r="A244" s="18">
        <v>244</v>
      </c>
      <c r="B244" s="30">
        <v>44067</v>
      </c>
      <c r="C244" s="30">
        <v>44067</v>
      </c>
      <c r="D244" s="21" t="s">
        <v>11</v>
      </c>
      <c r="E244" s="21" t="s">
        <v>20</v>
      </c>
      <c r="F244" s="21" t="s">
        <v>23</v>
      </c>
      <c r="G244" s="21" t="s">
        <v>26</v>
      </c>
      <c r="H244" s="21" t="s">
        <v>30</v>
      </c>
      <c r="J244" s="21" t="s">
        <v>11</v>
      </c>
      <c r="K244" s="21" t="s">
        <v>43</v>
      </c>
      <c r="L244" s="21" t="s">
        <v>51</v>
      </c>
      <c r="M244" s="21" t="s">
        <v>53</v>
      </c>
      <c r="N244" s="21" t="s">
        <v>58</v>
      </c>
      <c r="O244" s="19">
        <f>IF(ISBLANK(D244),"",IF(D244='טבלת פרמטרים'!$A$9,1,0)+IF(E244='טבלת פרמטרים'!$B$5,2,1)+IF(F244='טבלת פרמטרים'!$C$5,3,IF(F244='טבלת פרמטרים'!$C$4,1,0))+IF(G244='טבלת פרמטרים'!$D$3,2,0)+IF(M244='טבלת פרמטרים'!$J$4,2,IF(M244='טבלת פרמטרים'!$J$3,1,0))+IF(N244='טבלת פרמטרים'!$K$6,3,IF(OR(N244='טבלת פרמטרים'!$K$4,N244='טבלת פרמטרים'!$K$5),2,IF(N244='טבלת פרמטרים'!$K$3,1,0))))</f>
        <v>2</v>
      </c>
      <c r="Q244" s="20" t="s">
        <v>123</v>
      </c>
      <c r="R244" s="19">
        <f t="shared" si="8"/>
        <v>2</v>
      </c>
      <c r="T244" s="19">
        <f>IF(EXACT(Q244,'טבלת פרמטרים'!$O$2),'טבלת פרמטרים'!$P$2,IF(EXACT(Q244,'טבלת פרמטרים'!$O$3),'טבלת פרמטרים'!$P$3,IF(EXACT(Q244,'טבלת פרמטרים'!$O$4),'טבלת פרמטרים'!$P$4,IF(EXACT(Q244,'טבלת פרמטרים'!$O$5),'טבלת פרמטרים'!$P$5,IF(EXACT(Q244,'טבלת פרמטרים'!$O$6),'טבלת פרמטרים'!$P$6,IF(EXACT(Q244,'טבלת פרמטרים'!$O$7),'טבלת פרמטרים'!$P$7,""))))))</f>
        <v>0</v>
      </c>
    </row>
    <row r="245" spans="1:20" x14ac:dyDescent="0.2">
      <c r="A245" s="18">
        <v>245</v>
      </c>
      <c r="B245" s="30">
        <v>44017</v>
      </c>
      <c r="C245" s="30">
        <v>44090</v>
      </c>
      <c r="D245" s="21" t="s">
        <v>10</v>
      </c>
      <c r="E245" s="21" t="s">
        <v>111</v>
      </c>
      <c r="F245" s="21" t="s">
        <v>23</v>
      </c>
      <c r="G245" s="21" t="s">
        <v>26</v>
      </c>
      <c r="H245" s="21" t="s">
        <v>30</v>
      </c>
      <c r="K245" s="21" t="s">
        <v>43</v>
      </c>
      <c r="L245" s="21" t="s">
        <v>49</v>
      </c>
      <c r="M245" s="21" t="s">
        <v>53</v>
      </c>
      <c r="N245" s="21" t="s">
        <v>59</v>
      </c>
      <c r="O245" s="19">
        <f>IF(ISBLANK(D245),"",IF(D245='טבלת פרמטרים'!$A$9,1,0)+IF(E245='טבלת פרמטרים'!$B$5,2,1)+IF(F245='טבלת פרמטרים'!$C$5,3,IF(F245='טבלת פרמטרים'!$C$4,1,0))+IF(G245='טבלת פרמטרים'!$D$3,2,0)+IF(M245='טבלת פרמטרים'!$J$4,2,IF(M245='טבלת פרמטרים'!$J$3,1,0))+IF(N245='טבלת פרמטרים'!$K$6,3,IF(OR(N245='טבלת פרמטרים'!$K$4,N245='טבלת פרמטרים'!$K$5),2,IF(N245='טבלת פרמטרים'!$K$3,1,0))))</f>
        <v>3</v>
      </c>
      <c r="Q245" s="20" t="s">
        <v>123</v>
      </c>
      <c r="R245" s="19">
        <f t="shared" si="8"/>
        <v>3</v>
      </c>
      <c r="T245" s="19">
        <f>IF(EXACT(Q245,'טבלת פרמטרים'!$O$2),'טבלת פרמטרים'!$P$2,IF(EXACT(Q245,'טבלת פרמטרים'!$O$3),'טבלת פרמטרים'!$P$3,IF(EXACT(Q245,'טבלת פרמטרים'!$O$4),'טבלת פרמטרים'!$P$4,IF(EXACT(Q245,'טבלת פרמטרים'!$O$5),'טבלת פרמטרים'!$P$5,IF(EXACT(Q245,'טבלת פרמטרים'!$O$6),'טבלת פרמטרים'!$P$6,IF(EXACT(Q245,'טבלת פרמטרים'!$O$7),'טבלת פרמטרים'!$P$7,""))))))</f>
        <v>0</v>
      </c>
    </row>
    <row r="246" spans="1:20" x14ac:dyDescent="0.2">
      <c r="A246" s="18">
        <v>246</v>
      </c>
      <c r="B246" s="30">
        <v>44096</v>
      </c>
      <c r="C246" s="30">
        <v>44096</v>
      </c>
      <c r="D246" s="21" t="s">
        <v>17</v>
      </c>
      <c r="E246" s="21" t="s">
        <v>111</v>
      </c>
      <c r="F246" s="21" t="s">
        <v>23</v>
      </c>
      <c r="G246" s="21" t="s">
        <v>26</v>
      </c>
      <c r="H246" s="21" t="s">
        <v>32</v>
      </c>
      <c r="I246" s="21" t="s">
        <v>126</v>
      </c>
      <c r="J246" s="21" t="s">
        <v>35</v>
      </c>
      <c r="K246" s="21" t="s">
        <v>48</v>
      </c>
      <c r="L246" s="21" t="s">
        <v>49</v>
      </c>
      <c r="M246" s="21" t="s">
        <v>53</v>
      </c>
      <c r="N246" s="21" t="s">
        <v>59</v>
      </c>
      <c r="O246" s="19">
        <f>IF(ISBLANK(D246),"",IF(D246='טבלת פרמטרים'!$A$9,1,0)+IF(E246='טבלת פרמטרים'!$B$5,2,1)+IF(F246='טבלת פרמטרים'!$C$5,3,IF(F246='טבלת פרמטרים'!$C$4,1,0))+IF(G246='טבלת פרמטרים'!$D$3,2,0)+IF(M246='טבלת פרמטרים'!$J$4,2,IF(M246='טבלת פרמטרים'!$J$3,1,0))+IF(N246='טבלת פרמטרים'!$K$6,3,IF(OR(N246='טבלת פרמטרים'!$K$4,N246='טבלת פרמטרים'!$K$5),2,IF(N246='טבלת פרמטרים'!$K$3,1,0))))</f>
        <v>4</v>
      </c>
      <c r="Q246" s="20" t="s">
        <v>123</v>
      </c>
      <c r="R246" s="19">
        <f t="shared" si="8"/>
        <v>4</v>
      </c>
      <c r="T246" s="19">
        <f>IF(EXACT(Q246,'טבלת פרמטרים'!$O$2),'טבלת פרמטרים'!$P$2,IF(EXACT(Q246,'טבלת פרמטרים'!$O$3),'טבלת פרמטרים'!$P$3,IF(EXACT(Q246,'טבלת פרמטרים'!$O$4),'טבלת פרמטרים'!$P$4,IF(EXACT(Q246,'טבלת פרמטרים'!$O$5),'טבלת פרמטרים'!$P$5,IF(EXACT(Q246,'טבלת פרמטרים'!$O$6),'טבלת פרמטרים'!$P$6,IF(EXACT(Q246,'טבלת פרמטרים'!$O$7),'טבלת פרמטרים'!$P$7,""))))))</f>
        <v>0</v>
      </c>
    </row>
    <row r="247" spans="1:20" x14ac:dyDescent="0.2">
      <c r="A247" s="18">
        <v>247</v>
      </c>
      <c r="B247" s="30">
        <v>44040</v>
      </c>
      <c r="C247" s="30">
        <v>44040</v>
      </c>
      <c r="D247" s="21" t="s">
        <v>17</v>
      </c>
      <c r="E247" s="21" t="s">
        <v>22</v>
      </c>
      <c r="F247" s="21" t="s">
        <v>24</v>
      </c>
      <c r="G247" s="21" t="s">
        <v>27</v>
      </c>
      <c r="H247" s="21" t="s">
        <v>30</v>
      </c>
      <c r="I247" s="21" t="s">
        <v>126</v>
      </c>
      <c r="J247" s="21" t="s">
        <v>34</v>
      </c>
      <c r="K247" s="21" t="s">
        <v>44</v>
      </c>
      <c r="L247" s="21" t="s">
        <v>51</v>
      </c>
      <c r="M247" s="21" t="s">
        <v>55</v>
      </c>
      <c r="N247" s="21" t="s">
        <v>58</v>
      </c>
      <c r="O247" s="19">
        <f>IF(ISBLANK(D247),"",IF(D247='טבלת פרמטרים'!$A$9,1,0)+IF(E247='טבלת פרמטרים'!$B$5,2,1)+IF(F247='טבלת פרמטרים'!$C$5,3,IF(F247='טבלת פרמטרים'!$C$4,1,0))+IF(G247='טבלת פרמטרים'!$D$3,2,0)+IF(M247='טבלת פרמטרים'!$J$4,2,IF(M247='טבלת פרמטרים'!$J$3,1,0))+IF(N247='טבלת פרמטרים'!$K$6,3,IF(OR(N247='טבלת פרמטרים'!$K$4,N247='טבלת פרמטרים'!$K$5),2,IF(N247='טבלת פרמטרים'!$K$3,1,0))))</f>
        <v>9</v>
      </c>
      <c r="Q247" s="20" t="s">
        <v>123</v>
      </c>
      <c r="R247" s="19">
        <f t="shared" si="8"/>
        <v>9</v>
      </c>
      <c r="T247" s="19">
        <f>IF(EXACT(Q247,'טבלת פרמטרים'!$O$2),'טבלת פרמטרים'!$P$2,IF(EXACT(Q247,'טבלת פרמטרים'!$O$3),'טבלת פרמטרים'!$P$3,IF(EXACT(Q247,'טבלת פרמטרים'!$O$4),'טבלת פרמטרים'!$P$4,IF(EXACT(Q247,'טבלת פרמטרים'!$O$5),'טבלת פרמטרים'!$P$5,IF(EXACT(Q247,'טבלת פרמטרים'!$O$6),'טבלת פרמטרים'!$P$6,IF(EXACT(Q247,'טבלת פרמטרים'!$O$7),'טבלת פרמטרים'!$P$7,""))))))</f>
        <v>0</v>
      </c>
    </row>
    <row r="248" spans="1:20" x14ac:dyDescent="0.2">
      <c r="A248" s="18">
        <v>248</v>
      </c>
      <c r="B248" s="30">
        <v>44056</v>
      </c>
      <c r="C248" s="30">
        <v>44056</v>
      </c>
      <c r="D248" s="21" t="s">
        <v>13</v>
      </c>
      <c r="E248" s="21" t="s">
        <v>20</v>
      </c>
      <c r="F248" s="21" t="s">
        <v>23</v>
      </c>
      <c r="G248" s="21" t="s">
        <v>26</v>
      </c>
      <c r="H248" s="21" t="s">
        <v>30</v>
      </c>
      <c r="K248" s="21" t="s">
        <v>45</v>
      </c>
      <c r="L248" s="21" t="s">
        <v>51</v>
      </c>
      <c r="M248" s="21" t="s">
        <v>55</v>
      </c>
      <c r="N248" s="21" t="s">
        <v>58</v>
      </c>
      <c r="O248" s="19">
        <f>IF(ISBLANK(D248),"",IF(D248='טבלת פרמטרים'!$A$9,1,0)+IF(E248='טבלת פרמטרים'!$B$5,2,1)+IF(F248='טבלת פרמטרים'!$C$5,3,IF(F248='טבלת פרמטרים'!$C$4,1,0))+IF(G248='טבלת פרמטרים'!$D$3,2,0)+IF(M248='טבלת פרמטרים'!$J$4,2,IF(M248='טבלת פרמטרים'!$J$3,1,0))+IF(N248='טבלת פרמטרים'!$K$6,3,IF(OR(N248='טבלת פרמטרים'!$K$4,N248='טבלת פרמטרים'!$K$5),2,IF(N248='טבלת פרמטרים'!$K$3,1,0))))</f>
        <v>4</v>
      </c>
      <c r="Q248" s="20" t="s">
        <v>123</v>
      </c>
      <c r="R248" s="19">
        <f t="shared" si="8"/>
        <v>4</v>
      </c>
      <c r="T248" s="19">
        <f>IF(EXACT(Q248,'טבלת פרמטרים'!$O$2),'טבלת פרמטרים'!$P$2,IF(EXACT(Q248,'טבלת פרמטרים'!$O$3),'טבלת פרמטרים'!$P$3,IF(EXACT(Q248,'טבלת פרמטרים'!$O$4),'טבלת פרמטרים'!$P$4,IF(EXACT(Q248,'טבלת פרמטרים'!$O$5),'טבלת פרמטרים'!$P$5,IF(EXACT(Q248,'טבלת פרמטרים'!$O$6),'טבלת פרמטרים'!$P$6,IF(EXACT(Q248,'טבלת פרמטרים'!$O$7),'טבלת פרמטרים'!$P$7,""))))))</f>
        <v>0</v>
      </c>
    </row>
    <row r="249" spans="1:20" x14ac:dyDescent="0.2">
      <c r="A249" s="18">
        <v>249</v>
      </c>
      <c r="B249" s="30">
        <v>44103</v>
      </c>
      <c r="C249" s="30">
        <v>44103</v>
      </c>
      <c r="D249" s="21" t="s">
        <v>16</v>
      </c>
      <c r="E249" s="21" t="s">
        <v>111</v>
      </c>
      <c r="F249" s="21" t="s">
        <v>23</v>
      </c>
      <c r="G249" s="21" t="s">
        <v>26</v>
      </c>
      <c r="H249" s="21" t="s">
        <v>31</v>
      </c>
      <c r="J249" s="21" t="s">
        <v>39</v>
      </c>
      <c r="K249" s="21" t="s">
        <v>39</v>
      </c>
      <c r="L249" s="21" t="s">
        <v>50</v>
      </c>
      <c r="M249" s="21" t="s">
        <v>55</v>
      </c>
      <c r="N249" s="21" t="s">
        <v>59</v>
      </c>
      <c r="O249" s="19">
        <f>IF(ISBLANK(D249),"",IF(D249='טבלת פרמטרים'!$A$9,1,0)+IF(E249='טבלת פרמטרים'!$B$5,2,1)+IF(F249='טבלת פרמטרים'!$C$5,3,IF(F249='טבלת פרמטרים'!$C$4,1,0))+IF(G249='טבלת פרמטרים'!$D$3,2,0)+IF(M249='טבלת פרמטרים'!$J$4,2,IF(M249='טבלת פרמטרים'!$J$3,1,0))+IF(N249='טבלת פרמטרים'!$K$6,3,IF(OR(N249='טבלת פרמטרים'!$K$4,N249='טבלת פרמטרים'!$K$5),2,IF(N249='טבלת פרמטרים'!$K$3,1,0))))</f>
        <v>5</v>
      </c>
      <c r="Q249" s="20" t="s">
        <v>123</v>
      </c>
      <c r="R249" s="19">
        <f t="shared" si="8"/>
        <v>5</v>
      </c>
      <c r="T249" s="19">
        <f>IF(EXACT(Q249,'טבלת פרמטרים'!$O$2),'טבלת פרמטרים'!$P$2,IF(EXACT(Q249,'טבלת פרמטרים'!$O$3),'טבלת פרמטרים'!$P$3,IF(EXACT(Q249,'טבלת פרמטרים'!$O$4),'טבלת פרמטרים'!$P$4,IF(EXACT(Q249,'טבלת פרמטרים'!$O$5),'טבלת פרמטרים'!$P$5,IF(EXACT(Q249,'טבלת פרמטרים'!$O$6),'טבלת פרמטרים'!$P$6,IF(EXACT(Q249,'טבלת פרמטרים'!$O$7),'טבלת פרמטרים'!$P$7,""))))))</f>
        <v>0</v>
      </c>
    </row>
    <row r="250" spans="1:20" ht="28.5" x14ac:dyDescent="0.2">
      <c r="A250" s="18">
        <v>250</v>
      </c>
      <c r="B250" s="30">
        <v>44103</v>
      </c>
      <c r="C250" s="30">
        <v>44012</v>
      </c>
      <c r="D250" s="21" t="s">
        <v>17</v>
      </c>
      <c r="E250" s="21" t="s">
        <v>22</v>
      </c>
      <c r="F250" s="21" t="s">
        <v>24</v>
      </c>
      <c r="G250" s="21" t="s">
        <v>27</v>
      </c>
      <c r="H250" s="21" t="s">
        <v>29</v>
      </c>
      <c r="J250" s="21" t="s">
        <v>33</v>
      </c>
      <c r="K250" s="21" t="s">
        <v>43</v>
      </c>
      <c r="L250" s="21" t="s">
        <v>49</v>
      </c>
      <c r="M250" s="21" t="s">
        <v>55</v>
      </c>
      <c r="O250" s="19">
        <f>IF(ISBLANK(D250),"",IF(D250='טבלת פרמטרים'!$A$9,1,0)+IF(E250='טבלת פרמטרים'!$B$5,2,1)+IF(F250='טבלת פרמטרים'!$C$5,3,IF(F250='טבלת פרמטרים'!$C$4,1,0))+IF(G250='טבלת פרמטרים'!$D$3,2,0)+IF(M250='טבלת פרמטרים'!$J$4,2,IF(M250='טבלת פרמטרים'!$J$3,1,0))+IF(N250='טבלת פרמטרים'!$K$6,3,IF(OR(N250='טבלת פרמטרים'!$K$4,N250='טבלת פרמטרים'!$K$5),2,IF(N250='טבלת פרמטרים'!$K$3,1,0))))</f>
        <v>8</v>
      </c>
      <c r="Q250" s="20" t="s">
        <v>370</v>
      </c>
      <c r="R250" s="19">
        <f t="shared" si="8"/>
        <v>18</v>
      </c>
      <c r="T250" s="19">
        <f>IF(EXACT(Q250,'טבלת פרמטרים'!$O$2),'טבלת פרמטרים'!$P$2,IF(EXACT(Q250,'טבלת פרמטרים'!$O$3),'טבלת פרמטרים'!$P$3,IF(EXACT(Q250,'טבלת פרמטרים'!$O$4),'טבלת פרמטרים'!$P$4,IF(EXACT(Q250,'טבלת פרמטרים'!$O$5),'טבלת פרמטרים'!$P$5,IF(EXACT(Q250,'טבלת פרמטרים'!$O$6),'טבלת פרמטרים'!$P$6,IF(EXACT(Q250,'טבלת פרמטרים'!$O$7),'טבלת פרמטרים'!$P$7,""))))))</f>
        <v>10</v>
      </c>
    </row>
    <row r="251" spans="1:20" x14ac:dyDescent="0.2">
      <c r="A251" s="18">
        <v>251</v>
      </c>
      <c r="B251" s="30">
        <v>44111</v>
      </c>
      <c r="C251" s="30">
        <v>44111</v>
      </c>
      <c r="D251" s="21" t="s">
        <v>12</v>
      </c>
      <c r="E251" s="21" t="s">
        <v>20</v>
      </c>
      <c r="F251" s="21" t="s">
        <v>23</v>
      </c>
      <c r="G251" s="21" t="s">
        <v>26</v>
      </c>
      <c r="H251" s="21" t="s">
        <v>29</v>
      </c>
      <c r="K251" s="21" t="s">
        <v>43</v>
      </c>
      <c r="L251" s="21" t="s">
        <v>51</v>
      </c>
      <c r="M251" s="21" t="s">
        <v>54</v>
      </c>
      <c r="N251" s="21" t="s">
        <v>58</v>
      </c>
      <c r="O251" s="19">
        <f>IF(ISBLANK(D251),"",IF(D251='טבלת פרמטרים'!$A$9,1,0)+IF(E251='טבלת פרמטרים'!$B$5,2,1)+IF(F251='טבלת פרמטרים'!$C$5,3,IF(F251='טבלת פרמטרים'!$C$4,1,0))+IF(G251='טבלת פרמטרים'!$D$3,2,0)+IF(M251='טבלת פרמטרים'!$J$4,2,IF(M251='טבלת פרמטרים'!$J$3,1,0))+IF(N251='טבלת פרמטרים'!$K$6,3,IF(OR(N251='טבלת פרמטרים'!$K$4,N251='טבלת פרמטרים'!$K$5),2,IF(N251='טבלת פרמטרים'!$K$3,1,0))))</f>
        <v>3</v>
      </c>
      <c r="Q251" s="20" t="s">
        <v>123</v>
      </c>
      <c r="R251" s="19">
        <f t="shared" si="8"/>
        <v>3</v>
      </c>
      <c r="T251" s="19">
        <f>IF(EXACT(Q251,'טבלת פרמטרים'!$O$2),'טבלת פרמטרים'!$P$2,IF(EXACT(Q251,'טבלת פרמטרים'!$O$3),'טבלת פרמטרים'!$P$3,IF(EXACT(Q251,'טבלת פרמטרים'!$O$4),'טבלת פרמטרים'!$P$4,IF(EXACT(Q251,'טבלת פרמטרים'!$O$5),'טבלת פרמטרים'!$P$5,IF(EXACT(Q251,'טבלת פרמטרים'!$O$6),'טבלת פרמטרים'!$P$6,IF(EXACT(Q251,'טבלת פרמטרים'!$O$7),'טבלת פרמטרים'!$P$7,""))))))</f>
        <v>0</v>
      </c>
    </row>
    <row r="252" spans="1:20" x14ac:dyDescent="0.2">
      <c r="A252" s="18">
        <v>252</v>
      </c>
      <c r="B252" s="30">
        <v>44117</v>
      </c>
      <c r="C252" s="30">
        <v>44117</v>
      </c>
      <c r="D252" s="21" t="s">
        <v>13</v>
      </c>
      <c r="E252" s="21" t="s">
        <v>21</v>
      </c>
      <c r="F252" s="21" t="s">
        <v>23</v>
      </c>
      <c r="G252" s="21" t="s">
        <v>26</v>
      </c>
      <c r="H252" s="21" t="s">
        <v>31</v>
      </c>
      <c r="K252" s="21" t="s">
        <v>45</v>
      </c>
      <c r="L252" s="21" t="s">
        <v>51</v>
      </c>
      <c r="M252" s="21" t="s">
        <v>55</v>
      </c>
      <c r="N252" s="21" t="s">
        <v>58</v>
      </c>
      <c r="O252" s="19">
        <f>IF(ISBLANK(D252),"",IF(D252='טבלת פרמטרים'!$A$9,1,0)+IF(E252='טבלת פרמטרים'!$B$5,2,1)+IF(F252='טבלת פרמטרים'!$C$5,3,IF(F252='טבלת פרמטרים'!$C$4,1,0))+IF(G252='טבלת פרמטרים'!$D$3,2,0)+IF(M252='טבלת פרמטרים'!$J$4,2,IF(M252='טבלת פרמטרים'!$J$3,1,0))+IF(N252='טבלת פרמטרים'!$K$6,3,IF(OR(N252='טבלת פרמטרים'!$K$4,N252='טבלת פרמטרים'!$K$5),2,IF(N252='טבלת פרמטרים'!$K$3,1,0))))</f>
        <v>4</v>
      </c>
      <c r="Q252" s="20" t="s">
        <v>123</v>
      </c>
      <c r="R252" s="19">
        <f t="shared" si="8"/>
        <v>4</v>
      </c>
      <c r="T252" s="19">
        <f>IF(EXACT(Q252,'טבלת פרמטרים'!$O$2),'טבלת פרמטרים'!$P$2,IF(EXACT(Q252,'טבלת פרמטרים'!$O$3),'טבלת פרמטרים'!$P$3,IF(EXACT(Q252,'טבלת פרמטרים'!$O$4),'טבלת פרמטרים'!$P$4,IF(EXACT(Q252,'טבלת פרמטרים'!$O$5),'טבלת פרמטרים'!$P$5,IF(EXACT(Q252,'טבלת פרמטרים'!$O$6),'טבלת פרמטרים'!$P$6,IF(EXACT(Q252,'טבלת פרמטרים'!$O$7),'טבלת פרמטרים'!$P$7,""))))))</f>
        <v>0</v>
      </c>
    </row>
    <row r="253" spans="1:20" x14ac:dyDescent="0.2">
      <c r="A253" s="18">
        <v>253</v>
      </c>
      <c r="B253" s="30">
        <v>44122</v>
      </c>
      <c r="C253" s="30">
        <v>44122</v>
      </c>
      <c r="D253" s="21" t="s">
        <v>14</v>
      </c>
      <c r="E253" s="21" t="s">
        <v>20</v>
      </c>
      <c r="F253" s="21" t="s">
        <v>23</v>
      </c>
      <c r="G253" s="21" t="s">
        <v>26</v>
      </c>
      <c r="H253" s="21" t="s">
        <v>29</v>
      </c>
      <c r="K253" s="21" t="s">
        <v>44</v>
      </c>
      <c r="L253" s="21" t="s">
        <v>51</v>
      </c>
      <c r="M253" s="21" t="s">
        <v>54</v>
      </c>
      <c r="N253" s="21" t="s">
        <v>58</v>
      </c>
      <c r="O253" s="19">
        <f>IF(ISBLANK(D253),"",IF(D253='טבלת פרמטרים'!$A$9,1,0)+IF(E253='טבלת פרמטרים'!$B$5,2,1)+IF(F253='טבלת פרמטרים'!$C$5,3,IF(F253='טבלת פרמטרים'!$C$4,1,0))+IF(G253='טבלת פרמטרים'!$D$3,2,0)+IF(M253='טבלת פרמטרים'!$J$4,2,IF(M253='טבלת פרמטרים'!$J$3,1,0))+IF(N253='טבלת פרמטרים'!$K$6,3,IF(OR(N253='טבלת פרמטרים'!$K$4,N253='טבלת פרמטרים'!$K$5),2,IF(N253='טבלת פרמטרים'!$K$3,1,0))))</f>
        <v>3</v>
      </c>
      <c r="Q253" s="20" t="s">
        <v>123</v>
      </c>
      <c r="R253" s="19">
        <f t="shared" si="8"/>
        <v>3</v>
      </c>
      <c r="T253" s="19">
        <f>IF(EXACT(Q253,'טבלת פרמטרים'!$O$2),'טבלת פרמטרים'!$P$2,IF(EXACT(Q253,'טבלת פרמטרים'!$O$3),'טבלת פרמטרים'!$P$3,IF(EXACT(Q253,'טבלת פרמטרים'!$O$4),'טבלת פרמטרים'!$P$4,IF(EXACT(Q253,'טבלת פרמטרים'!$O$5),'טבלת פרמטרים'!$P$5,IF(EXACT(Q253,'טבלת פרמטרים'!$O$6),'טבלת פרמטרים'!$P$6,IF(EXACT(Q253,'טבלת פרמטרים'!$O$7),'טבלת פרמטרים'!$P$7,""))))))</f>
        <v>0</v>
      </c>
    </row>
    <row r="254" spans="1:20" x14ac:dyDescent="0.2">
      <c r="A254" s="18">
        <v>254</v>
      </c>
      <c r="B254" s="30">
        <v>44124</v>
      </c>
      <c r="C254" s="30">
        <v>44124</v>
      </c>
      <c r="D254" s="21" t="s">
        <v>15</v>
      </c>
      <c r="E254" s="21" t="s">
        <v>20</v>
      </c>
      <c r="F254" s="21" t="s">
        <v>23</v>
      </c>
      <c r="G254" s="21" t="s">
        <v>26</v>
      </c>
      <c r="H254" s="21" t="s">
        <v>29</v>
      </c>
      <c r="I254" s="21" t="s">
        <v>126</v>
      </c>
      <c r="K254" s="21" t="s">
        <v>43</v>
      </c>
      <c r="L254" s="21" t="s">
        <v>51</v>
      </c>
      <c r="M254" s="21" t="s">
        <v>54</v>
      </c>
      <c r="N254" s="21" t="s">
        <v>58</v>
      </c>
      <c r="O254" s="19">
        <f>IF(ISBLANK(D254),"",IF(D254='טבלת פרמטרים'!$A$9,1,0)+IF(E254='טבלת פרמטרים'!$B$5,2,1)+IF(F254='טבלת פרמטרים'!$C$5,3,IF(F254='טבלת פרמטרים'!$C$4,1,0))+IF(G254='טבלת פרמטרים'!$D$3,2,0)+IF(M254='טבלת פרמטרים'!$J$4,2,IF(M254='טבלת פרמטרים'!$J$3,1,0))+IF(N254='טבלת פרמטרים'!$K$6,3,IF(OR(N254='טבלת פרמטרים'!$K$4,N254='טבלת פרמטרים'!$K$5),2,IF(N254='טבלת פרמטרים'!$K$3,1,0))))</f>
        <v>3</v>
      </c>
      <c r="Q254" s="20" t="s">
        <v>123</v>
      </c>
      <c r="R254" s="19">
        <f t="shared" si="8"/>
        <v>3</v>
      </c>
      <c r="T254" s="19">
        <f>IF(EXACT(Q254,'טבלת פרמטרים'!$O$2),'טבלת פרמטרים'!$P$2,IF(EXACT(Q254,'טבלת פרמטרים'!$O$3),'טבלת פרמטרים'!$P$3,IF(EXACT(Q254,'טבלת פרמטרים'!$O$4),'טבלת פרמטרים'!$P$4,IF(EXACT(Q254,'טבלת פרמטרים'!$O$5),'טבלת פרמטרים'!$P$5,IF(EXACT(Q254,'טבלת פרמטרים'!$O$6),'טבלת פרמטרים'!$P$6,IF(EXACT(Q254,'טבלת פרמטרים'!$O$7),'טבלת פרמטרים'!$P$7,""))))))</f>
        <v>0</v>
      </c>
    </row>
    <row r="255" spans="1:20" x14ac:dyDescent="0.2">
      <c r="A255" s="18">
        <v>255</v>
      </c>
      <c r="B255" s="30">
        <v>44129</v>
      </c>
      <c r="C255" s="30">
        <v>44129</v>
      </c>
      <c r="D255" s="21" t="s">
        <v>11</v>
      </c>
      <c r="E255" s="21" t="s">
        <v>22</v>
      </c>
      <c r="F255" s="21" t="s">
        <v>24</v>
      </c>
      <c r="G255" s="21" t="s">
        <v>26</v>
      </c>
      <c r="H255" s="21" t="s">
        <v>30</v>
      </c>
      <c r="I255" s="21" t="s">
        <v>126</v>
      </c>
      <c r="L255" s="21" t="s">
        <v>51</v>
      </c>
      <c r="M255" s="21" t="s">
        <v>54</v>
      </c>
      <c r="N255" s="21" t="s">
        <v>58</v>
      </c>
      <c r="O255" s="19">
        <f>IF(ISBLANK(D255),"",IF(D255='טבלת פרמטרים'!$A$9,1,0)+IF(E255='טבלת פרמטרים'!$B$5,2,1)+IF(F255='טבלת פרמטרים'!$C$5,3,IF(F255='טבלת פרמטרים'!$C$4,1,0))+IF(G255='טבלת פרמטרים'!$D$3,2,0)+IF(M255='טבלת פרמטרים'!$J$4,2,IF(M255='טבלת פרמטרים'!$J$3,1,0))+IF(N255='טבלת פרמטרים'!$K$6,3,IF(OR(N255='טבלת פרמטרים'!$K$4,N255='טבלת פרמטרים'!$K$5),2,IF(N255='טבלת פרמטרים'!$K$3,1,0))))</f>
        <v>5</v>
      </c>
      <c r="Q255" s="20" t="s">
        <v>123</v>
      </c>
      <c r="R255" s="19">
        <f t="shared" si="8"/>
        <v>5</v>
      </c>
      <c r="T255" s="19">
        <f>IF(EXACT(Q255,'טבלת פרמטרים'!$O$2),'טבלת פרמטרים'!$P$2,IF(EXACT(Q255,'טבלת פרמטרים'!$O$3),'טבלת פרמטרים'!$P$3,IF(EXACT(Q255,'טבלת פרמטרים'!$O$4),'טבלת פרמטרים'!$P$4,IF(EXACT(Q255,'טבלת פרמטרים'!$O$5),'טבלת פרמטרים'!$P$5,IF(EXACT(Q255,'טבלת פרמטרים'!$O$6),'טבלת פרמטרים'!$P$6,IF(EXACT(Q255,'טבלת פרמטרים'!$O$7),'טבלת פרמטרים'!$P$7,""))))))</f>
        <v>0</v>
      </c>
    </row>
    <row r="256" spans="1:20" ht="28.5" x14ac:dyDescent="0.2">
      <c r="A256" s="18">
        <v>256</v>
      </c>
      <c r="B256" s="30">
        <v>44138</v>
      </c>
      <c r="C256" s="30">
        <v>44138</v>
      </c>
      <c r="D256" s="21" t="s">
        <v>17</v>
      </c>
      <c r="E256" s="21" t="s">
        <v>22</v>
      </c>
      <c r="F256" s="21" t="s">
        <v>24</v>
      </c>
      <c r="G256" s="21" t="s">
        <v>26</v>
      </c>
      <c r="H256" s="21" t="s">
        <v>29</v>
      </c>
      <c r="I256" s="21" t="s">
        <v>126</v>
      </c>
      <c r="K256" s="21" t="s">
        <v>149</v>
      </c>
      <c r="L256" s="21" t="s">
        <v>50</v>
      </c>
      <c r="M256" s="21" t="s">
        <v>55</v>
      </c>
      <c r="N256" s="21" t="s">
        <v>58</v>
      </c>
      <c r="O256" s="19">
        <f>IF(ISBLANK(D256),"",IF(D256='טבלת פרמטרים'!$A$9,1,0)+IF(E256='טבלת פרמטרים'!$B$5,2,1)+IF(F256='טבלת פרמטרים'!$C$5,3,IF(F256='טבלת פרמטרים'!$C$4,1,0))+IF(G256='טבלת פרמטרים'!$D$3,2,0)+IF(M256='טבלת פרמטרים'!$J$4,2,IF(M256='טבלת פרמטרים'!$J$3,1,0))+IF(N256='טבלת פרמטרים'!$K$6,3,IF(OR(N256='טבלת פרמטרים'!$K$4,N256='טבלת פרמטרים'!$K$5),2,IF(N256='טבלת פרמטרים'!$K$3,1,0))))</f>
        <v>7</v>
      </c>
      <c r="Q256" s="20" t="s">
        <v>329</v>
      </c>
      <c r="R256" s="19">
        <f t="shared" si="8"/>
        <v>8</v>
      </c>
      <c r="T256" s="19">
        <f>IF(EXACT(Q256,'טבלת פרמטרים'!$O$2),'טבלת פרמטרים'!$P$2,IF(EXACT(Q256,'טבלת פרמטרים'!$O$3),'טבלת פרמטרים'!$P$3,IF(EXACT(Q256,'טבלת פרמטרים'!$O$4),'טבלת פרמטרים'!$P$4,IF(EXACT(Q256,'טבלת פרמטרים'!$O$5),'טבלת פרמטרים'!$P$5,IF(EXACT(Q256,'טבלת פרמטרים'!$O$6),'טבלת פרמטרים'!$P$6,IF(EXACT(Q256,'טבלת פרמטרים'!$O$7),'טבלת פרמטרים'!$P$7,""))))))</f>
        <v>1</v>
      </c>
    </row>
    <row r="257" spans="1:21" x14ac:dyDescent="0.2">
      <c r="A257" s="18">
        <v>257</v>
      </c>
      <c r="B257" s="30">
        <v>44052</v>
      </c>
      <c r="C257" s="30">
        <v>44052</v>
      </c>
      <c r="D257" s="21" t="s">
        <v>17</v>
      </c>
      <c r="E257" s="21" t="s">
        <v>22</v>
      </c>
      <c r="F257" s="21" t="s">
        <v>24</v>
      </c>
      <c r="G257" s="21" t="s">
        <v>26</v>
      </c>
      <c r="H257" s="21" t="s">
        <v>29</v>
      </c>
      <c r="I257" s="21" t="s">
        <v>126</v>
      </c>
      <c r="J257" s="21" t="s">
        <v>33</v>
      </c>
      <c r="K257" s="21" t="s">
        <v>44</v>
      </c>
      <c r="L257" s="21" t="s">
        <v>51</v>
      </c>
      <c r="M257" s="21" t="s">
        <v>53</v>
      </c>
      <c r="N257" s="21" t="s">
        <v>58</v>
      </c>
      <c r="O257" s="19">
        <f>IF(ISBLANK(D257),"",IF(D257='טבלת פרמטרים'!$A$9,1,0)+IF(E257='טבלת פרמטרים'!$B$5,2,1)+IF(F257='טבלת פרמטרים'!$C$5,3,IF(F257='טבלת פרמטרים'!$C$4,1,0))+IF(G257='טבלת פרמטרים'!$D$3,2,0)+IF(M257='טבלת פרמטרים'!$J$4,2,IF(M257='טבלת פרמטרים'!$J$3,1,0))+IF(N257='טבלת פרמטרים'!$K$6,3,IF(OR(N257='טבלת פרמטרים'!$K$4,N257='טבלת פרמטרים'!$K$5),2,IF(N257='טבלת פרמטרים'!$K$3,1,0))))</f>
        <v>5</v>
      </c>
      <c r="Q257" s="20" t="s">
        <v>123</v>
      </c>
      <c r="R257" s="19">
        <f t="shared" si="8"/>
        <v>5</v>
      </c>
      <c r="T257" s="19">
        <f>IF(EXACT(Q257,'טבלת פרמטרים'!$O$2),'טבלת פרמטרים'!$P$2,IF(EXACT(Q257,'טבלת פרמטרים'!$O$3),'טבלת פרמטרים'!$P$3,IF(EXACT(Q257,'טבלת פרמטרים'!$O$4),'טבלת פרמטרים'!$P$4,IF(EXACT(Q257,'טבלת פרמטרים'!$O$5),'טבלת פרמטרים'!$P$5,IF(EXACT(Q257,'טבלת פרמטרים'!$O$6),'טבלת פרמטרים'!$P$6,IF(EXACT(Q257,'טבלת פרמטרים'!$O$7),'טבלת פרמטרים'!$P$7,""))))))</f>
        <v>0</v>
      </c>
    </row>
    <row r="258" spans="1:21" x14ac:dyDescent="0.2">
      <c r="A258" s="18">
        <v>258</v>
      </c>
      <c r="B258" s="30">
        <v>44089</v>
      </c>
      <c r="C258" s="30">
        <v>44067</v>
      </c>
      <c r="D258" s="21" t="s">
        <v>17</v>
      </c>
      <c r="E258" s="21" t="s">
        <v>22</v>
      </c>
      <c r="F258" s="21" t="s">
        <v>24</v>
      </c>
      <c r="G258" s="21" t="s">
        <v>27</v>
      </c>
      <c r="H258" s="21" t="s">
        <v>30</v>
      </c>
      <c r="I258" s="21" t="s">
        <v>126</v>
      </c>
      <c r="K258" s="21" t="s">
        <v>44</v>
      </c>
      <c r="L258" s="21" t="s">
        <v>51</v>
      </c>
      <c r="M258" s="21" t="s">
        <v>55</v>
      </c>
      <c r="N258" s="21" t="s">
        <v>58</v>
      </c>
      <c r="O258" s="19">
        <f>IF(ISBLANK(D258),"",IF(D258='טבלת פרמטרים'!$A$9,1,0)+IF(E258='טבלת פרמטרים'!$B$5,2,1)+IF(F258='טבלת פרמטרים'!$C$5,3,IF(F258='טבלת פרמטרים'!$C$4,1,0))+IF(G258='טבלת פרמטרים'!$D$3,2,0)+IF(M258='טבלת פרמטרים'!$J$4,2,IF(M258='טבלת פרמטרים'!$J$3,1,0))+IF(N258='טבלת פרמטרים'!$K$6,3,IF(OR(N258='טבלת פרמטרים'!$K$4,N258='טבלת פרמטרים'!$K$5),2,IF(N258='טבלת פרמטרים'!$K$3,1,0))))</f>
        <v>9</v>
      </c>
      <c r="Q258" s="20" t="s">
        <v>123</v>
      </c>
      <c r="R258" s="19">
        <f t="shared" si="8"/>
        <v>9</v>
      </c>
      <c r="T258" s="19">
        <f>IF(EXACT(Q258,'טבלת פרמטרים'!$O$2),'טבלת פרמטרים'!$P$2,IF(EXACT(Q258,'טבלת פרמטרים'!$O$3),'טבלת פרמטרים'!$P$3,IF(EXACT(Q258,'טבלת פרמטרים'!$O$4),'טבלת פרמטרים'!$P$4,IF(EXACT(Q258,'טבלת פרמטרים'!$O$5),'טבלת פרמטרים'!$P$5,IF(EXACT(Q258,'טבלת פרמטרים'!$O$6),'טבלת פרמטרים'!$P$6,IF(EXACT(Q258,'טבלת פרמטרים'!$O$7),'טבלת פרמטרים'!$P$7,""))))))</f>
        <v>0</v>
      </c>
    </row>
    <row r="259" spans="1:21" ht="28.5" x14ac:dyDescent="0.2">
      <c r="A259" s="18">
        <v>259</v>
      </c>
      <c r="B259" s="30">
        <v>44067</v>
      </c>
      <c r="C259" s="30">
        <v>44067</v>
      </c>
      <c r="D259" s="21" t="s">
        <v>17</v>
      </c>
      <c r="E259" s="21" t="s">
        <v>22</v>
      </c>
      <c r="F259" s="21" t="s">
        <v>24</v>
      </c>
      <c r="G259" s="21" t="s">
        <v>26</v>
      </c>
      <c r="H259" s="21" t="s">
        <v>28</v>
      </c>
      <c r="I259" s="21" t="s">
        <v>127</v>
      </c>
      <c r="J259" s="21" t="s">
        <v>35</v>
      </c>
      <c r="K259" s="21" t="s">
        <v>44</v>
      </c>
      <c r="L259" s="21" t="s">
        <v>51</v>
      </c>
      <c r="M259" s="21" t="s">
        <v>55</v>
      </c>
      <c r="N259" s="21" t="s">
        <v>59</v>
      </c>
      <c r="O259" s="19">
        <f>IF(ISBLANK(D259),"",IF(D259='טבלת פרמטרים'!$A$9,1,0)+IF(E259='טבלת פרמטרים'!$B$5,2,1)+IF(F259='טבלת פרמטרים'!$C$5,3,IF(F259='טבלת פרמטרים'!$C$4,1,0))+IF(G259='טבלת פרמטרים'!$D$3,2,0)+IF(M259='טבלת פרמטרים'!$J$4,2,IF(M259='טבלת פרמטרים'!$J$3,1,0))+IF(N259='טבלת פרמטרים'!$K$6,3,IF(OR(N259='טבלת פרמטרים'!$K$4,N259='טבלת פרמטרים'!$K$5),2,IF(N259='טבלת פרמטרים'!$K$3,1,0))))</f>
        <v>8</v>
      </c>
      <c r="Q259" s="20" t="s">
        <v>329</v>
      </c>
      <c r="R259" s="19">
        <f t="shared" si="8"/>
        <v>9</v>
      </c>
      <c r="T259" s="19">
        <f>IF(EXACT(Q259,'טבלת פרמטרים'!$O$2),'טבלת פרמטרים'!$P$2,IF(EXACT(Q259,'טבלת פרמטרים'!$O$3),'טבלת פרמטרים'!$P$3,IF(EXACT(Q259,'טבלת פרמטרים'!$O$4),'טבלת פרמטרים'!$P$4,IF(EXACT(Q259,'טבלת פרמטרים'!$O$5),'טבלת פרמטרים'!$P$5,IF(EXACT(Q259,'טבלת פרמטרים'!$O$6),'טבלת פרמטרים'!$P$6,IF(EXACT(Q259,'טבלת פרמטרים'!$O$7),'טבלת פרמטרים'!$P$7,""))))))</f>
        <v>1</v>
      </c>
    </row>
    <row r="260" spans="1:21" x14ac:dyDescent="0.2">
      <c r="A260" s="18">
        <v>260</v>
      </c>
      <c r="B260" s="30">
        <v>44097</v>
      </c>
      <c r="C260" s="30">
        <v>44098</v>
      </c>
      <c r="D260" s="21" t="s">
        <v>17</v>
      </c>
      <c r="E260" s="21" t="s">
        <v>22</v>
      </c>
      <c r="F260" s="21" t="s">
        <v>24</v>
      </c>
      <c r="G260" s="21" t="s">
        <v>26</v>
      </c>
      <c r="H260" s="21" t="s">
        <v>29</v>
      </c>
      <c r="J260" s="21" t="s">
        <v>33</v>
      </c>
      <c r="K260" s="21" t="s">
        <v>45</v>
      </c>
      <c r="L260" s="21" t="s">
        <v>51</v>
      </c>
      <c r="M260" s="21" t="s">
        <v>54</v>
      </c>
      <c r="N260" s="21" t="s">
        <v>58</v>
      </c>
      <c r="O260" s="19">
        <f>IF(ISBLANK(D260),"",IF(D260='טבלת פרמטרים'!$A$9,1,0)+IF(E260='טבלת פרמטרים'!$B$5,2,1)+IF(F260='טבלת פרמטרים'!$C$5,3,IF(F260='טבלת פרמטרים'!$C$4,1,0))+IF(G260='טבלת פרמטרים'!$D$3,2,0)+IF(M260='טבלת פרמטרים'!$J$4,2,IF(M260='טבלת פרמטרים'!$J$3,1,0))+IF(N260='טבלת פרמטרים'!$K$6,3,IF(OR(N260='טבלת פרמטרים'!$K$4,N260='טבלת פרמטרים'!$K$5),2,IF(N260='טבלת פרמטרים'!$K$3,1,0))))</f>
        <v>6</v>
      </c>
      <c r="Q260" s="20" t="s">
        <v>123</v>
      </c>
      <c r="R260" s="19">
        <f t="shared" si="8"/>
        <v>6</v>
      </c>
      <c r="T260" s="19">
        <f>IF(EXACT(Q260,'טבלת פרמטרים'!$O$2),'טבלת פרמטרים'!$P$2,IF(EXACT(Q260,'טבלת פרמטרים'!$O$3),'טבלת פרמטרים'!$P$3,IF(EXACT(Q260,'טבלת פרמטרים'!$O$4),'טבלת פרמטרים'!$P$4,IF(EXACT(Q260,'טבלת פרמטרים'!$O$5),'טבלת פרמטרים'!$P$5,IF(EXACT(Q260,'טבלת פרמטרים'!$O$6),'טבלת פרמטרים'!$P$6,IF(EXACT(Q260,'טבלת פרמטרים'!$O$7),'טבלת פרמטרים'!$P$7,""))))))</f>
        <v>0</v>
      </c>
    </row>
    <row r="261" spans="1:21" x14ac:dyDescent="0.2">
      <c r="A261" s="18">
        <v>261</v>
      </c>
      <c r="B261" s="30">
        <v>44143</v>
      </c>
      <c r="C261" s="30">
        <v>44143</v>
      </c>
      <c r="D261" s="21" t="s">
        <v>13</v>
      </c>
      <c r="E261" s="21" t="s">
        <v>20</v>
      </c>
      <c r="F261" s="21" t="s">
        <v>23</v>
      </c>
      <c r="G261" s="21" t="s">
        <v>27</v>
      </c>
      <c r="H261" s="21" t="s">
        <v>32</v>
      </c>
      <c r="J261" s="21" t="s">
        <v>39</v>
      </c>
      <c r="K261" s="21" t="s">
        <v>39</v>
      </c>
      <c r="L261" s="21" t="s">
        <v>50</v>
      </c>
      <c r="M261" s="21" t="s">
        <v>55</v>
      </c>
      <c r="N261" s="21" t="s">
        <v>58</v>
      </c>
      <c r="O261" s="19">
        <f>IF(ISBLANK(D261),"",IF(D261='טבלת פרמטרים'!$A$9,1,0)+IF(E261='טבלת פרמטרים'!$B$5,2,1)+IF(F261='טבלת פרמטרים'!$C$5,3,IF(F261='טבלת פרמטרים'!$C$4,1,0))+IF(G261='טבלת פרמטרים'!$D$3,2,0)+IF(M261='טבלת פרמטרים'!$J$4,2,IF(M261='טבלת פרמטרים'!$J$3,1,0))+IF(N261='טבלת פרמטרים'!$K$6,3,IF(OR(N261='טבלת פרמטרים'!$K$4,N261='טבלת פרמטרים'!$K$5),2,IF(N261='טבלת פרמטרים'!$K$3,1,0))))</f>
        <v>6</v>
      </c>
      <c r="Q261" s="20" t="s">
        <v>123</v>
      </c>
      <c r="R261" s="19">
        <f t="shared" si="8"/>
        <v>6</v>
      </c>
      <c r="T261" s="19">
        <f>IF(EXACT(Q261,'טבלת פרמטרים'!$O$2),'טבלת פרמטרים'!$P$2,IF(EXACT(Q261,'טבלת פרמטרים'!$O$3),'טבלת פרמטרים'!$P$3,IF(EXACT(Q261,'טבלת פרמטרים'!$O$4),'טבלת פרמטרים'!$P$4,IF(EXACT(Q261,'טבלת פרמטרים'!$O$5),'טבלת פרמטרים'!$P$5,IF(EXACT(Q261,'טבלת פרמטרים'!$O$6),'טבלת פרמטרים'!$P$6,IF(EXACT(Q261,'טבלת פרמטרים'!$O$7),'טבלת פרמטרים'!$P$7,""))))))</f>
        <v>0</v>
      </c>
    </row>
    <row r="262" spans="1:21" x14ac:dyDescent="0.2">
      <c r="A262" s="18">
        <v>262</v>
      </c>
      <c r="B262" s="30">
        <v>44164</v>
      </c>
      <c r="C262" s="30">
        <v>44164</v>
      </c>
      <c r="D262" s="21" t="s">
        <v>12</v>
      </c>
      <c r="E262" s="21" t="s">
        <v>20</v>
      </c>
      <c r="F262" s="21" t="s">
        <v>23</v>
      </c>
      <c r="G262" s="21" t="s">
        <v>26</v>
      </c>
      <c r="H262" s="21" t="s">
        <v>30</v>
      </c>
      <c r="K262" s="21" t="s">
        <v>45</v>
      </c>
      <c r="L262" s="21" t="s">
        <v>51</v>
      </c>
      <c r="M262" s="21" t="s">
        <v>54</v>
      </c>
      <c r="O262" s="19">
        <f>IF(ISBLANK(D262),"",IF(D262='טבלת פרמטרים'!$A$9,1,0)+IF(E262='טבלת פרמטרים'!$B$5,2,1)+IF(F262='טבלת פרמטרים'!$C$5,3,IF(F262='טבלת פרמטרים'!$C$4,1,0))+IF(G262='טבלת פרמטרים'!$D$3,2,0)+IF(M262='טבלת פרמטרים'!$J$4,2,IF(M262='טבלת פרמטרים'!$J$3,1,0))+IF(N262='טבלת פרמטרים'!$K$6,3,IF(OR(N262='טבלת פרמטרים'!$K$4,N262='טבלת פרמטרים'!$K$5),2,IF(N262='טבלת פרמטרים'!$K$3,1,0))))</f>
        <v>2</v>
      </c>
      <c r="R262" s="19">
        <f t="shared" si="8"/>
        <v>2</v>
      </c>
      <c r="T262" s="19" t="str">
        <f>IF(EXACT(Q262,'טבלת פרמטרים'!$O$2),'טבלת פרמטרים'!$P$2,IF(EXACT(Q262,'טבלת פרמטרים'!$O$3),'טבלת פרמטרים'!$P$3,IF(EXACT(Q262,'טבלת פרמטרים'!$O$4),'טבלת פרמטרים'!$P$4,IF(EXACT(Q262,'טבלת פרמטרים'!$O$5),'טבלת פרמטרים'!$P$5,IF(EXACT(Q262,'טבלת פרמטרים'!$O$6),'טבלת פרמטרים'!$P$6,IF(EXACT(Q262,'טבלת פרמטרים'!$O$7),'טבלת פרמטרים'!$P$7,""))))))</f>
        <v/>
      </c>
    </row>
    <row r="263" spans="1:21" x14ac:dyDescent="0.2">
      <c r="A263" s="18">
        <v>263</v>
      </c>
      <c r="B263" s="30">
        <v>44144</v>
      </c>
      <c r="C263" s="30">
        <v>44152</v>
      </c>
      <c r="D263" s="21" t="s">
        <v>17</v>
      </c>
      <c r="E263" s="21" t="s">
        <v>111</v>
      </c>
      <c r="F263" s="21" t="s">
        <v>23</v>
      </c>
      <c r="G263" s="21" t="s">
        <v>26</v>
      </c>
      <c r="H263" s="21" t="s">
        <v>31</v>
      </c>
      <c r="J263" s="21" t="s">
        <v>36</v>
      </c>
      <c r="K263" s="21" t="s">
        <v>36</v>
      </c>
      <c r="L263" s="21" t="s">
        <v>51</v>
      </c>
      <c r="M263" s="21" t="s">
        <v>53</v>
      </c>
      <c r="O263" s="19">
        <f>IF(ISBLANK(D263),"",IF(D263='טבלת פרמטרים'!$A$9,1,0)+IF(E263='טבלת פרמטרים'!$B$5,2,1)+IF(F263='טבלת פרמטרים'!$C$5,3,IF(F263='טבלת פרמטרים'!$C$4,1,0))+IF(G263='טבלת פרמטרים'!$D$3,2,0)+IF(M263='טבלת פרמטרים'!$J$4,2,IF(M263='טבלת פרמטרים'!$J$3,1,0))+IF(N263='טבלת פרמטרים'!$K$6,3,IF(OR(N263='טבלת פרמטרים'!$K$4,N263='טבלת פרמטרים'!$K$5),2,IF(N263='טבלת פרמטרים'!$K$3,1,0))))</f>
        <v>2</v>
      </c>
      <c r="R263" s="19">
        <f t="shared" si="8"/>
        <v>2</v>
      </c>
      <c r="T263" s="19" t="str">
        <f>IF(EXACT(Q263,'טבלת פרמטרים'!$O$2),'טבלת פרמטרים'!$P$2,IF(EXACT(Q263,'טבלת פרמטרים'!$O$3),'טבלת פרמטרים'!$P$3,IF(EXACT(Q263,'טבלת פרמטרים'!$O$4),'טבלת פרמטרים'!$P$4,IF(EXACT(Q263,'טבלת פרמטרים'!$O$5),'טבלת פרמטרים'!$P$5,IF(EXACT(Q263,'טבלת פרמטרים'!$O$6),'טבלת פרמטרים'!$P$6,IF(EXACT(Q263,'טבלת פרמטרים'!$O$7),'טבלת פרמטרים'!$P$7,""))))))</f>
        <v/>
      </c>
    </row>
    <row r="264" spans="1:21" x14ac:dyDescent="0.2">
      <c r="A264" s="18">
        <v>264</v>
      </c>
      <c r="B264" s="30">
        <v>44161</v>
      </c>
      <c r="C264" s="30">
        <v>44161</v>
      </c>
      <c r="D264" s="21" t="s">
        <v>16</v>
      </c>
      <c r="E264" s="21" t="s">
        <v>21</v>
      </c>
      <c r="F264" s="21" t="s">
        <v>23</v>
      </c>
      <c r="G264" s="21" t="s">
        <v>26</v>
      </c>
      <c r="H264" s="21" t="s">
        <v>32</v>
      </c>
      <c r="I264" s="21" t="s">
        <v>127</v>
      </c>
      <c r="J264" s="21" t="s">
        <v>33</v>
      </c>
      <c r="K264" s="21" t="s">
        <v>43</v>
      </c>
      <c r="L264" s="21" t="s">
        <v>49</v>
      </c>
      <c r="M264" s="21" t="s">
        <v>54</v>
      </c>
      <c r="O264" s="19">
        <f>IF(ISBLANK(D264),"",IF(D264='טבלת פרמטרים'!$A$9,1,0)+IF(E264='טבלת פרמטרים'!$B$5,2,1)+IF(F264='טבלת פרמטרים'!$C$5,3,IF(F264='טבלת פרמטרים'!$C$4,1,0))+IF(G264='טבלת פרמטרים'!$D$3,2,0)+IF(M264='טבלת פרמטרים'!$J$4,2,IF(M264='טבלת פרמטרים'!$J$3,1,0))+IF(N264='טבלת פרמטרים'!$K$6,3,IF(OR(N264='טבלת פרמטרים'!$K$4,N264='טבלת פרמטרים'!$K$5),2,IF(N264='טבלת פרמטרים'!$K$3,1,0))))</f>
        <v>2</v>
      </c>
      <c r="R264" s="19">
        <f t="shared" si="8"/>
        <v>2</v>
      </c>
      <c r="T264" s="19" t="str">
        <f>IF(EXACT(Q264,'טבלת פרמטרים'!$O$2),'טבלת פרמטרים'!$P$2,IF(EXACT(Q264,'טבלת פרמטרים'!$O$3),'טבלת פרמטרים'!$P$3,IF(EXACT(Q264,'טבלת פרמטרים'!$O$4),'טבלת פרמטרים'!$P$4,IF(EXACT(Q264,'טבלת פרמטרים'!$O$5),'טבלת פרמטרים'!$P$5,IF(EXACT(Q264,'טבלת פרמטרים'!$O$6),'טבלת פרמטרים'!$P$6,IF(EXACT(Q264,'טבלת פרמטרים'!$O$7),'טבלת פרמטרים'!$P$7,""))))))</f>
        <v/>
      </c>
    </row>
    <row r="265" spans="1:21" x14ac:dyDescent="0.2">
      <c r="A265" s="18">
        <v>265</v>
      </c>
      <c r="B265" s="30">
        <v>44181</v>
      </c>
      <c r="C265" s="30">
        <v>44181</v>
      </c>
      <c r="D265" s="21" t="s">
        <v>16</v>
      </c>
      <c r="E265" s="21" t="s">
        <v>21</v>
      </c>
      <c r="F265" s="21" t="s">
        <v>23</v>
      </c>
      <c r="G265" s="21" t="s">
        <v>26</v>
      </c>
      <c r="H265" s="21" t="s">
        <v>31</v>
      </c>
      <c r="I265" s="21" t="s">
        <v>127</v>
      </c>
      <c r="J265" s="21" t="s">
        <v>34</v>
      </c>
      <c r="K265" s="21" t="s">
        <v>44</v>
      </c>
      <c r="L265" s="21" t="s">
        <v>51</v>
      </c>
      <c r="M265" s="21" t="s">
        <v>54</v>
      </c>
      <c r="O265" s="19">
        <f>IF(ISBLANK(D265),"",IF(D265='טבלת פרמטרים'!$A$9,1,0)+IF(E265='טבלת פרמטרים'!$B$5,2,1)+IF(F265='טבלת פרמטרים'!$C$5,3,IF(F265='טבלת פרמטרים'!$C$4,1,0))+IF(G265='טבלת פרמטרים'!$D$3,2,0)+IF(M265='טבלת פרמטרים'!$J$4,2,IF(M265='טבלת פרמטרים'!$J$3,1,0))+IF(N265='טבלת פרמטרים'!$K$6,3,IF(OR(N265='טבלת פרמטרים'!$K$4,N265='טבלת פרמטרים'!$K$5),2,IF(N265='טבלת פרמטרים'!$K$3,1,0))))</f>
        <v>2</v>
      </c>
      <c r="R265" s="19">
        <f t="shared" si="8"/>
        <v>2</v>
      </c>
      <c r="T265" s="19" t="str">
        <f>IF(EXACT(Q265,'טבלת פרמטרים'!$O$2),'טבלת פרמטרים'!$P$2,IF(EXACT(Q265,'טבלת פרמטרים'!$O$3),'טבלת פרמטרים'!$P$3,IF(EXACT(Q265,'טבלת פרמטרים'!$O$4),'טבלת פרמטרים'!$P$4,IF(EXACT(Q265,'טבלת פרמטרים'!$O$5),'טבלת פרמטרים'!$P$5,IF(EXACT(Q265,'טבלת פרמטרים'!$O$6),'טבלת פרמטרים'!$P$6,IF(EXACT(Q265,'טבלת פרמטרים'!$O$7),'טבלת פרמטרים'!$P$7,""))))))</f>
        <v/>
      </c>
    </row>
    <row r="266" spans="1:21" ht="28.5" x14ac:dyDescent="0.2">
      <c r="A266" s="18">
        <v>266</v>
      </c>
      <c r="B266" s="30">
        <v>44199</v>
      </c>
      <c r="C266" s="30">
        <v>44202</v>
      </c>
      <c r="D266" s="21" t="s">
        <v>17</v>
      </c>
      <c r="E266" s="21" t="s">
        <v>22</v>
      </c>
      <c r="F266" s="21" t="s">
        <v>24</v>
      </c>
      <c r="G266" s="21" t="s">
        <v>27</v>
      </c>
      <c r="H266" s="21" t="s">
        <v>30</v>
      </c>
      <c r="I266" s="21" t="s">
        <v>126</v>
      </c>
      <c r="J266" s="21" t="s">
        <v>35</v>
      </c>
      <c r="K266" s="21" t="s">
        <v>44</v>
      </c>
      <c r="L266" s="21" t="s">
        <v>51</v>
      </c>
      <c r="M266" s="21" t="s">
        <v>55</v>
      </c>
      <c r="O266" s="19">
        <f>IF(ISBLANK(D266),"",IF(D266='טבלת פרמטרים'!$A$9,1,0)+IF(E266='טבלת פרמטרים'!$B$5,2,1)+IF(F266='טבלת פרמטרים'!$C$5,3,IF(F266='טבלת פרמטרים'!$C$4,1,0))+IF(G266='טבלת פרמטרים'!$D$3,2,0)+IF(M266='טבלת פרמטרים'!$J$4,2,IF(M266='טבלת פרמטרים'!$J$3,1,0))+IF(N266='טבלת פרמטרים'!$K$6,3,IF(OR(N266='טבלת פרמטרים'!$K$4,N266='טבלת פרמטרים'!$K$5),2,IF(N266='טבלת פרמטרים'!$K$3,1,0))))</f>
        <v>8</v>
      </c>
      <c r="Q266" s="20" t="s">
        <v>329</v>
      </c>
      <c r="R266" s="19">
        <f t="shared" si="8"/>
        <v>9</v>
      </c>
      <c r="T266" s="19">
        <f>IF(EXACT(Q266,'טבלת פרמטרים'!$O$2),'טבלת פרמטרים'!$P$2,IF(EXACT(Q266,'טבלת פרמטרים'!$O$3),'טבלת פרמטרים'!$P$3,IF(EXACT(Q266,'טבלת פרמטרים'!$O$4),'טבלת פרמטרים'!$P$4,IF(EXACT(Q266,'טבלת פרמטרים'!$O$5),'טבלת פרמטרים'!$P$5,IF(EXACT(Q266,'טבלת פרמטרים'!$O$6),'טבלת פרמטרים'!$P$6,IF(EXACT(Q266,'טבלת פרמטרים'!$O$7),'טבלת פרמטרים'!$P$7,""))))))</f>
        <v>1</v>
      </c>
    </row>
    <row r="267" spans="1:21" x14ac:dyDescent="0.2">
      <c r="A267" s="18">
        <v>267</v>
      </c>
      <c r="B267" s="30">
        <v>44203</v>
      </c>
      <c r="C267" s="30">
        <v>44203</v>
      </c>
      <c r="D267" s="21" t="s">
        <v>15</v>
      </c>
      <c r="E267" s="21" t="s">
        <v>20</v>
      </c>
      <c r="F267" s="21" t="s">
        <v>23</v>
      </c>
      <c r="G267" s="21" t="s">
        <v>26</v>
      </c>
      <c r="H267" s="21" t="s">
        <v>30</v>
      </c>
      <c r="I267" s="21" t="s">
        <v>126</v>
      </c>
      <c r="J267" s="21" t="s">
        <v>63</v>
      </c>
      <c r="K267" s="21" t="s">
        <v>45</v>
      </c>
      <c r="L267" s="21" t="s">
        <v>51</v>
      </c>
      <c r="M267" s="21" t="s">
        <v>55</v>
      </c>
      <c r="O267" s="19">
        <f>IF(ISBLANK(D267),"",IF(D267='טבלת פרמטרים'!$A$9,1,0)+IF(E267='טבלת פרמטרים'!$B$5,2,1)+IF(F267='טבלת פרמטרים'!$C$5,3,IF(F267='טבלת פרמטרים'!$C$4,1,0))+IF(G267='טבלת פרמטרים'!$D$3,2,0)+IF(M267='טבלת פרמטרים'!$J$4,2,IF(M267='טבלת פרמטרים'!$J$3,1,0))+IF(N267='טבלת פרמטרים'!$K$6,3,IF(OR(N267='טבלת פרמטרים'!$K$4,N267='טבלת פרמטרים'!$K$5),2,IF(N267='טבלת פרמטרים'!$K$3,1,0))))</f>
        <v>3</v>
      </c>
      <c r="R267" s="19">
        <f t="shared" si="8"/>
        <v>3</v>
      </c>
      <c r="T267" s="19" t="str">
        <f>IF(EXACT(Q267,'טבלת פרמטרים'!$O$2),'טבלת פרמטרים'!$P$2,IF(EXACT(Q267,'טבלת פרמטרים'!$O$3),'טבלת פרמטרים'!$P$3,IF(EXACT(Q267,'טבלת פרמטרים'!$O$4),'טבלת פרמטרים'!$P$4,IF(EXACT(Q267,'טבלת פרמטרים'!$O$5),'טבלת פרמטרים'!$P$5,IF(EXACT(Q267,'טבלת פרמטרים'!$O$6),'טבלת פרמטרים'!$P$6,IF(EXACT(Q267,'טבלת פרמטרים'!$O$7),'טבלת פרמטרים'!$P$7,""))))))</f>
        <v/>
      </c>
    </row>
    <row r="268" spans="1:21" x14ac:dyDescent="0.2">
      <c r="A268" s="18">
        <v>268</v>
      </c>
      <c r="B268" s="30">
        <v>44201</v>
      </c>
      <c r="C268" s="30">
        <v>44221</v>
      </c>
      <c r="D268" s="21" t="s">
        <v>16</v>
      </c>
      <c r="E268" s="21" t="s">
        <v>111</v>
      </c>
      <c r="F268" s="21" t="s">
        <v>23</v>
      </c>
      <c r="G268" s="21" t="s">
        <v>26</v>
      </c>
      <c r="H268" s="21" t="s">
        <v>29</v>
      </c>
      <c r="I268" s="21" t="s">
        <v>126</v>
      </c>
      <c r="J268" s="21" t="s">
        <v>35</v>
      </c>
      <c r="K268" s="21" t="s">
        <v>43</v>
      </c>
      <c r="L268" s="21" t="s">
        <v>51</v>
      </c>
      <c r="M268" s="21" t="s">
        <v>54</v>
      </c>
      <c r="O268" s="19">
        <f>IF(ISBLANK(D268),"",IF(D268='טבלת פרמטרים'!$A$9,1,0)+IF(E268='טבלת פרמטרים'!$B$5,2,1)+IF(F268='טבלת פרמטרים'!$C$5,3,IF(F268='טבלת פרמטרים'!$C$4,1,0))+IF(G268='טבלת פרמטרים'!$D$3,2,0)+IF(M268='טבלת פרמטרים'!$J$4,2,IF(M268='טבלת פרמטרים'!$J$3,1,0))+IF(N268='טבלת פרמטרים'!$K$6,3,IF(OR(N268='טבלת פרמטרים'!$K$4,N268='טבלת פרמטרים'!$K$5),2,IF(N268='טבלת פרמטרים'!$K$3,1,0))))</f>
        <v>2</v>
      </c>
      <c r="R268" s="19">
        <f t="shared" si="8"/>
        <v>2</v>
      </c>
      <c r="T268" s="19" t="str">
        <f>IF(EXACT(Q268,'טבלת פרמטרים'!$O$2),'טבלת פרמטרים'!$P$2,IF(EXACT(Q268,'טבלת פרמטרים'!$O$3),'טבלת פרמטרים'!$P$3,IF(EXACT(Q268,'טבלת פרמטרים'!$O$4),'טבלת פרמטרים'!$P$4,IF(EXACT(Q268,'טבלת פרמטרים'!$O$5),'טבלת פרמטרים'!$P$5,IF(EXACT(Q268,'טבלת פרמטרים'!$O$6),'טבלת פרמטרים'!$P$6,IF(EXACT(Q268,'טבלת פרמטרים'!$O$7),'טבלת פרמטרים'!$P$7,""))))))</f>
        <v/>
      </c>
    </row>
    <row r="269" spans="1:21" x14ac:dyDescent="0.2">
      <c r="A269" s="18">
        <v>269</v>
      </c>
      <c r="B269" s="30">
        <v>44215</v>
      </c>
      <c r="C269" s="30">
        <v>44222</v>
      </c>
      <c r="D269" s="21" t="s">
        <v>17</v>
      </c>
      <c r="E269" s="21" t="s">
        <v>21</v>
      </c>
      <c r="F269" s="21" t="s">
        <v>23</v>
      </c>
      <c r="G269" s="21" t="s">
        <v>27</v>
      </c>
      <c r="H269" s="21" t="s">
        <v>32</v>
      </c>
      <c r="I269" s="21" t="s">
        <v>127</v>
      </c>
      <c r="J269" s="21" t="s">
        <v>35</v>
      </c>
      <c r="K269" s="21" t="s">
        <v>44</v>
      </c>
      <c r="L269" s="21" t="s">
        <v>51</v>
      </c>
      <c r="M269" s="21" t="s">
        <v>55</v>
      </c>
      <c r="O269" s="19">
        <f>IF(ISBLANK(D269),"",IF(D269='טבלת פרמטרים'!$A$9,1,0)+IF(E269='טבלת פרמטרים'!$B$5,2,1)+IF(F269='טבלת פרמטרים'!$C$5,3,IF(F269='טבלת פרמטרים'!$C$4,1,0))+IF(G269='טבלת פרמטרים'!$D$3,2,0)+IF(M269='טבלת פרמטרים'!$J$4,2,IF(M269='טבלת פרמטרים'!$J$3,1,0))+IF(N269='טבלת פרמטרים'!$K$6,3,IF(OR(N269='טבלת פרמטרים'!$K$4,N269='טבלת פרמטרים'!$K$5),2,IF(N269='טבלת פרמטרים'!$K$3,1,0))))</f>
        <v>6</v>
      </c>
      <c r="R269" s="19">
        <f t="shared" si="8"/>
        <v>6</v>
      </c>
      <c r="T269" s="19" t="str">
        <f>IF(EXACT(Q269,'טבלת פרמטרים'!$O$2),'טבלת פרמטרים'!$P$2,IF(EXACT(Q269,'טבלת פרמטרים'!$O$3),'טבלת פרמטרים'!$P$3,IF(EXACT(Q269,'טבלת פרמטרים'!$O$4),'טבלת פרמטרים'!$P$4,IF(EXACT(Q269,'טבלת פרמטרים'!$O$5),'טבלת פרמטרים'!$P$5,IF(EXACT(Q269,'טבלת פרמטרים'!$O$6),'טבלת פרמטרים'!$P$6,IF(EXACT(Q269,'טבלת פרמטרים'!$O$7),'טבלת פרמטרים'!$P$7,""))))))</f>
        <v/>
      </c>
      <c r="U269" s="19" t="s">
        <v>406</v>
      </c>
    </row>
    <row r="270" spans="1:21" x14ac:dyDescent="0.2">
      <c r="A270" s="18">
        <v>270</v>
      </c>
      <c r="B270" s="30">
        <v>44224</v>
      </c>
      <c r="C270" s="30">
        <v>44224</v>
      </c>
      <c r="D270" s="21" t="s">
        <v>17</v>
      </c>
      <c r="E270" s="21" t="s">
        <v>22</v>
      </c>
      <c r="F270" s="21" t="s">
        <v>25</v>
      </c>
      <c r="G270" s="21" t="s">
        <v>27</v>
      </c>
      <c r="H270" s="21" t="s">
        <v>30</v>
      </c>
      <c r="I270" s="21" t="s">
        <v>127</v>
      </c>
      <c r="J270" s="21" t="s">
        <v>35</v>
      </c>
      <c r="K270" s="21" t="s">
        <v>45</v>
      </c>
      <c r="L270" s="21" t="s">
        <v>51</v>
      </c>
      <c r="M270" s="21" t="s">
        <v>55</v>
      </c>
      <c r="O270" s="19">
        <f>IF(ISBLANK(D270),"",IF(D270='טבלת פרמטרים'!$A$9,1,0)+IF(E270='טבלת פרמטרים'!$B$5,2,1)+IF(F270='טבלת פרמטרים'!$C$5,3,IF(F270='טבלת פרמטרים'!$C$4,1,0))+IF(G270='טבלת פרמטרים'!$D$3,2,0)+IF(M270='טבלת פרמטרים'!$J$4,2,IF(M270='טבלת פרמטרים'!$J$3,1,0))+IF(N270='טבלת פרמטרים'!$K$6,3,IF(OR(N270='טבלת פרמטרים'!$K$4,N270='טבלת פרמטרים'!$K$5),2,IF(N270='טבלת פרמטרים'!$K$3,1,0))))</f>
        <v>10</v>
      </c>
      <c r="R270" s="19">
        <f t="shared" si="8"/>
        <v>10</v>
      </c>
      <c r="T270" s="19" t="str">
        <f>IF(EXACT(Q270,'טבלת פרמטרים'!$O$2),'טבלת פרמטרים'!$P$2,IF(EXACT(Q270,'טבלת פרמטרים'!$O$3),'טבלת פרמטרים'!$P$3,IF(EXACT(Q270,'טבלת פרמטרים'!$O$4),'טבלת פרמטרים'!$P$4,IF(EXACT(Q270,'טבלת פרמטרים'!$O$5),'טבלת פרמטרים'!$P$5,IF(EXACT(Q270,'טבלת פרמטרים'!$O$6),'טבלת פרמטרים'!$P$6,IF(EXACT(Q270,'טבלת פרמטרים'!$O$7),'טבלת פרמטרים'!$P$7,""))))))</f>
        <v/>
      </c>
      <c r="U270" s="19" t="s">
        <v>408</v>
      </c>
    </row>
    <row r="271" spans="1:21" x14ac:dyDescent="0.2">
      <c r="A271" s="18">
        <v>271</v>
      </c>
      <c r="B271" s="30">
        <v>44229</v>
      </c>
      <c r="C271" s="30">
        <v>44229</v>
      </c>
      <c r="D271" s="21" t="s">
        <v>18</v>
      </c>
      <c r="E271" s="21" t="s">
        <v>20</v>
      </c>
      <c r="F271" s="21" t="s">
        <v>23</v>
      </c>
      <c r="G271" s="21" t="s">
        <v>27</v>
      </c>
      <c r="H271" s="21" t="s">
        <v>30</v>
      </c>
      <c r="I271" s="21" t="s">
        <v>126</v>
      </c>
      <c r="K271" s="21" t="s">
        <v>44</v>
      </c>
      <c r="L271" s="21" t="s">
        <v>51</v>
      </c>
      <c r="M271" s="21" t="s">
        <v>55</v>
      </c>
      <c r="O271" s="19">
        <f>IF(ISBLANK(D271),"",IF(D271='טבלת פרמטרים'!$A$9,1,0)+IF(E271='טבלת פרמטרים'!$B$5,2,1)+IF(F271='טבלת פרמטרים'!$C$5,3,IF(F271='טבלת פרמטרים'!$C$4,1,0))+IF(G271='טבלת פרמטרים'!$D$3,2,0)+IF(M271='טבלת פרמטרים'!$J$4,2,IF(M271='טבלת פרמטרים'!$J$3,1,0))+IF(N271='טבלת פרמטרים'!$K$6,3,IF(OR(N271='טבלת פרמטרים'!$K$4,N271='טבלת פרמטרים'!$K$5),2,IF(N271='טבלת פרמטרים'!$K$3,1,0))))</f>
        <v>5</v>
      </c>
      <c r="R271" s="19">
        <f t="shared" si="8"/>
        <v>5</v>
      </c>
      <c r="T271" s="19" t="str">
        <f>IF(EXACT(Q271,'טבלת פרמטרים'!$O$2),'טבלת פרמטרים'!$P$2,IF(EXACT(Q271,'טבלת פרמטרים'!$O$3),'טבלת פרמטרים'!$P$3,IF(EXACT(Q271,'טבלת פרמטרים'!$O$4),'טבלת פרמטרים'!$P$4,IF(EXACT(Q271,'טבלת פרמטרים'!$O$5),'טבלת פרמטרים'!$P$5,IF(EXACT(Q271,'טבלת פרמטרים'!$O$6),'טבלת פרמטרים'!$P$6,IF(EXACT(Q271,'טבלת פרמטרים'!$O$7),'טבלת פרמטרים'!$P$7,""))))))</f>
        <v/>
      </c>
    </row>
    <row r="272" spans="1:21" x14ac:dyDescent="0.2">
      <c r="A272" s="18">
        <v>272</v>
      </c>
      <c r="B272" s="30">
        <v>44231</v>
      </c>
      <c r="C272" s="30">
        <v>44231</v>
      </c>
      <c r="D272" s="21" t="s">
        <v>11</v>
      </c>
      <c r="E272" s="21" t="s">
        <v>111</v>
      </c>
      <c r="F272" s="21" t="s">
        <v>23</v>
      </c>
      <c r="G272" s="21" t="s">
        <v>26</v>
      </c>
      <c r="H272" s="21" t="s">
        <v>31</v>
      </c>
      <c r="I272" s="21" t="s">
        <v>126</v>
      </c>
      <c r="J272" s="21" t="s">
        <v>11</v>
      </c>
      <c r="K272" s="21" t="s">
        <v>44</v>
      </c>
      <c r="L272" s="21" t="s">
        <v>51</v>
      </c>
      <c r="M272" s="21" t="s">
        <v>54</v>
      </c>
      <c r="O272" s="19">
        <f>IF(ISBLANK(D272),"",IF(D272='טבלת פרמטרים'!$A$9,1,0)+IF(E272='טבלת פרמטרים'!$B$5,2,1)+IF(F272='טבלת פרמטרים'!$C$5,3,IF(F272='טבלת פרמטרים'!$C$4,1,0))+IF(G272='טבלת פרמטרים'!$D$3,2,0)+IF(M272='טבלת פרמטרים'!$J$4,2,IF(M272='טבלת פרמטרים'!$J$3,1,0))+IF(N272='טבלת פרמטרים'!$K$6,3,IF(OR(N272='טבלת פרמטרים'!$K$4,N272='טבלת פרמטרים'!$K$5),2,IF(N272='טבלת פרמטרים'!$K$3,1,0))))</f>
        <v>2</v>
      </c>
      <c r="Q272" s="20" t="s">
        <v>123</v>
      </c>
      <c r="R272" s="19">
        <f t="shared" si="8"/>
        <v>2</v>
      </c>
      <c r="T272" s="19">
        <f>IF(EXACT(Q272,'טבלת פרמטרים'!$O$2),'טבלת פרמטרים'!$P$2,IF(EXACT(Q272,'טבלת פרמטרים'!$O$3),'טבלת פרמטרים'!$P$3,IF(EXACT(Q272,'טבלת פרמטרים'!$O$4),'טבלת פרמטרים'!$P$4,IF(EXACT(Q272,'טבלת פרמטרים'!$O$5),'טבלת פרמטרים'!$P$5,IF(EXACT(Q272,'טבלת פרמטרים'!$O$6),'טבלת פרמטרים'!$P$6,IF(EXACT(Q272,'טבלת פרמטרים'!$O$7),'טבלת פרמטרים'!$P$7,""))))))</f>
        <v>0</v>
      </c>
    </row>
    <row r="273" spans="1:21" x14ac:dyDescent="0.2">
      <c r="A273" s="18">
        <v>273</v>
      </c>
      <c r="B273" s="30">
        <v>44217</v>
      </c>
      <c r="C273" s="30">
        <v>44217</v>
      </c>
      <c r="D273" s="21" t="s">
        <v>19</v>
      </c>
      <c r="E273" s="21" t="s">
        <v>20</v>
      </c>
      <c r="F273" s="21" t="s">
        <v>23</v>
      </c>
      <c r="G273" s="21" t="s">
        <v>26</v>
      </c>
      <c r="H273" s="21" t="s">
        <v>29</v>
      </c>
      <c r="J273" s="21" t="s">
        <v>11</v>
      </c>
      <c r="K273" s="21" t="s">
        <v>43</v>
      </c>
      <c r="L273" s="21" t="s">
        <v>51</v>
      </c>
      <c r="M273" s="21" t="s">
        <v>54</v>
      </c>
      <c r="O273" s="19">
        <f>IF(ISBLANK(D273),"",IF(D273='טבלת פרמטרים'!$A$9,1,0)+IF(E273='טבלת פרמטרים'!$B$5,2,1)+IF(F273='טבלת פרמטרים'!$C$5,3,IF(F273='טבלת פרמטרים'!$C$4,1,0))+IF(G273='טבלת פרמטרים'!$D$3,2,0)+IF(M273='טבלת פרמטרים'!$J$4,2,IF(M273='טבלת פרמטרים'!$J$3,1,0))+IF(N273='טבלת פרמטרים'!$K$6,3,IF(OR(N273='טבלת פרמטרים'!$K$4,N273='טבלת פרמטרים'!$K$5),2,IF(N273='טבלת פרמטרים'!$K$3,1,0))))</f>
        <v>2</v>
      </c>
      <c r="Q273" s="20" t="s">
        <v>123</v>
      </c>
      <c r="R273" s="19">
        <f t="shared" si="8"/>
        <v>2</v>
      </c>
      <c r="T273" s="19">
        <f>IF(EXACT(Q273,'טבלת פרמטרים'!$O$2),'טבלת פרמטרים'!$P$2,IF(EXACT(Q273,'טבלת פרמטרים'!$O$3),'טבלת פרמטרים'!$P$3,IF(EXACT(Q273,'טבלת פרמטרים'!$O$4),'טבלת פרמטרים'!$P$4,IF(EXACT(Q273,'טבלת פרמטרים'!$O$5),'טבלת פרמטרים'!$P$5,IF(EXACT(Q273,'טבלת פרמטרים'!$O$6),'טבלת פרמטרים'!$P$6,IF(EXACT(Q273,'טבלת פרמטרים'!$O$7),'טבלת פרמטרים'!$P$7,""))))))</f>
        <v>0</v>
      </c>
    </row>
    <row r="274" spans="1:21" x14ac:dyDescent="0.2">
      <c r="A274" s="18">
        <v>274</v>
      </c>
      <c r="B274" s="30">
        <v>44258</v>
      </c>
      <c r="C274" s="30">
        <v>44258</v>
      </c>
      <c r="D274" s="21" t="s">
        <v>13</v>
      </c>
      <c r="E274" s="21" t="s">
        <v>20</v>
      </c>
      <c r="F274" s="21" t="s">
        <v>23</v>
      </c>
      <c r="G274" s="21" t="s">
        <v>26</v>
      </c>
      <c r="H274" s="21" t="s">
        <v>30</v>
      </c>
      <c r="I274" s="21" t="s">
        <v>126</v>
      </c>
      <c r="J274" s="21" t="s">
        <v>63</v>
      </c>
      <c r="K274" s="21" t="s">
        <v>43</v>
      </c>
      <c r="O274" s="19">
        <f>IF(ISBLANK(D274),"",IF(D274='טבלת פרמטרים'!$A$9,1,0)+IF(E274='טבלת פרמטרים'!$B$5,2,1)+IF(F274='טבלת פרמטרים'!$C$5,3,IF(F274='טבלת פרמטרים'!$C$4,1,0))+IF(G274='טבלת פרמטרים'!$D$3,2,0)+IF(M274='טבלת פרמטרים'!$J$4,2,IF(M274='טבלת פרמטרים'!$J$3,1,0))+IF(N274='טבלת פרמטרים'!$K$6,3,IF(OR(N274='טבלת פרמטרים'!$K$4,N274='טבלת פרמטרים'!$K$5),2,IF(N274='טבלת פרמטרים'!$K$3,1,0))))</f>
        <v>1</v>
      </c>
      <c r="R274" s="19">
        <f t="shared" si="8"/>
        <v>1</v>
      </c>
      <c r="T274" s="19" t="str">
        <f>IF(EXACT(Q274,'טבלת פרמטרים'!$O$2),'טבלת פרמטרים'!$P$2,IF(EXACT(Q274,'טבלת פרמטרים'!$O$3),'טבלת פרמטרים'!$P$3,IF(EXACT(Q274,'טבלת פרמטרים'!$O$4),'טבלת פרמטרים'!$P$4,IF(EXACT(Q274,'טבלת פרמטרים'!$O$5),'טבלת פרמטרים'!$P$5,IF(EXACT(Q274,'טבלת פרמטרים'!$O$6),'טבלת פרמטרים'!$P$6,IF(EXACT(Q274,'טבלת פרמטרים'!$O$7),'טבלת פרמטרים'!$P$7,""))))))</f>
        <v/>
      </c>
    </row>
    <row r="275" spans="1:21" x14ac:dyDescent="0.2">
      <c r="A275" s="18">
        <v>275</v>
      </c>
      <c r="B275" s="30">
        <v>44252</v>
      </c>
      <c r="C275" s="30">
        <v>44258</v>
      </c>
      <c r="D275" s="21" t="s">
        <v>13</v>
      </c>
      <c r="E275" s="21" t="s">
        <v>21</v>
      </c>
      <c r="F275" s="21" t="s">
        <v>23</v>
      </c>
      <c r="G275" s="21" t="s">
        <v>26</v>
      </c>
      <c r="H275" s="21" t="s">
        <v>32</v>
      </c>
      <c r="I275" s="21" t="s">
        <v>127</v>
      </c>
      <c r="J275" s="21" t="s">
        <v>63</v>
      </c>
      <c r="K275" s="21" t="s">
        <v>45</v>
      </c>
      <c r="L275" s="21" t="s">
        <v>51</v>
      </c>
      <c r="M275" s="21" t="s">
        <v>54</v>
      </c>
      <c r="O275" s="19">
        <f>IF(ISBLANK(D275),"",IF(D275='טבלת פרמטרים'!$A$9,1,0)+IF(E275='טבלת פרמטרים'!$B$5,2,1)+IF(F275='טבלת פרמטרים'!$C$5,3,IF(F275='טבלת פרמטרים'!$C$4,1,0))+IF(G275='טבלת פרמטרים'!$D$3,2,0)+IF(M275='טבלת פרמטרים'!$J$4,2,IF(M275='טבלת פרמטרים'!$J$3,1,0))+IF(N275='טבלת פרמטרים'!$K$6,3,IF(OR(N275='טבלת פרמטרים'!$K$4,N275='טבלת פרמטרים'!$K$5),2,IF(N275='טבלת פרמטרים'!$K$3,1,0))))</f>
        <v>2</v>
      </c>
      <c r="Q275" s="20" t="s">
        <v>123</v>
      </c>
      <c r="R275" s="19">
        <f t="shared" si="8"/>
        <v>2</v>
      </c>
      <c r="T275" s="19">
        <f>IF(EXACT(Q275,'טבלת פרמטרים'!$O$2),'טבלת פרמטרים'!$P$2,IF(EXACT(Q275,'טבלת פרמטרים'!$O$3),'טבלת פרמטרים'!$P$3,IF(EXACT(Q275,'טבלת פרמטרים'!$O$4),'טבלת פרמטרים'!$P$4,IF(EXACT(Q275,'טבלת פרמטרים'!$O$5),'טבלת פרמטרים'!$P$5,IF(EXACT(Q275,'טבלת פרמטרים'!$O$6),'טבלת פרמטרים'!$P$6,IF(EXACT(Q275,'טבלת פרמטרים'!$O$7),'טבלת פרמטרים'!$P$7,""))))))</f>
        <v>0</v>
      </c>
    </row>
    <row r="276" spans="1:21" x14ac:dyDescent="0.2">
      <c r="A276" s="18">
        <v>276</v>
      </c>
      <c r="B276" s="30">
        <v>44235</v>
      </c>
      <c r="C276" s="30">
        <v>44236</v>
      </c>
      <c r="D276" s="21" t="s">
        <v>19</v>
      </c>
      <c r="E276" s="21" t="s">
        <v>111</v>
      </c>
      <c r="F276" s="21" t="s">
        <v>23</v>
      </c>
      <c r="G276" s="21" t="s">
        <v>26</v>
      </c>
      <c r="H276" s="21" t="s">
        <v>32</v>
      </c>
      <c r="I276" s="21" t="s">
        <v>126</v>
      </c>
      <c r="J276" s="21" t="s">
        <v>63</v>
      </c>
      <c r="K276" s="21" t="s">
        <v>43</v>
      </c>
      <c r="L276" s="21" t="s">
        <v>49</v>
      </c>
      <c r="M276" s="21" t="s">
        <v>55</v>
      </c>
      <c r="O276" s="19">
        <f>IF(ISBLANK(D276),"",IF(D276='טבלת פרמטרים'!$A$9,1,0)+IF(E276='טבלת פרמטרים'!$B$5,2,1)+IF(F276='טבלת פרמטרים'!$C$5,3,IF(F276='טבלת פרמטרים'!$C$4,1,0))+IF(G276='טבלת פרמטרים'!$D$3,2,0)+IF(M276='טבלת פרמטרים'!$J$4,2,IF(M276='טבלת פרמטרים'!$J$3,1,0))+IF(N276='טבלת פרמטרים'!$K$6,3,IF(OR(N276='טבלת פרמטרים'!$K$4,N276='טבלת פרמטרים'!$K$5),2,IF(N276='טבלת פרמטרים'!$K$3,1,0))))</f>
        <v>3</v>
      </c>
      <c r="R276" s="19">
        <f t="shared" si="8"/>
        <v>3</v>
      </c>
      <c r="T276" s="19" t="str">
        <f>IF(EXACT(Q276,'טבלת פרמטרים'!$O$2),'טבלת פרמטרים'!$P$2,IF(EXACT(Q276,'טבלת פרמטרים'!$O$3),'טבלת פרמטרים'!$P$3,IF(EXACT(Q276,'טבלת פרמטרים'!$O$4),'טבלת פרמטרים'!$P$4,IF(EXACT(Q276,'טבלת פרמטרים'!$O$5),'טבלת פרמטרים'!$P$5,IF(EXACT(Q276,'טבלת פרמטרים'!$O$6),'טבלת פרמטרים'!$P$6,IF(EXACT(Q276,'טבלת פרמטרים'!$O$7),'טבלת פרמטרים'!$P$7,""))))))</f>
        <v/>
      </c>
    </row>
    <row r="277" spans="1:21" ht="28.5" x14ac:dyDescent="0.2">
      <c r="A277" s="18">
        <v>277</v>
      </c>
      <c r="B277" s="30">
        <v>44258</v>
      </c>
      <c r="C277" s="30">
        <v>44276</v>
      </c>
      <c r="D277" s="21" t="s">
        <v>17</v>
      </c>
      <c r="E277" s="21" t="s">
        <v>22</v>
      </c>
      <c r="F277" s="21" t="s">
        <v>24</v>
      </c>
      <c r="G277" s="21" t="s">
        <v>26</v>
      </c>
      <c r="H277" s="21" t="s">
        <v>29</v>
      </c>
      <c r="I277" s="21" t="s">
        <v>126</v>
      </c>
      <c r="K277" s="21" t="s">
        <v>44</v>
      </c>
      <c r="L277" s="21" t="s">
        <v>51</v>
      </c>
      <c r="M277" s="21" t="s">
        <v>55</v>
      </c>
      <c r="O277" s="19">
        <f>IF(ISBLANK(D277),"",IF(D277='טבלת פרמטרים'!$A$9,1,0)+IF(E277='טבלת פרמטרים'!$B$5,2,1)+IF(F277='טבלת פרמטרים'!$C$5,3,IF(F277='טבלת פרמטרים'!$C$4,1,0))+IF(G277='טבלת פרמטרים'!$D$3,2,0)+IF(M277='טבלת פרמטרים'!$J$4,2,IF(M277='טבלת פרמטרים'!$J$3,1,0))+IF(N277='טבלת פרמטרים'!$K$6,3,IF(OR(N277='טבלת פרמטרים'!$K$4,N277='טבלת פרמטרים'!$K$5),2,IF(N277='טבלת פרמטרים'!$K$3,1,0))))</f>
        <v>6</v>
      </c>
      <c r="Q277" s="20" t="s">
        <v>329</v>
      </c>
      <c r="R277" s="19">
        <f t="shared" si="8"/>
        <v>7</v>
      </c>
      <c r="T277" s="19">
        <f>IF(EXACT(Q277,'טבלת פרמטרים'!$O$2),'טבלת פרמטרים'!$P$2,IF(EXACT(Q277,'טבלת פרמטרים'!$O$3),'טבלת פרמטרים'!$P$3,IF(EXACT(Q277,'טבלת פרמטרים'!$O$4),'טבלת פרמטרים'!$P$4,IF(EXACT(Q277,'טבלת פרמטרים'!$O$5),'טבלת פרמטרים'!$P$5,IF(EXACT(Q277,'טבלת פרמטרים'!$O$6),'טבלת פרמטרים'!$P$6,IF(EXACT(Q277,'טבלת פרמטרים'!$O$7),'טבלת פרמטרים'!$P$7,""))))))</f>
        <v>1</v>
      </c>
    </row>
    <row r="278" spans="1:21" x14ac:dyDescent="0.2">
      <c r="A278" s="18">
        <v>278</v>
      </c>
      <c r="B278" s="30">
        <v>44244</v>
      </c>
      <c r="C278" s="30">
        <v>44244</v>
      </c>
      <c r="D278" s="21" t="s">
        <v>16</v>
      </c>
      <c r="E278" s="21" t="s">
        <v>21</v>
      </c>
      <c r="F278" s="21" t="s">
        <v>23</v>
      </c>
      <c r="G278" s="21" t="s">
        <v>26</v>
      </c>
      <c r="H278" s="21" t="s">
        <v>31</v>
      </c>
      <c r="J278" s="21" t="s">
        <v>35</v>
      </c>
      <c r="K278" s="21" t="s">
        <v>45</v>
      </c>
      <c r="L278" s="21" t="s">
        <v>51</v>
      </c>
      <c r="M278" s="21" t="s">
        <v>53</v>
      </c>
      <c r="O278" s="19">
        <f>IF(ISBLANK(D278),"",IF(D278='טבלת פרמטרים'!$A$9,1,0)+IF(E278='טבלת פרמטרים'!$B$5,2,1)+IF(F278='טבלת פרמטרים'!$C$5,3,IF(F278='טבלת פרמטרים'!$C$4,1,0))+IF(G278='טבלת פרמטרים'!$D$3,2,0)+IF(M278='טבלת פרמטרים'!$J$4,2,IF(M278='טבלת פרמטרים'!$J$3,1,0))+IF(N278='טבלת פרמטרים'!$K$6,3,IF(OR(N278='טבלת פרמטרים'!$K$4,N278='טבלת פרמטרים'!$K$5),2,IF(N278='טבלת פרמטרים'!$K$3,1,0))))</f>
        <v>1</v>
      </c>
      <c r="Q278" s="20" t="s">
        <v>123</v>
      </c>
      <c r="R278" s="19">
        <f t="shared" si="8"/>
        <v>1</v>
      </c>
      <c r="T278" s="19">
        <f>IF(EXACT(Q278,'טבלת פרמטרים'!$O$2),'טבלת פרמטרים'!$P$2,IF(EXACT(Q278,'טבלת פרמטרים'!$O$3),'טבלת פרמטרים'!$P$3,IF(EXACT(Q278,'טבלת פרמטרים'!$O$4),'טבלת פרמטרים'!$P$4,IF(EXACT(Q278,'טבלת פרמטרים'!$O$5),'טבלת פרמטרים'!$P$5,IF(EXACT(Q278,'טבלת פרמטרים'!$O$6),'טבלת פרמטרים'!$P$6,IF(EXACT(Q278,'טבלת פרמטרים'!$O$7),'טבלת פרמטרים'!$P$7,""))))))</f>
        <v>0</v>
      </c>
    </row>
    <row r="279" spans="1:21" x14ac:dyDescent="0.2">
      <c r="A279" s="18">
        <v>279</v>
      </c>
      <c r="B279" s="30">
        <v>44250</v>
      </c>
      <c r="C279" s="30">
        <v>44251</v>
      </c>
      <c r="D279" s="21" t="s">
        <v>19</v>
      </c>
      <c r="E279" s="21" t="s">
        <v>21</v>
      </c>
      <c r="F279" s="21" t="s">
        <v>23</v>
      </c>
      <c r="G279" s="21" t="s">
        <v>26</v>
      </c>
      <c r="H279" s="21" t="s">
        <v>30</v>
      </c>
      <c r="I279" s="21" t="s">
        <v>126</v>
      </c>
      <c r="J279" s="21" t="s">
        <v>41</v>
      </c>
      <c r="K279" s="21" t="s">
        <v>19</v>
      </c>
      <c r="L279" s="21" t="s">
        <v>51</v>
      </c>
      <c r="M279" s="21" t="s">
        <v>54</v>
      </c>
      <c r="O279" s="19">
        <f>IF(ISBLANK(D279),"",IF(D279='טבלת פרמטרים'!$A$9,1,0)+IF(E279='טבלת פרמטרים'!$B$5,2,1)+IF(F279='טבלת פרמטרים'!$C$5,3,IF(F279='טבלת פרמטרים'!$C$4,1,0))+IF(G279='טבלת פרמטרים'!$D$3,2,0)+IF(M279='טבלת פרמטרים'!$J$4,2,IF(M279='טבלת פרמטרים'!$J$3,1,0))+IF(N279='טבלת פרמטרים'!$K$6,3,IF(OR(N279='טבלת פרמטרים'!$K$4,N279='טבלת פרמטרים'!$K$5),2,IF(N279='טבלת פרמטרים'!$K$3,1,0))))</f>
        <v>2</v>
      </c>
      <c r="Q279" s="20" t="s">
        <v>123</v>
      </c>
      <c r="R279" s="19">
        <f t="shared" si="8"/>
        <v>2</v>
      </c>
      <c r="T279" s="19">
        <f>IF(EXACT(Q279,'טבלת פרמטרים'!$O$2),'טבלת פרמטרים'!$P$2,IF(EXACT(Q279,'טבלת פרמטרים'!$O$3),'טבלת פרמטרים'!$P$3,IF(EXACT(Q279,'טבלת פרמטרים'!$O$4),'טבלת פרמטרים'!$P$4,IF(EXACT(Q279,'טבלת פרמטרים'!$O$5),'טבלת פרמטרים'!$P$5,IF(EXACT(Q279,'טבלת פרמטרים'!$O$6),'טבלת פרמטרים'!$P$6,IF(EXACT(Q279,'טבלת פרמטרים'!$O$7),'טבלת פרמטרים'!$P$7,""))))))</f>
        <v>0</v>
      </c>
    </row>
    <row r="280" spans="1:21" x14ac:dyDescent="0.2">
      <c r="A280" s="18">
        <v>280</v>
      </c>
      <c r="B280" s="30">
        <v>44245</v>
      </c>
      <c r="C280" s="30">
        <v>44257</v>
      </c>
      <c r="D280" s="21" t="s">
        <v>18</v>
      </c>
      <c r="E280" s="21" t="s">
        <v>20</v>
      </c>
      <c r="F280" s="21" t="s">
        <v>23</v>
      </c>
      <c r="G280" s="21" t="s">
        <v>26</v>
      </c>
      <c r="H280" s="21" t="s">
        <v>30</v>
      </c>
      <c r="I280" s="21" t="s">
        <v>126</v>
      </c>
      <c r="J280" s="21" t="s">
        <v>42</v>
      </c>
      <c r="K280" s="21" t="s">
        <v>19</v>
      </c>
      <c r="L280" s="21" t="s">
        <v>63</v>
      </c>
      <c r="M280" s="21" t="s">
        <v>53</v>
      </c>
      <c r="O280" s="19">
        <f>IF(ISBLANK(D280),"",IF(D280='טבלת פרמטרים'!$A$9,1,0)+IF(E280='טבלת פרמטרים'!$B$5,2,1)+IF(F280='טבלת פרמטרים'!$C$5,3,IF(F280='טבלת פרמטרים'!$C$4,1,0))+IF(G280='טבלת פרמטרים'!$D$3,2,0)+IF(M280='טבלת פרמטרים'!$J$4,2,IF(M280='טבלת פרמטרים'!$J$3,1,0))+IF(N280='טבלת פרמטרים'!$K$6,3,IF(OR(N280='טבלת פרמטרים'!$K$4,N280='טבלת פרמטרים'!$K$5),2,IF(N280='טבלת פרמטרים'!$K$3,1,0))))</f>
        <v>1</v>
      </c>
      <c r="Q280" s="20" t="s">
        <v>123</v>
      </c>
      <c r="R280" s="19">
        <f t="shared" si="8"/>
        <v>1</v>
      </c>
      <c r="T280" s="19">
        <f>IF(EXACT(Q280,'טבלת פרמטרים'!$O$2),'טבלת פרמטרים'!$P$2,IF(EXACT(Q280,'טבלת פרמטרים'!$O$3),'טבלת פרמטרים'!$P$3,IF(EXACT(Q280,'טבלת פרמטרים'!$O$4),'טבלת פרמטרים'!$P$4,IF(EXACT(Q280,'טבלת פרמטרים'!$O$5),'טבלת פרמטרים'!$P$5,IF(EXACT(Q280,'טבלת פרמטרים'!$O$6),'טבלת פרמטרים'!$P$6,IF(EXACT(Q280,'טבלת פרמטרים'!$O$7),'טבלת פרמטרים'!$P$7,""))))))</f>
        <v>0</v>
      </c>
    </row>
    <row r="281" spans="1:21" x14ac:dyDescent="0.2">
      <c r="A281" s="18">
        <v>281</v>
      </c>
      <c r="B281" s="30">
        <v>44262</v>
      </c>
      <c r="C281" s="30">
        <v>44262</v>
      </c>
      <c r="D281" s="21" t="s">
        <v>17</v>
      </c>
      <c r="E281" s="21" t="s">
        <v>111</v>
      </c>
      <c r="F281" s="21" t="s">
        <v>23</v>
      </c>
      <c r="G281" s="21" t="s">
        <v>26</v>
      </c>
      <c r="H281" s="21" t="s">
        <v>30</v>
      </c>
      <c r="I281" s="21" t="s">
        <v>127</v>
      </c>
      <c r="J281" s="21" t="s">
        <v>35</v>
      </c>
      <c r="K281" s="21" t="s">
        <v>43</v>
      </c>
      <c r="L281" s="21" t="s">
        <v>51</v>
      </c>
      <c r="M281" s="21" t="s">
        <v>55</v>
      </c>
      <c r="O281" s="19">
        <f>IF(ISBLANK(D281),"",IF(D281='טבלת פרמטרים'!$A$9,1,0)+IF(E281='טבלת פרמטרים'!$B$5,2,1)+IF(F281='טבלת פרמטרים'!$C$5,3,IF(F281='טבלת פרמטרים'!$C$4,1,0))+IF(G281='טבלת פרמטרים'!$D$3,2,0)+IF(M281='טבלת פרמטרים'!$J$4,2,IF(M281='טבלת פרמטרים'!$J$3,1,0))+IF(N281='טבלת פרמטרים'!$K$6,3,IF(OR(N281='טבלת פרמטרים'!$K$4,N281='טבלת פרמטרים'!$K$5),2,IF(N281='טבלת פרמטרים'!$K$3,1,0))))</f>
        <v>4</v>
      </c>
      <c r="Q281" s="20" t="s">
        <v>123</v>
      </c>
      <c r="R281" s="19">
        <f t="shared" si="8"/>
        <v>4</v>
      </c>
      <c r="T281" s="19">
        <f>IF(EXACT(Q281,'טבלת פרמטרים'!$O$2),'טבלת פרמטרים'!$P$2,IF(EXACT(Q281,'טבלת פרמטרים'!$O$3),'טבלת פרמטרים'!$P$3,IF(EXACT(Q281,'טבלת פרמטרים'!$O$4),'טבלת פרמטרים'!$P$4,IF(EXACT(Q281,'טבלת פרמטרים'!$O$5),'טבלת פרמטרים'!$P$5,IF(EXACT(Q281,'טבלת פרמטרים'!$O$6),'טבלת פרמטרים'!$P$6,IF(EXACT(Q281,'טבלת פרמטרים'!$O$7),'טבלת פרמטרים'!$P$7,""))))))</f>
        <v>0</v>
      </c>
    </row>
    <row r="282" spans="1:21" x14ac:dyDescent="0.2">
      <c r="A282" s="18">
        <v>282</v>
      </c>
      <c r="B282" s="30">
        <v>44266</v>
      </c>
      <c r="C282" s="30">
        <v>44266</v>
      </c>
      <c r="D282" s="21" t="s">
        <v>10</v>
      </c>
      <c r="E282" s="21" t="s">
        <v>20</v>
      </c>
      <c r="F282" s="21" t="s">
        <v>23</v>
      </c>
      <c r="G282" s="21" t="s">
        <v>26</v>
      </c>
      <c r="H282" s="21" t="s">
        <v>28</v>
      </c>
      <c r="I282" s="21" t="s">
        <v>127</v>
      </c>
      <c r="J282" s="21" t="s">
        <v>41</v>
      </c>
      <c r="K282" s="21" t="s">
        <v>45</v>
      </c>
      <c r="L282" s="21" t="s">
        <v>51</v>
      </c>
      <c r="M282" s="21" t="s">
        <v>53</v>
      </c>
      <c r="O282" s="19">
        <f>IF(ISBLANK(D282),"",IF(D282='טבלת פרמטרים'!$A$9,1,0)+IF(E282='טבלת פרמטרים'!$B$5,2,1)+IF(F282='טבלת פרמטרים'!$C$5,3,IF(F282='טבלת פרמטרים'!$C$4,1,0))+IF(G282='טבלת פרמטרים'!$D$3,2,0)+IF(M282='טבלת פרמטרים'!$J$4,2,IF(M282='טבלת פרמטרים'!$J$3,1,0))+IF(N282='טבלת פרמטרים'!$K$6,3,IF(OR(N282='טבלת פרמטרים'!$K$4,N282='טבלת פרמטרים'!$K$5),2,IF(N282='טבלת פרמטרים'!$K$3,1,0))))</f>
        <v>1</v>
      </c>
      <c r="Q282" s="20" t="s">
        <v>123</v>
      </c>
      <c r="R282" s="19">
        <f t="shared" si="8"/>
        <v>1</v>
      </c>
      <c r="T282" s="19">
        <f>IF(EXACT(Q282,'טבלת פרמטרים'!$O$2),'טבלת פרמטרים'!$P$2,IF(EXACT(Q282,'טבלת פרמטרים'!$O$3),'טבלת פרמטרים'!$P$3,IF(EXACT(Q282,'טבלת פרמטרים'!$O$4),'טבלת פרמטרים'!$P$4,IF(EXACT(Q282,'טבלת פרמטרים'!$O$5),'טבלת פרמטרים'!$P$5,IF(EXACT(Q282,'טבלת פרמטרים'!$O$6),'טבלת פרמטרים'!$P$6,IF(EXACT(Q282,'טבלת פרמטרים'!$O$7),'טבלת פרמטרים'!$P$7,""))))))</f>
        <v>0</v>
      </c>
    </row>
    <row r="283" spans="1:21" x14ac:dyDescent="0.2">
      <c r="A283" s="18">
        <v>283</v>
      </c>
      <c r="B283" s="30">
        <v>44265</v>
      </c>
      <c r="C283" s="30">
        <v>44265</v>
      </c>
      <c r="D283" s="21" t="s">
        <v>11</v>
      </c>
      <c r="E283" s="21" t="s">
        <v>20</v>
      </c>
      <c r="F283" s="21" t="s">
        <v>23</v>
      </c>
      <c r="G283" s="21" t="s">
        <v>26</v>
      </c>
      <c r="H283" s="21" t="s">
        <v>32</v>
      </c>
      <c r="I283" s="21" t="s">
        <v>126</v>
      </c>
      <c r="J283" s="21" t="s">
        <v>11</v>
      </c>
      <c r="K283" s="21" t="s">
        <v>43</v>
      </c>
      <c r="L283" s="21" t="s">
        <v>49</v>
      </c>
      <c r="M283" s="21" t="s">
        <v>53</v>
      </c>
      <c r="O283" s="19">
        <f>IF(ISBLANK(D283),"",IF(D283='טבלת פרמטרים'!$A$9,1,0)+IF(E283='טבלת פרמטרים'!$B$5,2,1)+IF(F283='טבלת פרמטרים'!$C$5,3,IF(F283='טבלת פרמטרים'!$C$4,1,0))+IF(G283='טבלת פרמטרים'!$D$3,2,0)+IF(M283='טבלת פרמטרים'!$J$4,2,IF(M283='טבלת פרמטרים'!$J$3,1,0))+IF(N283='טבלת פרמטרים'!$K$6,3,IF(OR(N283='טבלת פרמטרים'!$K$4,N283='טבלת פרמטרים'!$K$5),2,IF(N283='טבלת פרמטרים'!$K$3,1,0))))</f>
        <v>1</v>
      </c>
      <c r="Q283" s="20" t="s">
        <v>123</v>
      </c>
      <c r="R283" s="19">
        <f t="shared" si="8"/>
        <v>1</v>
      </c>
      <c r="T283" s="19">
        <f>IF(EXACT(Q283,'טבלת פרמטרים'!$O$2),'טבלת פרמטרים'!$P$2,IF(EXACT(Q283,'טבלת פרמטרים'!$O$3),'טבלת פרמטרים'!$P$3,IF(EXACT(Q283,'טבלת פרמטרים'!$O$4),'טבלת פרמטרים'!$P$4,IF(EXACT(Q283,'טבלת פרמטרים'!$O$5),'טבלת פרמטרים'!$P$5,IF(EXACT(Q283,'טבלת פרמטרים'!$O$6),'טבלת פרמטרים'!$P$6,IF(EXACT(Q283,'טבלת פרמטרים'!$O$7),'טבלת פרמטרים'!$P$7,""))))))</f>
        <v>0</v>
      </c>
    </row>
    <row r="284" spans="1:21" x14ac:dyDescent="0.2">
      <c r="A284" s="18">
        <v>284</v>
      </c>
      <c r="B284" s="30">
        <v>44269</v>
      </c>
      <c r="C284" s="30">
        <v>44269</v>
      </c>
      <c r="D284" s="21" t="s">
        <v>19</v>
      </c>
      <c r="E284" s="21" t="s">
        <v>111</v>
      </c>
      <c r="F284" s="21" t="s">
        <v>23</v>
      </c>
      <c r="G284" s="21" t="s">
        <v>26</v>
      </c>
      <c r="H284" s="21" t="s">
        <v>31</v>
      </c>
      <c r="I284" s="21" t="s">
        <v>126</v>
      </c>
      <c r="J284" s="21" t="s">
        <v>41</v>
      </c>
      <c r="K284" s="21" t="s">
        <v>44</v>
      </c>
      <c r="L284" s="21" t="s">
        <v>51</v>
      </c>
      <c r="M284" s="21" t="s">
        <v>55</v>
      </c>
      <c r="O284" s="19">
        <f>IF(ISBLANK(D284),"",IF(D284='טבלת פרמטרים'!$A$9,1,0)+IF(E284='טבלת פרמטרים'!$B$5,2,1)+IF(F284='טבלת פרמטרים'!$C$5,3,IF(F284='טבלת פרמטרים'!$C$4,1,0))+IF(G284='טבלת פרמטרים'!$D$3,2,0)+IF(M284='טבלת פרמטרים'!$J$4,2,IF(M284='טבלת פרמטרים'!$J$3,1,0))+IF(N284='טבלת פרמטרים'!$K$6,3,IF(OR(N284='טבלת פרמטרים'!$K$4,N284='טבלת פרמטרים'!$K$5),2,IF(N284='טבלת פרמטרים'!$K$3,1,0))))</f>
        <v>3</v>
      </c>
      <c r="Q284" s="20" t="s">
        <v>123</v>
      </c>
      <c r="R284" s="19">
        <f t="shared" si="8"/>
        <v>3</v>
      </c>
      <c r="T284" s="19">
        <f>IF(EXACT(Q284,'טבלת פרמטרים'!$O$2),'טבלת פרמטרים'!$P$2,IF(EXACT(Q284,'טבלת פרמטרים'!$O$3),'טבלת פרמטרים'!$P$3,IF(EXACT(Q284,'טבלת פרמטרים'!$O$4),'טבלת פרמטרים'!$P$4,IF(EXACT(Q284,'טבלת פרמטרים'!$O$5),'טבלת פרמטרים'!$P$5,IF(EXACT(Q284,'טבלת פרמטרים'!$O$6),'טבלת פרמטרים'!$P$6,IF(EXACT(Q284,'טבלת פרמטרים'!$O$7),'טבלת פרמטרים'!$P$7,""))))))</f>
        <v>0</v>
      </c>
    </row>
    <row r="285" spans="1:21" x14ac:dyDescent="0.2">
      <c r="A285" s="18">
        <v>285</v>
      </c>
      <c r="B285" s="30">
        <v>44271</v>
      </c>
      <c r="C285" s="30">
        <v>44271</v>
      </c>
      <c r="D285" s="21" t="s">
        <v>19</v>
      </c>
      <c r="E285" s="21" t="s">
        <v>111</v>
      </c>
      <c r="F285" s="21" t="s">
        <v>23</v>
      </c>
      <c r="G285" s="21" t="s">
        <v>26</v>
      </c>
      <c r="H285" s="21" t="s">
        <v>31</v>
      </c>
      <c r="I285" s="21" t="s">
        <v>126</v>
      </c>
      <c r="J285" s="21" t="s">
        <v>63</v>
      </c>
      <c r="K285" s="21" t="s">
        <v>45</v>
      </c>
      <c r="L285" s="21" t="s">
        <v>51</v>
      </c>
      <c r="M285" s="21" t="s">
        <v>53</v>
      </c>
      <c r="O285" s="19">
        <f>IF(ISBLANK(D285),"",IF(D285='טבלת פרמטרים'!$A$9,1,0)+IF(E285='טבלת פרמטרים'!$B$5,2,1)+IF(F285='טבלת פרמטרים'!$C$5,3,IF(F285='טבלת פרמטרים'!$C$4,1,0))+IF(G285='טבלת פרמטרים'!$D$3,2,0)+IF(M285='טבלת פרמטרים'!$J$4,2,IF(M285='טבלת פרמטרים'!$J$3,1,0))+IF(N285='טבלת פרמטרים'!$K$6,3,IF(OR(N285='טבלת פרמטרים'!$K$4,N285='טבלת פרמטרים'!$K$5),2,IF(N285='טבלת פרמטרים'!$K$3,1,0))))</f>
        <v>1</v>
      </c>
      <c r="R285" s="19">
        <f t="shared" si="8"/>
        <v>1</v>
      </c>
      <c r="T285" s="19" t="str">
        <f>IF(EXACT(Q285,'טבלת פרמטרים'!$O$2),'טבלת פרמטרים'!$P$2,IF(EXACT(Q285,'טבלת פרמטרים'!$O$3),'טבלת פרמטרים'!$P$3,IF(EXACT(Q285,'טבלת פרמטרים'!$O$4),'טבלת פרמטרים'!$P$4,IF(EXACT(Q285,'טבלת פרמטרים'!$O$5),'טבלת פרמטרים'!$P$5,IF(EXACT(Q285,'טבלת פרמטרים'!$O$6),'טבלת פרמטרים'!$P$6,IF(EXACT(Q285,'טבלת פרמטרים'!$O$7),'טבלת פרמטרים'!$P$7,""))))))</f>
        <v/>
      </c>
    </row>
    <row r="286" spans="1:21" x14ac:dyDescent="0.2">
      <c r="A286" s="18">
        <v>286</v>
      </c>
      <c r="B286" s="30">
        <v>44290</v>
      </c>
      <c r="C286" s="30">
        <v>44291</v>
      </c>
      <c r="D286" s="21" t="s">
        <v>12</v>
      </c>
      <c r="E286" s="21" t="s">
        <v>20</v>
      </c>
      <c r="F286" s="21" t="s">
        <v>23</v>
      </c>
      <c r="G286" s="21" t="s">
        <v>26</v>
      </c>
      <c r="H286" s="21" t="s">
        <v>30</v>
      </c>
      <c r="I286" s="21" t="s">
        <v>126</v>
      </c>
      <c r="J286" s="21" t="s">
        <v>63</v>
      </c>
      <c r="K286" s="21" t="s">
        <v>43</v>
      </c>
      <c r="L286" s="21" t="s">
        <v>51</v>
      </c>
      <c r="M286" s="21" t="s">
        <v>54</v>
      </c>
      <c r="O286" s="19">
        <f>IF(ISBLANK(D286),"",IF(D286='טבלת פרמטרים'!$A$9,1,0)+IF(E286='טבלת פרמטרים'!$B$5,2,1)+IF(F286='טבלת פרמטרים'!$C$5,3,IF(F286='טבלת פרמטרים'!$C$4,1,0))+IF(G286='טבלת פרמטרים'!$D$3,2,0)+IF(M286='טבלת פרמטרים'!$J$4,2,IF(M286='טבלת פרמטרים'!$J$3,1,0))+IF(N286='טבלת פרמטרים'!$K$6,3,IF(OR(N286='טבלת פרמטרים'!$K$4,N286='טבלת פרמטרים'!$K$5),2,IF(N286='טבלת פרמטרים'!$K$3,1,0))))</f>
        <v>2</v>
      </c>
      <c r="Q286" s="20" t="s">
        <v>123</v>
      </c>
      <c r="R286" s="19">
        <f t="shared" si="8"/>
        <v>2</v>
      </c>
      <c r="T286" s="19">
        <f>IF(EXACT(Q286,'טבלת פרמטרים'!$O$2),'טבלת פרמטרים'!$P$2,IF(EXACT(Q286,'טבלת פרמטרים'!$O$3),'טבלת פרמטרים'!$P$3,IF(EXACT(Q286,'טבלת פרמטרים'!$O$4),'טבלת פרמטרים'!$P$4,IF(EXACT(Q286,'טבלת פרמטרים'!$O$5),'טבלת פרמטרים'!$P$5,IF(EXACT(Q286,'טבלת פרמטרים'!$O$6),'טבלת פרמטרים'!$P$6,IF(EXACT(Q286,'טבלת פרמטרים'!$O$7),'טבלת פרמטרים'!$P$7,""))))))</f>
        <v>0</v>
      </c>
    </row>
    <row r="287" spans="1:21" x14ac:dyDescent="0.2">
      <c r="A287" s="18">
        <v>287</v>
      </c>
      <c r="B287" s="30">
        <v>44290</v>
      </c>
      <c r="C287" s="30">
        <v>44291</v>
      </c>
      <c r="D287" s="21" t="s">
        <v>15</v>
      </c>
      <c r="E287" s="21" t="s">
        <v>20</v>
      </c>
      <c r="F287" s="21" t="s">
        <v>23</v>
      </c>
      <c r="G287" s="21" t="s">
        <v>26</v>
      </c>
      <c r="H287" s="21" t="s">
        <v>30</v>
      </c>
      <c r="I287" s="21" t="s">
        <v>126</v>
      </c>
      <c r="J287" s="21" t="s">
        <v>63</v>
      </c>
      <c r="K287" s="21" t="s">
        <v>44</v>
      </c>
      <c r="L287" s="21" t="s">
        <v>51</v>
      </c>
      <c r="M287" s="21" t="s">
        <v>54</v>
      </c>
      <c r="O287" s="19">
        <f>IF(ISBLANK(D287),"",IF(D287='טבלת פרמטרים'!$A$9,1,0)+IF(E287='טבלת פרמטרים'!$B$5,2,1)+IF(F287='טבלת פרמטרים'!$C$5,3,IF(F287='טבלת פרמטרים'!$C$4,1,0))+IF(G287='טבלת פרמטרים'!$D$3,2,0)+IF(M287='טבלת פרמטרים'!$J$4,2,IF(M287='טבלת פרמטרים'!$J$3,1,0))+IF(N287='טבלת פרמטרים'!$K$6,3,IF(OR(N287='טבלת פרמטרים'!$K$4,N287='טבלת פרמטרים'!$K$5),2,IF(N287='טבלת פרמטרים'!$K$3,1,0))))</f>
        <v>2</v>
      </c>
      <c r="Q287" s="20" t="s">
        <v>123</v>
      </c>
      <c r="R287" s="19">
        <f t="shared" si="8"/>
        <v>2</v>
      </c>
      <c r="T287" s="19">
        <f>IF(EXACT(Q287,'טבלת פרמטרים'!$O$2),'טבלת פרמטרים'!$P$2,IF(EXACT(Q287,'טבלת פרמטרים'!$O$3),'טבלת פרמטרים'!$P$3,IF(EXACT(Q287,'טבלת פרמטרים'!$O$4),'טבלת פרמטרים'!$P$4,IF(EXACT(Q287,'טבלת פרמטרים'!$O$5),'טבלת פרמטרים'!$P$5,IF(EXACT(Q287,'טבלת פרמטרים'!$O$6),'טבלת פרמטרים'!$P$6,IF(EXACT(Q287,'טבלת פרמטרים'!$O$7),'טבלת פרמטרים'!$P$7,""))))))</f>
        <v>0</v>
      </c>
    </row>
    <row r="288" spans="1:21" ht="71.25" x14ac:dyDescent="0.2">
      <c r="A288" s="18">
        <v>288</v>
      </c>
      <c r="B288" s="30">
        <v>44237</v>
      </c>
      <c r="C288" s="30">
        <v>44266</v>
      </c>
      <c r="D288" s="21" t="s">
        <v>17</v>
      </c>
      <c r="E288" s="21" t="s">
        <v>20</v>
      </c>
      <c r="F288" s="21" t="s">
        <v>23</v>
      </c>
      <c r="G288" s="21" t="s">
        <v>27</v>
      </c>
      <c r="H288" s="21" t="s">
        <v>32</v>
      </c>
      <c r="I288" s="21" t="s">
        <v>126</v>
      </c>
      <c r="J288" s="21" t="s">
        <v>40</v>
      </c>
      <c r="K288" s="21" t="s">
        <v>19</v>
      </c>
      <c r="L288" s="21" t="s">
        <v>51</v>
      </c>
      <c r="M288" s="21" t="s">
        <v>55</v>
      </c>
      <c r="O288" s="19">
        <f>IF(ISBLANK(D288),"",IF(D288='טבלת פרמטרים'!$A$9,1,0)+IF(E288='טבלת פרמטרים'!$B$5,2,1)+IF(F288='טבלת פרמטרים'!$C$5,3,IF(F288='טבלת פרמטרים'!$C$4,1,0))+IF(G288='טבלת פרמטרים'!$D$3,2,0)+IF(M288='טבלת פרמטרים'!$J$4,2,IF(M288='טבלת פרמטרים'!$J$3,1,0))+IF(N288='טבלת פרמטרים'!$K$6,3,IF(OR(N288='טבלת פרמטרים'!$K$4,N288='טבלת פרמטרים'!$K$5),2,IF(N288='טבלת פרמטרים'!$K$3,1,0))))</f>
        <v>6</v>
      </c>
      <c r="Q288" s="20" t="s">
        <v>123</v>
      </c>
      <c r="R288" s="19">
        <f t="shared" si="8"/>
        <v>6</v>
      </c>
      <c r="T288" s="19">
        <f>IF(EXACT(Q288,'טבלת פרמטרים'!$O$2),'טבלת פרמטרים'!$P$2,IF(EXACT(Q288,'טבלת פרמטרים'!$O$3),'טבלת פרמטרים'!$P$3,IF(EXACT(Q288,'טבלת פרמטרים'!$O$4),'טבלת פרמטרים'!$P$4,IF(EXACT(Q288,'טבלת פרמטרים'!$O$5),'טבלת פרמטרים'!$P$5,IF(EXACT(Q288,'טבלת פרמטרים'!$O$6),'טבלת פרמטרים'!$P$6,IF(EXACT(Q288,'טבלת פרמטרים'!$O$7),'טבלת פרמטרים'!$P$7,""))))))</f>
        <v>0</v>
      </c>
      <c r="U288" s="20" t="s">
        <v>484</v>
      </c>
    </row>
    <row r="289" spans="1:21" ht="57" x14ac:dyDescent="0.2">
      <c r="A289" s="18">
        <v>289</v>
      </c>
      <c r="B289" s="30">
        <v>44279</v>
      </c>
      <c r="C289" s="30">
        <v>44279</v>
      </c>
      <c r="D289" s="21" t="s">
        <v>16</v>
      </c>
      <c r="E289" s="21" t="s">
        <v>22</v>
      </c>
      <c r="F289" s="21" t="s">
        <v>24</v>
      </c>
      <c r="G289" s="21" t="s">
        <v>26</v>
      </c>
      <c r="H289" s="21" t="s">
        <v>19</v>
      </c>
      <c r="I289" s="21" t="s">
        <v>127</v>
      </c>
      <c r="J289" s="21" t="s">
        <v>42</v>
      </c>
      <c r="K289" s="21" t="s">
        <v>19</v>
      </c>
      <c r="L289" s="21" t="s">
        <v>63</v>
      </c>
      <c r="M289" s="21" t="s">
        <v>53</v>
      </c>
      <c r="O289" s="19">
        <f>IF(ISBLANK(D289),"",IF(D289='טבלת פרמטרים'!$A$9,1,0)+IF(E289='טבלת פרמטרים'!$B$5,2,1)+IF(F289='טבלת פרמטרים'!$C$5,3,IF(F289='טבלת פרמטרים'!$C$4,1,0))+IF(G289='טבלת פרמטרים'!$D$3,2,0)+IF(M289='טבלת פרמטרים'!$J$4,2,IF(M289='טבלת פרמטרים'!$J$3,1,0))+IF(N289='טבלת פרמטרים'!$K$6,3,IF(OR(N289='טבלת פרמטרים'!$K$4,N289='טבלת פרמטרים'!$K$5),2,IF(N289='טבלת פרמטרים'!$K$3,1,0))))</f>
        <v>3</v>
      </c>
      <c r="Q289" s="20" t="s">
        <v>123</v>
      </c>
      <c r="R289" s="19">
        <f t="shared" si="8"/>
        <v>3</v>
      </c>
      <c r="T289" s="19">
        <f>IF(EXACT(Q289,'טבלת פרמטרים'!$O$2),'טבלת פרמטרים'!$P$2,IF(EXACT(Q289,'טבלת פרמטרים'!$O$3),'טבלת פרמטרים'!$P$3,IF(EXACT(Q289,'טבלת פרמטרים'!$O$4),'טבלת פרמטרים'!$P$4,IF(EXACT(Q289,'טבלת פרמטרים'!$O$5),'טבלת פרמטרים'!$P$5,IF(EXACT(Q289,'טבלת פרמטרים'!$O$6),'טבלת פרמטרים'!$P$6,IF(EXACT(Q289,'טבלת פרמטרים'!$O$7),'טבלת פרמטרים'!$P$7,""))))))</f>
        <v>0</v>
      </c>
      <c r="U289" s="20" t="s">
        <v>485</v>
      </c>
    </row>
    <row r="290" spans="1:21" x14ac:dyDescent="0.2">
      <c r="A290" s="18">
        <v>290</v>
      </c>
      <c r="B290" s="30">
        <v>44279</v>
      </c>
      <c r="C290" s="30">
        <v>44279</v>
      </c>
      <c r="D290" s="21" t="s">
        <v>16</v>
      </c>
      <c r="E290" s="21" t="s">
        <v>21</v>
      </c>
      <c r="F290" s="21" t="s">
        <v>23</v>
      </c>
      <c r="G290" s="21" t="s">
        <v>26</v>
      </c>
      <c r="H290" s="21" t="s">
        <v>29</v>
      </c>
      <c r="I290" s="21" t="s">
        <v>127</v>
      </c>
      <c r="J290" s="21" t="s">
        <v>35</v>
      </c>
      <c r="K290" s="21" t="s">
        <v>44</v>
      </c>
      <c r="L290" s="21" t="s">
        <v>51</v>
      </c>
      <c r="M290" s="21" t="s">
        <v>53</v>
      </c>
      <c r="O290" s="19">
        <f>IF(ISBLANK(D290),"",IF(D290='טבלת פרמטרים'!$A$9,1,0)+IF(E290='טבלת פרמטרים'!$B$5,2,1)+IF(F290='טבלת פרמטרים'!$C$5,3,IF(F290='טבלת פרמטרים'!$C$4,1,0))+IF(G290='טבלת פרמטרים'!$D$3,2,0)+IF(M290='טבלת פרמטרים'!$J$4,2,IF(M290='טבלת פרמטרים'!$J$3,1,0))+IF(N290='טבלת פרמטרים'!$K$6,3,IF(OR(N290='טבלת פרמטרים'!$K$4,N290='טבלת פרמטרים'!$K$5),2,IF(N290='טבלת פרמטרים'!$K$3,1,0))))</f>
        <v>1</v>
      </c>
      <c r="Q290" s="20" t="s">
        <v>123</v>
      </c>
      <c r="R290" s="19">
        <f t="shared" si="8"/>
        <v>1</v>
      </c>
      <c r="T290" s="19">
        <f>IF(EXACT(Q290,'טבלת פרמטרים'!$O$2),'טבלת פרמטרים'!$P$2,IF(EXACT(Q290,'טבלת פרמטרים'!$O$3),'טבלת פרמטרים'!$P$3,IF(EXACT(Q290,'טבלת פרמטרים'!$O$4),'טבלת פרמטרים'!$P$4,IF(EXACT(Q290,'טבלת פרמטרים'!$O$5),'טבלת פרמטרים'!$P$5,IF(EXACT(Q290,'טבלת פרמטרים'!$O$6),'טבלת פרמטרים'!$P$6,IF(EXACT(Q290,'טבלת פרמטרים'!$O$7),'טבלת פרמטרים'!$P$7,""))))))</f>
        <v>0</v>
      </c>
    </row>
    <row r="291" spans="1:21" x14ac:dyDescent="0.2">
      <c r="A291" s="18">
        <v>291</v>
      </c>
      <c r="C291" s="30">
        <v>44285</v>
      </c>
      <c r="D291" s="21" t="s">
        <v>17</v>
      </c>
      <c r="E291" s="21" t="s">
        <v>22</v>
      </c>
      <c r="F291" s="21" t="s">
        <v>24</v>
      </c>
      <c r="G291" s="21" t="s">
        <v>27</v>
      </c>
      <c r="H291" s="21" t="s">
        <v>30</v>
      </c>
      <c r="I291" s="21" t="s">
        <v>127</v>
      </c>
      <c r="J291" s="21" t="s">
        <v>33</v>
      </c>
      <c r="K291" s="21" t="s">
        <v>44</v>
      </c>
      <c r="L291" s="21" t="s">
        <v>51</v>
      </c>
      <c r="M291" s="21" t="s">
        <v>55</v>
      </c>
      <c r="O291" s="19">
        <f>IF(ISBLANK(D291),"",IF(D291='טבלת פרמטרים'!$A$9,1,0)+IF(E291='טבלת פרמטרים'!$B$5,2,1)+IF(F291='טבלת פרמטרים'!$C$5,3,IF(F291='טבלת פרמטרים'!$C$4,1,0))+IF(G291='טבלת פרמטרים'!$D$3,2,0)+IF(M291='טבלת פרמטרים'!$J$4,2,IF(M291='טבלת פרמטרים'!$J$3,1,0))+IF(N291='טבלת פרמטרים'!$K$6,3,IF(OR(N291='טבלת פרמטרים'!$K$4,N291='טבלת פרמטרים'!$K$5),2,IF(N291='טבלת פרמטרים'!$K$3,1,0))))</f>
        <v>8</v>
      </c>
      <c r="R291" s="19">
        <f t="shared" si="8"/>
        <v>8</v>
      </c>
      <c r="T291" s="19" t="str">
        <f>IF(EXACT(Q291,'טבלת פרמטרים'!$O$2),'טבלת פרמטרים'!$P$2,IF(EXACT(Q291,'טבלת פרמטרים'!$O$3),'טבלת פרמטרים'!$P$3,IF(EXACT(Q291,'טבלת פרמטרים'!$O$4),'טבלת פרמטרים'!$P$4,IF(EXACT(Q291,'טבלת פרמטרים'!$O$5),'טבלת פרמטרים'!$P$5,IF(EXACT(Q291,'טבלת פרמטרים'!$O$6),'טבלת פרמטרים'!$P$6,IF(EXACT(Q291,'טבלת פרמטרים'!$O$7),'טבלת פרמטרים'!$P$7,""))))))</f>
        <v/>
      </c>
    </row>
    <row r="292" spans="1:21" x14ac:dyDescent="0.2">
      <c r="A292" s="18">
        <v>292</v>
      </c>
      <c r="B292" s="30">
        <v>44284</v>
      </c>
      <c r="C292" s="30">
        <v>44287</v>
      </c>
      <c r="D292" s="21" t="s">
        <v>10</v>
      </c>
      <c r="E292" s="21" t="s">
        <v>21</v>
      </c>
      <c r="F292" s="21" t="s">
        <v>24</v>
      </c>
      <c r="G292" s="21" t="s">
        <v>26</v>
      </c>
      <c r="H292" s="21" t="s">
        <v>29</v>
      </c>
      <c r="I292" s="21" t="s">
        <v>126</v>
      </c>
      <c r="J292" s="21" t="s">
        <v>33</v>
      </c>
      <c r="K292" s="21" t="s">
        <v>44</v>
      </c>
      <c r="L292" s="21" t="s">
        <v>51</v>
      </c>
      <c r="M292" s="21" t="s">
        <v>53</v>
      </c>
      <c r="O292" s="19">
        <f>IF(ISBLANK(D292),"",IF(D292='טבלת פרמטרים'!$A$9,1,0)+IF(E292='טבלת פרמטרים'!$B$5,2,1)+IF(F292='טבלת פרמטרים'!$C$5,3,IF(F292='טבלת פרמטרים'!$C$4,1,0))+IF(G292='טבלת פרמטרים'!$D$3,2,0)+IF(M292='טבלת פרמטרים'!$J$4,2,IF(M292='טבלת פרמטרים'!$J$3,1,0))+IF(N292='טבלת פרמטרים'!$K$6,3,IF(OR(N292='טבלת פרמטרים'!$K$4,N292='טבלת פרמטרים'!$K$5),2,IF(N292='טבלת פרמטרים'!$K$3,1,0))))</f>
        <v>2</v>
      </c>
      <c r="R292" s="19">
        <f t="shared" si="8"/>
        <v>2</v>
      </c>
      <c r="T292" s="19" t="str">
        <f>IF(EXACT(Q292,'טבלת פרמטרים'!$O$2),'טבלת פרמטרים'!$P$2,IF(EXACT(Q292,'טבלת פרמטרים'!$O$3),'טבלת פרמטרים'!$P$3,IF(EXACT(Q292,'טבלת פרמטרים'!$O$4),'טבלת פרמטרים'!$P$4,IF(EXACT(Q292,'טבלת פרמטרים'!$O$5),'טבלת פרמטרים'!$P$5,IF(EXACT(Q292,'טבלת פרמטרים'!$O$6),'טבלת פרמטרים'!$P$6,IF(EXACT(Q292,'טבלת פרמטרים'!$O$7),'טבלת פרמטרים'!$P$7,""))))))</f>
        <v/>
      </c>
      <c r="U292" s="19" t="s">
        <v>506</v>
      </c>
    </row>
    <row r="293" spans="1:21" x14ac:dyDescent="0.2">
      <c r="A293" s="18">
        <v>293</v>
      </c>
      <c r="C293" s="30">
        <v>44297</v>
      </c>
      <c r="D293" s="21" t="s">
        <v>17</v>
      </c>
      <c r="E293" s="21" t="s">
        <v>111</v>
      </c>
      <c r="F293" s="21" t="s">
        <v>23</v>
      </c>
      <c r="G293" s="21" t="s">
        <v>26</v>
      </c>
      <c r="H293" s="21" t="s">
        <v>29</v>
      </c>
      <c r="I293" s="21" t="s">
        <v>126</v>
      </c>
      <c r="K293" s="21" t="s">
        <v>43</v>
      </c>
      <c r="L293" s="21" t="s">
        <v>51</v>
      </c>
      <c r="M293" s="21" t="s">
        <v>53</v>
      </c>
      <c r="O293" s="19">
        <f>IF(ISBLANK(D293),"",IF(D293='טבלת פרמטרים'!$A$9,1,0)+IF(E293='טבלת פרמטרים'!$B$5,2,1)+IF(F293='טבלת פרמטרים'!$C$5,3,IF(F293='טבלת פרמטרים'!$C$4,1,0))+IF(G293='טבלת פרמטרים'!$D$3,2,0)+IF(M293='טבלת פרמטרים'!$J$4,2,IF(M293='טבלת פרמטרים'!$J$3,1,0))+IF(N293='טבלת פרמטרים'!$K$6,3,IF(OR(N293='טבלת פרמטרים'!$K$4,N293='טבלת פרמטרים'!$K$5),2,IF(N293='טבלת פרמטרים'!$K$3,1,0))))</f>
        <v>2</v>
      </c>
      <c r="R293" s="19">
        <f t="shared" si="8"/>
        <v>2</v>
      </c>
      <c r="T293" s="19" t="str">
        <f>IF(EXACT(Q293,'טבלת פרמטרים'!$O$2),'טבלת פרמטרים'!$P$2,IF(EXACT(Q293,'טבלת פרמטרים'!$O$3),'טבלת פרמטרים'!$P$3,IF(EXACT(Q293,'טבלת פרמטרים'!$O$4),'טבלת פרמטרים'!$P$4,IF(EXACT(Q293,'טבלת פרמטרים'!$O$5),'טבלת פרמטרים'!$P$5,IF(EXACT(Q293,'טבלת פרמטרים'!$O$6),'טבלת פרמטרים'!$P$6,IF(EXACT(Q293,'טבלת פרמטרים'!$O$7),'טבלת פרמטרים'!$P$7,""))))))</f>
        <v/>
      </c>
    </row>
    <row r="294" spans="1:21" x14ac:dyDescent="0.2">
      <c r="A294" s="18">
        <v>294</v>
      </c>
      <c r="B294" s="30">
        <v>44297</v>
      </c>
      <c r="C294" s="30">
        <v>44298</v>
      </c>
      <c r="D294" s="21" t="s">
        <v>17</v>
      </c>
      <c r="E294" s="21" t="s">
        <v>22</v>
      </c>
      <c r="F294" s="21" t="s">
        <v>24</v>
      </c>
      <c r="G294" s="21" t="s">
        <v>27</v>
      </c>
      <c r="H294" s="21" t="s">
        <v>29</v>
      </c>
      <c r="I294" s="21" t="s">
        <v>126</v>
      </c>
      <c r="J294" s="21" t="s">
        <v>36</v>
      </c>
      <c r="K294" s="21" t="s">
        <v>36</v>
      </c>
      <c r="L294" s="21" t="s">
        <v>51</v>
      </c>
      <c r="M294" s="21" t="s">
        <v>55</v>
      </c>
      <c r="O294" s="19">
        <f>IF(ISBLANK(D294),"",IF(D294='טבלת פרמטרים'!$A$9,1,0)+IF(E294='טבלת פרמטרים'!$B$5,2,1)+IF(F294='טבלת פרמטרים'!$C$5,3,IF(F294='טבלת פרמטרים'!$C$4,1,0))+IF(G294='טבלת פרמטרים'!$D$3,2,0)+IF(M294='טבלת פרמטרים'!$J$4,2,IF(M294='טבלת פרמטרים'!$J$3,1,0))+IF(N294='טבלת פרמטרים'!$K$6,3,IF(OR(N294='טבלת פרמטרים'!$K$4,N294='טבלת פרמטרים'!$K$5),2,IF(N294='טבלת פרמטרים'!$K$3,1,0))))</f>
        <v>8</v>
      </c>
      <c r="R294" s="19">
        <f t="shared" si="8"/>
        <v>8</v>
      </c>
      <c r="T294" s="19" t="str">
        <f>IF(EXACT(Q294,'טבלת פרמטרים'!$O$2),'טבלת פרמטרים'!$P$2,IF(EXACT(Q294,'טבלת פרמטרים'!$O$3),'טבלת פרמטרים'!$P$3,IF(EXACT(Q294,'טבלת פרמטרים'!$O$4),'טבלת פרמטרים'!$P$4,IF(EXACT(Q294,'טבלת פרמטרים'!$O$5),'טבלת פרמטרים'!$P$5,IF(EXACT(Q294,'טבלת פרמטרים'!$O$6),'טבלת פרמטרים'!$P$6,IF(EXACT(Q294,'טבלת פרמטרים'!$O$7),'טבלת פרמטרים'!$P$7,""))))))</f>
        <v/>
      </c>
    </row>
    <row r="295" spans="1:21" x14ac:dyDescent="0.2">
      <c r="A295" s="18">
        <v>295</v>
      </c>
      <c r="B295" s="30">
        <v>44328</v>
      </c>
      <c r="C295" s="30">
        <v>44328</v>
      </c>
      <c r="D295" s="21" t="s">
        <v>13</v>
      </c>
      <c r="E295" s="21" t="s">
        <v>111</v>
      </c>
      <c r="F295" s="21" t="s">
        <v>23</v>
      </c>
      <c r="G295" s="21" t="s">
        <v>26</v>
      </c>
      <c r="H295" s="21" t="s">
        <v>30</v>
      </c>
      <c r="I295" s="21" t="s">
        <v>126</v>
      </c>
      <c r="J295" s="21" t="s">
        <v>33</v>
      </c>
      <c r="K295" s="21" t="s">
        <v>45</v>
      </c>
      <c r="L295" s="21" t="s">
        <v>51</v>
      </c>
      <c r="M295" s="21" t="s">
        <v>53</v>
      </c>
      <c r="O295" s="19">
        <f>IF(ISBLANK(D295),"",IF(D295='טבלת פרמטרים'!$A$9,1,0)+IF(E295='טבלת פרמטרים'!$B$5,2,1)+IF(F295='טבלת פרמטרים'!$C$5,3,IF(F295='טבלת פרמטרים'!$C$4,1,0))+IF(G295='טבלת פרמטרים'!$D$3,2,0)+IF(M295='טבלת פרמטרים'!$J$4,2,IF(M295='טבלת פרמטרים'!$J$3,1,0))+IF(N295='טבלת פרמטרים'!$K$6,3,IF(OR(N295='טבלת פרמטרים'!$K$4,N295='טבלת פרמטרים'!$K$5),2,IF(N295='טבלת פרמטרים'!$K$3,1,0))))</f>
        <v>1</v>
      </c>
      <c r="R295" s="19">
        <f t="shared" si="8"/>
        <v>1</v>
      </c>
      <c r="T295" s="19" t="str">
        <f>IF(EXACT(Q295,'טבלת פרמטרים'!$O$2),'טבלת פרמטרים'!$P$2,IF(EXACT(Q295,'טבלת פרמטרים'!$O$3),'טבלת פרמטרים'!$P$3,IF(EXACT(Q295,'טבלת פרמטרים'!$O$4),'טבלת פרמטרים'!$P$4,IF(EXACT(Q295,'טבלת פרמטרים'!$O$5),'טבלת פרמטרים'!$P$5,IF(EXACT(Q295,'טבלת פרמטרים'!$O$6),'טבלת פרמטרים'!$P$6,IF(EXACT(Q295,'טבלת פרמטרים'!$O$7),'טבלת פרמטרים'!$P$7,""))))))</f>
        <v/>
      </c>
    </row>
    <row r="296" spans="1:21" x14ac:dyDescent="0.2">
      <c r="A296" s="18">
        <v>296</v>
      </c>
      <c r="B296" s="30">
        <v>44342</v>
      </c>
      <c r="C296" s="30">
        <v>44342</v>
      </c>
      <c r="D296" s="21" t="s">
        <v>11</v>
      </c>
      <c r="E296" s="21" t="s">
        <v>20</v>
      </c>
      <c r="F296" s="21" t="s">
        <v>23</v>
      </c>
      <c r="G296" s="21" t="s">
        <v>26</v>
      </c>
      <c r="H296" s="21" t="s">
        <v>29</v>
      </c>
      <c r="I296" s="21" t="s">
        <v>126</v>
      </c>
      <c r="J296" s="21" t="s">
        <v>11</v>
      </c>
      <c r="K296" s="21" t="s">
        <v>45</v>
      </c>
      <c r="L296" s="21" t="s">
        <v>51</v>
      </c>
      <c r="M296" s="21" t="s">
        <v>53</v>
      </c>
      <c r="O296" s="19">
        <f>IF(ISBLANK(D296),"",IF(D296='טבלת פרמטרים'!$A$9,1,0)+IF(E296='טבלת פרמטרים'!$B$5,2,1)+IF(F296='טבלת פרמטרים'!$C$5,3,IF(F296='טבלת פרמטרים'!$C$4,1,0))+IF(G296='טבלת פרמטרים'!$D$3,2,0)+IF(M296='טבלת פרמטרים'!$J$4,2,IF(M296='טבלת פרמטרים'!$J$3,1,0))+IF(N296='טבלת פרמטרים'!$K$6,3,IF(OR(N296='טבלת פרמטרים'!$K$4,N296='טבלת פרמטרים'!$K$5),2,IF(N296='טבלת פרמטרים'!$K$3,1,0))))</f>
        <v>1</v>
      </c>
      <c r="R296" s="19">
        <f t="shared" si="8"/>
        <v>1</v>
      </c>
      <c r="T296" s="19" t="str">
        <f>IF(EXACT(Q296,'טבלת פרמטרים'!$O$2),'טבלת פרמטרים'!$P$2,IF(EXACT(Q296,'טבלת פרמטרים'!$O$3),'טבלת פרמטרים'!$P$3,IF(EXACT(Q296,'טבלת פרמטרים'!$O$4),'טבלת פרמטרים'!$P$4,IF(EXACT(Q296,'טבלת פרמטרים'!$O$5),'טבלת פרמטרים'!$P$5,IF(EXACT(Q296,'טבלת פרמטרים'!$O$6),'טבלת פרמטרים'!$P$6,IF(EXACT(Q296,'טבלת פרמטרים'!$O$7),'טבלת פרמטרים'!$P$7,""))))))</f>
        <v/>
      </c>
    </row>
    <row r="297" spans="1:21" x14ac:dyDescent="0.2">
      <c r="A297" s="18">
        <v>297</v>
      </c>
      <c r="B297" s="30">
        <v>44311</v>
      </c>
      <c r="C297" s="30">
        <v>44313</v>
      </c>
      <c r="D297" s="21" t="s">
        <v>17</v>
      </c>
      <c r="E297" s="21" t="s">
        <v>22</v>
      </c>
      <c r="F297" s="21" t="s">
        <v>24</v>
      </c>
      <c r="G297" s="21" t="s">
        <v>27</v>
      </c>
      <c r="H297" s="21" t="s">
        <v>31</v>
      </c>
      <c r="I297" s="21" t="s">
        <v>126</v>
      </c>
      <c r="J297" s="21" t="s">
        <v>33</v>
      </c>
      <c r="K297" s="21" t="s">
        <v>45</v>
      </c>
      <c r="L297" s="21" t="s">
        <v>50</v>
      </c>
      <c r="M297" s="21" t="s">
        <v>55</v>
      </c>
      <c r="O297" s="19">
        <f>IF(ISBLANK(D297),"",IF(D297='טבלת פרמטרים'!$A$9,1,0)+IF(E297='טבלת פרמטרים'!$B$5,2,1)+IF(F297='טבלת פרמטרים'!$C$5,3,IF(F297='טבלת פרמטרים'!$C$4,1,0))+IF(G297='טבלת פרמטרים'!$D$3,2,0)+IF(M297='טבלת פרמטרים'!$J$4,2,IF(M297='טבלת פרמטרים'!$J$3,1,0))+IF(N297='טבלת פרמטרים'!$K$6,3,IF(OR(N297='טבלת פרמטרים'!$K$4,N297='טבלת פרמטרים'!$K$5),2,IF(N297='טבלת פרמטרים'!$K$3,1,0))))</f>
        <v>8</v>
      </c>
      <c r="R297" s="19">
        <f t="shared" si="8"/>
        <v>8</v>
      </c>
      <c r="T297" s="19" t="str">
        <f>IF(EXACT(Q297,'טבלת פרמטרים'!$O$2),'טבלת פרמטרים'!$P$2,IF(EXACT(Q297,'טבלת פרמטרים'!$O$3),'טבלת פרמטרים'!$P$3,IF(EXACT(Q297,'טבלת פרמטרים'!$O$4),'טבלת פרמטרים'!$P$4,IF(EXACT(Q297,'טבלת פרמטרים'!$O$5),'טבלת פרמטרים'!$P$5,IF(EXACT(Q297,'טבלת פרמטרים'!$O$6),'טבלת פרמטרים'!$P$6,IF(EXACT(Q297,'טבלת פרמטרים'!$O$7),'טבלת פרמטרים'!$P$7,""))))))</f>
        <v/>
      </c>
    </row>
    <row r="298" spans="1:21" x14ac:dyDescent="0.2">
      <c r="A298" s="18">
        <v>298</v>
      </c>
      <c r="B298" s="30">
        <v>44287</v>
      </c>
      <c r="C298" s="30">
        <v>44287</v>
      </c>
      <c r="D298" s="21" t="s">
        <v>10</v>
      </c>
      <c r="E298" s="21" t="s">
        <v>111</v>
      </c>
      <c r="F298" s="21" t="s">
        <v>23</v>
      </c>
      <c r="G298" s="21" t="s">
        <v>26</v>
      </c>
      <c r="H298" s="21" t="s">
        <v>32</v>
      </c>
      <c r="I298" s="21" t="s">
        <v>126</v>
      </c>
      <c r="L298" s="21" t="s">
        <v>51</v>
      </c>
      <c r="M298" s="21" t="s">
        <v>55</v>
      </c>
      <c r="O298" s="19">
        <f>IF(ISBLANK(D298),"",IF(D298='טבלת פרמטרים'!$A$9,1,0)+IF(E298='טבלת פרמטרים'!$B$5,2,1)+IF(F298='טבלת פרמטרים'!$C$5,3,IF(F298='טבלת פרמטרים'!$C$4,1,0))+IF(G298='טבלת פרמטרים'!$D$3,2,0)+IF(M298='טבלת פרמטרים'!$J$4,2,IF(M298='טבלת פרמטרים'!$J$3,1,0))+IF(N298='טבלת פרמטרים'!$K$6,3,IF(OR(N298='טבלת פרמטרים'!$K$4,N298='טבלת פרמטרים'!$K$5),2,IF(N298='טבלת פרמטרים'!$K$3,1,0))))</f>
        <v>3</v>
      </c>
      <c r="R298" s="19">
        <f t="shared" si="8"/>
        <v>3</v>
      </c>
      <c r="T298" s="19" t="str">
        <f>IF(EXACT(Q298,'טבלת פרמטרים'!$O$2),'טבלת פרמטרים'!$P$2,IF(EXACT(Q298,'טבלת פרמטרים'!$O$3),'טבלת פרמטרים'!$P$3,IF(EXACT(Q298,'טבלת פרמטרים'!$O$4),'טבלת פרמטרים'!$P$4,IF(EXACT(Q298,'טבלת פרמטרים'!$O$5),'טבלת פרמטרים'!$P$5,IF(EXACT(Q298,'טבלת פרמטרים'!$O$6),'טבלת פרמטרים'!$P$6,IF(EXACT(Q298,'טבלת פרמטרים'!$O$7),'טבלת פרמטרים'!$P$7,""))))))</f>
        <v/>
      </c>
    </row>
    <row r="299" spans="1:21" x14ac:dyDescent="0.2">
      <c r="A299" s="18">
        <v>299</v>
      </c>
      <c r="B299" s="30">
        <v>44287</v>
      </c>
      <c r="C299" s="30">
        <v>44287</v>
      </c>
      <c r="D299" s="21" t="s">
        <v>10</v>
      </c>
      <c r="E299" s="21" t="s">
        <v>111</v>
      </c>
      <c r="F299" s="21" t="s">
        <v>23</v>
      </c>
      <c r="G299" s="21" t="s">
        <v>26</v>
      </c>
      <c r="H299" s="21" t="s">
        <v>32</v>
      </c>
      <c r="I299" s="21" t="s">
        <v>126</v>
      </c>
      <c r="J299" s="21" t="s">
        <v>40</v>
      </c>
      <c r="M299" s="21" t="s">
        <v>55</v>
      </c>
      <c r="O299" s="19">
        <f>IF(ISBLANK(D299),"",IF(D299='טבלת פרמטרים'!$A$9,1,0)+IF(E299='טבלת פרמטרים'!$B$5,2,1)+IF(F299='טבלת פרמטרים'!$C$5,3,IF(F299='טבלת פרמטרים'!$C$4,1,0))+IF(G299='טבלת פרמטרים'!$D$3,2,0)+IF(M299='טבלת פרמטרים'!$J$4,2,IF(M299='טבלת פרמטרים'!$J$3,1,0))+IF(N299='טבלת פרמטרים'!$K$6,3,IF(OR(N299='טבלת פרמטרים'!$K$4,N299='טבלת פרמטרים'!$K$5),2,IF(N299='טבלת פרמטרים'!$K$3,1,0))))</f>
        <v>3</v>
      </c>
      <c r="R299" s="19">
        <f t="shared" si="8"/>
        <v>3</v>
      </c>
      <c r="T299" s="19" t="str">
        <f>IF(EXACT(Q299,'טבלת פרמטרים'!$O$2),'טבלת פרמטרים'!$P$2,IF(EXACT(Q299,'טבלת פרמטרים'!$O$3),'טבלת פרמטרים'!$P$3,IF(EXACT(Q299,'טבלת פרמטרים'!$O$4),'טבלת פרמטרים'!$P$4,IF(EXACT(Q299,'טבלת פרמטרים'!$O$5),'טבלת פרמטרים'!$P$5,IF(EXACT(Q299,'טבלת פרמטרים'!$O$6),'טבלת פרמטרים'!$P$6,IF(EXACT(Q299,'טבלת פרמטרים'!$O$7),'טבלת פרמטרים'!$P$7,""))))))</f>
        <v/>
      </c>
    </row>
    <row r="300" spans="1:21" x14ac:dyDescent="0.2">
      <c r="A300" s="18">
        <v>300</v>
      </c>
      <c r="B300" s="30">
        <v>44293</v>
      </c>
      <c r="C300" s="30">
        <v>44293</v>
      </c>
      <c r="D300" s="21" t="s">
        <v>17</v>
      </c>
      <c r="E300" s="21" t="s">
        <v>20</v>
      </c>
      <c r="F300" s="21" t="s">
        <v>23</v>
      </c>
      <c r="G300" s="21" t="s">
        <v>26</v>
      </c>
      <c r="H300" s="21" t="s">
        <v>29</v>
      </c>
      <c r="I300" s="21" t="s">
        <v>126</v>
      </c>
      <c r="J300" s="21" t="s">
        <v>35</v>
      </c>
      <c r="K300" s="21" t="s">
        <v>43</v>
      </c>
      <c r="L300" s="21" t="s">
        <v>49</v>
      </c>
      <c r="M300" s="21" t="s">
        <v>54</v>
      </c>
      <c r="O300" s="19">
        <f>IF(ISBLANK(D300),"",IF(D300='טבלת פרמטרים'!$A$9,1,0)+IF(E300='טבלת פרמטרים'!$B$5,2,1)+IF(F300='טבלת פרמטרים'!$C$5,3,IF(F300='טבלת פרמטרים'!$C$4,1,0))+IF(G300='טבלת פרמטרים'!$D$3,2,0)+IF(M300='טבלת פרמטרים'!$J$4,2,IF(M300='טבלת פרמטרים'!$J$3,1,0))+IF(N300='טבלת פרמטרים'!$K$6,3,IF(OR(N300='טבלת פרמטרים'!$K$4,N300='טבלת פרמטרים'!$K$5),2,IF(N300='טבלת פרמטרים'!$K$3,1,0))))</f>
        <v>3</v>
      </c>
      <c r="R300" s="19">
        <f t="shared" si="8"/>
        <v>3</v>
      </c>
      <c r="T300" s="19" t="str">
        <f>IF(EXACT(Q300,'טבלת פרמטרים'!$O$2),'טבלת פרמטרים'!$P$2,IF(EXACT(Q300,'טבלת פרמטרים'!$O$3),'טבלת פרמטרים'!$P$3,IF(EXACT(Q300,'טבלת פרמטרים'!$O$4),'טבלת פרמטרים'!$P$4,IF(EXACT(Q300,'טבלת פרמטרים'!$O$5),'טבלת פרמטרים'!$P$5,IF(EXACT(Q300,'טבלת פרמטרים'!$O$6),'טבלת פרמטרים'!$P$6,IF(EXACT(Q300,'טבלת פרמטרים'!$O$7),'טבלת פרמטרים'!$P$7,""))))))</f>
        <v/>
      </c>
    </row>
    <row r="301" spans="1:21" x14ac:dyDescent="0.2">
      <c r="A301" s="18">
        <v>301</v>
      </c>
      <c r="C301" s="30">
        <v>44335</v>
      </c>
      <c r="D301" s="21" t="s">
        <v>11</v>
      </c>
      <c r="E301" s="21" t="s">
        <v>111</v>
      </c>
      <c r="F301" s="21" t="s">
        <v>23</v>
      </c>
      <c r="G301" s="21" t="s">
        <v>26</v>
      </c>
      <c r="H301" s="21" t="s">
        <v>32</v>
      </c>
      <c r="I301" s="21" t="s">
        <v>126</v>
      </c>
      <c r="J301" s="21" t="s">
        <v>11</v>
      </c>
      <c r="K301" s="21" t="s">
        <v>44</v>
      </c>
      <c r="L301" s="21" t="s">
        <v>51</v>
      </c>
      <c r="M301" s="21" t="s">
        <v>55</v>
      </c>
      <c r="O301" s="19">
        <f>IF(ISBLANK(D301),"",IF(D301='טבלת פרמטרים'!$A$9,1,0)+IF(E301='טבלת פרמטרים'!$B$5,2,1)+IF(F301='טבלת פרמטרים'!$C$5,3,IF(F301='טבלת פרמטרים'!$C$4,1,0))+IF(G301='טבלת פרמטרים'!$D$3,2,0)+IF(M301='טבלת פרמטרים'!$J$4,2,IF(M301='טבלת פרמטרים'!$J$3,1,0))+IF(N301='טבלת פרמטרים'!$K$6,3,IF(OR(N301='טבלת פרמטרים'!$K$4,N301='טבלת פרמטרים'!$K$5),2,IF(N301='טבלת פרמטרים'!$K$3,1,0))))</f>
        <v>3</v>
      </c>
      <c r="R301" s="19">
        <f t="shared" si="8"/>
        <v>3</v>
      </c>
      <c r="T301" s="19" t="str">
        <f>IF(EXACT(Q301,'טבלת פרמטרים'!$O$2),'טבלת פרמטרים'!$P$2,IF(EXACT(Q301,'טבלת פרמטרים'!$O$3),'טבלת פרמטרים'!$P$3,IF(EXACT(Q301,'טבלת פרמטרים'!$O$4),'טבלת פרמטרים'!$P$4,IF(EXACT(Q301,'טבלת פרמטרים'!$O$5),'טבלת פרמטרים'!$P$5,IF(EXACT(Q301,'טבלת פרמטרים'!$O$6),'טבלת פרמטרים'!$P$6,IF(EXACT(Q301,'טבלת פרמטרים'!$O$7),'טבלת פרמטרים'!$P$7,""))))))</f>
        <v/>
      </c>
    </row>
    <row r="302" spans="1:21" x14ac:dyDescent="0.2">
      <c r="A302" s="18">
        <v>302</v>
      </c>
      <c r="B302" s="30">
        <v>44341</v>
      </c>
      <c r="C302" s="30">
        <v>44341</v>
      </c>
      <c r="D302" s="21" t="s">
        <v>16</v>
      </c>
      <c r="E302" s="21" t="s">
        <v>21</v>
      </c>
      <c r="F302" s="21" t="s">
        <v>23</v>
      </c>
      <c r="G302" s="21" t="s">
        <v>26</v>
      </c>
      <c r="H302" s="21" t="s">
        <v>32</v>
      </c>
      <c r="I302" s="21" t="s">
        <v>127</v>
      </c>
      <c r="J302" s="21" t="s">
        <v>33</v>
      </c>
      <c r="K302" s="21" t="s">
        <v>46</v>
      </c>
      <c r="L302" s="21" t="s">
        <v>50</v>
      </c>
      <c r="M302" s="21" t="s">
        <v>55</v>
      </c>
      <c r="O302" s="19">
        <f>IF(ISBLANK(D302),"",IF(D302='טבלת פרמטרים'!$A$9,1,0)+IF(E302='טבלת פרמטרים'!$B$5,2,1)+IF(F302='טבלת פרמטרים'!$C$5,3,IF(F302='טבלת פרמטרים'!$C$4,1,0))+IF(G302='טבלת פרמטרים'!$D$3,2,0)+IF(M302='טבלת פרמטרים'!$J$4,2,IF(M302='טבלת פרמטרים'!$J$3,1,0))+IF(N302='טבלת פרמטרים'!$K$6,3,IF(OR(N302='טבלת פרמטרים'!$K$4,N302='טבלת פרמטרים'!$K$5),2,IF(N302='טבלת פרמטרים'!$K$3,1,0))))</f>
        <v>3</v>
      </c>
      <c r="R302" s="19">
        <f t="shared" si="8"/>
        <v>3</v>
      </c>
      <c r="T302" s="19" t="str">
        <f>IF(EXACT(Q302,'טבלת פרמטרים'!$O$2),'טבלת פרמטרים'!$P$2,IF(EXACT(Q302,'טבלת פרמטרים'!$O$3),'טבלת פרמטרים'!$P$3,IF(EXACT(Q302,'טבלת פרמטרים'!$O$4),'טבלת פרמטרים'!$P$4,IF(EXACT(Q302,'טבלת פרמטרים'!$O$5),'טבלת פרמטרים'!$P$5,IF(EXACT(Q302,'טבלת פרמטרים'!$O$6),'טבלת פרמטרים'!$P$6,IF(EXACT(Q302,'טבלת פרמטרים'!$O$7),'טבלת פרמטרים'!$P$7,""))))))</f>
        <v/>
      </c>
    </row>
    <row r="303" spans="1:21" x14ac:dyDescent="0.2">
      <c r="A303" s="18">
        <v>303</v>
      </c>
      <c r="B303" s="30">
        <v>44347</v>
      </c>
      <c r="C303" s="30">
        <v>44347</v>
      </c>
      <c r="D303" s="21" t="s">
        <v>17</v>
      </c>
      <c r="E303" s="21" t="s">
        <v>111</v>
      </c>
      <c r="F303" s="21" t="s">
        <v>23</v>
      </c>
      <c r="G303" s="21" t="s">
        <v>27</v>
      </c>
      <c r="H303" s="21" t="s">
        <v>32</v>
      </c>
      <c r="I303" s="21" t="s">
        <v>126</v>
      </c>
      <c r="J303" s="21" t="s">
        <v>40</v>
      </c>
      <c r="M303" s="21" t="s">
        <v>55</v>
      </c>
      <c r="O303" s="19">
        <f>IF(ISBLANK(D303),"",IF(D303='טבלת פרמטרים'!$A$9,1,0)+IF(E303='טבלת פרמטרים'!$B$5,2,1)+IF(F303='טבלת פרמטרים'!$C$5,3,IF(F303='טבלת פרמטרים'!$C$4,1,0))+IF(G303='טבלת פרמטרים'!$D$3,2,0)+IF(M303='טבלת פרמטרים'!$J$4,2,IF(M303='טבלת פרמטרים'!$J$3,1,0))+IF(N303='טבלת פרמטרים'!$K$6,3,IF(OR(N303='טבלת פרמטרים'!$K$4,N303='טבלת פרמטרים'!$K$5),2,IF(N303='טבלת פרמטרים'!$K$3,1,0))))</f>
        <v>6</v>
      </c>
      <c r="R303" s="19">
        <f t="shared" si="8"/>
        <v>6</v>
      </c>
      <c r="T303" s="19" t="str">
        <f>IF(EXACT(Q303,'טבלת פרמטרים'!$O$2),'טבלת פרמטרים'!$P$2,IF(EXACT(Q303,'טבלת פרמטרים'!$O$3),'טבלת פרמטרים'!$P$3,IF(EXACT(Q303,'טבלת פרמטרים'!$O$4),'טבלת פרמטרים'!$P$4,IF(EXACT(Q303,'טבלת פרמטרים'!$O$5),'טבלת פרמטרים'!$P$5,IF(EXACT(Q303,'טבלת פרמטרים'!$O$6),'טבלת פרמטרים'!$P$6,IF(EXACT(Q303,'טבלת פרמטרים'!$O$7),'טבלת פרמטרים'!$P$7,""))))))</f>
        <v/>
      </c>
    </row>
    <row r="304" spans="1:21" x14ac:dyDescent="0.2">
      <c r="A304" s="18">
        <v>304</v>
      </c>
      <c r="B304" s="30">
        <v>44362</v>
      </c>
      <c r="C304" s="30">
        <v>44362</v>
      </c>
      <c r="D304" s="21" t="s">
        <v>13</v>
      </c>
      <c r="E304" s="21" t="s">
        <v>111</v>
      </c>
      <c r="F304" s="21" t="s">
        <v>23</v>
      </c>
      <c r="G304" s="21" t="s">
        <v>26</v>
      </c>
      <c r="H304" s="21" t="s">
        <v>30</v>
      </c>
      <c r="I304" s="21" t="s">
        <v>126</v>
      </c>
      <c r="J304" s="21" t="s">
        <v>33</v>
      </c>
      <c r="K304" s="21" t="s">
        <v>46</v>
      </c>
      <c r="L304" s="21" t="s">
        <v>50</v>
      </c>
      <c r="M304" s="21" t="s">
        <v>53</v>
      </c>
      <c r="O304" s="19">
        <f>IF(ISBLANK(D304),"",IF(D304='טבלת פרמטרים'!$A$9,1,0)+IF(E304='טבלת פרמטרים'!$B$5,2,1)+IF(F304='טבלת פרמטרים'!$C$5,3,IF(F304='טבלת פרמטרים'!$C$4,1,0))+IF(G304='טבלת פרמטרים'!$D$3,2,0)+IF(M304='טבלת פרמטרים'!$J$4,2,IF(M304='טבלת פרמטרים'!$J$3,1,0))+IF(N304='טבלת פרמטרים'!$K$6,3,IF(OR(N304='טבלת פרמטרים'!$K$4,N304='טבלת פרמטרים'!$K$5),2,IF(N304='טבלת פרמטרים'!$K$3,1,0))))</f>
        <v>1</v>
      </c>
      <c r="R304" s="19">
        <f t="shared" si="8"/>
        <v>1</v>
      </c>
      <c r="T304" s="19" t="str">
        <f>IF(EXACT(Q304,'טבלת פרמטרים'!$O$2),'טבלת פרמטרים'!$P$2,IF(EXACT(Q304,'טבלת פרמטרים'!$O$3),'טבלת פרמטרים'!$P$3,IF(EXACT(Q304,'טבלת פרמטרים'!$O$4),'טבלת פרמטרים'!$P$4,IF(EXACT(Q304,'טבלת פרמטרים'!$O$5),'טבלת פרמטרים'!$P$5,IF(EXACT(Q304,'טבלת פרמטרים'!$O$6),'טבלת פרמטרים'!$P$6,IF(EXACT(Q304,'טבלת פרמטרים'!$O$7),'טבלת פרמטרים'!$P$7,""))))))</f>
        <v/>
      </c>
    </row>
    <row r="305" spans="1:20" x14ac:dyDescent="0.2">
      <c r="A305" s="18">
        <v>305</v>
      </c>
      <c r="B305" s="30">
        <v>44362</v>
      </c>
      <c r="C305" s="30">
        <v>44362</v>
      </c>
      <c r="D305" s="21" t="s">
        <v>13</v>
      </c>
      <c r="E305" s="21" t="s">
        <v>111</v>
      </c>
      <c r="F305" s="21" t="s">
        <v>23</v>
      </c>
      <c r="G305" s="21" t="s">
        <v>26</v>
      </c>
      <c r="H305" s="21" t="s">
        <v>30</v>
      </c>
      <c r="I305" s="21" t="s">
        <v>126</v>
      </c>
      <c r="J305" s="21" t="s">
        <v>33</v>
      </c>
      <c r="K305" s="21" t="s">
        <v>46</v>
      </c>
      <c r="L305" s="21" t="s">
        <v>50</v>
      </c>
      <c r="M305" s="21" t="s">
        <v>53</v>
      </c>
      <c r="O305" s="19">
        <f>IF(ISBLANK(D305),"",IF(D305='טבלת פרמטרים'!$A$9,1,0)+IF(E305='טבלת פרמטרים'!$B$5,2,1)+IF(F305='טבלת פרמטרים'!$C$5,3,IF(F305='טבלת פרמטרים'!$C$4,1,0))+IF(G305='טבלת פרמטרים'!$D$3,2,0)+IF(M305='טבלת פרמטרים'!$J$4,2,IF(M305='טבלת פרמטרים'!$J$3,1,0))+IF(N305='טבלת פרמטרים'!$K$6,3,IF(OR(N305='טבלת פרמטרים'!$K$4,N305='טבלת פרמטרים'!$K$5),2,IF(N305='טבלת פרמטרים'!$K$3,1,0))))</f>
        <v>1</v>
      </c>
      <c r="R305" s="19">
        <f t="shared" si="8"/>
        <v>1</v>
      </c>
      <c r="T305" s="19" t="str">
        <f>IF(EXACT(Q305,'טבלת פרמטרים'!$O$2),'טבלת פרמטרים'!$P$2,IF(EXACT(Q305,'טבלת פרמטרים'!$O$3),'טבלת פרמטרים'!$P$3,IF(EXACT(Q305,'טבלת פרמטרים'!$O$4),'טבלת פרמטרים'!$P$4,IF(EXACT(Q305,'טבלת פרמטרים'!$O$5),'טבלת פרמטרים'!$P$5,IF(EXACT(Q305,'טבלת פרמטרים'!$O$6),'טבלת פרמטרים'!$P$6,IF(EXACT(Q305,'טבלת פרמטרים'!$O$7),'טבלת פרמטרים'!$P$7,""))))))</f>
        <v/>
      </c>
    </row>
    <row r="306" spans="1:20" x14ac:dyDescent="0.2">
      <c r="A306" s="18">
        <v>306</v>
      </c>
      <c r="B306" s="30">
        <v>44367</v>
      </c>
      <c r="C306" s="30">
        <v>44367</v>
      </c>
      <c r="D306" s="21" t="s">
        <v>11</v>
      </c>
      <c r="E306" s="21" t="s">
        <v>20</v>
      </c>
      <c r="F306" s="21" t="s">
        <v>23</v>
      </c>
      <c r="G306" s="21" t="s">
        <v>26</v>
      </c>
      <c r="H306" s="21" t="s">
        <v>32</v>
      </c>
      <c r="I306" s="21" t="s">
        <v>126</v>
      </c>
      <c r="K306" s="21" t="s">
        <v>43</v>
      </c>
      <c r="L306" s="21" t="s">
        <v>49</v>
      </c>
      <c r="M306" s="21" t="s">
        <v>55</v>
      </c>
      <c r="O306" s="19">
        <f>IF(ISBLANK(D306),"",IF(D306='טבלת פרמטרים'!$A$9,1,0)+IF(E306='טבלת פרמטרים'!$B$5,2,1)+IF(F306='טבלת פרמטרים'!$C$5,3,IF(F306='טבלת פרמטרים'!$C$4,1,0))+IF(G306='טבלת פרמטרים'!$D$3,2,0)+IF(M306='טבלת פרמטרים'!$J$4,2,IF(M306='טבלת פרמטרים'!$J$3,1,0))+IF(N306='טבלת פרמטרים'!$K$6,3,IF(OR(N306='טבלת פרמטרים'!$K$4,N306='טבלת פרמטרים'!$K$5),2,IF(N306='טבלת פרמטרים'!$K$3,1,0))))</f>
        <v>3</v>
      </c>
      <c r="R306" s="19">
        <f t="shared" ref="R306:R369" si="9">IF(ISNUMBER(T306),T306+O306,O306)</f>
        <v>3</v>
      </c>
      <c r="T306" s="19" t="str">
        <f>IF(EXACT(Q306,'טבלת פרמטרים'!$O$2),'טבלת פרמטרים'!$P$2,IF(EXACT(Q306,'טבלת פרמטרים'!$O$3),'טבלת פרמטרים'!$P$3,IF(EXACT(Q306,'טבלת פרמטרים'!$O$4),'טבלת פרמטרים'!$P$4,IF(EXACT(Q306,'טבלת פרמטרים'!$O$5),'טבלת פרמטרים'!$P$5,IF(EXACT(Q306,'טבלת פרמטרים'!$O$6),'טבלת פרמטרים'!$P$6,IF(EXACT(Q306,'טבלת פרמטרים'!$O$7),'טבלת פרמטרים'!$P$7,""))))))</f>
        <v/>
      </c>
    </row>
    <row r="307" spans="1:20" x14ac:dyDescent="0.2">
      <c r="A307" s="18">
        <v>307</v>
      </c>
      <c r="B307" s="30">
        <v>44367</v>
      </c>
      <c r="C307" s="30">
        <v>44367</v>
      </c>
      <c r="D307" s="21" t="s">
        <v>11</v>
      </c>
      <c r="E307" s="21" t="s">
        <v>20</v>
      </c>
      <c r="F307" s="21" t="s">
        <v>23</v>
      </c>
      <c r="G307" s="21" t="s">
        <v>26</v>
      </c>
      <c r="H307" s="21" t="s">
        <v>32</v>
      </c>
      <c r="I307" s="21" t="s">
        <v>126</v>
      </c>
      <c r="K307" s="21" t="s">
        <v>43</v>
      </c>
      <c r="L307" s="21" t="s">
        <v>49</v>
      </c>
      <c r="M307" s="21" t="s">
        <v>55</v>
      </c>
      <c r="O307" s="19">
        <f>IF(ISBLANK(D307),"",IF(D307='טבלת פרמטרים'!$A$9,1,0)+IF(E307='טבלת פרמטרים'!$B$5,2,1)+IF(F307='טבלת פרמטרים'!$C$5,3,IF(F307='טבלת פרמטרים'!$C$4,1,0))+IF(G307='טבלת פרמטרים'!$D$3,2,0)+IF(M307='טבלת פרמטרים'!$J$4,2,IF(M307='טבלת פרמטרים'!$J$3,1,0))+IF(N307='טבלת פרמטרים'!$K$6,3,IF(OR(N307='טבלת פרמטרים'!$K$4,N307='טבלת פרמטרים'!$K$5),2,IF(N307='טבלת פרמטרים'!$K$3,1,0))))</f>
        <v>3</v>
      </c>
      <c r="R307" s="19">
        <f t="shared" si="9"/>
        <v>3</v>
      </c>
      <c r="T307" s="19" t="str">
        <f>IF(EXACT(Q307,'טבלת פרמטרים'!$O$2),'טבלת פרמטרים'!$P$2,IF(EXACT(Q307,'טבלת פרמטרים'!$O$3),'טבלת פרמטרים'!$P$3,IF(EXACT(Q307,'טבלת פרמטרים'!$O$4),'טבלת פרמטרים'!$P$4,IF(EXACT(Q307,'טבלת פרמטרים'!$O$5),'טבלת פרמטרים'!$P$5,IF(EXACT(Q307,'טבלת פרמטרים'!$O$6),'טבלת פרמטרים'!$P$6,IF(EXACT(Q307,'טבלת פרמטרים'!$O$7),'טבלת פרמטרים'!$P$7,""))))))</f>
        <v/>
      </c>
    </row>
    <row r="308" spans="1:20" x14ac:dyDescent="0.2">
      <c r="A308" s="18">
        <v>308</v>
      </c>
      <c r="B308" s="30">
        <v>44367</v>
      </c>
      <c r="C308" s="30">
        <v>44369</v>
      </c>
      <c r="D308" s="21" t="s">
        <v>17</v>
      </c>
      <c r="E308" s="21" t="s">
        <v>20</v>
      </c>
      <c r="F308" s="21" t="s">
        <v>23</v>
      </c>
      <c r="G308" s="21" t="s">
        <v>26</v>
      </c>
      <c r="H308" s="21" t="s">
        <v>30</v>
      </c>
      <c r="I308" s="21" t="s">
        <v>126</v>
      </c>
      <c r="K308" s="21" t="s">
        <v>48</v>
      </c>
      <c r="L308" s="21" t="s">
        <v>49</v>
      </c>
      <c r="M308" s="21" t="s">
        <v>55</v>
      </c>
      <c r="O308" s="19">
        <f>IF(ISBLANK(D308),"",IF(D308='טבלת פרמטרים'!$A$9,1,0)+IF(E308='טבלת פרמטרים'!$B$5,2,1)+IF(F308='טבלת פרמטרים'!$C$5,3,IF(F308='טבלת פרמטרים'!$C$4,1,0))+IF(G308='טבלת פרמטרים'!$D$3,2,0)+IF(M308='טבלת פרמטרים'!$J$4,2,IF(M308='טבלת פרמטרים'!$J$3,1,0))+IF(N308='טבלת פרמטרים'!$K$6,3,IF(OR(N308='טבלת פרמטרים'!$K$4,N308='טבלת פרמטרים'!$K$5),2,IF(N308='טבלת פרמטרים'!$K$3,1,0))))</f>
        <v>4</v>
      </c>
      <c r="R308" s="19">
        <f t="shared" si="9"/>
        <v>4</v>
      </c>
      <c r="T308" s="19" t="str">
        <f>IF(EXACT(Q308,'טבלת פרמטרים'!$O$2),'טבלת פרמטרים'!$P$2,IF(EXACT(Q308,'טבלת פרמטרים'!$O$3),'טבלת פרמטרים'!$P$3,IF(EXACT(Q308,'טבלת פרמטרים'!$O$4),'טבלת פרמטרים'!$P$4,IF(EXACT(Q308,'טבלת פרמטרים'!$O$5),'טבלת פרמטרים'!$P$5,IF(EXACT(Q308,'טבלת פרמטרים'!$O$6),'טבלת פרמטרים'!$P$6,IF(EXACT(Q308,'טבלת פרמטרים'!$O$7),'טבלת פרמטרים'!$P$7,""))))))</f>
        <v/>
      </c>
    </row>
    <row r="309" spans="1:20" x14ac:dyDescent="0.2">
      <c r="A309" s="18">
        <v>309</v>
      </c>
      <c r="B309" s="30">
        <v>44369</v>
      </c>
      <c r="C309" s="30">
        <v>44369</v>
      </c>
      <c r="D309" s="21" t="s">
        <v>13</v>
      </c>
      <c r="E309" s="21" t="s">
        <v>20</v>
      </c>
      <c r="F309" s="21" t="s">
        <v>23</v>
      </c>
      <c r="G309" s="21" t="s">
        <v>26</v>
      </c>
      <c r="H309" s="21" t="s">
        <v>30</v>
      </c>
      <c r="I309" s="21" t="s">
        <v>127</v>
      </c>
      <c r="K309" s="21" t="s">
        <v>45</v>
      </c>
      <c r="L309" s="21" t="s">
        <v>51</v>
      </c>
      <c r="M309" s="21" t="s">
        <v>55</v>
      </c>
      <c r="O309" s="19">
        <f>IF(ISBLANK(D309),"",IF(D309='טבלת פרמטרים'!$A$9,1,0)+IF(E309='טבלת פרמטרים'!$B$5,2,1)+IF(F309='טבלת פרמטרים'!$C$5,3,IF(F309='טבלת פרמטרים'!$C$4,1,0))+IF(G309='טבלת פרמטרים'!$D$3,2,0)+IF(M309='טבלת פרמטרים'!$J$4,2,IF(M309='טבלת פרמטרים'!$J$3,1,0))+IF(N309='טבלת פרמטרים'!$K$6,3,IF(OR(N309='טבלת פרמטרים'!$K$4,N309='טבלת פרמטרים'!$K$5),2,IF(N309='טבלת פרמטרים'!$K$3,1,0))))</f>
        <v>3</v>
      </c>
      <c r="R309" s="19">
        <f t="shared" si="9"/>
        <v>3</v>
      </c>
      <c r="T309" s="19" t="str">
        <f>IF(EXACT(Q309,'טבלת פרמטרים'!$O$2),'טבלת פרמטרים'!$P$2,IF(EXACT(Q309,'טבלת פרמטרים'!$O$3),'טבלת פרמטרים'!$P$3,IF(EXACT(Q309,'טבלת פרמטרים'!$O$4),'טבלת פרמטרים'!$P$4,IF(EXACT(Q309,'טבלת פרמטרים'!$O$5),'טבלת פרמטרים'!$P$5,IF(EXACT(Q309,'טבלת פרמטרים'!$O$6),'טבלת פרמטרים'!$P$6,IF(EXACT(Q309,'טבלת פרמטרים'!$O$7),'טבלת פרמטרים'!$P$7,""))))))</f>
        <v/>
      </c>
    </row>
    <row r="310" spans="1:20" x14ac:dyDescent="0.2">
      <c r="A310" s="18">
        <v>310</v>
      </c>
      <c r="B310" s="30">
        <v>44369</v>
      </c>
      <c r="C310" s="30">
        <v>44369</v>
      </c>
      <c r="D310" s="21" t="s">
        <v>13</v>
      </c>
      <c r="E310" s="21" t="s">
        <v>20</v>
      </c>
      <c r="F310" s="21" t="s">
        <v>23</v>
      </c>
      <c r="G310" s="21" t="s">
        <v>26</v>
      </c>
      <c r="H310" s="21" t="s">
        <v>30</v>
      </c>
      <c r="I310" s="21" t="s">
        <v>127</v>
      </c>
      <c r="K310" s="21" t="s">
        <v>44</v>
      </c>
      <c r="L310" s="21" t="s">
        <v>51</v>
      </c>
      <c r="M310" s="21" t="s">
        <v>55</v>
      </c>
      <c r="O310" s="19">
        <f>IF(ISBLANK(D310),"",IF(D310='טבלת פרמטרים'!$A$9,1,0)+IF(E310='טבלת פרמטרים'!$B$5,2,1)+IF(F310='טבלת פרמטרים'!$C$5,3,IF(F310='טבלת פרמטרים'!$C$4,1,0))+IF(G310='טבלת פרמטרים'!$D$3,2,0)+IF(M310='טבלת פרמטרים'!$J$4,2,IF(M310='טבלת פרמטרים'!$J$3,1,0))+IF(N310='טבלת פרמטרים'!$K$6,3,IF(OR(N310='טבלת פרמטרים'!$K$4,N310='טבלת פרמטרים'!$K$5),2,IF(N310='טבלת פרמטרים'!$K$3,1,0))))</f>
        <v>3</v>
      </c>
      <c r="R310" s="19">
        <f t="shared" si="9"/>
        <v>3</v>
      </c>
      <c r="T310" s="19" t="str">
        <f>IF(EXACT(Q310,'טבלת פרמטרים'!$O$2),'טבלת פרמטרים'!$P$2,IF(EXACT(Q310,'טבלת פרמטרים'!$O$3),'טבלת פרמטרים'!$P$3,IF(EXACT(Q310,'טבלת פרמטרים'!$O$4),'טבלת פרמטרים'!$P$4,IF(EXACT(Q310,'טבלת פרמטרים'!$O$5),'טבלת פרמטרים'!$P$5,IF(EXACT(Q310,'טבלת פרמטרים'!$O$6),'טבלת פרמטרים'!$P$6,IF(EXACT(Q310,'טבלת פרמטרים'!$O$7),'טבלת פרמטרים'!$P$7,""))))))</f>
        <v/>
      </c>
    </row>
    <row r="311" spans="1:20" x14ac:dyDescent="0.2">
      <c r="A311" s="18">
        <v>311</v>
      </c>
      <c r="B311" s="30">
        <v>44368</v>
      </c>
      <c r="C311" s="30">
        <v>44369</v>
      </c>
      <c r="D311" s="21" t="s">
        <v>11</v>
      </c>
      <c r="E311" s="21" t="s">
        <v>21</v>
      </c>
      <c r="F311" s="21" t="s">
        <v>23</v>
      </c>
      <c r="G311" s="21" t="s">
        <v>26</v>
      </c>
      <c r="H311" s="21" t="s">
        <v>32</v>
      </c>
      <c r="I311" s="21" t="s">
        <v>126</v>
      </c>
      <c r="M311" s="21" t="s">
        <v>55</v>
      </c>
      <c r="O311" s="19">
        <f>IF(ISBLANK(D311),"",IF(D311='טבלת פרמטרים'!$A$9,1,0)+IF(E311='טבלת פרמטרים'!$B$5,2,1)+IF(F311='טבלת פרמטרים'!$C$5,3,IF(F311='טבלת פרמטרים'!$C$4,1,0))+IF(G311='טבלת פרמטרים'!$D$3,2,0)+IF(M311='טבלת פרמטרים'!$J$4,2,IF(M311='טבלת פרמטרים'!$J$3,1,0))+IF(N311='טבלת פרמטרים'!$K$6,3,IF(OR(N311='טבלת פרמטרים'!$K$4,N311='טבלת פרמטרים'!$K$5),2,IF(N311='טבלת פרמטרים'!$K$3,1,0))))</f>
        <v>3</v>
      </c>
      <c r="R311" s="19">
        <f t="shared" si="9"/>
        <v>3</v>
      </c>
      <c r="T311" s="19" t="str">
        <f>IF(EXACT(Q311,'טבלת פרמטרים'!$O$2),'טבלת פרמטרים'!$P$2,IF(EXACT(Q311,'טבלת פרמטרים'!$O$3),'טבלת פרמטרים'!$P$3,IF(EXACT(Q311,'טבלת פרמטרים'!$O$4),'טבלת פרמטרים'!$P$4,IF(EXACT(Q311,'טבלת פרמטרים'!$O$5),'טבלת פרמטרים'!$P$5,IF(EXACT(Q311,'טבלת פרמטרים'!$O$6),'טבלת פרמטרים'!$P$6,IF(EXACT(Q311,'טבלת פרמטרים'!$O$7),'טבלת פרמטרים'!$P$7,""))))))</f>
        <v/>
      </c>
    </row>
    <row r="312" spans="1:20" x14ac:dyDescent="0.2">
      <c r="A312" s="18">
        <v>312</v>
      </c>
      <c r="B312" s="30">
        <v>44371</v>
      </c>
      <c r="C312" s="30">
        <v>44371</v>
      </c>
      <c r="D312" s="21" t="s">
        <v>11</v>
      </c>
      <c r="E312" s="21" t="s">
        <v>20</v>
      </c>
      <c r="F312" s="21" t="s">
        <v>23</v>
      </c>
      <c r="G312" s="21" t="s">
        <v>26</v>
      </c>
      <c r="H312" s="21" t="s">
        <v>29</v>
      </c>
      <c r="I312" s="21" t="s">
        <v>126</v>
      </c>
      <c r="K312" s="21" t="s">
        <v>45</v>
      </c>
      <c r="L312" s="21" t="s">
        <v>51</v>
      </c>
      <c r="M312" s="21" t="s">
        <v>55</v>
      </c>
      <c r="O312" s="19">
        <f>IF(ISBLANK(D312),"",IF(D312='טבלת פרמטרים'!$A$9,1,0)+IF(E312='טבלת פרמטרים'!$B$5,2,1)+IF(F312='טבלת פרמטרים'!$C$5,3,IF(F312='טבלת פרמטרים'!$C$4,1,0))+IF(G312='טבלת פרמטרים'!$D$3,2,0)+IF(M312='טבלת פרמטרים'!$J$4,2,IF(M312='טבלת פרמטרים'!$J$3,1,0))+IF(N312='טבלת פרמטרים'!$K$6,3,IF(OR(N312='טבלת פרמטרים'!$K$4,N312='טבלת פרמטרים'!$K$5),2,IF(N312='טבלת פרמטרים'!$K$3,1,0))))</f>
        <v>3</v>
      </c>
      <c r="R312" s="19">
        <f t="shared" si="9"/>
        <v>3</v>
      </c>
      <c r="T312" s="19" t="str">
        <f>IF(EXACT(Q312,'טבלת פרמטרים'!$O$2),'טבלת פרמטרים'!$P$2,IF(EXACT(Q312,'טבלת פרמטרים'!$O$3),'טבלת פרמטרים'!$P$3,IF(EXACT(Q312,'טבלת פרמטרים'!$O$4),'טבלת פרמטרים'!$P$4,IF(EXACT(Q312,'טבלת פרמטרים'!$O$5),'טבלת פרמטרים'!$P$5,IF(EXACT(Q312,'טבלת פרמטרים'!$O$6),'טבלת פרמטרים'!$P$6,IF(EXACT(Q312,'טבלת פרמטרים'!$O$7),'טבלת פרמטרים'!$P$7,""))))))</f>
        <v/>
      </c>
    </row>
    <row r="313" spans="1:20" x14ac:dyDescent="0.2">
      <c r="A313" s="18">
        <v>313</v>
      </c>
      <c r="B313" s="30">
        <v>44381</v>
      </c>
      <c r="C313" s="30">
        <v>44381</v>
      </c>
      <c r="D313" s="21" t="s">
        <v>14</v>
      </c>
      <c r="E313" s="21" t="s">
        <v>111</v>
      </c>
      <c r="F313" s="21" t="s">
        <v>23</v>
      </c>
      <c r="G313" s="21" t="s">
        <v>26</v>
      </c>
      <c r="H313" s="21" t="s">
        <v>32</v>
      </c>
      <c r="I313" s="21" t="s">
        <v>126</v>
      </c>
      <c r="J313" s="21" t="s">
        <v>33</v>
      </c>
      <c r="K313" s="21" t="s">
        <v>45</v>
      </c>
      <c r="L313" s="21" t="s">
        <v>51</v>
      </c>
      <c r="M313" s="21" t="s">
        <v>54</v>
      </c>
      <c r="N313" s="21" t="s">
        <v>58</v>
      </c>
      <c r="O313" s="19">
        <f>IF(ISBLANK(D313),"",IF(D313='טבלת פרמטרים'!$A$9,1,0)+IF(E313='טבלת פרמטרים'!$B$5,2,1)+IF(F313='טבלת פרמטרים'!$C$5,3,IF(F313='טבלת פרמטרים'!$C$4,1,0))+IF(G313='טבלת פרמטרים'!$D$3,2,0)+IF(M313='טבלת פרמטרים'!$J$4,2,IF(M313='טבלת פרמטרים'!$J$3,1,0))+IF(N313='טבלת פרמטרים'!$K$6,3,IF(OR(N313='טבלת פרמטרים'!$K$4,N313='טבלת פרמטרים'!$K$5),2,IF(N313='טבלת פרמטרים'!$K$3,1,0))))</f>
        <v>3</v>
      </c>
      <c r="R313" s="19">
        <f t="shared" si="9"/>
        <v>3</v>
      </c>
      <c r="T313" s="19" t="str">
        <f>IF(EXACT(Q313,'טבלת פרמטרים'!$O$2),'טבלת פרמטרים'!$P$2,IF(EXACT(Q313,'טבלת פרמטרים'!$O$3),'טבלת פרמטרים'!$P$3,IF(EXACT(Q313,'טבלת פרמטרים'!$O$4),'טבלת פרמטרים'!$P$4,IF(EXACT(Q313,'טבלת פרמטרים'!$O$5),'טבלת פרמטרים'!$P$5,IF(EXACT(Q313,'טבלת פרמטרים'!$O$6),'טבלת פרמטרים'!$P$6,IF(EXACT(Q313,'טבלת פרמטרים'!$O$7),'טבלת פרמטרים'!$P$7,""))))))</f>
        <v/>
      </c>
    </row>
    <row r="314" spans="1:20" x14ac:dyDescent="0.2">
      <c r="A314" s="18">
        <v>314</v>
      </c>
      <c r="B314" s="30">
        <v>44383</v>
      </c>
      <c r="C314" s="30">
        <v>44383</v>
      </c>
      <c r="D314" s="21" t="s">
        <v>12</v>
      </c>
      <c r="E314" s="21" t="s">
        <v>111</v>
      </c>
      <c r="F314" s="21" t="s">
        <v>23</v>
      </c>
      <c r="G314" s="21" t="s">
        <v>26</v>
      </c>
      <c r="H314" s="21" t="s">
        <v>30</v>
      </c>
      <c r="I314" s="21" t="s">
        <v>126</v>
      </c>
      <c r="J314" s="21" t="s">
        <v>41</v>
      </c>
      <c r="K314" s="21" t="s">
        <v>19</v>
      </c>
      <c r="L314" s="21" t="s">
        <v>49</v>
      </c>
      <c r="M314" s="21" t="s">
        <v>55</v>
      </c>
      <c r="N314" s="21" t="s">
        <v>59</v>
      </c>
      <c r="O314" s="19">
        <f>IF(ISBLANK(D314),"",IF(D314='טבלת פרמטרים'!$A$9,1,0)+IF(E314='טבלת פרמטרים'!$B$5,2,1)+IF(F314='טבלת פרמטרים'!$C$5,3,IF(F314='טבלת פרמטרים'!$C$4,1,0))+IF(G314='טבלת פרמטרים'!$D$3,2,0)+IF(M314='טבלת פרמטרים'!$J$4,2,IF(M314='טבלת פרמטרים'!$J$3,1,0))+IF(N314='טבלת פרמטרים'!$K$6,3,IF(OR(N314='טבלת פרמטרים'!$K$4,N314='טבלת פרמטרים'!$K$5),2,IF(N314='טבלת פרמטרים'!$K$3,1,0))))</f>
        <v>5</v>
      </c>
      <c r="R314" s="19">
        <f t="shared" si="9"/>
        <v>5</v>
      </c>
      <c r="T314" s="19" t="str">
        <f>IF(EXACT(Q314,'טבלת פרמטרים'!$O$2),'טבלת פרמטרים'!$P$2,IF(EXACT(Q314,'טבלת פרמטרים'!$O$3),'טבלת פרמטרים'!$P$3,IF(EXACT(Q314,'טבלת פרמטרים'!$O$4),'טבלת פרמטרים'!$P$4,IF(EXACT(Q314,'טבלת פרמטרים'!$O$5),'טבלת פרמטרים'!$P$5,IF(EXACT(Q314,'טבלת פרמטרים'!$O$6),'טבלת פרמטרים'!$P$6,IF(EXACT(Q314,'טבלת פרמטרים'!$O$7),'טבלת פרמטרים'!$P$7,""))))))</f>
        <v/>
      </c>
    </row>
    <row r="315" spans="1:20" x14ac:dyDescent="0.2">
      <c r="A315" s="18">
        <v>315</v>
      </c>
      <c r="B315" s="30">
        <v>44389</v>
      </c>
      <c r="C315" s="30">
        <v>44389</v>
      </c>
      <c r="D315" s="21" t="s">
        <v>14</v>
      </c>
      <c r="E315" s="21" t="s">
        <v>111</v>
      </c>
      <c r="F315" s="21" t="s">
        <v>23</v>
      </c>
      <c r="G315" s="21" t="s">
        <v>26</v>
      </c>
      <c r="H315" s="21" t="s">
        <v>32</v>
      </c>
      <c r="I315" s="21" t="s">
        <v>126</v>
      </c>
      <c r="J315" s="21" t="s">
        <v>33</v>
      </c>
      <c r="K315" s="21" t="s">
        <v>45</v>
      </c>
      <c r="L315" s="21" t="s">
        <v>51</v>
      </c>
      <c r="M315" s="21" t="s">
        <v>54</v>
      </c>
      <c r="N315" s="21" t="s">
        <v>58</v>
      </c>
      <c r="O315" s="19">
        <f>IF(ISBLANK(D315),"",IF(D315='טבלת פרמטרים'!$A$9,1,0)+IF(E315='טבלת פרמטרים'!$B$5,2,1)+IF(F315='טבלת פרמטרים'!$C$5,3,IF(F315='טבלת פרמטרים'!$C$4,1,0))+IF(G315='טבלת פרמטרים'!$D$3,2,0)+IF(M315='טבלת פרמטרים'!$J$4,2,IF(M315='טבלת פרמטרים'!$J$3,1,0))+IF(N315='טבלת פרמטרים'!$K$6,3,IF(OR(N315='טבלת פרמטרים'!$K$4,N315='טבלת פרמטרים'!$K$5),2,IF(N315='טבלת פרמטרים'!$K$3,1,0))))</f>
        <v>3</v>
      </c>
      <c r="R315" s="19">
        <f t="shared" si="9"/>
        <v>3</v>
      </c>
      <c r="T315" s="19" t="str">
        <f>IF(EXACT(Q315,'טבלת פרמטרים'!$O$2),'טבלת פרמטרים'!$P$2,IF(EXACT(Q315,'טבלת פרמטרים'!$O$3),'טבלת פרמטרים'!$P$3,IF(EXACT(Q315,'טבלת פרמטרים'!$O$4),'טבלת פרמטרים'!$P$4,IF(EXACT(Q315,'טבלת פרמטרים'!$O$5),'טבלת פרמטרים'!$P$5,IF(EXACT(Q315,'טבלת פרמטרים'!$O$6),'טבלת פרמטרים'!$P$6,IF(EXACT(Q315,'טבלת פרמטרים'!$O$7),'טבלת פרמטרים'!$P$7,""))))))</f>
        <v/>
      </c>
    </row>
    <row r="316" spans="1:20" x14ac:dyDescent="0.2">
      <c r="A316" s="18">
        <v>316</v>
      </c>
      <c r="B316" s="30">
        <v>44389</v>
      </c>
      <c r="C316" s="30">
        <v>44389</v>
      </c>
      <c r="D316" s="21" t="s">
        <v>10</v>
      </c>
      <c r="E316" s="21" t="s">
        <v>21</v>
      </c>
      <c r="F316" s="21" t="s">
        <v>23</v>
      </c>
      <c r="G316" s="21" t="s">
        <v>26</v>
      </c>
      <c r="H316" s="21" t="s">
        <v>32</v>
      </c>
      <c r="I316" s="21" t="s">
        <v>126</v>
      </c>
      <c r="J316" s="21" t="s">
        <v>11</v>
      </c>
      <c r="K316" s="21" t="s">
        <v>44</v>
      </c>
      <c r="L316" s="21" t="s">
        <v>51</v>
      </c>
      <c r="M316" s="21" t="s">
        <v>54</v>
      </c>
      <c r="N316" s="21" t="s">
        <v>58</v>
      </c>
      <c r="O316" s="19">
        <f>IF(ISBLANK(D316),"",IF(D316='טבלת פרמטרים'!$A$9,1,0)+IF(E316='טבלת פרמטרים'!$B$5,2,1)+IF(F316='טבלת פרמטרים'!$C$5,3,IF(F316='טבלת פרמטרים'!$C$4,1,0))+IF(G316='טבלת פרמטרים'!$D$3,2,0)+IF(M316='טבלת פרמטרים'!$J$4,2,IF(M316='טבלת פרמטרים'!$J$3,1,0))+IF(N316='טבלת פרמטרים'!$K$6,3,IF(OR(N316='טבלת פרמטרים'!$K$4,N316='טבלת פרמטרים'!$K$5),2,IF(N316='טבלת פרמטרים'!$K$3,1,0))))</f>
        <v>3</v>
      </c>
      <c r="R316" s="19">
        <f t="shared" si="9"/>
        <v>3</v>
      </c>
      <c r="T316" s="19" t="str">
        <f>IF(EXACT(Q316,'טבלת פרמטרים'!$O$2),'טבלת פרמטרים'!$P$2,IF(EXACT(Q316,'טבלת פרמטרים'!$O$3),'טבלת פרמטרים'!$P$3,IF(EXACT(Q316,'טבלת פרמטרים'!$O$4),'טבלת פרמטרים'!$P$4,IF(EXACT(Q316,'טבלת פרמטרים'!$O$5),'טבלת פרמטרים'!$P$5,IF(EXACT(Q316,'טבלת פרמטרים'!$O$6),'טבלת פרמטרים'!$P$6,IF(EXACT(Q316,'טבלת פרמטרים'!$O$7),'טבלת פרמטרים'!$P$7,""))))))</f>
        <v/>
      </c>
    </row>
    <row r="317" spans="1:20" x14ac:dyDescent="0.2">
      <c r="A317" s="18">
        <v>317</v>
      </c>
      <c r="C317" s="30">
        <v>44390</v>
      </c>
      <c r="D317" s="21" t="s">
        <v>10</v>
      </c>
      <c r="E317" s="21" t="s">
        <v>111</v>
      </c>
      <c r="F317" s="21" t="s">
        <v>23</v>
      </c>
      <c r="G317" s="21" t="s">
        <v>26</v>
      </c>
      <c r="H317" s="21" t="s">
        <v>32</v>
      </c>
      <c r="I317" s="21" t="s">
        <v>126</v>
      </c>
      <c r="J317" s="21" t="s">
        <v>40</v>
      </c>
      <c r="K317" s="21" t="s">
        <v>44</v>
      </c>
      <c r="L317" s="21" t="s">
        <v>51</v>
      </c>
      <c r="M317" s="21" t="s">
        <v>54</v>
      </c>
      <c r="N317" s="21" t="s">
        <v>61</v>
      </c>
      <c r="O317" s="19">
        <f>IF(ISBLANK(D317),"",IF(D317='טבלת פרמטרים'!$A$9,1,0)+IF(E317='טבלת פרמטרים'!$B$5,2,1)+IF(F317='טבלת פרמטרים'!$C$5,3,IF(F317='טבלת פרמטרים'!$C$4,1,0))+IF(G317='טבלת פרמטרים'!$D$3,2,0)+IF(M317='טבלת פרמטרים'!$J$4,2,IF(M317='טבלת פרמטרים'!$J$3,1,0))+IF(N317='טבלת פרמטרים'!$K$6,3,IF(OR(N317='טבלת פרמטרים'!$K$4,N317='טבלת פרמטרים'!$K$5),2,IF(N317='טבלת פרמטרים'!$K$3,1,0))))</f>
        <v>5</v>
      </c>
      <c r="R317" s="19">
        <f t="shared" si="9"/>
        <v>5</v>
      </c>
      <c r="T317" s="19" t="str">
        <f>IF(EXACT(Q317,'טבלת פרמטרים'!$O$2),'טבלת פרמטרים'!$P$2,IF(EXACT(Q317,'טבלת פרמטרים'!$O$3),'טבלת פרמטרים'!$P$3,IF(EXACT(Q317,'טבלת פרמטרים'!$O$4),'טבלת פרמטרים'!$P$4,IF(EXACT(Q317,'טבלת פרמטרים'!$O$5),'טבלת פרמטרים'!$P$5,IF(EXACT(Q317,'טבלת פרמטרים'!$O$6),'טבלת פרמטרים'!$P$6,IF(EXACT(Q317,'טבלת פרמטרים'!$O$7),'טבלת פרמטרים'!$P$7,""))))))</f>
        <v/>
      </c>
    </row>
    <row r="318" spans="1:20" x14ac:dyDescent="0.2">
      <c r="A318" s="18">
        <v>318</v>
      </c>
      <c r="C318" s="30">
        <v>44390</v>
      </c>
      <c r="D318" s="21" t="s">
        <v>18</v>
      </c>
      <c r="E318" s="21" t="s">
        <v>20</v>
      </c>
      <c r="F318" s="21" t="s">
        <v>23</v>
      </c>
      <c r="G318" s="21" t="s">
        <v>26</v>
      </c>
      <c r="H318" s="21" t="s">
        <v>29</v>
      </c>
      <c r="I318" s="21" t="s">
        <v>126</v>
      </c>
      <c r="J318" s="21" t="s">
        <v>40</v>
      </c>
      <c r="L318" s="21" t="s">
        <v>51</v>
      </c>
      <c r="M318" s="21" t="s">
        <v>54</v>
      </c>
      <c r="N318" s="21" t="s">
        <v>58</v>
      </c>
      <c r="O318" s="19">
        <f>IF(ISBLANK(D318),"",IF(D318='טבלת פרמטרים'!$A$9,1,0)+IF(E318='טבלת פרמטרים'!$B$5,2,1)+IF(F318='טבלת פרמטרים'!$C$5,3,IF(F318='טבלת פרמטרים'!$C$4,1,0))+IF(G318='טבלת פרמטרים'!$D$3,2,0)+IF(M318='טבלת פרמטרים'!$J$4,2,IF(M318='טבלת פרמטרים'!$J$3,1,0))+IF(N318='טבלת פרמטרים'!$K$6,3,IF(OR(N318='טבלת פרמטרים'!$K$4,N318='טבלת פרמטרים'!$K$5),2,IF(N318='טבלת פרמטרים'!$K$3,1,0))))</f>
        <v>3</v>
      </c>
      <c r="R318" s="19">
        <f t="shared" si="9"/>
        <v>3</v>
      </c>
      <c r="T318" s="19" t="str">
        <f>IF(EXACT(Q318,'טבלת פרמטרים'!$O$2),'טבלת פרמטרים'!$P$2,IF(EXACT(Q318,'טבלת פרמטרים'!$O$3),'טבלת פרמטרים'!$P$3,IF(EXACT(Q318,'טבלת פרמטרים'!$O$4),'טבלת פרמטרים'!$P$4,IF(EXACT(Q318,'טבלת פרמטרים'!$O$5),'טבלת פרמטרים'!$P$5,IF(EXACT(Q318,'טבלת פרמטרים'!$O$6),'טבלת פרמטרים'!$P$6,IF(EXACT(Q318,'טבלת פרמטרים'!$O$7),'טבלת פרמטרים'!$P$7,""))))))</f>
        <v/>
      </c>
    </row>
    <row r="319" spans="1:20" x14ac:dyDescent="0.2">
      <c r="A319" s="18">
        <v>319</v>
      </c>
      <c r="C319" s="30">
        <v>44390</v>
      </c>
      <c r="D319" s="21" t="s">
        <v>10</v>
      </c>
      <c r="E319" s="21" t="s">
        <v>111</v>
      </c>
      <c r="F319" s="21" t="s">
        <v>23</v>
      </c>
      <c r="G319" s="21" t="s">
        <v>26</v>
      </c>
      <c r="H319" s="21" t="s">
        <v>29</v>
      </c>
      <c r="I319" s="21" t="s">
        <v>126</v>
      </c>
      <c r="L319" s="21" t="s">
        <v>51</v>
      </c>
      <c r="M319" s="21" t="s">
        <v>53</v>
      </c>
      <c r="N319" s="21" t="s">
        <v>58</v>
      </c>
      <c r="O319" s="19">
        <f>IF(ISBLANK(D319),"",IF(D319='טבלת פרמטרים'!$A$9,1,0)+IF(E319='טבלת פרמטרים'!$B$5,2,1)+IF(F319='טבלת פרמטרים'!$C$5,3,IF(F319='טבלת פרמטרים'!$C$4,1,0))+IF(G319='טבלת פרמטרים'!$D$3,2,0)+IF(M319='טבלת פרמטרים'!$J$4,2,IF(M319='טבלת פרמטרים'!$J$3,1,0))+IF(N319='טבלת פרמטרים'!$K$6,3,IF(OR(N319='טבלת פרמטרים'!$K$4,N319='טבלת פרמטרים'!$K$5),2,IF(N319='טבלת פרמטרים'!$K$3,1,0))))</f>
        <v>2</v>
      </c>
      <c r="Q319" s="20" t="s">
        <v>123</v>
      </c>
      <c r="R319" s="19">
        <f t="shared" si="9"/>
        <v>2</v>
      </c>
      <c r="T319" s="19">
        <f>IF(EXACT(Q319,'טבלת פרמטרים'!$O$2),'טבלת פרמטרים'!$P$2,IF(EXACT(Q319,'טבלת פרמטרים'!$O$3),'טבלת פרמטרים'!$P$3,IF(EXACT(Q319,'טבלת פרמטרים'!$O$4),'טבלת פרמטרים'!$P$4,IF(EXACT(Q319,'טבלת פרמטרים'!$O$5),'טבלת פרמטרים'!$P$5,IF(EXACT(Q319,'טבלת פרמטרים'!$O$6),'טבלת פרמטרים'!$P$6,IF(EXACT(Q319,'טבלת פרמטרים'!$O$7),'טבלת פרמטרים'!$P$7,""))))))</f>
        <v>0</v>
      </c>
    </row>
    <row r="320" spans="1:20" x14ac:dyDescent="0.2">
      <c r="A320" s="18">
        <v>320</v>
      </c>
      <c r="B320" s="30">
        <v>44363</v>
      </c>
      <c r="C320" s="30">
        <v>44363</v>
      </c>
      <c r="D320" s="21" t="s">
        <v>13</v>
      </c>
      <c r="E320" s="21" t="s">
        <v>20</v>
      </c>
      <c r="F320" s="21" t="s">
        <v>23</v>
      </c>
      <c r="G320" s="21" t="s">
        <v>26</v>
      </c>
      <c r="H320" s="21" t="s">
        <v>29</v>
      </c>
      <c r="I320" s="21" t="s">
        <v>127</v>
      </c>
      <c r="J320" s="21" t="s">
        <v>41</v>
      </c>
      <c r="K320" s="21" t="s">
        <v>43</v>
      </c>
      <c r="L320" s="21" t="s">
        <v>51</v>
      </c>
      <c r="M320" s="21" t="s">
        <v>55</v>
      </c>
      <c r="O320" s="19">
        <f>IF(ISBLANK(D320),"",IF(D320='טבלת פרמטרים'!$A$9,1,0)+IF(E320='טבלת פרמטרים'!$B$5,2,1)+IF(F320='טבלת פרמטרים'!$C$5,3,IF(F320='טבלת פרמטרים'!$C$4,1,0))+IF(G320='טבלת פרמטרים'!$D$3,2,0)+IF(M320='טבלת פרמטרים'!$J$4,2,IF(M320='טבלת פרמטרים'!$J$3,1,0))+IF(N320='טבלת פרמטרים'!$K$6,3,IF(OR(N320='טבלת פרמטרים'!$K$4,N320='טבלת פרמטרים'!$K$5),2,IF(N320='טבלת פרמטרים'!$K$3,1,0))))</f>
        <v>3</v>
      </c>
      <c r="R320" s="19">
        <f t="shared" si="9"/>
        <v>3</v>
      </c>
      <c r="T320" s="19" t="str">
        <f>IF(EXACT(Q320,'טבלת פרמטרים'!$O$2),'טבלת פרמטרים'!$P$2,IF(EXACT(Q320,'טבלת פרמטרים'!$O$3),'טבלת פרמטרים'!$P$3,IF(EXACT(Q320,'טבלת פרמטרים'!$O$4),'טבלת פרמטרים'!$P$4,IF(EXACT(Q320,'טבלת פרמטרים'!$O$5),'טבלת פרמטרים'!$P$5,IF(EXACT(Q320,'טבלת פרמטרים'!$O$6),'טבלת פרמטרים'!$P$6,IF(EXACT(Q320,'טבלת פרמטרים'!$O$7),'טבלת פרמטרים'!$P$7,""))))))</f>
        <v/>
      </c>
    </row>
    <row r="321" spans="1:21" x14ac:dyDescent="0.2">
      <c r="A321" s="18">
        <v>321</v>
      </c>
      <c r="B321" s="30">
        <v>44375</v>
      </c>
      <c r="C321" s="30">
        <v>44375</v>
      </c>
      <c r="D321" s="21" t="s">
        <v>13</v>
      </c>
      <c r="E321" s="21" t="s">
        <v>111</v>
      </c>
      <c r="F321" s="21" t="s">
        <v>23</v>
      </c>
      <c r="G321" s="21" t="s">
        <v>26</v>
      </c>
      <c r="H321" s="21" t="s">
        <v>31</v>
      </c>
      <c r="J321" s="21" t="s">
        <v>41</v>
      </c>
      <c r="K321" s="21" t="s">
        <v>44</v>
      </c>
      <c r="L321" s="21" t="s">
        <v>51</v>
      </c>
      <c r="M321" s="21" t="s">
        <v>54</v>
      </c>
      <c r="N321" s="21" t="s">
        <v>59</v>
      </c>
      <c r="O321" s="19">
        <f>IF(ISBLANK(D321),"",IF(D321='טבלת פרמטרים'!$A$9,1,0)+IF(E321='טבלת פרמטרים'!$B$5,2,1)+IF(F321='טבלת פרמטרים'!$C$5,3,IF(F321='טבלת פרמטרים'!$C$4,1,0))+IF(G321='טבלת פרמטרים'!$D$3,2,0)+IF(M321='טבלת פרמטרים'!$J$4,2,IF(M321='טבלת פרמטרים'!$J$3,1,0))+IF(N321='טבלת פרמטרים'!$K$6,3,IF(OR(N321='טבלת פרמטרים'!$K$4,N321='טבלת פרמטרים'!$K$5),2,IF(N321='טבלת פרמטרים'!$K$3,1,0))))</f>
        <v>4</v>
      </c>
      <c r="Q321" s="20" t="s">
        <v>123</v>
      </c>
      <c r="R321" s="19">
        <f t="shared" si="9"/>
        <v>4</v>
      </c>
      <c r="T321" s="19">
        <f>IF(EXACT(Q321,'טבלת פרמטרים'!$O$2),'טבלת פרמטרים'!$P$2,IF(EXACT(Q321,'טבלת פרמטרים'!$O$3),'טבלת פרמטרים'!$P$3,IF(EXACT(Q321,'טבלת פרמטרים'!$O$4),'טבלת פרמטרים'!$P$4,IF(EXACT(Q321,'טבלת פרמטרים'!$O$5),'טבלת פרמטרים'!$P$5,IF(EXACT(Q321,'טבלת פרמטרים'!$O$6),'טבלת פרמטרים'!$P$6,IF(EXACT(Q321,'טבלת פרמטרים'!$O$7),'טבלת פרמטרים'!$P$7,""))))))</f>
        <v>0</v>
      </c>
    </row>
    <row r="322" spans="1:21" x14ac:dyDescent="0.2">
      <c r="A322" s="18">
        <v>322</v>
      </c>
      <c r="B322" s="30">
        <v>44377</v>
      </c>
      <c r="C322" s="30">
        <v>44377</v>
      </c>
      <c r="D322" s="21" t="s">
        <v>13</v>
      </c>
      <c r="E322" s="21" t="s">
        <v>111</v>
      </c>
      <c r="F322" s="21" t="s">
        <v>23</v>
      </c>
      <c r="G322" s="21" t="s">
        <v>26</v>
      </c>
      <c r="H322" s="21" t="s">
        <v>31</v>
      </c>
      <c r="J322" s="21" t="s">
        <v>41</v>
      </c>
      <c r="K322" s="21" t="s">
        <v>44</v>
      </c>
      <c r="L322" s="21" t="s">
        <v>51</v>
      </c>
      <c r="N322" s="21" t="s">
        <v>59</v>
      </c>
      <c r="O322" s="19">
        <f>IF(ISBLANK(D322),"",IF(D322='טבלת פרמטרים'!$A$9,1,0)+IF(E322='טבלת פרמטרים'!$B$5,2,1)+IF(F322='טבלת פרמטרים'!$C$5,3,IF(F322='טבלת פרמטרים'!$C$4,1,0))+IF(G322='טבלת פרמטרים'!$D$3,2,0)+IF(M322='טבלת פרמטרים'!$J$4,2,IF(M322='טבלת פרמטרים'!$J$3,1,0))+IF(N322='טבלת פרמטרים'!$K$6,3,IF(OR(N322='טבלת פרמטרים'!$K$4,N322='טבלת פרמטרים'!$K$5),2,IF(N322='טבלת פרמטרים'!$K$3,1,0))))</f>
        <v>3</v>
      </c>
      <c r="Q322" s="20" t="s">
        <v>123</v>
      </c>
      <c r="R322" s="19">
        <f t="shared" si="9"/>
        <v>3</v>
      </c>
      <c r="T322" s="19">
        <f>IF(EXACT(Q322,'טבלת פרמטרים'!$O$2),'טבלת פרמטרים'!$P$2,IF(EXACT(Q322,'טבלת פרמטרים'!$O$3),'טבלת פרמטרים'!$P$3,IF(EXACT(Q322,'טבלת פרמטרים'!$O$4),'טבלת פרמטרים'!$P$4,IF(EXACT(Q322,'טבלת פרמטרים'!$O$5),'טבלת פרמטרים'!$P$5,IF(EXACT(Q322,'טבלת פרמטרים'!$O$6),'טבלת פרמטרים'!$P$6,IF(EXACT(Q322,'טבלת פרמטרים'!$O$7),'טבלת פרמטרים'!$P$7,""))))))</f>
        <v>0</v>
      </c>
    </row>
    <row r="323" spans="1:21" ht="28.5" x14ac:dyDescent="0.2">
      <c r="A323" s="18">
        <v>323</v>
      </c>
      <c r="B323" s="30">
        <v>44403</v>
      </c>
      <c r="C323" s="30">
        <v>44403</v>
      </c>
      <c r="D323" s="21" t="s">
        <v>17</v>
      </c>
      <c r="E323" s="21" t="s">
        <v>22</v>
      </c>
      <c r="F323" s="21" t="s">
        <v>24</v>
      </c>
      <c r="G323" s="21" t="s">
        <v>26</v>
      </c>
      <c r="H323" s="21" t="s">
        <v>30</v>
      </c>
      <c r="K323" s="21" t="s">
        <v>43</v>
      </c>
      <c r="L323" s="21" t="s">
        <v>49</v>
      </c>
      <c r="M323" s="21" t="s">
        <v>54</v>
      </c>
      <c r="N323" s="21" t="s">
        <v>58</v>
      </c>
      <c r="O323" s="19">
        <f>IF(ISBLANK(D323),"",IF(D323='טבלת פרמטרים'!$A$9,1,0)+IF(E323='טבלת פרמטרים'!$B$5,2,1)+IF(F323='טבלת פרמטרים'!$C$5,3,IF(F323='טבלת פרמטרים'!$C$4,1,0))+IF(G323='טבלת פרמטרים'!$D$3,2,0)+IF(M323='טבלת פרמטרים'!$J$4,2,IF(M323='טבלת פרמטרים'!$J$3,1,0))+IF(N323='טבלת פרמטרים'!$K$6,3,IF(OR(N323='טבלת פרמטרים'!$K$4,N323='טבלת פרמטרים'!$K$5),2,IF(N323='טבלת פרמטרים'!$K$3,1,0))))</f>
        <v>6</v>
      </c>
      <c r="Q323" s="20" t="s">
        <v>329</v>
      </c>
      <c r="R323" s="19">
        <f t="shared" si="9"/>
        <v>7</v>
      </c>
      <c r="T323" s="19">
        <f>IF(EXACT(Q323,'טבלת פרמטרים'!$O$2),'טבלת פרמטרים'!$P$2,IF(EXACT(Q323,'טבלת פרמטרים'!$O$3),'טבלת פרמטרים'!$P$3,IF(EXACT(Q323,'טבלת פרמטרים'!$O$4),'טבלת פרמטרים'!$P$4,IF(EXACT(Q323,'טבלת פרמטרים'!$O$5),'טבלת פרמטרים'!$P$5,IF(EXACT(Q323,'טבלת פרמטרים'!$O$6),'טבלת פרמטרים'!$P$6,IF(EXACT(Q323,'טבלת פרמטרים'!$O$7),'טבלת פרמטרים'!$P$7,""))))))</f>
        <v>1</v>
      </c>
    </row>
    <row r="324" spans="1:21" x14ac:dyDescent="0.2">
      <c r="A324" s="18">
        <v>324</v>
      </c>
      <c r="B324" s="30">
        <v>44405</v>
      </c>
      <c r="C324" s="30">
        <v>44405</v>
      </c>
      <c r="D324" s="21" t="s">
        <v>17</v>
      </c>
      <c r="E324" s="21" t="s">
        <v>111</v>
      </c>
      <c r="F324" s="21" t="s">
        <v>23</v>
      </c>
      <c r="G324" s="21" t="s">
        <v>26</v>
      </c>
      <c r="H324" s="21" t="s">
        <v>31</v>
      </c>
      <c r="I324" s="21" t="s">
        <v>126</v>
      </c>
      <c r="J324" s="21" t="s">
        <v>34</v>
      </c>
      <c r="K324" s="21" t="s">
        <v>44</v>
      </c>
      <c r="L324" s="21" t="s">
        <v>49</v>
      </c>
      <c r="M324" s="21" t="s">
        <v>55</v>
      </c>
      <c r="N324" s="21" t="s">
        <v>58</v>
      </c>
      <c r="O324" s="19">
        <f>IF(ISBLANK(D324),"",IF(D324='טבלת פרמטרים'!$A$9,1,0)+IF(E324='טבלת פרמטרים'!$B$5,2,1)+IF(F324='טבלת פרמטרים'!$C$5,3,IF(F324='טבלת פרמטרים'!$C$4,1,0))+IF(G324='טבלת פרמטרים'!$D$3,2,0)+IF(M324='טבלת פרמטרים'!$J$4,2,IF(M324='טבלת פרמטרים'!$J$3,1,0))+IF(N324='טבלת פרמטרים'!$K$6,3,IF(OR(N324='טבלת פרמטרים'!$K$4,N324='טבלת פרמטרים'!$K$5),2,IF(N324='טבלת פרמטרים'!$K$3,1,0))))</f>
        <v>5</v>
      </c>
      <c r="Q324" s="20" t="s">
        <v>123</v>
      </c>
      <c r="R324" s="19">
        <f t="shared" si="9"/>
        <v>5</v>
      </c>
      <c r="T324" s="19">
        <f>IF(EXACT(Q324,'טבלת פרמטרים'!$O$2),'טבלת פרמטרים'!$P$2,IF(EXACT(Q324,'טבלת פרמטרים'!$O$3),'טבלת פרמטרים'!$P$3,IF(EXACT(Q324,'טבלת פרמטרים'!$O$4),'טבלת פרמטרים'!$P$4,IF(EXACT(Q324,'טבלת פרמטרים'!$O$5),'טבלת פרמטרים'!$P$5,IF(EXACT(Q324,'טבלת פרמטרים'!$O$6),'טבלת פרמטרים'!$P$6,IF(EXACT(Q324,'טבלת פרמטרים'!$O$7),'טבלת פרמטרים'!$P$7,""))))))</f>
        <v>0</v>
      </c>
    </row>
    <row r="325" spans="1:21" x14ac:dyDescent="0.2">
      <c r="A325" s="18">
        <v>325</v>
      </c>
      <c r="B325" s="30">
        <v>44405</v>
      </c>
      <c r="C325" s="30">
        <v>44405</v>
      </c>
      <c r="D325" s="21" t="s">
        <v>15</v>
      </c>
      <c r="E325" s="21" t="s">
        <v>21</v>
      </c>
      <c r="F325" s="21" t="s">
        <v>23</v>
      </c>
      <c r="G325" s="21" t="s">
        <v>26</v>
      </c>
      <c r="H325" s="21" t="s">
        <v>29</v>
      </c>
      <c r="J325" s="21" t="s">
        <v>63</v>
      </c>
      <c r="K325" s="21" t="s">
        <v>43</v>
      </c>
      <c r="L325" s="21" t="s">
        <v>51</v>
      </c>
      <c r="N325" s="21" t="s">
        <v>58</v>
      </c>
      <c r="O325" s="19">
        <f>IF(ISBLANK(D325),"",IF(D325='טבלת פרמטרים'!$A$9,1,0)+IF(E325='טבלת פרמטרים'!$B$5,2,1)+IF(F325='טבלת פרמטרים'!$C$5,3,IF(F325='טבלת פרמטרים'!$C$4,1,0))+IF(G325='טבלת פרמטרים'!$D$3,2,0)+IF(M325='טבלת פרמטרים'!$J$4,2,IF(M325='טבלת פרמטרים'!$J$3,1,0))+IF(N325='טבלת פרמטרים'!$K$6,3,IF(OR(N325='טבלת פרמטרים'!$K$4,N325='טבלת פרמטרים'!$K$5),2,IF(N325='טבלת פרמטרים'!$K$3,1,0))))</f>
        <v>2</v>
      </c>
      <c r="Q325" s="20" t="s">
        <v>123</v>
      </c>
      <c r="R325" s="19">
        <f t="shared" si="9"/>
        <v>2</v>
      </c>
      <c r="T325" s="19">
        <f>IF(EXACT(Q325,'טבלת פרמטרים'!$O$2),'טבלת פרמטרים'!$P$2,IF(EXACT(Q325,'טבלת פרמטרים'!$O$3),'טבלת פרמטרים'!$P$3,IF(EXACT(Q325,'טבלת פרמטרים'!$O$4),'טבלת פרמטרים'!$P$4,IF(EXACT(Q325,'טבלת פרמטרים'!$O$5),'טבלת פרמטרים'!$P$5,IF(EXACT(Q325,'טבלת פרמטרים'!$O$6),'טבלת פרמטרים'!$P$6,IF(EXACT(Q325,'טבלת פרמטרים'!$O$7),'טבלת פרמטרים'!$P$7,""))))))</f>
        <v>0</v>
      </c>
    </row>
    <row r="326" spans="1:21" x14ac:dyDescent="0.2">
      <c r="A326" s="18">
        <v>326</v>
      </c>
      <c r="B326" s="30">
        <v>44382</v>
      </c>
      <c r="C326" s="30">
        <v>44405</v>
      </c>
      <c r="D326" s="21" t="s">
        <v>11</v>
      </c>
      <c r="E326" s="21" t="s">
        <v>22</v>
      </c>
      <c r="F326" s="21" t="s">
        <v>24</v>
      </c>
      <c r="G326" s="21" t="s">
        <v>26</v>
      </c>
      <c r="H326" s="21" t="s">
        <v>32</v>
      </c>
      <c r="I326" s="21" t="s">
        <v>126</v>
      </c>
      <c r="J326" s="21" t="s">
        <v>11</v>
      </c>
      <c r="K326" s="21" t="s">
        <v>45</v>
      </c>
      <c r="L326" s="21" t="s">
        <v>51</v>
      </c>
      <c r="M326" s="21" t="s">
        <v>55</v>
      </c>
      <c r="N326" s="21" t="s">
        <v>58</v>
      </c>
      <c r="O326" s="19">
        <f>IF(ISBLANK(D326),"",IF(D326='טבלת פרמטרים'!$A$9,1,0)+IF(E326='טבלת פרמטרים'!$B$5,2,1)+IF(F326='טבלת פרמטרים'!$C$5,3,IF(F326='טבלת פרמטרים'!$C$4,1,0))+IF(G326='טבלת פרמטרים'!$D$3,2,0)+IF(M326='טבלת פרמטרים'!$J$4,2,IF(M326='טבלת פרמטרים'!$J$3,1,0))+IF(N326='טבלת פרמטרים'!$K$6,3,IF(OR(N326='טבלת פרמטרים'!$K$4,N326='טבלת פרמטרים'!$K$5),2,IF(N326='טבלת פרמטרים'!$K$3,1,0))))</f>
        <v>6</v>
      </c>
      <c r="Q326" s="20" t="s">
        <v>123</v>
      </c>
      <c r="R326" s="19">
        <f t="shared" si="9"/>
        <v>6</v>
      </c>
      <c r="T326" s="19">
        <f>IF(EXACT(Q326,'טבלת פרמטרים'!$O$2),'טבלת פרמטרים'!$P$2,IF(EXACT(Q326,'טבלת פרמטרים'!$O$3),'טבלת פרמטרים'!$P$3,IF(EXACT(Q326,'טבלת פרמטרים'!$O$4),'טבלת פרמטרים'!$P$4,IF(EXACT(Q326,'טבלת פרמטרים'!$O$5),'טבלת פרמטרים'!$P$5,IF(EXACT(Q326,'טבלת פרמטרים'!$O$6),'טבלת פרמטרים'!$P$6,IF(EXACT(Q326,'טבלת פרמטרים'!$O$7),'טבלת פרמטרים'!$P$7,""))))))</f>
        <v>0</v>
      </c>
    </row>
    <row r="327" spans="1:21" x14ac:dyDescent="0.2">
      <c r="A327" s="18">
        <v>327</v>
      </c>
      <c r="B327" s="30">
        <v>44406</v>
      </c>
      <c r="C327" s="30">
        <v>44406</v>
      </c>
      <c r="D327" s="21" t="s">
        <v>10</v>
      </c>
      <c r="E327" s="21" t="s">
        <v>20</v>
      </c>
      <c r="F327" s="21" t="s">
        <v>23</v>
      </c>
      <c r="G327" s="21" t="s">
        <v>26</v>
      </c>
      <c r="H327" s="21" t="s">
        <v>29</v>
      </c>
      <c r="J327" s="21" t="s">
        <v>42</v>
      </c>
      <c r="M327" s="21" t="s">
        <v>55</v>
      </c>
      <c r="N327" s="21" t="s">
        <v>58</v>
      </c>
      <c r="O327" s="19">
        <f>IF(ISBLANK(D327),"",IF(D327='טבלת פרמטרים'!$A$9,1,0)+IF(E327='טבלת פרמטרים'!$B$5,2,1)+IF(F327='טבלת פרמטרים'!$C$5,3,IF(F327='טבלת פרמטרים'!$C$4,1,0))+IF(G327='טבלת פרמטרים'!$D$3,2,0)+IF(M327='טבלת פרמטרים'!$J$4,2,IF(M327='טבלת פרמטרים'!$J$3,1,0))+IF(N327='טבלת פרמטרים'!$K$6,3,IF(OR(N327='טבלת פרמטרים'!$K$4,N327='טבלת פרמטרים'!$K$5),2,IF(N327='טבלת פרמטרים'!$K$3,1,0))))</f>
        <v>4</v>
      </c>
      <c r="Q327" s="20" t="s">
        <v>123</v>
      </c>
      <c r="R327" s="19">
        <f t="shared" si="9"/>
        <v>4</v>
      </c>
      <c r="T327" s="19">
        <f>IF(EXACT(Q327,'טבלת פרמטרים'!$O$2),'טבלת פרמטרים'!$P$2,IF(EXACT(Q327,'טבלת פרמטרים'!$O$3),'טבלת פרמטרים'!$P$3,IF(EXACT(Q327,'טבלת פרמטרים'!$O$4),'טבלת פרמטרים'!$P$4,IF(EXACT(Q327,'טבלת פרמטרים'!$O$5),'טבלת פרמטרים'!$P$5,IF(EXACT(Q327,'טבלת פרמטרים'!$O$6),'טבלת פרמטרים'!$P$6,IF(EXACT(Q327,'טבלת פרמטרים'!$O$7),'טבלת פרמטרים'!$P$7,""))))))</f>
        <v>0</v>
      </c>
      <c r="U327" s="19" t="s">
        <v>539</v>
      </c>
    </row>
    <row r="328" spans="1:21" x14ac:dyDescent="0.2">
      <c r="A328" s="18">
        <v>328</v>
      </c>
      <c r="B328" s="30">
        <v>44409</v>
      </c>
      <c r="C328" s="30">
        <v>44409</v>
      </c>
      <c r="D328" s="21" t="s">
        <v>13</v>
      </c>
      <c r="E328" s="21" t="s">
        <v>111</v>
      </c>
      <c r="F328" s="21" t="s">
        <v>23</v>
      </c>
      <c r="G328" s="21" t="s">
        <v>26</v>
      </c>
      <c r="H328" s="21" t="s">
        <v>30</v>
      </c>
      <c r="I328" s="21" t="s">
        <v>127</v>
      </c>
      <c r="J328" s="21" t="s">
        <v>35</v>
      </c>
      <c r="K328" s="21" t="s">
        <v>43</v>
      </c>
      <c r="L328" s="21" t="s">
        <v>49</v>
      </c>
      <c r="M328" s="21" t="s">
        <v>54</v>
      </c>
      <c r="N328" s="21" t="s">
        <v>58</v>
      </c>
      <c r="O328" s="19">
        <f>IF(ISBLANK(D328),"",IF(D328='טבלת פרמטרים'!$A$9,1,0)+IF(E328='טבלת פרמטרים'!$B$5,2,1)+IF(F328='טבלת פרמטרים'!$C$5,3,IF(F328='טבלת פרמטרים'!$C$4,1,0))+IF(G328='טבלת פרמטרים'!$D$3,2,0)+IF(M328='טבלת פרמטרים'!$J$4,2,IF(M328='טבלת פרמטרים'!$J$3,1,0))+IF(N328='טבלת פרמטרים'!$K$6,3,IF(OR(N328='טבלת פרמטרים'!$K$4,N328='טבלת פרמטרים'!$K$5),2,IF(N328='טבלת פרמטרים'!$K$3,1,0))))</f>
        <v>3</v>
      </c>
      <c r="Q328" s="20" t="s">
        <v>123</v>
      </c>
      <c r="R328" s="19">
        <f t="shared" si="9"/>
        <v>3</v>
      </c>
      <c r="T328" s="19">
        <f>IF(EXACT(Q328,'טבלת פרמטרים'!$O$2),'טבלת פרמטרים'!$P$2,IF(EXACT(Q328,'טבלת פרמטרים'!$O$3),'טבלת פרמטרים'!$P$3,IF(EXACT(Q328,'טבלת פרמטרים'!$O$4),'טבלת פרמטרים'!$P$4,IF(EXACT(Q328,'טבלת פרמטרים'!$O$5),'טבלת פרמטרים'!$P$5,IF(EXACT(Q328,'טבלת פרמטרים'!$O$6),'טבלת פרמטרים'!$P$6,IF(EXACT(Q328,'טבלת פרמטרים'!$O$7),'טבלת פרמטרים'!$P$7,""))))))</f>
        <v>0</v>
      </c>
    </row>
    <row r="329" spans="1:21" x14ac:dyDescent="0.2">
      <c r="A329" s="18">
        <v>329</v>
      </c>
      <c r="B329" s="30">
        <v>44416</v>
      </c>
      <c r="C329" s="30">
        <v>44416</v>
      </c>
      <c r="D329" s="21" t="s">
        <v>13</v>
      </c>
      <c r="E329" s="21" t="s">
        <v>111</v>
      </c>
      <c r="F329" s="21" t="s">
        <v>23</v>
      </c>
      <c r="G329" s="21" t="s">
        <v>26</v>
      </c>
      <c r="H329" s="21" t="s">
        <v>31</v>
      </c>
      <c r="N329" s="21" t="s">
        <v>59</v>
      </c>
      <c r="O329" s="19">
        <f>IF(ISBLANK(D329),"",IF(D329='טבלת פרמטרים'!$A$9,1,0)+IF(E329='טבלת פרמטרים'!$B$5,2,1)+IF(F329='טבלת פרמטרים'!$C$5,3,IF(F329='טבלת פרמטרים'!$C$4,1,0))+IF(G329='טבלת פרמטרים'!$D$3,2,0)+IF(M329='טבלת פרמטרים'!$J$4,2,IF(M329='טבלת פרמטרים'!$J$3,1,0))+IF(N329='טבלת פרמטרים'!$K$6,3,IF(OR(N329='טבלת פרמטרים'!$K$4,N329='טבלת פרמטרים'!$K$5),2,IF(N329='טבלת פרמטרים'!$K$3,1,0))))</f>
        <v>3</v>
      </c>
      <c r="Q329" s="20" t="s">
        <v>123</v>
      </c>
      <c r="R329" s="19">
        <f t="shared" si="9"/>
        <v>3</v>
      </c>
      <c r="T329" s="19">
        <f>IF(EXACT(Q329,'טבלת פרמטרים'!$O$2),'טבלת פרמטרים'!$P$2,IF(EXACT(Q329,'טבלת פרמטרים'!$O$3),'טבלת פרמטרים'!$P$3,IF(EXACT(Q329,'טבלת פרמטרים'!$O$4),'טבלת פרמטרים'!$P$4,IF(EXACT(Q329,'טבלת פרמטרים'!$O$5),'טבלת פרמטרים'!$P$5,IF(EXACT(Q329,'טבלת פרמטרים'!$O$6),'טבלת פרמטרים'!$P$6,IF(EXACT(Q329,'טבלת פרמטרים'!$O$7),'טבלת פרמטרים'!$P$7,""))))))</f>
        <v>0</v>
      </c>
    </row>
    <row r="330" spans="1:21" x14ac:dyDescent="0.2">
      <c r="A330" s="18">
        <v>330</v>
      </c>
      <c r="B330" s="30">
        <v>44416</v>
      </c>
      <c r="C330" s="30">
        <v>44416</v>
      </c>
      <c r="D330" s="21" t="s">
        <v>10</v>
      </c>
      <c r="E330" s="21" t="s">
        <v>111</v>
      </c>
      <c r="F330" s="21" t="s">
        <v>23</v>
      </c>
      <c r="G330" s="21" t="s">
        <v>26</v>
      </c>
      <c r="H330" s="21" t="s">
        <v>31</v>
      </c>
      <c r="I330" s="21" t="s">
        <v>126</v>
      </c>
      <c r="J330" s="21" t="s">
        <v>42</v>
      </c>
      <c r="K330" s="21" t="s">
        <v>44</v>
      </c>
      <c r="L330" s="21" t="s">
        <v>51</v>
      </c>
      <c r="M330" s="21" t="s">
        <v>55</v>
      </c>
      <c r="N330" s="21" t="s">
        <v>58</v>
      </c>
      <c r="O330" s="19">
        <f>IF(ISBLANK(D330),"",IF(D330='טבלת פרמטרים'!$A$9,1,0)+IF(E330='טבלת פרמטרים'!$B$5,2,1)+IF(F330='טבלת פרמטרים'!$C$5,3,IF(F330='טבלת פרמטרים'!$C$4,1,0))+IF(G330='טבלת פרמטרים'!$D$3,2,0)+IF(M330='טבלת פרמטרים'!$J$4,2,IF(M330='טבלת פרמטרים'!$J$3,1,0))+IF(N330='טבלת פרמטרים'!$K$6,3,IF(OR(N330='טבלת פרמטרים'!$K$4,N330='טבלת פרמטרים'!$K$5),2,IF(N330='טבלת פרמטרים'!$K$3,1,0))))</f>
        <v>4</v>
      </c>
      <c r="Q330" s="20" t="s">
        <v>123</v>
      </c>
      <c r="R330" s="19">
        <f t="shared" si="9"/>
        <v>4</v>
      </c>
      <c r="T330" s="19">
        <f>IF(EXACT(Q330,'טבלת פרמטרים'!$O$2),'טבלת פרמטרים'!$P$2,IF(EXACT(Q330,'טבלת פרמטרים'!$O$3),'טבלת פרמטרים'!$P$3,IF(EXACT(Q330,'טבלת פרמטרים'!$O$4),'טבלת פרמטרים'!$P$4,IF(EXACT(Q330,'טבלת פרמטרים'!$O$5),'טבלת פרמטרים'!$P$5,IF(EXACT(Q330,'טבלת פרמטרים'!$O$6),'טבלת פרמטרים'!$P$6,IF(EXACT(Q330,'טבלת פרמטרים'!$O$7),'טבלת פרמטרים'!$P$7,""))))))</f>
        <v>0</v>
      </c>
    </row>
    <row r="331" spans="1:21" x14ac:dyDescent="0.2">
      <c r="A331" s="18">
        <v>331</v>
      </c>
      <c r="B331" s="30">
        <v>44425</v>
      </c>
      <c r="C331" s="30">
        <v>44425</v>
      </c>
      <c r="D331" s="21" t="s">
        <v>17</v>
      </c>
      <c r="E331" s="21" t="s">
        <v>21</v>
      </c>
      <c r="F331" s="21" t="s">
        <v>23</v>
      </c>
      <c r="G331" s="21" t="s">
        <v>27</v>
      </c>
      <c r="H331" s="21" t="s">
        <v>30</v>
      </c>
      <c r="J331" s="21" t="s">
        <v>35</v>
      </c>
      <c r="K331" s="21" t="s">
        <v>43</v>
      </c>
      <c r="M331" s="21" t="s">
        <v>55</v>
      </c>
      <c r="N331" s="21" t="s">
        <v>59</v>
      </c>
      <c r="O331" s="19">
        <f>IF(ISBLANK(D331),"",IF(D331='טבלת פרמטרים'!$A$9,1,0)+IF(E331='טבלת פרמטרים'!$B$5,2,1)+IF(F331='טבלת פרמטרים'!$C$5,3,IF(F331='טבלת פרמטרים'!$C$4,1,0))+IF(G331='טבלת פרמטרים'!$D$3,2,0)+IF(M331='טבלת פרמטרים'!$J$4,2,IF(M331='טבלת פרמטרים'!$J$3,1,0))+IF(N331='טבלת פרמטרים'!$K$6,3,IF(OR(N331='טבלת פרמטרים'!$K$4,N331='טבלת פרמטרים'!$K$5),2,IF(N331='טבלת פרמטרים'!$K$3,1,0))))</f>
        <v>8</v>
      </c>
      <c r="Q331" s="20" t="s">
        <v>123</v>
      </c>
      <c r="R331" s="19">
        <f t="shared" si="9"/>
        <v>8</v>
      </c>
      <c r="T331" s="19">
        <f>IF(EXACT(Q331,'טבלת פרמטרים'!$O$2),'טבלת פרמטרים'!$P$2,IF(EXACT(Q331,'טבלת פרמטרים'!$O$3),'טבלת פרמטרים'!$P$3,IF(EXACT(Q331,'טבלת פרמטרים'!$O$4),'טבלת פרמטרים'!$P$4,IF(EXACT(Q331,'טבלת פרמטרים'!$O$5),'טבלת פרמטרים'!$P$5,IF(EXACT(Q331,'טבלת פרמטרים'!$O$6),'טבלת פרמטרים'!$P$6,IF(EXACT(Q331,'טבלת פרמטרים'!$O$7),'טבלת פרמטרים'!$P$7,""))))))</f>
        <v>0</v>
      </c>
    </row>
    <row r="332" spans="1:21" x14ac:dyDescent="0.2">
      <c r="A332" s="18">
        <v>332</v>
      </c>
      <c r="B332" s="30">
        <v>44425</v>
      </c>
      <c r="C332" s="30">
        <v>44425</v>
      </c>
      <c r="D332" s="21" t="s">
        <v>16</v>
      </c>
      <c r="E332" s="21" t="s">
        <v>21</v>
      </c>
      <c r="F332" s="21" t="s">
        <v>23</v>
      </c>
      <c r="G332" s="21" t="s">
        <v>27</v>
      </c>
      <c r="H332" s="21" t="s">
        <v>30</v>
      </c>
      <c r="I332" s="21" t="s">
        <v>126</v>
      </c>
      <c r="J332" s="21" t="s">
        <v>33</v>
      </c>
      <c r="M332" s="21" t="s">
        <v>55</v>
      </c>
      <c r="N332" s="21" t="s">
        <v>59</v>
      </c>
      <c r="O332" s="19">
        <f>IF(ISBLANK(D332),"",IF(D332='טבלת פרמטרים'!$A$9,1,0)+IF(E332='טבלת פרמטרים'!$B$5,2,1)+IF(F332='טבלת פרמטרים'!$C$5,3,IF(F332='טבלת פרמטרים'!$C$4,1,0))+IF(G332='טבלת פרמטרים'!$D$3,2,0)+IF(M332='טבלת פרמטרים'!$J$4,2,IF(M332='טבלת פרמטרים'!$J$3,1,0))+IF(N332='טבלת פרמטרים'!$K$6,3,IF(OR(N332='טבלת פרמטרים'!$K$4,N332='טבלת פרמטרים'!$K$5),2,IF(N332='טבלת פרמטרים'!$K$3,1,0))))</f>
        <v>7</v>
      </c>
      <c r="Q332" s="20" t="s">
        <v>123</v>
      </c>
      <c r="R332" s="19">
        <f t="shared" si="9"/>
        <v>7</v>
      </c>
      <c r="T332" s="19">
        <f>IF(EXACT(Q332,'טבלת פרמטרים'!$O$2),'טבלת פרמטרים'!$P$2,IF(EXACT(Q332,'טבלת פרמטרים'!$O$3),'טבלת פרמטרים'!$P$3,IF(EXACT(Q332,'טבלת פרמטרים'!$O$4),'טבלת פרמטרים'!$P$4,IF(EXACT(Q332,'טבלת פרמטרים'!$O$5),'טבלת פרמטרים'!$P$5,IF(EXACT(Q332,'טבלת פרמטרים'!$O$6),'טבלת פרמטרים'!$P$6,IF(EXACT(Q332,'טבלת פרמטרים'!$O$7),'טבלת פרמטרים'!$P$7,""))))))</f>
        <v>0</v>
      </c>
    </row>
    <row r="333" spans="1:21" x14ac:dyDescent="0.2">
      <c r="A333" s="18">
        <v>333</v>
      </c>
      <c r="B333" s="30">
        <v>44426</v>
      </c>
      <c r="C333" s="30">
        <v>44426</v>
      </c>
      <c r="D333" s="21" t="s">
        <v>16</v>
      </c>
      <c r="E333" s="21" t="s">
        <v>111</v>
      </c>
      <c r="F333" s="21" t="s">
        <v>23</v>
      </c>
      <c r="G333" s="21" t="s">
        <v>26</v>
      </c>
      <c r="H333" s="21" t="s">
        <v>31</v>
      </c>
      <c r="M333" s="21" t="s">
        <v>54</v>
      </c>
      <c r="N333" s="21" t="s">
        <v>58</v>
      </c>
      <c r="O333" s="19">
        <f>IF(ISBLANK(D333),"",IF(D333='טבלת פרמטרים'!$A$9,1,0)+IF(E333='טבלת פרמטרים'!$B$5,2,1)+IF(F333='טבלת פרמטרים'!$C$5,3,IF(F333='טבלת פרמטרים'!$C$4,1,0))+IF(G333='טבלת פרמטרים'!$D$3,2,0)+IF(M333='טבלת פרמטרים'!$J$4,2,IF(M333='טבלת פרמטרים'!$J$3,1,0))+IF(N333='טבלת פרמטרים'!$K$6,3,IF(OR(N333='טבלת פרמטרים'!$K$4,N333='טבלת פרמטרים'!$K$5),2,IF(N333='טבלת פרמטרים'!$K$3,1,0))))</f>
        <v>3</v>
      </c>
      <c r="Q333" s="20" t="s">
        <v>123</v>
      </c>
      <c r="R333" s="19">
        <f t="shared" si="9"/>
        <v>3</v>
      </c>
      <c r="T333" s="19">
        <f>IF(EXACT(Q333,'טבלת פרמטרים'!$O$2),'טבלת פרמטרים'!$P$2,IF(EXACT(Q333,'טבלת פרמטרים'!$O$3),'טבלת פרמטרים'!$P$3,IF(EXACT(Q333,'טבלת פרמטרים'!$O$4),'טבלת פרמטרים'!$P$4,IF(EXACT(Q333,'טבלת פרמטרים'!$O$5),'טבלת פרמטרים'!$P$5,IF(EXACT(Q333,'טבלת פרמטרים'!$O$6),'טבלת פרמטרים'!$P$6,IF(EXACT(Q333,'טבלת פרמטרים'!$O$7),'טבלת פרמטרים'!$P$7,""))))))</f>
        <v>0</v>
      </c>
    </row>
    <row r="334" spans="1:21" x14ac:dyDescent="0.2">
      <c r="A334" s="18">
        <v>334</v>
      </c>
      <c r="B334" s="30">
        <v>44419</v>
      </c>
      <c r="C334" s="30">
        <v>44441</v>
      </c>
      <c r="D334" s="21" t="s">
        <v>11</v>
      </c>
      <c r="E334" s="21" t="s">
        <v>20</v>
      </c>
      <c r="F334" s="21" t="s">
        <v>23</v>
      </c>
      <c r="G334" s="21" t="s">
        <v>26</v>
      </c>
      <c r="H334" s="21" t="s">
        <v>30</v>
      </c>
      <c r="J334" s="21" t="s">
        <v>11</v>
      </c>
      <c r="K334" s="21" t="s">
        <v>45</v>
      </c>
      <c r="L334" s="21" t="s">
        <v>51</v>
      </c>
      <c r="M334" s="21" t="s">
        <v>55</v>
      </c>
      <c r="N334" s="21" t="s">
        <v>59</v>
      </c>
      <c r="O334" s="19">
        <f>IF(ISBLANK(D334),"",IF(D334='טבלת פרמטרים'!$A$9,1,0)+IF(E334='טבלת פרמטרים'!$B$5,2,1)+IF(F334='טבלת פרמטרים'!$C$5,3,IF(F334='טבלת פרמטרים'!$C$4,1,0))+IF(G334='טבלת פרמטרים'!$D$3,2,0)+IF(M334='טבלת פרמטרים'!$J$4,2,IF(M334='טבלת פרמטרים'!$J$3,1,0))+IF(N334='טבלת פרמטרים'!$K$6,3,IF(OR(N334='טבלת פרמטרים'!$K$4,N334='טבלת פרמטרים'!$K$5),2,IF(N334='טבלת פרמטרים'!$K$3,1,0))))</f>
        <v>5</v>
      </c>
      <c r="Q334" s="20" t="s">
        <v>123</v>
      </c>
      <c r="R334" s="19">
        <f t="shared" si="9"/>
        <v>5</v>
      </c>
      <c r="T334" s="19">
        <f>IF(EXACT(Q334,'טבלת פרמטרים'!$O$2),'טבלת פרמטרים'!$P$2,IF(EXACT(Q334,'טבלת פרמטרים'!$O$3),'טבלת פרמטרים'!$P$3,IF(EXACT(Q334,'טבלת פרמטרים'!$O$4),'טבלת פרמטרים'!$P$4,IF(EXACT(Q334,'טבלת פרמטרים'!$O$5),'טבלת פרמטרים'!$P$5,IF(EXACT(Q334,'טבלת פרמטרים'!$O$6),'טבלת פרמטרים'!$P$6,IF(EXACT(Q334,'טבלת פרמטרים'!$O$7),'טבלת פרמטרים'!$P$7,""))))))</f>
        <v>0</v>
      </c>
    </row>
    <row r="335" spans="1:21" x14ac:dyDescent="0.2">
      <c r="A335" s="18">
        <v>335</v>
      </c>
      <c r="B335" s="30">
        <v>44451</v>
      </c>
      <c r="C335" s="30">
        <v>44452</v>
      </c>
      <c r="D335" s="21" t="s">
        <v>16</v>
      </c>
      <c r="E335" s="21" t="s">
        <v>111</v>
      </c>
      <c r="F335" s="21" t="s">
        <v>23</v>
      </c>
      <c r="G335" s="21" t="s">
        <v>26</v>
      </c>
      <c r="H335" s="21" t="s">
        <v>31</v>
      </c>
      <c r="I335" s="21" t="s">
        <v>127</v>
      </c>
      <c r="K335" s="21" t="s">
        <v>44</v>
      </c>
      <c r="L335" s="21" t="s">
        <v>51</v>
      </c>
      <c r="M335" s="21" t="s">
        <v>53</v>
      </c>
      <c r="N335" s="21" t="s">
        <v>59</v>
      </c>
      <c r="O335" s="19">
        <f>IF(ISBLANK(D335),"",IF(D335='טבלת פרמטרים'!$A$9,1,0)+IF(E335='טבלת פרמטרים'!$B$5,2,1)+IF(F335='טבלת פרמטרים'!$C$5,3,IF(F335='טבלת פרמטרים'!$C$4,1,0))+IF(G335='טבלת פרמטרים'!$D$3,2,0)+IF(M335='טבלת פרמטרים'!$J$4,2,IF(M335='טבלת פרמטרים'!$J$3,1,0))+IF(N335='טבלת פרמטרים'!$K$6,3,IF(OR(N335='טבלת פרמטרים'!$K$4,N335='טבלת פרמטרים'!$K$5),2,IF(N335='טבלת פרמטרים'!$K$3,1,0))))</f>
        <v>3</v>
      </c>
      <c r="Q335" s="20" t="s">
        <v>123</v>
      </c>
      <c r="R335" s="19">
        <f t="shared" si="9"/>
        <v>3</v>
      </c>
      <c r="T335" s="19">
        <f>IF(EXACT(Q335,'טבלת פרמטרים'!$O$2),'טבלת פרמטרים'!$P$2,IF(EXACT(Q335,'טבלת פרמטרים'!$O$3),'טבלת פרמטרים'!$P$3,IF(EXACT(Q335,'טבלת פרמטרים'!$O$4),'טבלת פרמטרים'!$P$4,IF(EXACT(Q335,'טבלת פרמטרים'!$O$5),'טבלת פרמטרים'!$P$5,IF(EXACT(Q335,'טבלת פרמטרים'!$O$6),'טבלת פרמטרים'!$P$6,IF(EXACT(Q335,'טבלת פרמטרים'!$O$7),'טבלת פרמטרים'!$P$7,""))))))</f>
        <v>0</v>
      </c>
    </row>
    <row r="336" spans="1:21" x14ac:dyDescent="0.2">
      <c r="A336" s="18">
        <v>336</v>
      </c>
      <c r="B336" s="30">
        <v>44451</v>
      </c>
      <c r="C336" s="30">
        <v>44458</v>
      </c>
      <c r="D336" s="21" t="s">
        <v>17</v>
      </c>
      <c r="E336" s="21" t="s">
        <v>22</v>
      </c>
      <c r="F336" s="21" t="s">
        <v>24</v>
      </c>
      <c r="G336" s="21" t="s">
        <v>27</v>
      </c>
      <c r="H336" s="21" t="s">
        <v>29</v>
      </c>
      <c r="I336" s="21" t="s">
        <v>126</v>
      </c>
      <c r="J336" s="21" t="s">
        <v>33</v>
      </c>
      <c r="K336" s="21" t="s">
        <v>44</v>
      </c>
      <c r="L336" s="21" t="s">
        <v>51</v>
      </c>
      <c r="M336" s="21" t="s">
        <v>54</v>
      </c>
      <c r="N336" s="21" t="s">
        <v>58</v>
      </c>
      <c r="O336" s="19">
        <f>IF(ISBLANK(D336),"",IF(D336='טבלת פרמטרים'!$A$9,1,0)+IF(E336='טבלת פרמטרים'!$B$5,2,1)+IF(F336='טבלת פרמטרים'!$C$5,3,IF(F336='טבלת פרמטרים'!$C$4,1,0))+IF(G336='טבלת פרמטרים'!$D$3,2,0)+IF(M336='טבלת פרמטרים'!$J$4,2,IF(M336='טבלת פרמטרים'!$J$3,1,0))+IF(N336='טבלת פרמטרים'!$K$6,3,IF(OR(N336='טבלת פרמטרים'!$K$4,N336='טבלת פרמטרים'!$K$5),2,IF(N336='טבלת פרמטרים'!$K$3,1,0))))</f>
        <v>8</v>
      </c>
      <c r="Q336" s="20" t="s">
        <v>123</v>
      </c>
      <c r="R336" s="19">
        <f t="shared" si="9"/>
        <v>8</v>
      </c>
      <c r="T336" s="19">
        <f>IF(EXACT(Q336,'טבלת פרמטרים'!$O$2),'טבלת פרמטרים'!$P$2,IF(EXACT(Q336,'טבלת פרמטרים'!$O$3),'טבלת פרמטרים'!$P$3,IF(EXACT(Q336,'טבלת פרמטרים'!$O$4),'טבלת פרמטרים'!$P$4,IF(EXACT(Q336,'טבלת פרמטרים'!$O$5),'טבלת פרמטרים'!$P$5,IF(EXACT(Q336,'טבלת פרמטרים'!$O$6),'טבלת פרמטרים'!$P$6,IF(EXACT(Q336,'טבלת פרמטרים'!$O$7),'טבלת פרמטרים'!$P$7,""))))))</f>
        <v>0</v>
      </c>
    </row>
    <row r="337" spans="1:20" x14ac:dyDescent="0.2">
      <c r="A337" s="18">
        <v>337</v>
      </c>
      <c r="B337" s="30">
        <v>44458</v>
      </c>
      <c r="C337" s="30">
        <v>44458</v>
      </c>
      <c r="D337" s="21" t="s">
        <v>15</v>
      </c>
      <c r="E337" s="21" t="s">
        <v>21</v>
      </c>
      <c r="F337" s="21" t="s">
        <v>23</v>
      </c>
      <c r="G337" s="21" t="s">
        <v>26</v>
      </c>
      <c r="H337" s="21" t="s">
        <v>30</v>
      </c>
      <c r="I337" s="21" t="s">
        <v>126</v>
      </c>
      <c r="J337" s="21" t="s">
        <v>33</v>
      </c>
      <c r="K337" s="21" t="s">
        <v>45</v>
      </c>
      <c r="L337" s="21" t="s">
        <v>51</v>
      </c>
      <c r="M337" s="21" t="s">
        <v>55</v>
      </c>
      <c r="N337" s="21" t="s">
        <v>59</v>
      </c>
      <c r="O337" s="19">
        <f>IF(ISBLANK(D337),"",IF(D337='טבלת פרמטרים'!$A$9,1,0)+IF(E337='טבלת פרמטרים'!$B$5,2,1)+IF(F337='טבלת פרמטרים'!$C$5,3,IF(F337='טבלת פרמטרים'!$C$4,1,0))+IF(G337='טבלת פרמטרים'!$D$3,2,0)+IF(M337='טבלת פרמטרים'!$J$4,2,IF(M337='טבלת פרמטרים'!$J$3,1,0))+IF(N337='טבלת פרמטרים'!$K$6,3,IF(OR(N337='טבלת פרמטרים'!$K$4,N337='טבלת פרמטרים'!$K$5),2,IF(N337='טבלת פרמטרים'!$K$3,1,0))))</f>
        <v>5</v>
      </c>
      <c r="Q337" s="20" t="s">
        <v>123</v>
      </c>
      <c r="R337" s="19">
        <f t="shared" si="9"/>
        <v>5</v>
      </c>
      <c r="T337" s="19">
        <f>IF(EXACT(Q337,'טבלת פרמטרים'!$O$2),'טבלת פרמטרים'!$P$2,IF(EXACT(Q337,'טבלת פרמטרים'!$O$3),'טבלת פרמטרים'!$P$3,IF(EXACT(Q337,'טבלת פרמטרים'!$O$4),'טבלת פרמטרים'!$P$4,IF(EXACT(Q337,'טבלת פרמטרים'!$O$5),'טבלת פרמטרים'!$P$5,IF(EXACT(Q337,'טבלת פרמטרים'!$O$6),'טבלת פרמטרים'!$P$6,IF(EXACT(Q337,'טבלת פרמטרים'!$O$7),'טבלת פרמטרים'!$P$7,""))))))</f>
        <v>0</v>
      </c>
    </row>
    <row r="338" spans="1:20" x14ac:dyDescent="0.2">
      <c r="A338" s="18">
        <v>338</v>
      </c>
      <c r="B338" s="30">
        <v>44453</v>
      </c>
      <c r="C338" s="30">
        <v>44458</v>
      </c>
      <c r="D338" s="21" t="s">
        <v>13</v>
      </c>
      <c r="E338" s="21" t="s">
        <v>20</v>
      </c>
      <c r="F338" s="21" t="s">
        <v>24</v>
      </c>
      <c r="G338" s="21" t="s">
        <v>26</v>
      </c>
      <c r="H338" s="21" t="s">
        <v>30</v>
      </c>
      <c r="I338" s="21" t="s">
        <v>126</v>
      </c>
      <c r="K338" s="21" t="s">
        <v>44</v>
      </c>
      <c r="L338" s="21" t="s">
        <v>50</v>
      </c>
      <c r="M338" s="21" t="s">
        <v>55</v>
      </c>
      <c r="N338" s="21" t="s">
        <v>59</v>
      </c>
      <c r="O338" s="19">
        <f>IF(ISBLANK(D338),"",IF(D338='טבלת פרמטרים'!$A$9,1,0)+IF(E338='טבלת פרמטרים'!$B$5,2,1)+IF(F338='טבלת פרמטרים'!$C$5,3,IF(F338='טבלת פרמטרים'!$C$4,1,0))+IF(G338='טבלת פרמטרים'!$D$3,2,0)+IF(M338='טבלת פרמטרים'!$J$4,2,IF(M338='טבלת פרמטרים'!$J$3,1,0))+IF(N338='טבלת פרמטרים'!$K$6,3,IF(OR(N338='טבלת פרמטרים'!$K$4,N338='טבלת פרמטרים'!$K$5),2,IF(N338='טבלת פרמטרים'!$K$3,1,0))))</f>
        <v>6</v>
      </c>
      <c r="Q338" s="20" t="s">
        <v>123</v>
      </c>
      <c r="R338" s="19">
        <f t="shared" si="9"/>
        <v>6</v>
      </c>
      <c r="T338" s="19">
        <f>IF(EXACT(Q338,'טבלת פרמטרים'!$O$2),'טבלת פרמטרים'!$P$2,IF(EXACT(Q338,'טבלת פרמטרים'!$O$3),'טבלת פרמטרים'!$P$3,IF(EXACT(Q338,'טבלת פרמטרים'!$O$4),'טבלת פרמטרים'!$P$4,IF(EXACT(Q338,'טבלת פרמטרים'!$O$5),'טבלת פרמטרים'!$P$5,IF(EXACT(Q338,'טבלת פרמטרים'!$O$6),'טבלת פרמטרים'!$P$6,IF(EXACT(Q338,'טבלת פרמטרים'!$O$7),'טבלת פרמטרים'!$P$7,""))))))</f>
        <v>0</v>
      </c>
    </row>
    <row r="339" spans="1:20" x14ac:dyDescent="0.2">
      <c r="A339" s="18">
        <v>339</v>
      </c>
      <c r="B339" s="30">
        <v>44440</v>
      </c>
      <c r="C339" s="30">
        <v>44458</v>
      </c>
      <c r="D339" s="21" t="s">
        <v>17</v>
      </c>
      <c r="E339" s="21" t="s">
        <v>20</v>
      </c>
      <c r="F339" s="21" t="s">
        <v>23</v>
      </c>
      <c r="G339" s="21" t="s">
        <v>26</v>
      </c>
      <c r="H339" s="21" t="s">
        <v>29</v>
      </c>
      <c r="I339" s="21" t="s">
        <v>126</v>
      </c>
      <c r="J339" s="21" t="s">
        <v>33</v>
      </c>
      <c r="K339" s="21" t="s">
        <v>43</v>
      </c>
      <c r="L339" s="21" t="s">
        <v>51</v>
      </c>
      <c r="M339" s="21" t="s">
        <v>55</v>
      </c>
      <c r="N339" s="21" t="s">
        <v>59</v>
      </c>
      <c r="O339" s="19">
        <f>IF(ISBLANK(D339),"",IF(D339='טבלת פרמטרים'!$A$9,1,0)+IF(E339='טבלת פרמטרים'!$B$5,2,1)+IF(F339='טבלת פרמטרים'!$C$5,3,IF(F339='טבלת פרמטרים'!$C$4,1,0))+IF(G339='טבלת פרמטרים'!$D$3,2,0)+IF(M339='טבלת פרמטרים'!$J$4,2,IF(M339='טבלת פרמטרים'!$J$3,1,0))+IF(N339='טבלת פרמטרים'!$K$6,3,IF(OR(N339='טבלת פרמטרים'!$K$4,N339='טבלת פרמטרים'!$K$5),2,IF(N339='טבלת פרמטרים'!$K$3,1,0))))</f>
        <v>6</v>
      </c>
      <c r="Q339" s="20" t="s">
        <v>123</v>
      </c>
      <c r="R339" s="19">
        <f t="shared" si="9"/>
        <v>6</v>
      </c>
      <c r="T339" s="19">
        <f>IF(EXACT(Q339,'טבלת פרמטרים'!$O$2),'טבלת פרמטרים'!$P$2,IF(EXACT(Q339,'טבלת פרמטרים'!$O$3),'טבלת פרמטרים'!$P$3,IF(EXACT(Q339,'טבלת פרמטרים'!$O$4),'טבלת פרמטרים'!$P$4,IF(EXACT(Q339,'טבלת פרמטרים'!$O$5),'טבלת פרמטרים'!$P$5,IF(EXACT(Q339,'טבלת פרמטרים'!$O$6),'טבלת פרמטרים'!$P$6,IF(EXACT(Q339,'טבלת פרמטרים'!$O$7),'טבלת פרמטרים'!$P$7,""))))))</f>
        <v>0</v>
      </c>
    </row>
    <row r="340" spans="1:20" x14ac:dyDescent="0.2">
      <c r="A340" s="18">
        <v>340</v>
      </c>
      <c r="B340" s="30">
        <v>44462</v>
      </c>
      <c r="C340" s="30">
        <v>44462</v>
      </c>
      <c r="D340" s="21" t="s">
        <v>17</v>
      </c>
      <c r="E340" s="21" t="s">
        <v>21</v>
      </c>
      <c r="F340" s="21" t="s">
        <v>23</v>
      </c>
      <c r="G340" s="21" t="s">
        <v>26</v>
      </c>
      <c r="H340" s="21" t="s">
        <v>29</v>
      </c>
      <c r="I340" s="21" t="s">
        <v>126</v>
      </c>
      <c r="J340" s="21" t="s">
        <v>33</v>
      </c>
      <c r="K340" s="21" t="s">
        <v>43</v>
      </c>
      <c r="L340" s="21" t="s">
        <v>49</v>
      </c>
      <c r="M340" s="21" t="s">
        <v>54</v>
      </c>
      <c r="N340" s="21" t="s">
        <v>58</v>
      </c>
      <c r="O340" s="19">
        <f>IF(ISBLANK(D340),"",IF(D340='טבלת פרמטרים'!$A$9,1,0)+IF(E340='טבלת פרמטרים'!$B$5,2,1)+IF(F340='טבלת פרמטרים'!$C$5,3,IF(F340='טבלת פרמטרים'!$C$4,1,0))+IF(G340='טבלת פרמטרים'!$D$3,2,0)+IF(M340='טבלת פרמטרים'!$J$4,2,IF(M340='טבלת פרמטרים'!$J$3,1,0))+IF(N340='טבלת פרמטרים'!$K$6,3,IF(OR(N340='טבלת פרמטרים'!$K$4,N340='טבלת פרמטרים'!$K$5),2,IF(N340='טבלת פרמטרים'!$K$3,1,0))))</f>
        <v>4</v>
      </c>
      <c r="Q340" s="20" t="s">
        <v>123</v>
      </c>
      <c r="R340" s="19">
        <f t="shared" si="9"/>
        <v>4</v>
      </c>
      <c r="T340" s="19">
        <f>IF(EXACT(Q340,'טבלת פרמטרים'!$O$2),'טבלת פרמטרים'!$P$2,IF(EXACT(Q340,'טבלת פרמטרים'!$O$3),'טבלת פרמטרים'!$P$3,IF(EXACT(Q340,'טבלת פרמטרים'!$O$4),'טבלת פרמטרים'!$P$4,IF(EXACT(Q340,'טבלת פרמטרים'!$O$5),'טבלת פרמטרים'!$P$5,IF(EXACT(Q340,'טבלת פרמטרים'!$O$6),'טבלת פרמטרים'!$P$6,IF(EXACT(Q340,'טבלת פרמטרים'!$O$7),'טבלת פרמטרים'!$P$7,""))))))</f>
        <v>0</v>
      </c>
    </row>
    <row r="341" spans="1:20" x14ac:dyDescent="0.2">
      <c r="A341" s="18">
        <v>341</v>
      </c>
      <c r="B341" s="30">
        <v>44468</v>
      </c>
      <c r="C341" s="30">
        <v>44472</v>
      </c>
      <c r="D341" s="21" t="s">
        <v>17</v>
      </c>
      <c r="E341" s="21" t="s">
        <v>111</v>
      </c>
      <c r="F341" s="21" t="s">
        <v>23</v>
      </c>
      <c r="G341" s="21" t="s">
        <v>26</v>
      </c>
      <c r="H341" s="21" t="s">
        <v>31</v>
      </c>
      <c r="I341" s="21" t="s">
        <v>127</v>
      </c>
      <c r="K341" s="21" t="s">
        <v>43</v>
      </c>
      <c r="L341" s="21" t="s">
        <v>49</v>
      </c>
      <c r="M341" s="21" t="s">
        <v>55</v>
      </c>
      <c r="N341" s="21" t="s">
        <v>58</v>
      </c>
      <c r="O341" s="19">
        <f>IF(ISBLANK(D341),"",IF(D341='טבלת פרמטרים'!$A$9,1,0)+IF(E341='טבלת פרמטרים'!$B$5,2,1)+IF(F341='טבלת פרמטרים'!$C$5,3,IF(F341='טבלת פרמטרים'!$C$4,1,0))+IF(G341='טבלת פרמטרים'!$D$3,2,0)+IF(M341='טבלת פרמטרים'!$J$4,2,IF(M341='טבלת פרמטרים'!$J$3,1,0))+IF(N341='טבלת פרמטרים'!$K$6,3,IF(OR(N341='טבלת פרמטרים'!$K$4,N341='טבלת פרמטרים'!$K$5),2,IF(N341='טבלת פרמטרים'!$K$3,1,0))))</f>
        <v>5</v>
      </c>
      <c r="Q341" s="20" t="s">
        <v>123</v>
      </c>
      <c r="R341" s="19">
        <f t="shared" si="9"/>
        <v>5</v>
      </c>
      <c r="T341" s="19">
        <f>IF(EXACT(Q341,'טבלת פרמטרים'!$O$2),'טבלת פרמטרים'!$P$2,IF(EXACT(Q341,'טבלת פרמטרים'!$O$3),'טבלת פרמטרים'!$P$3,IF(EXACT(Q341,'טבלת פרמטרים'!$O$4),'טבלת פרמטרים'!$P$4,IF(EXACT(Q341,'טבלת פרמטרים'!$O$5),'טבלת פרמטרים'!$P$5,IF(EXACT(Q341,'טבלת פרמטרים'!$O$6),'טבלת פרמטרים'!$P$6,IF(EXACT(Q341,'טבלת פרמטרים'!$O$7),'טבלת פרמטרים'!$P$7,""))))))</f>
        <v>0</v>
      </c>
    </row>
    <row r="342" spans="1:20" x14ac:dyDescent="0.2">
      <c r="A342" s="18">
        <v>342</v>
      </c>
      <c r="B342" s="30">
        <v>44476</v>
      </c>
      <c r="C342" s="30">
        <v>44476</v>
      </c>
      <c r="D342" s="21" t="s">
        <v>11</v>
      </c>
      <c r="E342" s="21" t="s">
        <v>20</v>
      </c>
      <c r="F342" s="21" t="s">
        <v>24</v>
      </c>
      <c r="G342" s="21" t="s">
        <v>26</v>
      </c>
      <c r="H342" s="21" t="s">
        <v>30</v>
      </c>
      <c r="J342" s="21" t="s">
        <v>11</v>
      </c>
      <c r="K342" s="21" t="s">
        <v>44</v>
      </c>
      <c r="L342" s="21" t="s">
        <v>51</v>
      </c>
      <c r="M342" s="21" t="s">
        <v>54</v>
      </c>
      <c r="N342" s="21" t="s">
        <v>58</v>
      </c>
      <c r="O342" s="19">
        <f>IF(ISBLANK(D342),"",IF(D342='טבלת פרמטרים'!$A$9,1,0)+IF(E342='טבלת פרמטרים'!$B$5,2,1)+IF(F342='טבלת פרמטרים'!$C$5,3,IF(F342='טבלת פרמטרים'!$C$4,1,0))+IF(G342='טבלת פרמטרים'!$D$3,2,0)+IF(M342='טבלת פרמטרים'!$J$4,2,IF(M342='טבלת פרמטרים'!$J$3,1,0))+IF(N342='טבלת פרמטרים'!$K$6,3,IF(OR(N342='טבלת פרמטרים'!$K$4,N342='טבלת פרמטרים'!$K$5),2,IF(N342='טבלת פרמטרים'!$K$3,1,0))))</f>
        <v>4</v>
      </c>
      <c r="Q342" s="20" t="s">
        <v>123</v>
      </c>
      <c r="R342" s="19">
        <f t="shared" si="9"/>
        <v>4</v>
      </c>
      <c r="T342" s="19">
        <f>IF(EXACT(Q342,'טבלת פרמטרים'!$O$2),'טבלת פרמטרים'!$P$2,IF(EXACT(Q342,'טבלת פרמטרים'!$O$3),'טבלת פרמטרים'!$P$3,IF(EXACT(Q342,'טבלת פרמטרים'!$O$4),'טבלת פרמטרים'!$P$4,IF(EXACT(Q342,'טבלת פרמטרים'!$O$5),'טבלת פרמטרים'!$P$5,IF(EXACT(Q342,'טבלת פרמטרים'!$O$6),'טבלת פרמטרים'!$P$6,IF(EXACT(Q342,'טבלת פרמטרים'!$O$7),'טבלת פרמטרים'!$P$7,""))))))</f>
        <v>0</v>
      </c>
    </row>
    <row r="343" spans="1:20" x14ac:dyDescent="0.2">
      <c r="A343" s="18">
        <v>343</v>
      </c>
      <c r="B343" s="30">
        <v>44479</v>
      </c>
      <c r="C343" s="30">
        <v>44479</v>
      </c>
      <c r="D343" s="21" t="s">
        <v>16</v>
      </c>
      <c r="E343" s="21" t="s">
        <v>111</v>
      </c>
      <c r="F343" s="21" t="s">
        <v>23</v>
      </c>
      <c r="G343" s="21" t="s">
        <v>26</v>
      </c>
      <c r="H343" s="21" t="s">
        <v>31</v>
      </c>
      <c r="I343" s="21" t="s">
        <v>126</v>
      </c>
      <c r="J343" s="21" t="s">
        <v>42</v>
      </c>
      <c r="L343" s="21" t="s">
        <v>51</v>
      </c>
      <c r="M343" s="21" t="s">
        <v>54</v>
      </c>
      <c r="N343" s="21" t="s">
        <v>59</v>
      </c>
      <c r="O343" s="19">
        <f>IF(ISBLANK(D343),"",IF(D343='טבלת פרמטרים'!$A$9,1,0)+IF(E343='טבלת פרמטרים'!$B$5,2,1)+IF(F343='טבלת פרמטרים'!$C$5,3,IF(F343='טבלת פרמטרים'!$C$4,1,0))+IF(G343='טבלת פרמטרים'!$D$3,2,0)+IF(M343='טבלת פרמטרים'!$J$4,2,IF(M343='טבלת פרמטרים'!$J$3,1,0))+IF(N343='טבלת פרמטרים'!$K$6,3,IF(OR(N343='טבלת פרמטרים'!$K$4,N343='טבלת פרמטרים'!$K$5),2,IF(N343='טבלת פרמטרים'!$K$3,1,0))))</f>
        <v>4</v>
      </c>
      <c r="Q343" s="20" t="s">
        <v>123</v>
      </c>
      <c r="R343" s="19">
        <f t="shared" si="9"/>
        <v>4</v>
      </c>
      <c r="T343" s="19">
        <f>IF(EXACT(Q343,'טבלת פרמטרים'!$O$2),'טבלת פרמטרים'!$P$2,IF(EXACT(Q343,'טבלת פרמטרים'!$O$3),'טבלת פרמטרים'!$P$3,IF(EXACT(Q343,'טבלת פרמטרים'!$O$4),'טבלת פרמטרים'!$P$4,IF(EXACT(Q343,'טבלת פרמטרים'!$O$5),'טבלת פרמטרים'!$P$5,IF(EXACT(Q343,'טבלת פרמטרים'!$O$6),'טבלת פרמטרים'!$P$6,IF(EXACT(Q343,'טבלת פרמטרים'!$O$7),'טבלת פרמטרים'!$P$7,""))))))</f>
        <v>0</v>
      </c>
    </row>
    <row r="344" spans="1:20" x14ac:dyDescent="0.2">
      <c r="A344" s="18">
        <v>344</v>
      </c>
      <c r="B344" s="30">
        <v>44486</v>
      </c>
      <c r="C344" s="30">
        <v>44486</v>
      </c>
      <c r="D344" s="21" t="s">
        <v>16</v>
      </c>
      <c r="E344" s="21" t="s">
        <v>111</v>
      </c>
      <c r="F344" s="21" t="s">
        <v>23</v>
      </c>
      <c r="G344" s="21" t="s">
        <v>26</v>
      </c>
      <c r="H344" s="21" t="s">
        <v>30</v>
      </c>
      <c r="I344" s="21" t="s">
        <v>126</v>
      </c>
      <c r="J344" s="21" t="s">
        <v>63</v>
      </c>
      <c r="K344" s="21" t="s">
        <v>43</v>
      </c>
      <c r="L344" s="21" t="s">
        <v>49</v>
      </c>
      <c r="M344" s="21" t="s">
        <v>55</v>
      </c>
      <c r="N344" s="21" t="s">
        <v>59</v>
      </c>
      <c r="O344" s="19">
        <f>IF(ISBLANK(D344),"",IF(D344='טבלת פרמטרים'!$A$9,1,0)+IF(E344='טבלת פרמטרים'!$B$5,2,1)+IF(F344='טבלת פרמטרים'!$C$5,3,IF(F344='טבלת פרמטרים'!$C$4,1,0))+IF(G344='טבלת פרמטרים'!$D$3,2,0)+IF(M344='טבלת פרמטרים'!$J$4,2,IF(M344='טבלת פרמטרים'!$J$3,1,0))+IF(N344='טבלת פרמטרים'!$K$6,3,IF(OR(N344='טבלת פרמטרים'!$K$4,N344='טבלת פרמטרים'!$K$5),2,IF(N344='טבלת פרמטרים'!$K$3,1,0))))</f>
        <v>5</v>
      </c>
      <c r="Q344" s="20" t="s">
        <v>123</v>
      </c>
      <c r="R344" s="19">
        <f t="shared" si="9"/>
        <v>5</v>
      </c>
      <c r="T344" s="19">
        <f>IF(EXACT(Q344,'טבלת פרמטרים'!$O$2),'טבלת פרמטרים'!$P$2,IF(EXACT(Q344,'טבלת פרמטרים'!$O$3),'טבלת פרמטרים'!$P$3,IF(EXACT(Q344,'טבלת פרמטרים'!$O$4),'טבלת פרמטרים'!$P$4,IF(EXACT(Q344,'טבלת פרמטרים'!$O$5),'טבלת פרמטרים'!$P$5,IF(EXACT(Q344,'טבלת פרמטרים'!$O$6),'טבלת פרמטרים'!$P$6,IF(EXACT(Q344,'טבלת פרמטרים'!$O$7),'טבלת פרמטרים'!$P$7,""))))))</f>
        <v>0</v>
      </c>
    </row>
    <row r="345" spans="1:20" x14ac:dyDescent="0.2">
      <c r="A345" s="18">
        <v>345</v>
      </c>
      <c r="C345" s="30">
        <v>44487</v>
      </c>
      <c r="D345" s="21" t="s">
        <v>14</v>
      </c>
      <c r="E345" s="21" t="s">
        <v>111</v>
      </c>
      <c r="F345" s="21" t="s">
        <v>23</v>
      </c>
      <c r="G345" s="21" t="s">
        <v>26</v>
      </c>
      <c r="H345" s="21" t="s">
        <v>30</v>
      </c>
      <c r="I345" s="21" t="s">
        <v>126</v>
      </c>
      <c r="J345" s="21" t="s">
        <v>33</v>
      </c>
      <c r="K345" s="21" t="s">
        <v>45</v>
      </c>
      <c r="L345" s="21" t="s">
        <v>51</v>
      </c>
      <c r="M345" s="21" t="s">
        <v>54</v>
      </c>
      <c r="N345" s="21" t="s">
        <v>58</v>
      </c>
      <c r="O345" s="19">
        <f>IF(ISBLANK(D345),"",IF(D345='טבלת פרמטרים'!$A$9,1,0)+IF(E345='טבלת פרמטרים'!$B$5,2,1)+IF(F345='טבלת פרמטרים'!$C$5,3,IF(F345='טבלת פרמטרים'!$C$4,1,0))+IF(G345='טבלת פרמטרים'!$D$3,2,0)+IF(M345='טבלת פרמטרים'!$J$4,2,IF(M345='טבלת פרמטרים'!$J$3,1,0))+IF(N345='טבלת פרמטרים'!$K$6,3,IF(OR(N345='טבלת פרמטרים'!$K$4,N345='טבלת פרמטרים'!$K$5),2,IF(N345='טבלת פרמטרים'!$K$3,1,0))))</f>
        <v>3</v>
      </c>
      <c r="Q345" s="20" t="s">
        <v>123</v>
      </c>
      <c r="R345" s="19">
        <f t="shared" si="9"/>
        <v>3</v>
      </c>
      <c r="T345" s="19">
        <f>IF(EXACT(Q345,'טבלת פרמטרים'!$O$2),'טבלת פרמטרים'!$P$2,IF(EXACT(Q345,'טבלת פרמטרים'!$O$3),'טבלת פרמטרים'!$P$3,IF(EXACT(Q345,'טבלת פרמטרים'!$O$4),'טבלת פרמטרים'!$P$4,IF(EXACT(Q345,'טבלת פרמטרים'!$O$5),'טבלת פרמטרים'!$P$5,IF(EXACT(Q345,'טבלת פרמטרים'!$O$6),'טבלת פרמטרים'!$P$6,IF(EXACT(Q345,'טבלת פרמטרים'!$O$7),'טבלת פרמטרים'!$P$7,""))))))</f>
        <v>0</v>
      </c>
    </row>
    <row r="346" spans="1:20" x14ac:dyDescent="0.2">
      <c r="A346" s="18">
        <v>346</v>
      </c>
      <c r="B346" s="30">
        <v>44473</v>
      </c>
      <c r="C346" s="30">
        <v>44487</v>
      </c>
      <c r="D346" s="21" t="s">
        <v>11</v>
      </c>
      <c r="E346" s="21" t="s">
        <v>20</v>
      </c>
      <c r="F346" s="21" t="s">
        <v>23</v>
      </c>
      <c r="G346" s="21" t="s">
        <v>26</v>
      </c>
      <c r="H346" s="21" t="s">
        <v>31</v>
      </c>
      <c r="I346" s="21" t="s">
        <v>126</v>
      </c>
      <c r="J346" s="21" t="s">
        <v>11</v>
      </c>
      <c r="K346" s="21" t="s">
        <v>43</v>
      </c>
      <c r="L346" s="21" t="s">
        <v>51</v>
      </c>
      <c r="M346" s="21" t="s">
        <v>54</v>
      </c>
      <c r="N346" s="21" t="s">
        <v>59</v>
      </c>
      <c r="O346" s="19">
        <f>IF(ISBLANK(D346),"",IF(D346='טבלת פרמטרים'!$A$9,1,0)+IF(E346='טבלת פרמטרים'!$B$5,2,1)+IF(F346='טבלת פרמטרים'!$C$5,3,IF(F346='טבלת פרמטרים'!$C$4,1,0))+IF(G346='טבלת פרמטרים'!$D$3,2,0)+IF(M346='טבלת פרמטרים'!$J$4,2,IF(M346='טבלת פרמטרים'!$J$3,1,0))+IF(N346='טבלת פרמטרים'!$K$6,3,IF(OR(N346='טבלת פרמטרים'!$K$4,N346='טבלת פרמטרים'!$K$5),2,IF(N346='טבלת פרמטרים'!$K$3,1,0))))</f>
        <v>4</v>
      </c>
      <c r="Q346" s="20" t="s">
        <v>123</v>
      </c>
      <c r="R346" s="19">
        <f t="shared" si="9"/>
        <v>4</v>
      </c>
      <c r="T346" s="19">
        <f>IF(EXACT(Q346,'טבלת פרמטרים'!$O$2),'טבלת פרמטרים'!$P$2,IF(EXACT(Q346,'טבלת פרמטרים'!$O$3),'טבלת פרמטרים'!$P$3,IF(EXACT(Q346,'טבלת פרמטרים'!$O$4),'טבלת פרמטרים'!$P$4,IF(EXACT(Q346,'טבלת פרמטרים'!$O$5),'טבלת פרמטרים'!$P$5,IF(EXACT(Q346,'טבלת פרמטרים'!$O$6),'טבלת פרמטרים'!$P$6,IF(EXACT(Q346,'טבלת פרמטרים'!$O$7),'טבלת פרמטרים'!$P$7,""))))))</f>
        <v>0</v>
      </c>
    </row>
    <row r="347" spans="1:20" x14ac:dyDescent="0.2">
      <c r="A347" s="18">
        <v>347</v>
      </c>
      <c r="B347" s="30">
        <v>44474</v>
      </c>
      <c r="C347" s="30">
        <v>44488</v>
      </c>
      <c r="D347" s="21" t="s">
        <v>11</v>
      </c>
      <c r="E347" s="21" t="s">
        <v>20</v>
      </c>
      <c r="F347" s="21" t="s">
        <v>23</v>
      </c>
      <c r="G347" s="21" t="s">
        <v>26</v>
      </c>
      <c r="H347" s="21" t="s">
        <v>31</v>
      </c>
      <c r="I347" s="21" t="s">
        <v>126</v>
      </c>
      <c r="J347" s="21" t="s">
        <v>11</v>
      </c>
      <c r="K347" s="21" t="s">
        <v>43</v>
      </c>
      <c r="L347" s="21" t="s">
        <v>51</v>
      </c>
      <c r="M347" s="21" t="s">
        <v>54</v>
      </c>
      <c r="N347" s="21" t="s">
        <v>59</v>
      </c>
      <c r="O347" s="19">
        <f>IF(ISBLANK(D347),"",IF(D347='טבלת פרמטרים'!$A$9,1,0)+IF(E347='טבלת פרמטרים'!$B$5,2,1)+IF(F347='טבלת פרמטרים'!$C$5,3,IF(F347='טבלת פרמטרים'!$C$4,1,0))+IF(G347='טבלת פרמטרים'!$D$3,2,0)+IF(M347='טבלת פרמטרים'!$J$4,2,IF(M347='טבלת פרמטרים'!$J$3,1,0))+IF(N347='טבלת פרמטרים'!$K$6,3,IF(OR(N347='טבלת פרמטרים'!$K$4,N347='טבלת פרמטרים'!$K$5),2,IF(N347='טבלת פרמטרים'!$K$3,1,0))))</f>
        <v>4</v>
      </c>
      <c r="Q347" s="20" t="s">
        <v>123</v>
      </c>
      <c r="R347" s="19">
        <f t="shared" si="9"/>
        <v>4</v>
      </c>
      <c r="T347" s="19">
        <f>IF(EXACT(Q347,'טבלת פרמטרים'!$O$2),'טבלת פרמטרים'!$P$2,IF(EXACT(Q347,'טבלת פרמטרים'!$O$3),'טבלת פרמטרים'!$P$3,IF(EXACT(Q347,'טבלת פרמטרים'!$O$4),'טבלת פרמטרים'!$P$4,IF(EXACT(Q347,'טבלת פרמטרים'!$O$5),'טבלת פרמטרים'!$P$5,IF(EXACT(Q347,'טבלת פרמטרים'!$O$6),'טבלת פרמטרים'!$P$6,IF(EXACT(Q347,'טבלת פרמטרים'!$O$7),'טבלת פרמטרים'!$P$7,""))))))</f>
        <v>0</v>
      </c>
    </row>
    <row r="348" spans="1:20" x14ac:dyDescent="0.2">
      <c r="A348" s="18">
        <v>348</v>
      </c>
      <c r="B348" s="30">
        <v>44493</v>
      </c>
      <c r="C348" s="30">
        <v>44493</v>
      </c>
      <c r="D348" s="21" t="s">
        <v>10</v>
      </c>
      <c r="E348" s="21" t="s">
        <v>111</v>
      </c>
      <c r="F348" s="21" t="s">
        <v>23</v>
      </c>
      <c r="G348" s="21" t="s">
        <v>26</v>
      </c>
      <c r="H348" s="21" t="s">
        <v>30</v>
      </c>
      <c r="I348" s="21" t="s">
        <v>127</v>
      </c>
      <c r="J348" s="21" t="s">
        <v>41</v>
      </c>
      <c r="K348" s="21" t="s">
        <v>43</v>
      </c>
      <c r="L348" s="21" t="s">
        <v>49</v>
      </c>
      <c r="M348" s="21" t="s">
        <v>55</v>
      </c>
      <c r="N348" s="21" t="s">
        <v>59</v>
      </c>
      <c r="O348" s="19">
        <f>IF(ISBLANK(D348),"",IF(D348='טבלת פרמטרים'!$A$9,1,0)+IF(E348='טבלת פרמטרים'!$B$5,2,1)+IF(F348='טבלת פרמטרים'!$C$5,3,IF(F348='טבלת פרמטרים'!$C$4,1,0))+IF(G348='טבלת פרמטרים'!$D$3,2,0)+IF(M348='טבלת פרמטרים'!$J$4,2,IF(M348='טבלת פרמטרים'!$J$3,1,0))+IF(N348='טבלת פרמטרים'!$K$6,3,IF(OR(N348='טבלת פרמטרים'!$K$4,N348='טבלת פרמטרים'!$K$5),2,IF(N348='טבלת פרמטרים'!$K$3,1,0))))</f>
        <v>5</v>
      </c>
      <c r="Q348" s="20" t="s">
        <v>123</v>
      </c>
      <c r="R348" s="19">
        <f t="shared" si="9"/>
        <v>5</v>
      </c>
      <c r="T348" s="19">
        <f>IF(EXACT(Q348,'טבלת פרמטרים'!$O$2),'טבלת פרמטרים'!$P$2,IF(EXACT(Q348,'טבלת פרמטרים'!$O$3),'טבלת פרמטרים'!$P$3,IF(EXACT(Q348,'טבלת פרמטרים'!$O$4),'טבלת פרמטרים'!$P$4,IF(EXACT(Q348,'טבלת פרמטרים'!$O$5),'טבלת פרמטרים'!$P$5,IF(EXACT(Q348,'טבלת פרמטרים'!$O$6),'טבלת פרמטרים'!$P$6,IF(EXACT(Q348,'טבלת פרמטרים'!$O$7),'טבלת פרמטרים'!$P$7,""))))))</f>
        <v>0</v>
      </c>
    </row>
    <row r="349" spans="1:20" x14ac:dyDescent="0.2">
      <c r="A349" s="18">
        <v>349</v>
      </c>
      <c r="B349" s="30">
        <v>44493</v>
      </c>
      <c r="C349" s="30">
        <v>44497</v>
      </c>
      <c r="D349" s="21" t="s">
        <v>14</v>
      </c>
      <c r="E349" s="21" t="s">
        <v>21</v>
      </c>
      <c r="F349" s="21" t="s">
        <v>23</v>
      </c>
      <c r="G349" s="21" t="s">
        <v>26</v>
      </c>
      <c r="H349" s="21" t="s">
        <v>29</v>
      </c>
      <c r="I349" s="21" t="s">
        <v>127</v>
      </c>
      <c r="K349" s="21" t="s">
        <v>43</v>
      </c>
      <c r="L349" s="21" t="s">
        <v>49</v>
      </c>
      <c r="M349" s="21" t="s">
        <v>54</v>
      </c>
      <c r="N349" s="21" t="s">
        <v>59</v>
      </c>
      <c r="O349" s="19">
        <f>IF(ISBLANK(D349),"",IF(D349='טבלת פרמטרים'!$A$9,1,0)+IF(E349='טבלת פרמטרים'!$B$5,2,1)+IF(F349='טבלת פרמטרים'!$C$5,3,IF(F349='טבלת פרמטרים'!$C$4,1,0))+IF(G349='טבלת פרמטרים'!$D$3,2,0)+IF(M349='טבלת פרמטרים'!$J$4,2,IF(M349='טבלת פרמטרים'!$J$3,1,0))+IF(N349='טבלת פרמטרים'!$K$6,3,IF(OR(N349='טבלת פרמטרים'!$K$4,N349='טבלת פרמטרים'!$K$5),2,IF(N349='טבלת פרמטרים'!$K$3,1,0))))</f>
        <v>4</v>
      </c>
      <c r="Q349" s="20" t="s">
        <v>123</v>
      </c>
      <c r="R349" s="19">
        <f t="shared" si="9"/>
        <v>4</v>
      </c>
      <c r="T349" s="19">
        <f>IF(EXACT(Q349,'טבלת פרמטרים'!$O$2),'טבלת פרמטרים'!$P$2,IF(EXACT(Q349,'טבלת פרמטרים'!$O$3),'טבלת פרמטרים'!$P$3,IF(EXACT(Q349,'טבלת פרמטרים'!$O$4),'טבלת פרמטרים'!$P$4,IF(EXACT(Q349,'טבלת פרמטרים'!$O$5),'טבלת פרמטרים'!$P$5,IF(EXACT(Q349,'טבלת פרמטרים'!$O$6),'טבלת פרמטרים'!$P$6,IF(EXACT(Q349,'טבלת פרמטרים'!$O$7),'טבלת פרמטרים'!$P$7,""))))))</f>
        <v>0</v>
      </c>
    </row>
    <row r="350" spans="1:20" x14ac:dyDescent="0.2">
      <c r="A350" s="18">
        <v>350</v>
      </c>
      <c r="B350" s="30">
        <v>44500</v>
      </c>
      <c r="C350" s="30">
        <v>44500</v>
      </c>
      <c r="D350" s="21" t="s">
        <v>10</v>
      </c>
      <c r="E350" s="21" t="s">
        <v>111</v>
      </c>
      <c r="F350" s="21" t="s">
        <v>23</v>
      </c>
      <c r="G350" s="21" t="s">
        <v>26</v>
      </c>
      <c r="H350" s="21" t="s">
        <v>31</v>
      </c>
      <c r="I350" s="21" t="s">
        <v>127</v>
      </c>
      <c r="J350" s="21" t="s">
        <v>42</v>
      </c>
      <c r="K350" s="21" t="s">
        <v>39</v>
      </c>
      <c r="L350" s="21" t="s">
        <v>51</v>
      </c>
      <c r="M350" s="21" t="s">
        <v>53</v>
      </c>
      <c r="N350" s="21" t="s">
        <v>59</v>
      </c>
      <c r="O350" s="19">
        <f>IF(ISBLANK(D350),"",IF(D350='טבלת פרמטרים'!$A$9,1,0)+IF(E350='טבלת פרמטרים'!$B$5,2,1)+IF(F350='טבלת פרמטרים'!$C$5,3,IF(F350='טבלת פרמטרים'!$C$4,1,0))+IF(G350='טבלת פרמטרים'!$D$3,2,0)+IF(M350='טבלת פרמטרים'!$J$4,2,IF(M350='טבלת פרמטרים'!$J$3,1,0))+IF(N350='טבלת פרמטרים'!$K$6,3,IF(OR(N350='טבלת פרמטרים'!$K$4,N350='טבלת פרמטרים'!$K$5),2,IF(N350='טבלת פרמטרים'!$K$3,1,0))))</f>
        <v>3</v>
      </c>
      <c r="Q350" s="20" t="s">
        <v>123</v>
      </c>
      <c r="R350" s="19">
        <f t="shared" si="9"/>
        <v>3</v>
      </c>
      <c r="T350" s="19">
        <f>IF(EXACT(Q350,'טבלת פרמטרים'!$O$2),'טבלת פרמטרים'!$P$2,IF(EXACT(Q350,'טבלת פרמטרים'!$O$3),'טבלת פרמטרים'!$P$3,IF(EXACT(Q350,'טבלת פרמטרים'!$O$4),'טבלת פרמטרים'!$P$4,IF(EXACT(Q350,'טבלת פרמטרים'!$O$5),'טבלת פרמטרים'!$P$5,IF(EXACT(Q350,'טבלת פרמטרים'!$O$6),'טבלת פרמטרים'!$P$6,IF(EXACT(Q350,'טבלת פרמטרים'!$O$7),'טבלת פרמטרים'!$P$7,""))))))</f>
        <v>0</v>
      </c>
    </row>
    <row r="351" spans="1:20" x14ac:dyDescent="0.2">
      <c r="A351" s="18">
        <v>351</v>
      </c>
      <c r="B351" s="30">
        <v>44500</v>
      </c>
      <c r="C351" s="30">
        <v>44500</v>
      </c>
      <c r="D351" s="21" t="s">
        <v>10</v>
      </c>
      <c r="E351" s="21" t="s">
        <v>111</v>
      </c>
      <c r="F351" s="21" t="s">
        <v>23</v>
      </c>
      <c r="G351" s="21" t="s">
        <v>26</v>
      </c>
      <c r="H351" s="21" t="s">
        <v>30</v>
      </c>
      <c r="I351" s="21" t="s">
        <v>127</v>
      </c>
      <c r="J351" s="21" t="s">
        <v>41</v>
      </c>
      <c r="K351" s="21" t="s">
        <v>43</v>
      </c>
      <c r="L351" s="21" t="s">
        <v>51</v>
      </c>
      <c r="M351" s="21" t="s">
        <v>53</v>
      </c>
      <c r="N351" s="21" t="s">
        <v>58</v>
      </c>
      <c r="O351" s="19">
        <f>IF(ISBLANK(D351),"",IF(D351='טבלת פרמטרים'!$A$9,1,0)+IF(E351='טבלת פרמטרים'!$B$5,2,1)+IF(F351='טבלת פרמטרים'!$C$5,3,IF(F351='טבלת פרמטרים'!$C$4,1,0))+IF(G351='טבלת פרמטרים'!$D$3,2,0)+IF(M351='טבלת פרמטרים'!$J$4,2,IF(M351='טבלת פרמטרים'!$J$3,1,0))+IF(N351='טבלת פרמטרים'!$K$6,3,IF(OR(N351='טבלת פרמטרים'!$K$4,N351='טבלת פרמטרים'!$K$5),2,IF(N351='טבלת פרמטרים'!$K$3,1,0))))</f>
        <v>2</v>
      </c>
      <c r="Q351" s="20" t="s">
        <v>123</v>
      </c>
      <c r="R351" s="19">
        <f t="shared" si="9"/>
        <v>2</v>
      </c>
      <c r="T351" s="19">
        <f>IF(EXACT(Q351,'טבלת פרמטרים'!$O$2),'טבלת פרמטרים'!$P$2,IF(EXACT(Q351,'טבלת פרמטרים'!$O$3),'טבלת פרמטרים'!$P$3,IF(EXACT(Q351,'טבלת פרמטרים'!$O$4),'טבלת פרמטרים'!$P$4,IF(EXACT(Q351,'טבלת פרמטרים'!$O$5),'טבלת פרמטרים'!$P$5,IF(EXACT(Q351,'טבלת פרמטרים'!$O$6),'טבלת פרמטרים'!$P$6,IF(EXACT(Q351,'טבלת פרמטרים'!$O$7),'טבלת פרמטרים'!$P$7,""))))))</f>
        <v>0</v>
      </c>
    </row>
    <row r="352" spans="1:20" x14ac:dyDescent="0.2">
      <c r="A352" s="18">
        <v>352</v>
      </c>
      <c r="B352" s="30">
        <v>44509</v>
      </c>
      <c r="C352" s="30">
        <v>44509</v>
      </c>
      <c r="D352" s="21" t="s">
        <v>17</v>
      </c>
      <c r="E352" s="21" t="s">
        <v>20</v>
      </c>
      <c r="F352" s="21" t="s">
        <v>24</v>
      </c>
      <c r="G352" s="21" t="s">
        <v>26</v>
      </c>
      <c r="H352" s="21" t="s">
        <v>30</v>
      </c>
      <c r="I352" s="21" t="s">
        <v>127</v>
      </c>
      <c r="J352" s="21" t="s">
        <v>35</v>
      </c>
      <c r="K352" s="21" t="s">
        <v>44</v>
      </c>
      <c r="L352" s="21" t="s">
        <v>51</v>
      </c>
      <c r="M352" s="21" t="s">
        <v>55</v>
      </c>
      <c r="N352" s="21" t="s">
        <v>59</v>
      </c>
      <c r="O352" s="19">
        <f>IF(ISBLANK(D352),"",IF(D352='טבלת פרמטרים'!$A$9,1,0)+IF(E352='טבלת פרמטרים'!$B$5,2,1)+IF(F352='טבלת פרמטרים'!$C$5,3,IF(F352='טבלת פרמטרים'!$C$4,1,0))+IF(G352='טבלת פרמטרים'!$D$3,2,0)+IF(M352='טבלת פרמטרים'!$J$4,2,IF(M352='טבלת פרמטרים'!$J$3,1,0))+IF(N352='טבלת פרמטרים'!$K$6,3,IF(OR(N352='טבלת פרמטרים'!$K$4,N352='טבלת פרמטרים'!$K$5),2,IF(N352='טבלת פרמטרים'!$K$3,1,0))))</f>
        <v>7</v>
      </c>
      <c r="Q352" s="20" t="s">
        <v>123</v>
      </c>
      <c r="R352" s="19">
        <f t="shared" si="9"/>
        <v>7</v>
      </c>
      <c r="T352" s="19">
        <f>IF(EXACT(Q352,'טבלת פרמטרים'!$O$2),'טבלת פרמטרים'!$P$2,IF(EXACT(Q352,'טבלת פרמטרים'!$O$3),'טבלת פרמטרים'!$P$3,IF(EXACT(Q352,'טבלת פרמטרים'!$O$4),'טבלת פרמטרים'!$P$4,IF(EXACT(Q352,'טבלת פרמטרים'!$O$5),'טבלת פרמטרים'!$P$5,IF(EXACT(Q352,'טבלת פרמטרים'!$O$6),'טבלת פרמטרים'!$P$6,IF(EXACT(Q352,'טבלת פרמטרים'!$O$7),'טבלת פרמטרים'!$P$7,""))))))</f>
        <v>0</v>
      </c>
    </row>
    <row r="353" spans="1:20" x14ac:dyDescent="0.2">
      <c r="A353" s="18">
        <v>353</v>
      </c>
      <c r="B353" s="30">
        <v>44515</v>
      </c>
      <c r="C353" s="30">
        <v>44515</v>
      </c>
      <c r="D353" s="21" t="s">
        <v>15</v>
      </c>
      <c r="E353" s="21" t="s">
        <v>21</v>
      </c>
      <c r="F353" s="21" t="s">
        <v>23</v>
      </c>
      <c r="G353" s="21" t="s">
        <v>26</v>
      </c>
      <c r="H353" s="21" t="s">
        <v>32</v>
      </c>
      <c r="I353" s="21" t="s">
        <v>126</v>
      </c>
      <c r="J353" s="21" t="s">
        <v>35</v>
      </c>
      <c r="K353" s="21" t="s">
        <v>43</v>
      </c>
      <c r="L353" s="21" t="s">
        <v>51</v>
      </c>
      <c r="M353" s="21" t="s">
        <v>55</v>
      </c>
      <c r="N353" s="21" t="s">
        <v>59</v>
      </c>
      <c r="O353" s="19">
        <f>IF(ISBLANK(D353),"",IF(D353='טבלת פרמטרים'!$A$9,1,0)+IF(E353='טבלת פרמטרים'!$B$5,2,1)+IF(F353='טבלת פרמטרים'!$C$5,3,IF(F353='טבלת פרמטרים'!$C$4,1,0))+IF(G353='טבלת פרמטרים'!$D$3,2,0)+IF(M353='טבלת פרמטרים'!$J$4,2,IF(M353='טבלת פרמטרים'!$J$3,1,0))+IF(N353='טבלת פרמטרים'!$K$6,3,IF(OR(N353='טבלת פרמטרים'!$K$4,N353='טבלת פרמטרים'!$K$5),2,IF(N353='טבלת פרמטרים'!$K$3,1,0))))</f>
        <v>5</v>
      </c>
      <c r="Q353" s="20" t="s">
        <v>123</v>
      </c>
      <c r="R353" s="19">
        <f t="shared" si="9"/>
        <v>5</v>
      </c>
      <c r="T353" s="19">
        <f>IF(EXACT(Q353,'טבלת פרמטרים'!$O$2),'טבלת פרמטרים'!$P$2,IF(EXACT(Q353,'טבלת פרמטרים'!$O$3),'טבלת פרמטרים'!$P$3,IF(EXACT(Q353,'טבלת פרמטרים'!$O$4),'טבלת פרמטרים'!$P$4,IF(EXACT(Q353,'טבלת פרמטרים'!$O$5),'טבלת פרמטרים'!$P$5,IF(EXACT(Q353,'טבלת פרמטרים'!$O$6),'טבלת פרמטרים'!$P$6,IF(EXACT(Q353,'טבלת פרמטרים'!$O$7),'טבלת פרמטרים'!$P$7,""))))))</f>
        <v>0</v>
      </c>
    </row>
    <row r="354" spans="1:20" x14ac:dyDescent="0.2">
      <c r="A354" s="18">
        <v>354</v>
      </c>
      <c r="B354" s="30">
        <v>44525</v>
      </c>
      <c r="C354" s="30">
        <v>44529</v>
      </c>
      <c r="D354" s="21" t="s">
        <v>15</v>
      </c>
      <c r="E354" s="21" t="s">
        <v>20</v>
      </c>
      <c r="F354" s="21" t="s">
        <v>23</v>
      </c>
      <c r="G354" s="21" t="s">
        <v>26</v>
      </c>
      <c r="H354" s="21" t="s">
        <v>31</v>
      </c>
      <c r="I354" s="21" t="s">
        <v>126</v>
      </c>
      <c r="J354" s="21" t="s">
        <v>35</v>
      </c>
      <c r="K354" s="21" t="s">
        <v>45</v>
      </c>
      <c r="L354" s="21" t="s">
        <v>51</v>
      </c>
      <c r="M354" s="21" t="s">
        <v>55</v>
      </c>
      <c r="N354" s="21" t="s">
        <v>59</v>
      </c>
      <c r="O354" s="19">
        <f>IF(ISBLANK(D354),"",IF(D354='טבלת פרמטרים'!$A$9,1,0)+IF(E354='טבלת פרמטרים'!$B$5,2,1)+IF(F354='טבלת פרמטרים'!$C$5,3,IF(F354='טבלת פרמטרים'!$C$4,1,0))+IF(G354='טבלת פרמטרים'!$D$3,2,0)+IF(M354='טבלת פרמטרים'!$J$4,2,IF(M354='טבלת פרמטרים'!$J$3,1,0))+IF(N354='טבלת פרמטרים'!$K$6,3,IF(OR(N354='טבלת פרמטרים'!$K$4,N354='טבלת פרמטרים'!$K$5),2,IF(N354='טבלת פרמטרים'!$K$3,1,0))))</f>
        <v>5</v>
      </c>
      <c r="Q354" s="20" t="s">
        <v>123</v>
      </c>
      <c r="R354" s="19">
        <f t="shared" si="9"/>
        <v>5</v>
      </c>
      <c r="T354" s="19">
        <f>IF(EXACT(Q354,'טבלת פרמטרים'!$O$2),'טבלת פרמטרים'!$P$2,IF(EXACT(Q354,'טבלת פרמטרים'!$O$3),'טבלת פרמטרים'!$P$3,IF(EXACT(Q354,'טבלת פרמטרים'!$O$4),'טבלת פרמטרים'!$P$4,IF(EXACT(Q354,'טבלת פרמטרים'!$O$5),'טבלת פרמטרים'!$P$5,IF(EXACT(Q354,'טבלת פרמטרים'!$O$6),'טבלת פרמטרים'!$P$6,IF(EXACT(Q354,'טבלת פרמטרים'!$O$7),'טבלת פרמטרים'!$P$7,""))))))</f>
        <v>0</v>
      </c>
    </row>
    <row r="355" spans="1:20" x14ac:dyDescent="0.2">
      <c r="A355" s="18">
        <v>355</v>
      </c>
      <c r="B355" s="30">
        <v>44517</v>
      </c>
      <c r="C355" s="30">
        <v>44529</v>
      </c>
      <c r="D355" s="21" t="s">
        <v>13</v>
      </c>
      <c r="E355" s="21" t="s">
        <v>20</v>
      </c>
      <c r="F355" s="21" t="s">
        <v>23</v>
      </c>
      <c r="G355" s="21" t="s">
        <v>26</v>
      </c>
      <c r="H355" s="21" t="s">
        <v>30</v>
      </c>
      <c r="I355" s="21" t="s">
        <v>126</v>
      </c>
      <c r="K355" s="21" t="s">
        <v>44</v>
      </c>
      <c r="L355" s="21" t="s">
        <v>51</v>
      </c>
      <c r="M355" s="21" t="s">
        <v>55</v>
      </c>
      <c r="N355" s="21" t="s">
        <v>58</v>
      </c>
      <c r="O355" s="19">
        <f>IF(ISBLANK(D355),"",IF(D355='טבלת פרמטרים'!$A$9,1,0)+IF(E355='טבלת פרמטרים'!$B$5,2,1)+IF(F355='טבלת פרמטרים'!$C$5,3,IF(F355='טבלת פרמטרים'!$C$4,1,0))+IF(G355='טבלת פרמטרים'!$D$3,2,0)+IF(M355='טבלת פרמטרים'!$J$4,2,IF(M355='טבלת פרמטרים'!$J$3,1,0))+IF(N355='טבלת פרמטרים'!$K$6,3,IF(OR(N355='טבלת פרמטרים'!$K$4,N355='טבלת פרמטרים'!$K$5),2,IF(N355='טבלת פרמטרים'!$K$3,1,0))))</f>
        <v>4</v>
      </c>
      <c r="Q355" s="20" t="s">
        <v>123</v>
      </c>
      <c r="R355" s="19">
        <f t="shared" si="9"/>
        <v>4</v>
      </c>
      <c r="T355" s="19">
        <f>IF(EXACT(Q355,'טבלת פרמטרים'!$O$2),'טבלת פרמטרים'!$P$2,IF(EXACT(Q355,'טבלת פרמטרים'!$O$3),'טבלת פרמטרים'!$P$3,IF(EXACT(Q355,'טבלת פרמטרים'!$O$4),'טבלת פרמטרים'!$P$4,IF(EXACT(Q355,'טבלת פרמטרים'!$O$5),'טבלת פרמטרים'!$P$5,IF(EXACT(Q355,'טבלת פרמטרים'!$O$6),'טבלת פרמטרים'!$P$6,IF(EXACT(Q355,'טבלת פרמטרים'!$O$7),'טבלת פרמטרים'!$P$7,""))))))</f>
        <v>0</v>
      </c>
    </row>
    <row r="356" spans="1:20" x14ac:dyDescent="0.2">
      <c r="A356" s="18">
        <v>356</v>
      </c>
      <c r="B356" s="30">
        <v>44525</v>
      </c>
      <c r="C356" s="30">
        <v>44529</v>
      </c>
      <c r="D356" s="21" t="s">
        <v>13</v>
      </c>
      <c r="E356" s="21" t="s">
        <v>20</v>
      </c>
      <c r="F356" s="21" t="s">
        <v>23</v>
      </c>
      <c r="G356" s="21" t="s">
        <v>26</v>
      </c>
      <c r="H356" s="21" t="s">
        <v>30</v>
      </c>
      <c r="I356" s="21" t="s">
        <v>127</v>
      </c>
      <c r="K356" s="21" t="s">
        <v>43</v>
      </c>
      <c r="L356" s="21" t="s">
        <v>49</v>
      </c>
      <c r="M356" s="21" t="s">
        <v>55</v>
      </c>
      <c r="N356" s="21" t="s">
        <v>58</v>
      </c>
      <c r="O356" s="19">
        <f>IF(ISBLANK(D356),"",IF(D356='טבלת פרמטרים'!$A$9,1,0)+IF(E356='טבלת פרמטרים'!$B$5,2,1)+IF(F356='טבלת פרמטרים'!$C$5,3,IF(F356='טבלת פרמטרים'!$C$4,1,0))+IF(G356='טבלת פרמטרים'!$D$3,2,0)+IF(M356='טבלת פרמטרים'!$J$4,2,IF(M356='טבלת פרמטרים'!$J$3,1,0))+IF(N356='טבלת פרמטרים'!$K$6,3,IF(OR(N356='טבלת פרמטרים'!$K$4,N356='טבלת פרמטרים'!$K$5),2,IF(N356='טבלת פרמטרים'!$K$3,1,0))))</f>
        <v>4</v>
      </c>
      <c r="Q356" s="20" t="s">
        <v>123</v>
      </c>
      <c r="R356" s="19">
        <f t="shared" si="9"/>
        <v>4</v>
      </c>
      <c r="T356" s="19">
        <f>IF(EXACT(Q356,'טבלת פרמטרים'!$O$2),'טבלת פרמטרים'!$P$2,IF(EXACT(Q356,'טבלת פרמטרים'!$O$3),'טבלת פרמטרים'!$P$3,IF(EXACT(Q356,'טבלת פרמטרים'!$O$4),'טבלת פרמטרים'!$P$4,IF(EXACT(Q356,'טבלת פרמטרים'!$O$5),'טבלת פרמטרים'!$P$5,IF(EXACT(Q356,'טבלת פרמטרים'!$O$6),'טבלת פרמטרים'!$P$6,IF(EXACT(Q356,'טבלת פרמטרים'!$O$7),'טבלת פרמטרים'!$P$7,""))))))</f>
        <v>0</v>
      </c>
    </row>
    <row r="357" spans="1:20" x14ac:dyDescent="0.2">
      <c r="A357" s="18">
        <v>357</v>
      </c>
      <c r="C357" s="30">
        <v>44529</v>
      </c>
      <c r="D357" s="21" t="s">
        <v>13</v>
      </c>
      <c r="E357" s="21" t="s">
        <v>111</v>
      </c>
      <c r="F357" s="21" t="s">
        <v>23</v>
      </c>
      <c r="G357" s="21" t="s">
        <v>27</v>
      </c>
      <c r="H357" s="21" t="s">
        <v>32</v>
      </c>
      <c r="I357" s="21" t="s">
        <v>126</v>
      </c>
      <c r="J357" s="21" t="s">
        <v>39</v>
      </c>
      <c r="K357" s="21" t="s">
        <v>39</v>
      </c>
      <c r="L357" s="21" t="s">
        <v>49</v>
      </c>
      <c r="M357" s="21" t="s">
        <v>54</v>
      </c>
      <c r="N357" s="21" t="s">
        <v>58</v>
      </c>
      <c r="O357" s="19">
        <f>IF(ISBLANK(D357),"",IF(D357='טבלת פרמטרים'!$A$9,1,0)+IF(E357='טבלת פרמטרים'!$B$5,2,1)+IF(F357='טבלת פרמטרים'!$C$5,3,IF(F357='טבלת פרמטרים'!$C$4,1,0))+IF(G357='טבלת פרמטרים'!$D$3,2,0)+IF(M357='טבלת פרמטרים'!$J$4,2,IF(M357='טבלת פרמטרים'!$J$3,1,0))+IF(N357='טבלת פרמטרים'!$K$6,3,IF(OR(N357='טבלת פרמטרים'!$K$4,N357='טבלת פרמטרים'!$K$5),2,IF(N357='טבלת פרמטרים'!$K$3,1,0))))</f>
        <v>5</v>
      </c>
      <c r="Q357" s="20" t="s">
        <v>123</v>
      </c>
      <c r="R357" s="19">
        <f t="shared" si="9"/>
        <v>5</v>
      </c>
      <c r="T357" s="19">
        <f>IF(EXACT(Q357,'טבלת פרמטרים'!$O$2),'טבלת פרמטרים'!$P$2,IF(EXACT(Q357,'טבלת פרמטרים'!$O$3),'טבלת פרמטרים'!$P$3,IF(EXACT(Q357,'טבלת פרמטרים'!$O$4),'טבלת פרמטרים'!$P$4,IF(EXACT(Q357,'טבלת פרמטרים'!$O$5),'טבלת פרמטרים'!$P$5,IF(EXACT(Q357,'טבלת פרמטרים'!$O$6),'טבלת פרמטרים'!$P$6,IF(EXACT(Q357,'טבלת פרמטרים'!$O$7),'טבלת פרמטרים'!$P$7,""))))))</f>
        <v>0</v>
      </c>
    </row>
    <row r="358" spans="1:20" x14ac:dyDescent="0.2">
      <c r="A358" s="18">
        <v>358</v>
      </c>
      <c r="B358" s="30">
        <v>44529</v>
      </c>
      <c r="C358" s="30">
        <v>44530</v>
      </c>
      <c r="D358" s="21" t="s">
        <v>17</v>
      </c>
      <c r="E358" s="21" t="s">
        <v>21</v>
      </c>
      <c r="F358" s="21" t="s">
        <v>23</v>
      </c>
      <c r="G358" s="21" t="s">
        <v>26</v>
      </c>
      <c r="H358" s="21" t="s">
        <v>29</v>
      </c>
      <c r="I358" s="21" t="s">
        <v>126</v>
      </c>
      <c r="J358" s="21" t="s">
        <v>33</v>
      </c>
      <c r="K358" s="21" t="s">
        <v>45</v>
      </c>
      <c r="L358" s="21" t="s">
        <v>51</v>
      </c>
      <c r="M358" s="21" t="s">
        <v>54</v>
      </c>
      <c r="N358" s="21" t="s">
        <v>58</v>
      </c>
      <c r="O358" s="19">
        <f>IF(ISBLANK(D358),"",IF(D358='טבלת פרמטרים'!$A$9,1,0)+IF(E358='טבלת פרמטרים'!$B$5,2,1)+IF(F358='טבלת פרמטרים'!$C$5,3,IF(F358='טבלת פרמטרים'!$C$4,1,0))+IF(G358='טבלת פרמטרים'!$D$3,2,0)+IF(M358='טבלת פרמטרים'!$J$4,2,IF(M358='טבלת פרמטרים'!$J$3,1,0))+IF(N358='טבלת פרמטרים'!$K$6,3,IF(OR(N358='טבלת פרמטרים'!$K$4,N358='טבלת פרמטרים'!$K$5),2,IF(N358='טבלת פרמטרים'!$K$3,1,0))))</f>
        <v>4</v>
      </c>
      <c r="Q358" s="20" t="s">
        <v>123</v>
      </c>
      <c r="R358" s="19">
        <f t="shared" si="9"/>
        <v>4</v>
      </c>
      <c r="T358" s="19">
        <f>IF(EXACT(Q358,'טבלת פרמטרים'!$O$2),'טבלת פרמטרים'!$P$2,IF(EXACT(Q358,'טבלת פרמטרים'!$O$3),'טבלת פרמטרים'!$P$3,IF(EXACT(Q358,'טבלת פרמטרים'!$O$4),'טבלת פרמטרים'!$P$4,IF(EXACT(Q358,'טבלת פרמטרים'!$O$5),'טבלת פרמטרים'!$P$5,IF(EXACT(Q358,'טבלת פרמטרים'!$O$6),'טבלת פרמטרים'!$P$6,IF(EXACT(Q358,'טבלת פרמטרים'!$O$7),'טבלת פרמטרים'!$P$7,""))))))</f>
        <v>0</v>
      </c>
    </row>
    <row r="359" spans="1:20" x14ac:dyDescent="0.2">
      <c r="A359" s="18">
        <v>359</v>
      </c>
      <c r="B359" s="30">
        <v>44544</v>
      </c>
      <c r="C359" s="30">
        <v>44544</v>
      </c>
      <c r="D359" s="21" t="s">
        <v>10</v>
      </c>
      <c r="E359" s="21" t="s">
        <v>20</v>
      </c>
      <c r="F359" s="21" t="s">
        <v>23</v>
      </c>
      <c r="G359" s="21" t="s">
        <v>26</v>
      </c>
      <c r="H359" s="21" t="s">
        <v>29</v>
      </c>
      <c r="I359" s="21" t="s">
        <v>126</v>
      </c>
      <c r="J359" s="21" t="s">
        <v>63</v>
      </c>
      <c r="K359" s="21" t="s">
        <v>45</v>
      </c>
      <c r="L359" s="21" t="s">
        <v>51</v>
      </c>
      <c r="M359" s="21" t="s">
        <v>55</v>
      </c>
      <c r="N359" s="21" t="s">
        <v>59</v>
      </c>
      <c r="O359" s="19">
        <f>IF(ISBLANK(D359),"",IF(D359='טבלת פרמטרים'!$A$9,1,0)+IF(E359='טבלת פרמטרים'!$B$5,2,1)+IF(F359='טבלת פרמטרים'!$C$5,3,IF(F359='טבלת פרמטרים'!$C$4,1,0))+IF(G359='טבלת פרמטרים'!$D$3,2,0)+IF(M359='טבלת פרמטרים'!$J$4,2,IF(M359='טבלת פרמטרים'!$J$3,1,0))+IF(N359='טבלת פרמטרים'!$K$6,3,IF(OR(N359='טבלת פרמטרים'!$K$4,N359='טבלת פרמטרים'!$K$5),2,IF(N359='טבלת פרמטרים'!$K$3,1,0))))</f>
        <v>5</v>
      </c>
      <c r="Q359" s="20" t="s">
        <v>123</v>
      </c>
      <c r="R359" s="19">
        <f t="shared" si="9"/>
        <v>5</v>
      </c>
      <c r="T359" s="19">
        <f>IF(EXACT(Q359,'טבלת פרמטרים'!$O$2),'טבלת פרמטרים'!$P$2,IF(EXACT(Q359,'טבלת פרמטרים'!$O$3),'טבלת פרמטרים'!$P$3,IF(EXACT(Q359,'טבלת פרמטרים'!$O$4),'טבלת פרמטרים'!$P$4,IF(EXACT(Q359,'טבלת פרמטרים'!$O$5),'טבלת פרמטרים'!$P$5,IF(EXACT(Q359,'טבלת פרמטרים'!$O$6),'טבלת פרמטרים'!$P$6,IF(EXACT(Q359,'טבלת פרמטרים'!$O$7),'טבלת פרמטרים'!$P$7,""))))))</f>
        <v>0</v>
      </c>
    </row>
    <row r="360" spans="1:20" x14ac:dyDescent="0.2">
      <c r="A360" s="18">
        <v>360</v>
      </c>
      <c r="B360" s="30">
        <v>44536</v>
      </c>
      <c r="C360" s="30">
        <v>44544</v>
      </c>
      <c r="D360" s="21" t="s">
        <v>10</v>
      </c>
      <c r="E360" s="21" t="s">
        <v>111</v>
      </c>
      <c r="F360" s="21" t="s">
        <v>23</v>
      </c>
      <c r="G360" s="21" t="s">
        <v>27</v>
      </c>
      <c r="H360" s="21" t="s">
        <v>32</v>
      </c>
      <c r="I360" s="21" t="s">
        <v>126</v>
      </c>
      <c r="J360" s="21" t="s">
        <v>41</v>
      </c>
      <c r="L360" s="21" t="s">
        <v>51</v>
      </c>
      <c r="M360" s="21" t="s">
        <v>55</v>
      </c>
      <c r="N360" s="21" t="s">
        <v>58</v>
      </c>
      <c r="O360" s="19">
        <f>IF(ISBLANK(D360),"",IF(D360='טבלת פרמטרים'!$A$9,1,0)+IF(E360='טבלת פרמטרים'!$B$5,2,1)+IF(F360='טבלת פרמטרים'!$C$5,3,IF(F360='טבלת פרמטרים'!$C$4,1,0))+IF(G360='טבלת פרמטרים'!$D$3,2,0)+IF(M360='טבלת פרמטרים'!$J$4,2,IF(M360='טבלת פרמטרים'!$J$3,1,0))+IF(N360='טבלת פרמטרים'!$K$6,3,IF(OR(N360='טבלת פרמטרים'!$K$4,N360='טבלת פרמטרים'!$K$5),2,IF(N360='טבלת פרמטרים'!$K$3,1,0))))</f>
        <v>6</v>
      </c>
      <c r="Q360" s="20" t="s">
        <v>123</v>
      </c>
      <c r="R360" s="19">
        <f t="shared" si="9"/>
        <v>6</v>
      </c>
      <c r="T360" s="19">
        <f>IF(EXACT(Q360,'טבלת פרמטרים'!$O$2),'טבלת פרמטרים'!$P$2,IF(EXACT(Q360,'טבלת פרמטרים'!$O$3),'טבלת פרמטרים'!$P$3,IF(EXACT(Q360,'טבלת פרמטרים'!$O$4),'טבלת פרמטרים'!$P$4,IF(EXACT(Q360,'טבלת פרמטרים'!$O$5),'טבלת פרמטרים'!$P$5,IF(EXACT(Q360,'טבלת פרמטרים'!$O$6),'טבלת פרמטרים'!$P$6,IF(EXACT(Q360,'טבלת פרמטרים'!$O$7),'טבלת פרמטרים'!$P$7,""))))))</f>
        <v>0</v>
      </c>
    </row>
    <row r="361" spans="1:20" x14ac:dyDescent="0.2">
      <c r="A361" s="18">
        <v>361</v>
      </c>
      <c r="B361" s="30">
        <v>44489</v>
      </c>
      <c r="C361" s="30">
        <v>44556</v>
      </c>
      <c r="D361" s="21" t="s">
        <v>17</v>
      </c>
      <c r="E361" s="21" t="s">
        <v>22</v>
      </c>
      <c r="F361" s="21" t="s">
        <v>24</v>
      </c>
      <c r="G361" s="21" t="s">
        <v>27</v>
      </c>
      <c r="H361" s="21" t="s">
        <v>32</v>
      </c>
      <c r="I361" s="21" t="s">
        <v>127</v>
      </c>
      <c r="J361" s="21" t="s">
        <v>33</v>
      </c>
      <c r="K361" s="21" t="s">
        <v>45</v>
      </c>
      <c r="L361" s="21" t="s">
        <v>51</v>
      </c>
      <c r="M361" s="21" t="s">
        <v>54</v>
      </c>
      <c r="N361" s="21" t="s">
        <v>59</v>
      </c>
      <c r="O361" s="19">
        <f>IF(ISBLANK(D361),"",IF(D361='טבלת פרמטרים'!$A$9,1,0)+IF(E361='טבלת פרמטרים'!$B$5,2,1)+IF(F361='טבלת פרמטרים'!$C$5,3,IF(F361='טבלת פרמטרים'!$C$4,1,0))+IF(G361='טבלת פרמטרים'!$D$3,2,0)+IF(M361='טבלת פרמטרים'!$J$4,2,IF(M361='טבלת פרמטרים'!$J$3,1,0))+IF(N361='טבלת פרמטרים'!$K$6,3,IF(OR(N361='טבלת פרמטרים'!$K$4,N361='טבלת פרמטרים'!$K$5),2,IF(N361='טבלת פרמטרים'!$K$3,1,0))))</f>
        <v>9</v>
      </c>
      <c r="Q361" s="20" t="s">
        <v>123</v>
      </c>
      <c r="R361" s="19">
        <f t="shared" si="9"/>
        <v>9</v>
      </c>
      <c r="T361" s="19">
        <f>IF(EXACT(Q361,'טבלת פרמטרים'!$O$2),'טבלת פרמטרים'!$P$2,IF(EXACT(Q361,'טבלת פרמטרים'!$O$3),'טבלת פרמטרים'!$P$3,IF(EXACT(Q361,'טבלת פרמטרים'!$O$4),'טבלת פרמטרים'!$P$4,IF(EXACT(Q361,'טבלת פרמטרים'!$O$5),'טבלת פרמטרים'!$P$5,IF(EXACT(Q361,'טבלת פרמטרים'!$O$6),'טבלת פרמטרים'!$P$6,IF(EXACT(Q361,'טבלת פרמטרים'!$O$7),'טבלת פרמטרים'!$P$7,""))))))</f>
        <v>0</v>
      </c>
    </row>
    <row r="362" spans="1:20" x14ac:dyDescent="0.2">
      <c r="A362" s="18">
        <v>362</v>
      </c>
      <c r="B362" s="30">
        <v>43894</v>
      </c>
      <c r="C362" s="30">
        <v>44556</v>
      </c>
      <c r="D362" s="21" t="s">
        <v>13</v>
      </c>
      <c r="E362" s="21" t="s">
        <v>20</v>
      </c>
      <c r="F362" s="21" t="s">
        <v>23</v>
      </c>
      <c r="G362" s="21" t="s">
        <v>27</v>
      </c>
      <c r="H362" s="21" t="s">
        <v>30</v>
      </c>
      <c r="J362" s="21" t="s">
        <v>34</v>
      </c>
      <c r="K362" s="21" t="s">
        <v>43</v>
      </c>
      <c r="L362" s="21" t="s">
        <v>49</v>
      </c>
      <c r="M362" s="21" t="s">
        <v>55</v>
      </c>
      <c r="N362" s="21" t="s">
        <v>58</v>
      </c>
      <c r="O362" s="19">
        <f>IF(ISBLANK(D362),"",IF(D362='טבלת פרמטרים'!$A$9,1,0)+IF(E362='טבלת פרמטרים'!$B$5,2,1)+IF(F362='טבלת פרמטרים'!$C$5,3,IF(F362='טבלת פרמטרים'!$C$4,1,0))+IF(G362='טבלת פרמטרים'!$D$3,2,0)+IF(M362='טבלת פרמטרים'!$J$4,2,IF(M362='טבלת פרמטרים'!$J$3,1,0))+IF(N362='טבלת פרמטרים'!$K$6,3,IF(OR(N362='טבלת פרמטרים'!$K$4,N362='טבלת פרמטרים'!$K$5),2,IF(N362='טבלת פרמטרים'!$K$3,1,0))))</f>
        <v>6</v>
      </c>
      <c r="Q362" s="20" t="s">
        <v>123</v>
      </c>
      <c r="R362" s="19">
        <f t="shared" si="9"/>
        <v>6</v>
      </c>
      <c r="T362" s="19">
        <f>IF(EXACT(Q362,'טבלת פרמטרים'!$O$2),'טבלת פרמטרים'!$P$2,IF(EXACT(Q362,'טבלת פרמטרים'!$O$3),'טבלת פרמטרים'!$P$3,IF(EXACT(Q362,'טבלת פרמטרים'!$O$4),'טבלת פרמטרים'!$P$4,IF(EXACT(Q362,'טבלת פרמטרים'!$O$5),'טבלת פרמטרים'!$P$5,IF(EXACT(Q362,'טבלת פרמטרים'!$O$6),'טבלת פרמטרים'!$P$6,IF(EXACT(Q362,'טבלת פרמטרים'!$O$7),'טבלת פרמטרים'!$P$7,""))))))</f>
        <v>0</v>
      </c>
    </row>
    <row r="363" spans="1:20" x14ac:dyDescent="0.2">
      <c r="A363" s="18">
        <v>363</v>
      </c>
      <c r="C363" s="30">
        <v>44556</v>
      </c>
      <c r="D363" s="21" t="s">
        <v>10</v>
      </c>
      <c r="E363" s="21" t="s">
        <v>20</v>
      </c>
      <c r="F363" s="21" t="s">
        <v>23</v>
      </c>
      <c r="G363" s="21" t="s">
        <v>26</v>
      </c>
      <c r="H363" s="21" t="s">
        <v>29</v>
      </c>
      <c r="M363" s="21" t="s">
        <v>53</v>
      </c>
      <c r="N363" s="21" t="s">
        <v>59</v>
      </c>
      <c r="O363" s="19">
        <f>IF(ISBLANK(D363),"",IF(D363='טבלת פרמטרים'!$A$9,1,0)+IF(E363='טבלת פרמטרים'!$B$5,2,1)+IF(F363='טבלת פרמטרים'!$C$5,3,IF(F363='טבלת פרמטרים'!$C$4,1,0))+IF(G363='טבלת פרמטרים'!$D$3,2,0)+IF(M363='טבלת פרמטרים'!$J$4,2,IF(M363='טבלת פרמטרים'!$J$3,1,0))+IF(N363='טבלת פרמטרים'!$K$6,3,IF(OR(N363='טבלת פרמטרים'!$K$4,N363='טבלת פרמטרים'!$K$5),2,IF(N363='טבלת פרמטרים'!$K$3,1,0))))</f>
        <v>3</v>
      </c>
      <c r="Q363" s="20" t="s">
        <v>123</v>
      </c>
      <c r="R363" s="19">
        <f t="shared" si="9"/>
        <v>3</v>
      </c>
      <c r="T363" s="19">
        <f>IF(EXACT(Q363,'טבלת פרמטרים'!$O$2),'טבלת פרמטרים'!$P$2,IF(EXACT(Q363,'טבלת פרמטרים'!$O$3),'טבלת פרמטרים'!$P$3,IF(EXACT(Q363,'טבלת פרמטרים'!$O$4),'טבלת פרמטרים'!$P$4,IF(EXACT(Q363,'טבלת פרמטרים'!$O$5),'טבלת פרמטרים'!$P$5,IF(EXACT(Q363,'טבלת פרמטרים'!$O$6),'טבלת פרמטרים'!$P$6,IF(EXACT(Q363,'טבלת פרמטרים'!$O$7),'טבלת פרמטרים'!$P$7,""))))))</f>
        <v>0</v>
      </c>
    </row>
    <row r="364" spans="1:20" x14ac:dyDescent="0.2">
      <c r="A364" s="18">
        <v>364</v>
      </c>
      <c r="C364" s="30">
        <v>44556</v>
      </c>
      <c r="D364" s="21" t="s">
        <v>10</v>
      </c>
      <c r="E364" s="21" t="s">
        <v>20</v>
      </c>
      <c r="F364" s="21" t="s">
        <v>23</v>
      </c>
      <c r="G364" s="21" t="s">
        <v>26</v>
      </c>
      <c r="H364" s="21" t="s">
        <v>29</v>
      </c>
      <c r="N364" s="21" t="s">
        <v>59</v>
      </c>
      <c r="O364" s="19">
        <f>IF(ISBLANK(D364),"",IF(D364='טבלת פרמטרים'!$A$9,1,0)+IF(E364='טבלת פרמטרים'!$B$5,2,1)+IF(F364='טבלת פרמטרים'!$C$5,3,IF(F364='טבלת פרמטרים'!$C$4,1,0))+IF(G364='טבלת פרמטרים'!$D$3,2,0)+IF(M364='טבלת פרמטרים'!$J$4,2,IF(M364='טבלת פרמטרים'!$J$3,1,0))+IF(N364='טבלת פרמטרים'!$K$6,3,IF(OR(N364='טבלת פרמטרים'!$K$4,N364='טבלת פרמטרים'!$K$5),2,IF(N364='טבלת פרמטרים'!$K$3,1,0))))</f>
        <v>3</v>
      </c>
      <c r="Q364" s="20" t="s">
        <v>123</v>
      </c>
      <c r="R364" s="19">
        <f t="shared" si="9"/>
        <v>3</v>
      </c>
      <c r="T364" s="19">
        <f>IF(EXACT(Q364,'טבלת פרמטרים'!$O$2),'טבלת פרמטרים'!$P$2,IF(EXACT(Q364,'טבלת פרמטרים'!$O$3),'טבלת פרמטרים'!$P$3,IF(EXACT(Q364,'טבלת פרמטרים'!$O$4),'טבלת פרמטרים'!$P$4,IF(EXACT(Q364,'טבלת פרמטרים'!$O$5),'טבלת פרמטרים'!$P$5,IF(EXACT(Q364,'טבלת פרמטרים'!$O$6),'טבלת פרמטרים'!$P$6,IF(EXACT(Q364,'טבלת פרמטרים'!$O$7),'טבלת פרמטרים'!$P$7,""))))))</f>
        <v>0</v>
      </c>
    </row>
    <row r="365" spans="1:20" x14ac:dyDescent="0.2">
      <c r="A365" s="18">
        <v>365</v>
      </c>
      <c r="B365" s="30">
        <v>44571</v>
      </c>
      <c r="C365" s="30">
        <v>44571</v>
      </c>
      <c r="D365" s="21" t="s">
        <v>10</v>
      </c>
      <c r="E365" s="21" t="s">
        <v>111</v>
      </c>
      <c r="F365" s="21" t="s">
        <v>23</v>
      </c>
      <c r="G365" s="21" t="s">
        <v>27</v>
      </c>
      <c r="H365" s="21" t="s">
        <v>32</v>
      </c>
      <c r="I365" s="21" t="s">
        <v>126</v>
      </c>
      <c r="J365" s="21" t="s">
        <v>41</v>
      </c>
      <c r="L365" s="21" t="s">
        <v>51</v>
      </c>
      <c r="M365" s="21" t="s">
        <v>54</v>
      </c>
      <c r="N365" s="21" t="s">
        <v>58</v>
      </c>
      <c r="O365" s="19">
        <f>IF(ISBLANK(D365),"",IF(D365='טבלת פרמטרים'!$A$9,1,0)+IF(E365='טבלת פרמטרים'!$B$5,2,1)+IF(F365='טבלת פרמטרים'!$C$5,3,IF(F365='טבלת פרמטרים'!$C$4,1,0))+IF(G365='טבלת פרמטרים'!$D$3,2,0)+IF(M365='טבלת פרמטרים'!$J$4,2,IF(M365='טבלת פרמטרים'!$J$3,1,0))+IF(N365='טבלת פרמטרים'!$K$6,3,IF(OR(N365='טבלת פרמטרים'!$K$4,N365='טבלת פרמטרים'!$K$5),2,IF(N365='טבלת פרמטרים'!$K$3,1,0))))</f>
        <v>5</v>
      </c>
      <c r="Q365" s="20" t="s">
        <v>123</v>
      </c>
      <c r="R365" s="19">
        <f t="shared" si="9"/>
        <v>5</v>
      </c>
      <c r="T365" s="19">
        <f>IF(EXACT(Q365,'טבלת פרמטרים'!$O$2),'טבלת פרמטרים'!$P$2,IF(EXACT(Q365,'טבלת פרמטרים'!$O$3),'טבלת פרמטרים'!$P$3,IF(EXACT(Q365,'טבלת פרמטרים'!$O$4),'טבלת פרמטרים'!$P$4,IF(EXACT(Q365,'טבלת פרמטרים'!$O$5),'טבלת פרמטרים'!$P$5,IF(EXACT(Q365,'טבלת פרמטרים'!$O$6),'טבלת פרמטרים'!$P$6,IF(EXACT(Q365,'טבלת פרמטרים'!$O$7),'טבלת פרמטרים'!$P$7,""))))))</f>
        <v>0</v>
      </c>
    </row>
    <row r="366" spans="1:20" x14ac:dyDescent="0.2">
      <c r="A366" s="18">
        <v>366</v>
      </c>
      <c r="B366" s="30">
        <v>44567</v>
      </c>
      <c r="C366" s="30">
        <v>44591</v>
      </c>
      <c r="D366" s="21" t="s">
        <v>11</v>
      </c>
      <c r="E366" s="21" t="s">
        <v>20</v>
      </c>
      <c r="F366" s="21" t="s">
        <v>23</v>
      </c>
      <c r="G366" s="21" t="s">
        <v>26</v>
      </c>
      <c r="H366" s="21" t="s">
        <v>30</v>
      </c>
      <c r="I366" s="21" t="s">
        <v>126</v>
      </c>
      <c r="J366" s="21" t="s">
        <v>11</v>
      </c>
      <c r="K366" s="21" t="s">
        <v>44</v>
      </c>
      <c r="L366" s="21" t="s">
        <v>51</v>
      </c>
      <c r="M366" s="21" t="s">
        <v>55</v>
      </c>
      <c r="N366" s="21" t="s">
        <v>59</v>
      </c>
      <c r="O366" s="19">
        <f>IF(ISBLANK(D366),"",IF(D366='טבלת פרמטרים'!$A$9,1,0)+IF(E366='טבלת פרמטרים'!$B$5,2,1)+IF(F366='טבלת פרמטרים'!$C$5,3,IF(F366='טבלת פרמטרים'!$C$4,1,0))+IF(G366='טבלת פרמטרים'!$D$3,2,0)+IF(M366='טבלת פרמטרים'!$J$4,2,IF(M366='טבלת פרמטרים'!$J$3,1,0))+IF(N366='טבלת פרמטרים'!$K$6,3,IF(OR(N366='טבלת פרמטרים'!$K$4,N366='טבלת פרמטרים'!$K$5),2,IF(N366='טבלת פרמטרים'!$K$3,1,0))))</f>
        <v>5</v>
      </c>
      <c r="Q366" s="20" t="s">
        <v>123</v>
      </c>
      <c r="R366" s="19">
        <f t="shared" si="9"/>
        <v>5</v>
      </c>
      <c r="T366" s="19">
        <f>IF(EXACT(Q366,'טבלת פרמטרים'!$O$2),'טבלת פרמטרים'!$P$2,IF(EXACT(Q366,'טבלת פרמטרים'!$O$3),'טבלת פרמטרים'!$P$3,IF(EXACT(Q366,'טבלת פרמטרים'!$O$4),'טבלת פרמטרים'!$P$4,IF(EXACT(Q366,'טבלת פרמטרים'!$O$5),'טבלת פרמטרים'!$P$5,IF(EXACT(Q366,'טבלת פרמטרים'!$O$6),'טבלת פרמטרים'!$P$6,IF(EXACT(Q366,'טבלת פרמטרים'!$O$7),'טבלת פרמטרים'!$P$7,""))))))</f>
        <v>0</v>
      </c>
    </row>
    <row r="367" spans="1:20" x14ac:dyDescent="0.2">
      <c r="A367" s="18">
        <v>367</v>
      </c>
      <c r="B367" s="30">
        <v>44593</v>
      </c>
      <c r="C367" s="30">
        <v>44594</v>
      </c>
      <c r="D367" s="21" t="s">
        <v>11</v>
      </c>
      <c r="E367" s="21" t="s">
        <v>111</v>
      </c>
      <c r="F367" s="21" t="s">
        <v>23</v>
      </c>
      <c r="G367" s="21" t="s">
        <v>26</v>
      </c>
      <c r="H367" s="21" t="s">
        <v>32</v>
      </c>
      <c r="I367" s="21" t="s">
        <v>126</v>
      </c>
      <c r="J367" s="21" t="s">
        <v>11</v>
      </c>
      <c r="K367" s="21" t="s">
        <v>44</v>
      </c>
      <c r="L367" s="21" t="s">
        <v>49</v>
      </c>
      <c r="M367" s="21" t="s">
        <v>55</v>
      </c>
      <c r="N367" s="21" t="s">
        <v>59</v>
      </c>
      <c r="O367" s="19">
        <f>IF(ISBLANK(D367),"",IF(D367='טבלת פרמטרים'!$A$9,1,0)+IF(E367='טבלת פרמטרים'!$B$5,2,1)+IF(F367='טבלת פרמטרים'!$C$5,3,IF(F367='טבלת פרמטרים'!$C$4,1,0))+IF(G367='טבלת פרמטרים'!$D$3,2,0)+IF(M367='טבלת פרמטרים'!$J$4,2,IF(M367='טבלת פרמטרים'!$J$3,1,0))+IF(N367='טבלת פרמטרים'!$K$6,3,IF(OR(N367='טבלת פרמטרים'!$K$4,N367='טבלת פרמטרים'!$K$5),2,IF(N367='טבלת פרמטרים'!$K$3,1,0))))</f>
        <v>5</v>
      </c>
      <c r="Q367" s="20" t="s">
        <v>123</v>
      </c>
      <c r="R367" s="19">
        <f t="shared" si="9"/>
        <v>5</v>
      </c>
      <c r="T367" s="19">
        <f>IF(EXACT(Q367,'טבלת פרמטרים'!$O$2),'טבלת פרמטרים'!$P$2,IF(EXACT(Q367,'טבלת פרמטרים'!$O$3),'טבלת פרמטרים'!$P$3,IF(EXACT(Q367,'טבלת פרמטרים'!$O$4),'טבלת פרמטרים'!$P$4,IF(EXACT(Q367,'טבלת פרמטרים'!$O$5),'טבלת פרמטרים'!$P$5,IF(EXACT(Q367,'טבלת פרמטרים'!$O$6),'טבלת פרמטרים'!$P$6,IF(EXACT(Q367,'טבלת פרמטרים'!$O$7),'טבלת פרמטרים'!$P$7,""))))))</f>
        <v>0</v>
      </c>
    </row>
    <row r="368" spans="1:20" x14ac:dyDescent="0.2">
      <c r="A368" s="18">
        <v>368</v>
      </c>
      <c r="B368" s="30">
        <v>44592</v>
      </c>
      <c r="C368" s="30">
        <v>44593</v>
      </c>
      <c r="D368" s="21" t="s">
        <v>10</v>
      </c>
      <c r="E368" s="21" t="s">
        <v>111</v>
      </c>
      <c r="F368" s="21" t="s">
        <v>23</v>
      </c>
      <c r="G368" s="21" t="s">
        <v>26</v>
      </c>
      <c r="H368" s="21" t="s">
        <v>29</v>
      </c>
      <c r="I368" s="21" t="s">
        <v>126</v>
      </c>
      <c r="J368" s="21" t="s">
        <v>42</v>
      </c>
      <c r="K368" s="21" t="s">
        <v>43</v>
      </c>
      <c r="L368" s="21" t="s">
        <v>51</v>
      </c>
      <c r="M368" s="21" t="s">
        <v>54</v>
      </c>
      <c r="N368" s="21" t="s">
        <v>58</v>
      </c>
      <c r="O368" s="19">
        <f>IF(ISBLANK(D368),"",IF(D368='טבלת פרמטרים'!$A$9,1,0)+IF(E368='טבלת פרמטרים'!$B$5,2,1)+IF(F368='טבלת פרמטרים'!$C$5,3,IF(F368='טבלת פרמטרים'!$C$4,1,0))+IF(G368='טבלת פרמטרים'!$D$3,2,0)+IF(M368='טבלת פרמטרים'!$J$4,2,IF(M368='טבלת פרמטרים'!$J$3,1,0))+IF(N368='טבלת פרמטרים'!$K$6,3,IF(OR(N368='טבלת פרמטרים'!$K$4,N368='טבלת פרמטרים'!$K$5),2,IF(N368='טבלת פרמטרים'!$K$3,1,0))))</f>
        <v>3</v>
      </c>
      <c r="Q368" s="20" t="s">
        <v>123</v>
      </c>
      <c r="R368" s="19">
        <f t="shared" si="9"/>
        <v>3</v>
      </c>
      <c r="T368" s="19">
        <f>IF(EXACT(Q368,'טבלת פרמטרים'!$O$2),'טבלת פרמטרים'!$P$2,IF(EXACT(Q368,'טבלת פרמטרים'!$O$3),'טבלת פרמטרים'!$P$3,IF(EXACT(Q368,'טבלת פרמטרים'!$O$4),'טבלת פרמטרים'!$P$4,IF(EXACT(Q368,'טבלת פרמטרים'!$O$5),'טבלת פרמטרים'!$P$5,IF(EXACT(Q368,'טבלת פרמטרים'!$O$6),'טבלת פרמטרים'!$P$6,IF(EXACT(Q368,'טבלת פרמטרים'!$O$7),'טבלת פרמטרים'!$P$7,""))))))</f>
        <v>0</v>
      </c>
    </row>
    <row r="369" spans="1:20" x14ac:dyDescent="0.2">
      <c r="A369" s="18">
        <v>369</v>
      </c>
      <c r="C369" s="30">
        <v>44588</v>
      </c>
      <c r="D369" s="21" t="s">
        <v>13</v>
      </c>
      <c r="E369" s="21" t="s">
        <v>111</v>
      </c>
      <c r="F369" s="21" t="s">
        <v>23</v>
      </c>
      <c r="G369" s="21" t="s">
        <v>26</v>
      </c>
      <c r="H369" s="21" t="s">
        <v>32</v>
      </c>
      <c r="I369" s="21" t="s">
        <v>126</v>
      </c>
      <c r="J369" s="21" t="s">
        <v>63</v>
      </c>
      <c r="K369" s="21" t="s">
        <v>43</v>
      </c>
      <c r="L369" s="21" t="s">
        <v>51</v>
      </c>
      <c r="M369" s="21" t="s">
        <v>53</v>
      </c>
      <c r="N369" s="21" t="s">
        <v>112</v>
      </c>
      <c r="O369" s="19">
        <f>IF(ISBLANK(D369),"",IF(D369='טבלת פרמטרים'!$A$9,1,0)+IF(E369='טבלת פרמטרים'!$B$5,2,1)+IF(F369='טבלת פרמטרים'!$C$5,3,IF(F369='טבלת פרמטרים'!$C$4,1,0))+IF(G369='טבלת פרמטרים'!$D$3,2,0)+IF(M369='טבלת פרמטרים'!$J$4,2,IF(M369='טבלת פרמטרים'!$J$3,1,0))+IF(N369='טבלת פרמטרים'!$K$6,3,IF(OR(N369='טבלת פרמטרים'!$K$4,N369='טבלת פרמטרים'!$K$5),2,IF(N369='טבלת פרמטרים'!$K$3,1,0))))</f>
        <v>3</v>
      </c>
      <c r="Q369" s="20" t="s">
        <v>123</v>
      </c>
      <c r="R369" s="19">
        <f t="shared" si="9"/>
        <v>3</v>
      </c>
      <c r="T369" s="19">
        <f>IF(EXACT(Q369,'טבלת פרמטרים'!$O$2),'טבלת פרמטרים'!$P$2,IF(EXACT(Q369,'טבלת פרמטרים'!$O$3),'טבלת פרמטרים'!$P$3,IF(EXACT(Q369,'טבלת פרמטרים'!$O$4),'טבלת פרמטרים'!$P$4,IF(EXACT(Q369,'טבלת פרמטרים'!$O$5),'טבלת פרמטרים'!$P$5,IF(EXACT(Q369,'טבלת פרמטרים'!$O$6),'טבלת פרמטרים'!$P$6,IF(EXACT(Q369,'טבלת פרמטרים'!$O$7),'טבלת פרמטרים'!$P$7,""))))))</f>
        <v>0</v>
      </c>
    </row>
    <row r="370" spans="1:20" x14ac:dyDescent="0.2">
      <c r="A370" s="18">
        <v>370</v>
      </c>
      <c r="C370" s="30">
        <v>44593</v>
      </c>
      <c r="D370" s="21" t="s">
        <v>15</v>
      </c>
      <c r="E370" s="21" t="s">
        <v>20</v>
      </c>
      <c r="F370" s="21" t="s">
        <v>23</v>
      </c>
      <c r="G370" s="21" t="s">
        <v>26</v>
      </c>
      <c r="H370" s="21" t="s">
        <v>32</v>
      </c>
      <c r="I370" s="21" t="s">
        <v>126</v>
      </c>
      <c r="J370" s="21" t="s">
        <v>63</v>
      </c>
      <c r="M370" s="21" t="s">
        <v>54</v>
      </c>
      <c r="N370" s="21" t="s">
        <v>59</v>
      </c>
      <c r="O370" s="19">
        <f>IF(ISBLANK(D370),"",IF(D370='טבלת פרמטרים'!$A$9,1,0)+IF(E370='טבלת פרמטרים'!$B$5,2,1)+IF(F370='טבלת פרמטרים'!$C$5,3,IF(F370='טבלת פרמטרים'!$C$4,1,0))+IF(G370='טבלת פרמטרים'!$D$3,2,0)+IF(M370='טבלת פרמטרים'!$J$4,2,IF(M370='טבלת פרמטרים'!$J$3,1,0))+IF(N370='טבלת פרמטרים'!$K$6,3,IF(OR(N370='טבלת פרמטרים'!$K$4,N370='טבלת פרמטרים'!$K$5),2,IF(N370='טבלת פרמטרים'!$K$3,1,0))))</f>
        <v>4</v>
      </c>
      <c r="Q370" s="20" t="s">
        <v>123</v>
      </c>
      <c r="R370" s="19">
        <f t="shared" ref="R370:R433" si="10">IF(ISNUMBER(T370),T370+O370,O370)</f>
        <v>4</v>
      </c>
      <c r="T370" s="19">
        <f>IF(EXACT(Q370,'טבלת פרמטרים'!$O$2),'טבלת פרמטרים'!$P$2,IF(EXACT(Q370,'טבלת פרמטרים'!$O$3),'טבלת פרמטרים'!$P$3,IF(EXACT(Q370,'טבלת פרמטרים'!$O$4),'טבלת פרמטרים'!$P$4,IF(EXACT(Q370,'טבלת פרמטרים'!$O$5),'טבלת פרמטרים'!$P$5,IF(EXACT(Q370,'טבלת פרמטרים'!$O$6),'טבלת פרמטרים'!$P$6,IF(EXACT(Q370,'טבלת פרמטרים'!$O$7),'טבלת פרמטרים'!$P$7,""))))))</f>
        <v>0</v>
      </c>
    </row>
    <row r="371" spans="1:20" x14ac:dyDescent="0.2">
      <c r="A371" s="18">
        <v>371</v>
      </c>
      <c r="C371" s="30">
        <v>44593</v>
      </c>
      <c r="D371" s="21" t="s">
        <v>11</v>
      </c>
      <c r="E371" s="21" t="s">
        <v>111</v>
      </c>
      <c r="G371" s="21" t="s">
        <v>26</v>
      </c>
      <c r="H371" s="21" t="s">
        <v>30</v>
      </c>
      <c r="I371" s="21" t="s">
        <v>126</v>
      </c>
      <c r="J371" s="21" t="s">
        <v>11</v>
      </c>
      <c r="K371" s="21" t="s">
        <v>43</v>
      </c>
      <c r="L371" s="21" t="s">
        <v>51</v>
      </c>
      <c r="M371" s="21" t="s">
        <v>53</v>
      </c>
      <c r="N371" s="21" t="s">
        <v>59</v>
      </c>
      <c r="O371" s="19">
        <f>IF(ISBLANK(D371),"",IF(D371='טבלת פרמטרים'!$A$9,1,0)+IF(E371='טבלת פרמטרים'!$B$5,2,1)+IF(F371='טבלת פרמטרים'!$C$5,3,IF(F371='טבלת פרמטרים'!$C$4,1,0))+IF(G371='טבלת פרמטרים'!$D$3,2,0)+IF(M371='טבלת פרמטרים'!$J$4,2,IF(M371='טבלת פרמטרים'!$J$3,1,0))+IF(N371='טבלת פרמטרים'!$K$6,3,IF(OR(N371='טבלת פרמטרים'!$K$4,N371='טבלת פרמטרים'!$K$5),2,IF(N371='טבלת פרמטרים'!$K$3,1,0))))</f>
        <v>3</v>
      </c>
      <c r="Q371" s="20" t="s">
        <v>123</v>
      </c>
      <c r="R371" s="19">
        <f t="shared" si="10"/>
        <v>3</v>
      </c>
      <c r="T371" s="19">
        <f>IF(EXACT(Q371,'טבלת פרמטרים'!$O$2),'טבלת פרמטרים'!$P$2,IF(EXACT(Q371,'טבלת פרמטרים'!$O$3),'טבלת פרמטרים'!$P$3,IF(EXACT(Q371,'טבלת פרמטרים'!$O$4),'טבלת פרמטרים'!$P$4,IF(EXACT(Q371,'טבלת פרמטרים'!$O$5),'טבלת פרמטרים'!$P$5,IF(EXACT(Q371,'טבלת פרמטרים'!$O$6),'טבלת פרמטרים'!$P$6,IF(EXACT(Q371,'טבלת פרמטרים'!$O$7),'טבלת פרמטרים'!$P$7,""))))))</f>
        <v>0</v>
      </c>
    </row>
    <row r="372" spans="1:20" x14ac:dyDescent="0.2">
      <c r="A372" s="18">
        <v>372</v>
      </c>
      <c r="C372" s="30">
        <v>44594</v>
      </c>
      <c r="D372" s="21" t="s">
        <v>11</v>
      </c>
      <c r="E372" s="21" t="s">
        <v>111</v>
      </c>
      <c r="F372" s="21" t="s">
        <v>23</v>
      </c>
      <c r="G372" s="21" t="s">
        <v>26</v>
      </c>
      <c r="H372" s="21" t="s">
        <v>30</v>
      </c>
      <c r="I372" s="21" t="s">
        <v>126</v>
      </c>
      <c r="J372" s="21" t="s">
        <v>11</v>
      </c>
      <c r="K372" s="21" t="s">
        <v>43</v>
      </c>
      <c r="L372" s="21" t="s">
        <v>50</v>
      </c>
      <c r="M372" s="21" t="s">
        <v>53</v>
      </c>
      <c r="N372" s="21" t="s">
        <v>59</v>
      </c>
      <c r="O372" s="19">
        <f>IF(ISBLANK(D372),"",IF(D372='טבלת פרמטרים'!$A$9,1,0)+IF(E372='טבלת פרמטרים'!$B$5,2,1)+IF(F372='טבלת פרמטרים'!$C$5,3,IF(F372='טבלת פרמטרים'!$C$4,1,0))+IF(G372='טבלת פרמטרים'!$D$3,2,0)+IF(M372='טבלת פרמטרים'!$J$4,2,IF(M372='טבלת פרמטרים'!$J$3,1,0))+IF(N372='טבלת פרמטרים'!$K$6,3,IF(OR(N372='טבלת פרמטרים'!$K$4,N372='טבלת פרמטרים'!$K$5),2,IF(N372='טבלת פרמטרים'!$K$3,1,0))))</f>
        <v>3</v>
      </c>
      <c r="Q372" s="20" t="s">
        <v>123</v>
      </c>
      <c r="R372" s="19">
        <f t="shared" si="10"/>
        <v>3</v>
      </c>
      <c r="T372" s="19">
        <f>IF(EXACT(Q372,'טבלת פרמטרים'!$O$2),'טבלת פרמטרים'!$P$2,IF(EXACT(Q372,'טבלת פרמטרים'!$O$3),'טבלת פרמטרים'!$P$3,IF(EXACT(Q372,'טבלת פרמטרים'!$O$4),'טבלת פרמטרים'!$P$4,IF(EXACT(Q372,'טבלת פרמטרים'!$O$5),'טבלת פרמטרים'!$P$5,IF(EXACT(Q372,'טבלת פרמטרים'!$O$6),'טבלת פרמטרים'!$P$6,IF(EXACT(Q372,'טבלת פרמטרים'!$O$7),'טבלת פרמטרים'!$P$7,""))))))</f>
        <v>0</v>
      </c>
    </row>
    <row r="373" spans="1:20" x14ac:dyDescent="0.2">
      <c r="A373" s="18">
        <v>373</v>
      </c>
      <c r="C373" s="30">
        <v>44594</v>
      </c>
      <c r="D373" s="21" t="s">
        <v>11</v>
      </c>
      <c r="E373" s="21" t="s">
        <v>20</v>
      </c>
      <c r="F373" s="21" t="s">
        <v>23</v>
      </c>
      <c r="G373" s="21" t="s">
        <v>26</v>
      </c>
      <c r="H373" s="21" t="s">
        <v>30</v>
      </c>
      <c r="I373" s="21" t="s">
        <v>126</v>
      </c>
      <c r="J373" s="21" t="s">
        <v>11</v>
      </c>
      <c r="K373" s="21" t="s">
        <v>43</v>
      </c>
      <c r="L373" s="21" t="s">
        <v>51</v>
      </c>
      <c r="M373" s="21" t="s">
        <v>53</v>
      </c>
      <c r="N373" s="21" t="s">
        <v>59</v>
      </c>
      <c r="O373" s="19">
        <f>IF(ISBLANK(D373),"",IF(D373='טבלת פרמטרים'!$A$9,1,0)+IF(E373='טבלת פרמטרים'!$B$5,2,1)+IF(F373='טבלת פרמטרים'!$C$5,3,IF(F373='טבלת פרמטרים'!$C$4,1,0))+IF(G373='טבלת פרמטרים'!$D$3,2,0)+IF(M373='טבלת פרמטרים'!$J$4,2,IF(M373='טבלת פרמטרים'!$J$3,1,0))+IF(N373='טבלת פרמטרים'!$K$6,3,IF(OR(N373='טבלת פרמטרים'!$K$4,N373='טבלת פרמטרים'!$K$5),2,IF(N373='טבלת פרמטרים'!$K$3,1,0))))</f>
        <v>3</v>
      </c>
      <c r="Q373" s="20" t="s">
        <v>123</v>
      </c>
      <c r="R373" s="19">
        <f t="shared" si="10"/>
        <v>3</v>
      </c>
      <c r="T373" s="19">
        <f>IF(EXACT(Q373,'טבלת פרמטרים'!$O$2),'טבלת פרמטרים'!$P$2,IF(EXACT(Q373,'טבלת פרמטרים'!$O$3),'טבלת פרמטרים'!$P$3,IF(EXACT(Q373,'טבלת פרמטרים'!$O$4),'טבלת פרמטרים'!$P$4,IF(EXACT(Q373,'טבלת פרמטרים'!$O$5),'טבלת פרמטרים'!$P$5,IF(EXACT(Q373,'טבלת פרמטרים'!$O$6),'טבלת פרמטרים'!$P$6,IF(EXACT(Q373,'טבלת פרמטרים'!$O$7),'טבלת פרמטרים'!$P$7,""))))))</f>
        <v>0</v>
      </c>
    </row>
    <row r="374" spans="1:20" x14ac:dyDescent="0.2">
      <c r="A374" s="18">
        <v>374</v>
      </c>
      <c r="C374" s="30">
        <v>44594</v>
      </c>
      <c r="D374" s="21" t="s">
        <v>11</v>
      </c>
      <c r="E374" s="21" t="s">
        <v>20</v>
      </c>
      <c r="F374" s="21" t="s">
        <v>23</v>
      </c>
      <c r="G374" s="21" t="s">
        <v>26</v>
      </c>
      <c r="H374" s="21" t="s">
        <v>30</v>
      </c>
      <c r="I374" s="21" t="s">
        <v>126</v>
      </c>
      <c r="J374" s="21" t="s">
        <v>11</v>
      </c>
      <c r="K374" s="21" t="s">
        <v>43</v>
      </c>
      <c r="N374" s="21" t="s">
        <v>59</v>
      </c>
      <c r="O374" s="19">
        <f>IF(ISBLANK(D374),"",IF(D374='טבלת פרמטרים'!$A$9,1,0)+IF(E374='טבלת פרמטרים'!$B$5,2,1)+IF(F374='טבלת פרמטרים'!$C$5,3,IF(F374='טבלת פרמטרים'!$C$4,1,0))+IF(G374='טבלת פרמטרים'!$D$3,2,0)+IF(M374='טבלת פרמטרים'!$J$4,2,IF(M374='טבלת פרמטרים'!$J$3,1,0))+IF(N374='טבלת פרמטרים'!$K$6,3,IF(OR(N374='טבלת פרמטרים'!$K$4,N374='טבלת פרמטרים'!$K$5),2,IF(N374='טבלת פרמטרים'!$K$3,1,0))))</f>
        <v>3</v>
      </c>
      <c r="Q374" s="20" t="s">
        <v>123</v>
      </c>
      <c r="R374" s="19">
        <f t="shared" si="10"/>
        <v>3</v>
      </c>
      <c r="T374" s="19">
        <f>IF(EXACT(Q374,'טבלת פרמטרים'!$O$2),'טבלת פרמטרים'!$P$2,IF(EXACT(Q374,'טבלת פרמטרים'!$O$3),'טבלת פרמטרים'!$P$3,IF(EXACT(Q374,'טבלת פרמטרים'!$O$4),'טבלת פרמטרים'!$P$4,IF(EXACT(Q374,'טבלת פרמטרים'!$O$5),'טבלת פרמטרים'!$P$5,IF(EXACT(Q374,'טבלת פרמטרים'!$O$6),'טבלת פרמטרים'!$P$6,IF(EXACT(Q374,'טבלת פרמטרים'!$O$7),'טבלת פרמטרים'!$P$7,""))))))</f>
        <v>0</v>
      </c>
    </row>
    <row r="375" spans="1:20" x14ac:dyDescent="0.2">
      <c r="A375" s="18">
        <v>375</v>
      </c>
      <c r="C375" s="30">
        <v>44599</v>
      </c>
      <c r="D375" s="21" t="s">
        <v>11</v>
      </c>
      <c r="E375" s="21" t="s">
        <v>20</v>
      </c>
      <c r="F375" s="21" t="s">
        <v>23</v>
      </c>
      <c r="G375" s="21" t="s">
        <v>26</v>
      </c>
      <c r="H375" s="21" t="s">
        <v>30</v>
      </c>
      <c r="J375" s="21" t="s">
        <v>11</v>
      </c>
      <c r="K375" s="21" t="s">
        <v>43</v>
      </c>
      <c r="N375" s="21" t="s">
        <v>59</v>
      </c>
      <c r="O375" s="19">
        <f>IF(ISBLANK(D375),"",IF(D375='טבלת פרמטרים'!$A$9,1,0)+IF(E375='טבלת פרמטרים'!$B$5,2,1)+IF(F375='טבלת פרמטרים'!$C$5,3,IF(F375='טבלת פרמטרים'!$C$4,1,0))+IF(G375='טבלת פרמטרים'!$D$3,2,0)+IF(M375='טבלת פרמטרים'!$J$4,2,IF(M375='טבלת פרמטרים'!$J$3,1,0))+IF(N375='טבלת פרמטרים'!$K$6,3,IF(OR(N375='טבלת פרמטרים'!$K$4,N375='טבלת פרמטרים'!$K$5),2,IF(N375='טבלת פרמטרים'!$K$3,1,0))))</f>
        <v>3</v>
      </c>
      <c r="Q375" s="20" t="s">
        <v>123</v>
      </c>
      <c r="R375" s="19">
        <f t="shared" si="10"/>
        <v>3</v>
      </c>
      <c r="T375" s="19">
        <f>IF(EXACT(Q375,'טבלת פרמטרים'!$O$2),'טבלת פרמטרים'!$P$2,IF(EXACT(Q375,'טבלת פרמטרים'!$O$3),'טבלת פרמטרים'!$P$3,IF(EXACT(Q375,'טבלת פרמטרים'!$O$4),'טבלת פרמטרים'!$P$4,IF(EXACT(Q375,'טבלת פרמטרים'!$O$5),'טבלת פרמטרים'!$P$5,IF(EXACT(Q375,'טבלת פרמטרים'!$O$6),'טבלת פרמטרים'!$P$6,IF(EXACT(Q375,'טבלת פרמטרים'!$O$7),'טבלת פרמטרים'!$P$7,""))))))</f>
        <v>0</v>
      </c>
    </row>
    <row r="376" spans="1:20" x14ac:dyDescent="0.2">
      <c r="A376" s="18">
        <v>376</v>
      </c>
      <c r="B376" s="30">
        <v>44598</v>
      </c>
      <c r="C376" s="30">
        <v>44598</v>
      </c>
      <c r="D376" s="21" t="s">
        <v>11</v>
      </c>
      <c r="E376" s="21" t="s">
        <v>111</v>
      </c>
      <c r="F376" s="21" t="s">
        <v>23</v>
      </c>
      <c r="G376" s="21" t="s">
        <v>26</v>
      </c>
      <c r="H376" s="21" t="s">
        <v>30</v>
      </c>
      <c r="J376" s="21" t="s">
        <v>11</v>
      </c>
      <c r="N376" s="21" t="s">
        <v>59</v>
      </c>
      <c r="O376" s="19">
        <f>IF(ISBLANK(D376),"",IF(D376='טבלת פרמטרים'!$A$9,1,0)+IF(E376='טבלת פרמטרים'!$B$5,2,1)+IF(F376='טבלת פרמטרים'!$C$5,3,IF(F376='טבלת פרמטרים'!$C$4,1,0))+IF(G376='טבלת פרמטרים'!$D$3,2,0)+IF(M376='טבלת פרמטרים'!$J$4,2,IF(M376='טבלת פרמטרים'!$J$3,1,0))+IF(N376='טבלת פרמטרים'!$K$6,3,IF(OR(N376='טבלת פרמטרים'!$K$4,N376='טבלת פרמטרים'!$K$5),2,IF(N376='טבלת פרמטרים'!$K$3,1,0))))</f>
        <v>3</v>
      </c>
      <c r="Q376" s="20" t="s">
        <v>123</v>
      </c>
      <c r="R376" s="19">
        <f t="shared" si="10"/>
        <v>3</v>
      </c>
      <c r="T376" s="19">
        <f>IF(EXACT(Q376,'טבלת פרמטרים'!$O$2),'טבלת פרמטרים'!$P$2,IF(EXACT(Q376,'טבלת פרמטרים'!$O$3),'טבלת פרמטרים'!$P$3,IF(EXACT(Q376,'טבלת פרמטרים'!$O$4),'טבלת פרמטרים'!$P$4,IF(EXACT(Q376,'טבלת פרמטרים'!$O$5),'טבלת פרמטרים'!$P$5,IF(EXACT(Q376,'טבלת פרמטרים'!$O$6),'טבלת פרמטרים'!$P$6,IF(EXACT(Q376,'טבלת פרמטרים'!$O$7),'טבלת פרמטרים'!$P$7,""))))))</f>
        <v>0</v>
      </c>
    </row>
    <row r="377" spans="1:20" x14ac:dyDescent="0.2">
      <c r="A377" s="18">
        <v>377</v>
      </c>
      <c r="B377" s="30">
        <v>44600</v>
      </c>
      <c r="C377" s="30">
        <v>44600</v>
      </c>
      <c r="D377" s="21" t="s">
        <v>12</v>
      </c>
      <c r="E377" s="21" t="s">
        <v>21</v>
      </c>
      <c r="F377" s="21" t="s">
        <v>23</v>
      </c>
      <c r="G377" s="21" t="s">
        <v>26</v>
      </c>
      <c r="H377" s="21" t="s">
        <v>29</v>
      </c>
      <c r="J377" s="21" t="s">
        <v>63</v>
      </c>
      <c r="K377" s="21" t="s">
        <v>43</v>
      </c>
      <c r="L377" s="21" t="s">
        <v>51</v>
      </c>
      <c r="M377" s="21" t="s">
        <v>53</v>
      </c>
      <c r="O377" s="19">
        <f>IF(ISBLANK(D377),"",IF(D377='טבלת פרמטרים'!$A$9,1,0)+IF(E377='טבלת פרמטרים'!$B$5,2,1)+IF(F377='טבלת פרמטרים'!$C$5,3,IF(F377='טבלת פרמטרים'!$C$4,1,0))+IF(G377='טבלת פרמטרים'!$D$3,2,0)+IF(M377='טבלת פרמטרים'!$J$4,2,IF(M377='טבלת פרמטרים'!$J$3,1,0))+IF(N377='טבלת פרמטרים'!$K$6,3,IF(OR(N377='טבלת פרמטרים'!$K$4,N377='טבלת פרמטרים'!$K$5),2,IF(N377='טבלת פרמטרים'!$K$3,1,0))))</f>
        <v>1</v>
      </c>
      <c r="R377" s="19">
        <f t="shared" si="10"/>
        <v>1</v>
      </c>
      <c r="T377" s="19" t="str">
        <f>IF(EXACT(Q377,'טבלת פרמטרים'!$O$2),'טבלת פרמטרים'!$P$2,IF(EXACT(Q377,'טבלת פרמטרים'!$O$3),'טבלת פרמטרים'!$P$3,IF(EXACT(Q377,'טבלת פרמטרים'!$O$4),'טבלת פרמטרים'!$P$4,IF(EXACT(Q377,'טבלת פרמטרים'!$O$5),'טבלת פרמטרים'!$P$5,IF(EXACT(Q377,'טבלת פרמטרים'!$O$6),'טבלת פרמטרים'!$P$6,IF(EXACT(Q377,'טבלת פרמטרים'!$O$7),'טבלת פרמטרים'!$P$7,""))))))</f>
        <v/>
      </c>
    </row>
    <row r="378" spans="1:20" x14ac:dyDescent="0.2">
      <c r="A378" s="18">
        <v>378</v>
      </c>
      <c r="B378" s="30">
        <v>44599</v>
      </c>
      <c r="C378" s="30">
        <v>44600</v>
      </c>
      <c r="D378" s="21" t="s">
        <v>17</v>
      </c>
      <c r="E378" s="21" t="s">
        <v>22</v>
      </c>
      <c r="F378" s="21" t="s">
        <v>23</v>
      </c>
      <c r="G378" s="21" t="s">
        <v>26</v>
      </c>
      <c r="H378" s="21" t="s">
        <v>31</v>
      </c>
      <c r="L378" s="21" t="s">
        <v>50</v>
      </c>
      <c r="M378" s="21" t="s">
        <v>55</v>
      </c>
      <c r="N378" s="21" t="s">
        <v>59</v>
      </c>
      <c r="O378" s="19">
        <f>IF(ISBLANK(D378),"",IF(D378='טבלת פרמטרים'!$A$9,1,0)+IF(E378='טבלת פרמטרים'!$B$5,2,1)+IF(F378='טבלת פרמטרים'!$C$5,3,IF(F378='טבלת פרמטרים'!$C$4,1,0))+IF(G378='טבלת פרמטרים'!$D$3,2,0)+IF(M378='טבלת פרמטרים'!$J$4,2,IF(M378='טבלת פרמטרים'!$J$3,1,0))+IF(N378='טבלת פרמטרים'!$K$6,3,IF(OR(N378='טבלת פרמטרים'!$K$4,N378='טבלת פרמטרים'!$K$5),2,IF(N378='טבלת פרמטרים'!$K$3,1,0))))</f>
        <v>7</v>
      </c>
      <c r="Q378" s="20" t="s">
        <v>123</v>
      </c>
      <c r="R378" s="19">
        <f t="shared" si="10"/>
        <v>7</v>
      </c>
      <c r="T378" s="19">
        <f>IF(EXACT(Q378,'טבלת פרמטרים'!$O$2),'טבלת פרמטרים'!$P$2,IF(EXACT(Q378,'טבלת פרמטרים'!$O$3),'טבלת פרמטרים'!$P$3,IF(EXACT(Q378,'טבלת פרמטרים'!$O$4),'טבלת פרמטרים'!$P$4,IF(EXACT(Q378,'טבלת פרמטרים'!$O$5),'טבלת פרמטרים'!$P$5,IF(EXACT(Q378,'טבלת פרמטרים'!$O$6),'טבלת פרמטרים'!$P$6,IF(EXACT(Q378,'טבלת פרמטרים'!$O$7),'טבלת פרמטרים'!$P$7,""))))))</f>
        <v>0</v>
      </c>
    </row>
    <row r="379" spans="1:20" x14ac:dyDescent="0.2">
      <c r="A379" s="18">
        <v>379</v>
      </c>
      <c r="C379" s="30">
        <v>44600</v>
      </c>
      <c r="D379" s="21" t="s">
        <v>10</v>
      </c>
      <c r="E379" s="21" t="s">
        <v>111</v>
      </c>
      <c r="F379" s="21" t="s">
        <v>23</v>
      </c>
      <c r="G379" s="21" t="s">
        <v>26</v>
      </c>
      <c r="H379" s="21" t="s">
        <v>31</v>
      </c>
      <c r="J379" s="21" t="s">
        <v>41</v>
      </c>
      <c r="L379" s="21" t="s">
        <v>51</v>
      </c>
      <c r="M379" s="21" t="s">
        <v>54</v>
      </c>
      <c r="N379" s="21" t="s">
        <v>58</v>
      </c>
      <c r="O379" s="19">
        <f>IF(ISBLANK(D379),"",IF(D379='טבלת פרמטרים'!$A$9,1,0)+IF(E379='טבלת פרמטרים'!$B$5,2,1)+IF(F379='טבלת פרמטרים'!$C$5,3,IF(F379='טבלת פרמטרים'!$C$4,1,0))+IF(G379='טבלת פרמטרים'!$D$3,2,0)+IF(M379='טבלת פרמטרים'!$J$4,2,IF(M379='טבלת פרמטרים'!$J$3,1,0))+IF(N379='טבלת פרמטרים'!$K$6,3,IF(OR(N379='טבלת פרמטרים'!$K$4,N379='טבלת פרמטרים'!$K$5),2,IF(N379='טבלת פרמטרים'!$K$3,1,0))))</f>
        <v>3</v>
      </c>
      <c r="Q379" s="20" t="s">
        <v>123</v>
      </c>
      <c r="R379" s="19">
        <f t="shared" si="10"/>
        <v>3</v>
      </c>
      <c r="T379" s="19">
        <f>IF(EXACT(Q379,'טבלת פרמטרים'!$O$2),'טבלת פרמטרים'!$P$2,IF(EXACT(Q379,'טבלת פרמטרים'!$O$3),'טבלת פרמטרים'!$P$3,IF(EXACT(Q379,'טבלת פרמטרים'!$O$4),'טבלת פרמטרים'!$P$4,IF(EXACT(Q379,'טבלת פרמטרים'!$O$5),'טבלת פרמטרים'!$P$5,IF(EXACT(Q379,'טבלת פרמטרים'!$O$6),'טבלת פרמטרים'!$P$6,IF(EXACT(Q379,'טבלת פרמטרים'!$O$7),'טבלת פרמטרים'!$P$7,""))))))</f>
        <v>0</v>
      </c>
    </row>
    <row r="380" spans="1:20" x14ac:dyDescent="0.2">
      <c r="A380" s="18">
        <v>380</v>
      </c>
      <c r="C380" s="30">
        <v>44601</v>
      </c>
      <c r="D380" s="21" t="s">
        <v>10</v>
      </c>
      <c r="E380" s="21" t="s">
        <v>111</v>
      </c>
      <c r="F380" s="21" t="s">
        <v>23</v>
      </c>
      <c r="G380" s="21" t="s">
        <v>26</v>
      </c>
      <c r="H380" s="21" t="s">
        <v>28</v>
      </c>
      <c r="J380" s="21" t="s">
        <v>42</v>
      </c>
      <c r="L380" s="21" t="s">
        <v>51</v>
      </c>
      <c r="M380" s="21" t="s">
        <v>53</v>
      </c>
      <c r="N380" s="21" t="s">
        <v>58</v>
      </c>
      <c r="O380" s="19">
        <f>IF(ISBLANK(D380),"",IF(D380='טבלת פרמטרים'!$A$9,1,0)+IF(E380='טבלת פרמטרים'!$B$5,2,1)+IF(F380='טבלת פרמטרים'!$C$5,3,IF(F380='טבלת פרמטרים'!$C$4,1,0))+IF(G380='טבלת פרמטרים'!$D$3,2,0)+IF(M380='טבלת פרמטרים'!$J$4,2,IF(M380='טבלת פרמטרים'!$J$3,1,0))+IF(N380='טבלת פרמטרים'!$K$6,3,IF(OR(N380='טבלת פרמטרים'!$K$4,N380='טבלת פרמטרים'!$K$5),2,IF(N380='טבלת פרמטרים'!$K$3,1,0))))</f>
        <v>2</v>
      </c>
      <c r="Q380" s="20" t="s">
        <v>123</v>
      </c>
      <c r="R380" s="19">
        <f t="shared" si="10"/>
        <v>2</v>
      </c>
      <c r="T380" s="19">
        <f>IF(EXACT(Q380,'טבלת פרמטרים'!$O$2),'טבלת פרמטרים'!$P$2,IF(EXACT(Q380,'טבלת פרמטרים'!$O$3),'טבלת פרמטרים'!$P$3,IF(EXACT(Q380,'טבלת פרמטרים'!$O$4),'טבלת פרמטרים'!$P$4,IF(EXACT(Q380,'טבלת פרמטרים'!$O$5),'טבלת פרמטרים'!$P$5,IF(EXACT(Q380,'טבלת פרמטרים'!$O$6),'טבלת פרמטרים'!$P$6,IF(EXACT(Q380,'טבלת פרמטרים'!$O$7),'טבלת פרמטרים'!$P$7,""))))))</f>
        <v>0</v>
      </c>
    </row>
    <row r="381" spans="1:20" x14ac:dyDescent="0.2">
      <c r="A381" s="18">
        <v>381</v>
      </c>
      <c r="C381" s="30">
        <v>44602</v>
      </c>
      <c r="D381" s="21" t="s">
        <v>11</v>
      </c>
      <c r="E381" s="21" t="s">
        <v>111</v>
      </c>
      <c r="F381" s="21" t="s">
        <v>23</v>
      </c>
      <c r="G381" s="21" t="s">
        <v>27</v>
      </c>
      <c r="H381" s="21" t="s">
        <v>30</v>
      </c>
      <c r="J381" s="21" t="s">
        <v>11</v>
      </c>
      <c r="M381" s="21" t="s">
        <v>54</v>
      </c>
      <c r="N381" s="21" t="s">
        <v>58</v>
      </c>
      <c r="O381" s="19">
        <f>IF(ISBLANK(D381),"",IF(D381='טבלת פרמטרים'!$A$9,1,0)+IF(E381='טבלת פרמטרים'!$B$5,2,1)+IF(F381='טבלת פרמטרים'!$C$5,3,IF(F381='טבלת פרמטרים'!$C$4,1,0))+IF(G381='טבלת פרמטרים'!$D$3,2,0)+IF(M381='טבלת פרמטרים'!$J$4,2,IF(M381='טבלת פרמטרים'!$J$3,1,0))+IF(N381='טבלת פרמטרים'!$K$6,3,IF(OR(N381='טבלת פרמטרים'!$K$4,N381='טבלת פרמטרים'!$K$5),2,IF(N381='טבלת פרמטרים'!$K$3,1,0))))</f>
        <v>5</v>
      </c>
      <c r="Q381" s="20" t="s">
        <v>123</v>
      </c>
      <c r="R381" s="19">
        <f t="shared" si="10"/>
        <v>5</v>
      </c>
      <c r="T381" s="19">
        <f>IF(EXACT(Q381,'טבלת פרמטרים'!$O$2),'טבלת פרמטרים'!$P$2,IF(EXACT(Q381,'טבלת פרמטרים'!$O$3),'טבלת פרמטרים'!$P$3,IF(EXACT(Q381,'טבלת פרמטרים'!$O$4),'טבלת פרמטרים'!$P$4,IF(EXACT(Q381,'טבלת פרמטרים'!$O$5),'טבלת פרמטרים'!$P$5,IF(EXACT(Q381,'טבלת פרמטרים'!$O$6),'טבלת פרמטרים'!$P$6,IF(EXACT(Q381,'טבלת פרמטרים'!$O$7),'טבלת פרמטרים'!$P$7,""))))))</f>
        <v>0</v>
      </c>
    </row>
    <row r="382" spans="1:20" x14ac:dyDescent="0.2">
      <c r="A382" s="18">
        <v>382</v>
      </c>
      <c r="C382" s="30">
        <v>44605</v>
      </c>
      <c r="D382" s="21" t="s">
        <v>11</v>
      </c>
      <c r="E382" s="21" t="s">
        <v>20</v>
      </c>
      <c r="F382" s="21" t="s">
        <v>23</v>
      </c>
      <c r="G382" s="21" t="s">
        <v>26</v>
      </c>
      <c r="H382" s="21" t="s">
        <v>30</v>
      </c>
      <c r="J382" s="21" t="s">
        <v>11</v>
      </c>
      <c r="L382" s="21" t="s">
        <v>51</v>
      </c>
      <c r="M382" s="21" t="s">
        <v>55</v>
      </c>
      <c r="N382" s="21" t="s">
        <v>58</v>
      </c>
      <c r="O382" s="19">
        <f>IF(ISBLANK(D382),"",IF(D382='טבלת פרמטרים'!$A$9,1,0)+IF(E382='טבלת פרמטרים'!$B$5,2,1)+IF(F382='טבלת פרמטרים'!$C$5,3,IF(F382='טבלת פרמטרים'!$C$4,1,0))+IF(G382='טבלת פרמטרים'!$D$3,2,0)+IF(M382='טבלת פרמטרים'!$J$4,2,IF(M382='טבלת פרמטרים'!$J$3,1,0))+IF(N382='טבלת פרמטרים'!$K$6,3,IF(OR(N382='טבלת פרמטרים'!$K$4,N382='טבלת פרמטרים'!$K$5),2,IF(N382='טבלת פרמטרים'!$K$3,1,0))))</f>
        <v>4</v>
      </c>
      <c r="Q382" s="20" t="s">
        <v>123</v>
      </c>
      <c r="R382" s="19">
        <f t="shared" si="10"/>
        <v>4</v>
      </c>
      <c r="T382" s="19">
        <f>IF(EXACT(Q382,'טבלת פרמטרים'!$O$2),'טבלת פרמטרים'!$P$2,IF(EXACT(Q382,'טבלת פרמטרים'!$O$3),'טבלת פרמטרים'!$P$3,IF(EXACT(Q382,'טבלת פרמטרים'!$O$4),'טבלת פרמטרים'!$P$4,IF(EXACT(Q382,'טבלת פרמטרים'!$O$5),'טבלת פרמטרים'!$P$5,IF(EXACT(Q382,'טבלת פרמטרים'!$O$6),'טבלת פרמטרים'!$P$6,IF(EXACT(Q382,'טבלת פרמטרים'!$O$7),'טבלת פרמטרים'!$P$7,""))))))</f>
        <v>0</v>
      </c>
    </row>
    <row r="383" spans="1:20" x14ac:dyDescent="0.2">
      <c r="A383" s="18">
        <v>383</v>
      </c>
      <c r="C383" s="30">
        <v>44605</v>
      </c>
      <c r="D383" s="21" t="s">
        <v>11</v>
      </c>
      <c r="E383" s="21" t="s">
        <v>21</v>
      </c>
      <c r="F383" s="21" t="s">
        <v>23</v>
      </c>
      <c r="G383" s="21" t="s">
        <v>26</v>
      </c>
      <c r="H383" s="21" t="s">
        <v>29</v>
      </c>
      <c r="L383" s="21" t="s">
        <v>51</v>
      </c>
      <c r="M383" s="21" t="s">
        <v>53</v>
      </c>
      <c r="N383" s="21" t="s">
        <v>58</v>
      </c>
      <c r="O383" s="19">
        <f>IF(ISBLANK(D383),"",IF(D383='טבלת פרמטרים'!$A$9,1,0)+IF(E383='טבלת פרמטרים'!$B$5,2,1)+IF(F383='טבלת פרמטרים'!$C$5,3,IF(F383='טבלת פרמטרים'!$C$4,1,0))+IF(G383='טבלת פרמטרים'!$D$3,2,0)+IF(M383='טבלת פרמטרים'!$J$4,2,IF(M383='טבלת פרמטרים'!$J$3,1,0))+IF(N383='טבלת פרמטרים'!$K$6,3,IF(OR(N383='טבלת פרמטרים'!$K$4,N383='טבלת פרמטרים'!$K$5),2,IF(N383='טבלת פרמטרים'!$K$3,1,0))))</f>
        <v>2</v>
      </c>
      <c r="Q383" s="20" t="s">
        <v>123</v>
      </c>
      <c r="R383" s="19">
        <f t="shared" si="10"/>
        <v>2</v>
      </c>
      <c r="T383" s="19">
        <f>IF(EXACT(Q383,'טבלת פרמטרים'!$O$2),'טבלת פרמטרים'!$P$2,IF(EXACT(Q383,'טבלת פרמטרים'!$O$3),'טבלת פרמטרים'!$P$3,IF(EXACT(Q383,'טבלת פרמטרים'!$O$4),'טבלת פרמטרים'!$P$4,IF(EXACT(Q383,'טבלת פרמטרים'!$O$5),'טבלת פרמטרים'!$P$5,IF(EXACT(Q383,'טבלת פרמטרים'!$O$6),'טבלת פרמטרים'!$P$6,IF(EXACT(Q383,'טבלת פרמטרים'!$O$7),'טבלת פרמטרים'!$P$7,""))))))</f>
        <v>0</v>
      </c>
    </row>
    <row r="384" spans="1:20" x14ac:dyDescent="0.2">
      <c r="A384" s="18">
        <v>384</v>
      </c>
      <c r="B384" s="30">
        <v>44609</v>
      </c>
      <c r="C384" s="30">
        <v>44609</v>
      </c>
      <c r="D384" s="21" t="s">
        <v>12</v>
      </c>
      <c r="E384" s="21" t="s">
        <v>21</v>
      </c>
      <c r="F384" s="21" t="s">
        <v>23</v>
      </c>
      <c r="G384" s="21" t="s">
        <v>26</v>
      </c>
      <c r="H384" s="21" t="s">
        <v>31</v>
      </c>
      <c r="L384" s="21" t="s">
        <v>51</v>
      </c>
      <c r="M384" s="21" t="s">
        <v>54</v>
      </c>
      <c r="N384" s="21" t="s">
        <v>58</v>
      </c>
      <c r="O384" s="19">
        <f>IF(ISBLANK(D384),"",IF(D384='טבלת פרמטרים'!$A$9,1,0)+IF(E384='טבלת פרמטרים'!$B$5,2,1)+IF(F384='טבלת פרמטרים'!$C$5,3,IF(F384='טבלת פרמטרים'!$C$4,1,0))+IF(G384='טבלת פרמטרים'!$D$3,2,0)+IF(M384='טבלת פרמטרים'!$J$4,2,IF(M384='טבלת פרמטרים'!$J$3,1,0))+IF(N384='טבלת פרמטרים'!$K$6,3,IF(OR(N384='טבלת פרמטרים'!$K$4,N384='טבלת פרמטרים'!$K$5),2,IF(N384='טבלת פרמטרים'!$K$3,1,0))))</f>
        <v>3</v>
      </c>
      <c r="Q384" s="20" t="s">
        <v>123</v>
      </c>
      <c r="R384" s="19">
        <f t="shared" si="10"/>
        <v>3</v>
      </c>
      <c r="T384" s="19">
        <f>IF(EXACT(Q384,'טבלת פרמטרים'!$O$2),'טבלת פרמטרים'!$P$2,IF(EXACT(Q384,'טבלת פרמטרים'!$O$3),'טבלת פרמטרים'!$P$3,IF(EXACT(Q384,'טבלת פרמטרים'!$O$4),'טבלת פרמטרים'!$P$4,IF(EXACT(Q384,'טבלת פרמטרים'!$O$5),'טבלת פרמטרים'!$P$5,IF(EXACT(Q384,'טבלת פרמטרים'!$O$6),'טבלת פרמטרים'!$P$6,IF(EXACT(Q384,'טבלת פרמטרים'!$O$7),'טבלת פרמטרים'!$P$7,""))))))</f>
        <v>0</v>
      </c>
    </row>
    <row r="385" spans="1:20" x14ac:dyDescent="0.2">
      <c r="A385" s="18">
        <v>385</v>
      </c>
      <c r="B385" s="30">
        <v>44615</v>
      </c>
      <c r="C385" s="30">
        <v>44619</v>
      </c>
      <c r="D385" s="21" t="s">
        <v>11</v>
      </c>
      <c r="E385" s="21" t="s">
        <v>20</v>
      </c>
      <c r="F385" s="21" t="s">
        <v>23</v>
      </c>
      <c r="G385" s="21" t="s">
        <v>26</v>
      </c>
      <c r="H385" s="21" t="s">
        <v>29</v>
      </c>
      <c r="J385" s="21" t="s">
        <v>11</v>
      </c>
      <c r="L385" s="21" t="s">
        <v>51</v>
      </c>
      <c r="M385" s="21" t="s">
        <v>55</v>
      </c>
      <c r="N385" s="21" t="s">
        <v>58</v>
      </c>
      <c r="O385" s="19">
        <f>IF(ISBLANK(D385),"",IF(D385='טבלת פרמטרים'!$A$9,1,0)+IF(E385='טבלת פרמטרים'!$B$5,2,1)+IF(F385='טבלת פרמטרים'!$C$5,3,IF(F385='טבלת פרמטרים'!$C$4,1,0))+IF(G385='טבלת פרמטרים'!$D$3,2,0)+IF(M385='טבלת פרמטרים'!$J$4,2,IF(M385='טבלת פרמטרים'!$J$3,1,0))+IF(N385='טבלת פרמטרים'!$K$6,3,IF(OR(N385='טבלת פרמטרים'!$K$4,N385='טבלת פרמטרים'!$K$5),2,IF(N385='טבלת פרמטרים'!$K$3,1,0))))</f>
        <v>4</v>
      </c>
      <c r="Q385" s="20" t="s">
        <v>123</v>
      </c>
      <c r="R385" s="19">
        <f t="shared" si="10"/>
        <v>4</v>
      </c>
      <c r="T385" s="19">
        <f>IF(EXACT(Q385,'טבלת פרמטרים'!$O$2),'טבלת פרמטרים'!$P$2,IF(EXACT(Q385,'טבלת פרמטרים'!$O$3),'טבלת פרמטרים'!$P$3,IF(EXACT(Q385,'טבלת פרמטרים'!$O$4),'טבלת פרמטרים'!$P$4,IF(EXACT(Q385,'טבלת פרמטרים'!$O$5),'טבלת פרמטרים'!$P$5,IF(EXACT(Q385,'טבלת פרמטרים'!$O$6),'טבלת פרמטרים'!$P$6,IF(EXACT(Q385,'טבלת פרמטרים'!$O$7),'טבלת פרמטרים'!$P$7,""))))))</f>
        <v>0</v>
      </c>
    </row>
    <row r="386" spans="1:20" x14ac:dyDescent="0.2">
      <c r="A386" s="18">
        <v>386</v>
      </c>
      <c r="B386" s="30">
        <v>44615</v>
      </c>
      <c r="C386" s="30">
        <v>44622</v>
      </c>
      <c r="D386" s="21" t="s">
        <v>11</v>
      </c>
      <c r="E386" s="21" t="s">
        <v>111</v>
      </c>
      <c r="F386" s="21" t="s">
        <v>23</v>
      </c>
      <c r="G386" s="21" t="s">
        <v>26</v>
      </c>
      <c r="H386" s="21" t="s">
        <v>30</v>
      </c>
      <c r="J386" s="21" t="s">
        <v>11</v>
      </c>
      <c r="L386" s="21" t="s">
        <v>51</v>
      </c>
      <c r="M386" s="21" t="s">
        <v>55</v>
      </c>
      <c r="N386" s="21" t="s">
        <v>59</v>
      </c>
      <c r="O386" s="19">
        <f>IF(ISBLANK(D386),"",IF(D386='טבלת פרמטרים'!$A$9,1,0)+IF(E386='טבלת פרמטרים'!$B$5,2,1)+IF(F386='טבלת פרמטרים'!$C$5,3,IF(F386='טבלת פרמטרים'!$C$4,1,0))+IF(G386='טבלת פרמטרים'!$D$3,2,0)+IF(M386='טבלת פרמטרים'!$J$4,2,IF(M386='טבלת פרמטרים'!$J$3,1,0))+IF(N386='טבלת פרמטרים'!$K$6,3,IF(OR(N386='טבלת פרמטרים'!$K$4,N386='טבלת פרמטרים'!$K$5),2,IF(N386='טבלת פרמטרים'!$K$3,1,0))))</f>
        <v>5</v>
      </c>
      <c r="Q386" s="20" t="s">
        <v>123</v>
      </c>
      <c r="R386" s="19">
        <f t="shared" si="10"/>
        <v>5</v>
      </c>
      <c r="T386" s="19">
        <f>IF(EXACT(Q386,'טבלת פרמטרים'!$O$2),'טבלת פרמטרים'!$P$2,IF(EXACT(Q386,'טבלת פרמטרים'!$O$3),'טבלת פרמטרים'!$P$3,IF(EXACT(Q386,'טבלת פרמטרים'!$O$4),'טבלת פרמטרים'!$P$4,IF(EXACT(Q386,'טבלת פרמטרים'!$O$5),'טבלת פרמטרים'!$P$5,IF(EXACT(Q386,'טבלת פרמטרים'!$O$6),'טבלת פרמטרים'!$P$6,IF(EXACT(Q386,'טבלת פרמטרים'!$O$7),'טבלת פרמטרים'!$P$7,""))))))</f>
        <v>0</v>
      </c>
    </row>
    <row r="387" spans="1:20" x14ac:dyDescent="0.2">
      <c r="A387" s="18">
        <v>387</v>
      </c>
      <c r="B387" s="30">
        <v>44607</v>
      </c>
      <c r="C387" s="30">
        <v>44620</v>
      </c>
      <c r="D387" s="21" t="s">
        <v>11</v>
      </c>
      <c r="E387" s="21" t="s">
        <v>20</v>
      </c>
      <c r="F387" s="21" t="s">
        <v>23</v>
      </c>
      <c r="G387" s="21" t="s">
        <v>26</v>
      </c>
      <c r="H387" s="21" t="s">
        <v>30</v>
      </c>
      <c r="J387" s="21" t="s">
        <v>11</v>
      </c>
      <c r="L387" s="21" t="s">
        <v>51</v>
      </c>
      <c r="M387" s="21" t="s">
        <v>53</v>
      </c>
      <c r="N387" s="21" t="s">
        <v>58</v>
      </c>
      <c r="O387" s="19">
        <f>IF(ISBLANK(D387),"",IF(D387='טבלת פרמטרים'!$A$9,1,0)+IF(E387='טבלת פרמטרים'!$B$5,2,1)+IF(F387='טבלת פרמטרים'!$C$5,3,IF(F387='טבלת פרמטרים'!$C$4,1,0))+IF(G387='טבלת פרמטרים'!$D$3,2,0)+IF(M387='טבלת פרמטרים'!$J$4,2,IF(M387='טבלת פרמטרים'!$J$3,1,0))+IF(N387='טבלת פרמטרים'!$K$6,3,IF(OR(N387='טבלת פרמטרים'!$K$4,N387='טבלת פרמטרים'!$K$5),2,IF(N387='טבלת פרמטרים'!$K$3,1,0))))</f>
        <v>2</v>
      </c>
      <c r="Q387" s="20" t="s">
        <v>123</v>
      </c>
      <c r="R387" s="19">
        <f t="shared" si="10"/>
        <v>2</v>
      </c>
      <c r="T387" s="19">
        <f>IF(EXACT(Q387,'טבלת פרמטרים'!$O$2),'טבלת פרמטרים'!$P$2,IF(EXACT(Q387,'טבלת פרמטרים'!$O$3),'טבלת פרמטרים'!$P$3,IF(EXACT(Q387,'טבלת פרמטרים'!$O$4),'טבלת פרמטרים'!$P$4,IF(EXACT(Q387,'טבלת פרמטרים'!$O$5),'טבלת פרמטרים'!$P$5,IF(EXACT(Q387,'טבלת פרמטרים'!$O$6),'טבלת פרמטרים'!$P$6,IF(EXACT(Q387,'טבלת פרמטרים'!$O$7),'טבלת פרמטרים'!$P$7,""))))))</f>
        <v>0</v>
      </c>
    </row>
    <row r="388" spans="1:20" x14ac:dyDescent="0.2">
      <c r="A388" s="18">
        <v>388</v>
      </c>
      <c r="B388" s="30">
        <v>44615</v>
      </c>
      <c r="C388" s="30">
        <v>44615</v>
      </c>
      <c r="D388" s="21" t="s">
        <v>11</v>
      </c>
      <c r="E388" s="21" t="s">
        <v>20</v>
      </c>
      <c r="F388" s="21" t="s">
        <v>23</v>
      </c>
      <c r="G388" s="21" t="s">
        <v>26</v>
      </c>
      <c r="H388" s="21" t="s">
        <v>28</v>
      </c>
      <c r="J388" s="21" t="s">
        <v>11</v>
      </c>
      <c r="L388" s="21" t="s">
        <v>51</v>
      </c>
      <c r="M388" s="21" t="s">
        <v>54</v>
      </c>
      <c r="N388" s="21" t="s">
        <v>58</v>
      </c>
      <c r="O388" s="19">
        <f>IF(ISBLANK(D388),"",IF(D388='טבלת פרמטרים'!$A$9,1,0)+IF(E388='טבלת פרמטרים'!$B$5,2,1)+IF(F388='טבלת פרמטרים'!$C$5,3,IF(F388='טבלת פרמטרים'!$C$4,1,0))+IF(G388='טבלת פרמטרים'!$D$3,2,0)+IF(M388='טבלת פרמטרים'!$J$4,2,IF(M388='טבלת פרמטרים'!$J$3,1,0))+IF(N388='טבלת פרמטרים'!$K$6,3,IF(OR(N388='טבלת פרמטרים'!$K$4,N388='טבלת פרמטרים'!$K$5),2,IF(N388='טבלת פרמטרים'!$K$3,1,0))))</f>
        <v>3</v>
      </c>
      <c r="Q388" s="20" t="s">
        <v>123</v>
      </c>
      <c r="R388" s="19">
        <f t="shared" si="10"/>
        <v>3</v>
      </c>
      <c r="T388" s="19">
        <f>IF(EXACT(Q388,'טבלת פרמטרים'!$O$2),'טבלת פרמטרים'!$P$2,IF(EXACT(Q388,'טבלת פרמטרים'!$O$3),'טבלת פרמטרים'!$P$3,IF(EXACT(Q388,'טבלת פרמטרים'!$O$4),'טבלת פרמטרים'!$P$4,IF(EXACT(Q388,'טבלת פרמטרים'!$O$5),'טבלת פרמטרים'!$P$5,IF(EXACT(Q388,'טבלת פרמטרים'!$O$6),'טבלת פרמטרים'!$P$6,IF(EXACT(Q388,'טבלת פרמטרים'!$O$7),'טבלת פרמטרים'!$P$7,""))))))</f>
        <v>0</v>
      </c>
    </row>
    <row r="389" spans="1:20" x14ac:dyDescent="0.2">
      <c r="A389" s="18">
        <v>389</v>
      </c>
      <c r="B389" s="30">
        <v>44621</v>
      </c>
      <c r="C389" s="30">
        <v>44621</v>
      </c>
      <c r="D389" s="21" t="s">
        <v>13</v>
      </c>
      <c r="E389" s="21" t="s">
        <v>21</v>
      </c>
      <c r="F389" s="21" t="s">
        <v>23</v>
      </c>
      <c r="G389" s="21" t="s">
        <v>26</v>
      </c>
      <c r="H389" s="21" t="s">
        <v>31</v>
      </c>
      <c r="N389" s="21" t="s">
        <v>58</v>
      </c>
      <c r="O389" s="19">
        <f>IF(ISBLANK(D389),"",IF(D389='טבלת פרמטרים'!$A$9,1,0)+IF(E389='טבלת פרמטרים'!$B$5,2,1)+IF(F389='טבלת פרמטרים'!$C$5,3,IF(F389='טבלת פרמטרים'!$C$4,1,0))+IF(G389='טבלת פרמטרים'!$D$3,2,0)+IF(M389='טבלת פרמטרים'!$J$4,2,IF(M389='טבלת פרמטרים'!$J$3,1,0))+IF(N389='טבלת פרמטרים'!$K$6,3,IF(OR(N389='טבלת פרמטרים'!$K$4,N389='טבלת פרמטרים'!$K$5),2,IF(N389='טבלת פרמטרים'!$K$3,1,0))))</f>
        <v>2</v>
      </c>
      <c r="Q389" s="20" t="s">
        <v>123</v>
      </c>
      <c r="R389" s="19">
        <f t="shared" si="10"/>
        <v>2</v>
      </c>
      <c r="T389" s="19">
        <f>IF(EXACT(Q389,'טבלת פרמטרים'!$O$2),'טבלת פרמטרים'!$P$2,IF(EXACT(Q389,'טבלת פרמטרים'!$O$3),'טבלת פרמטרים'!$P$3,IF(EXACT(Q389,'טבלת פרמטרים'!$O$4),'טבלת פרמטרים'!$P$4,IF(EXACT(Q389,'טבלת פרמטרים'!$O$5),'טבלת פרמטרים'!$P$5,IF(EXACT(Q389,'טבלת פרמטרים'!$O$6),'טבלת פרמטרים'!$P$6,IF(EXACT(Q389,'טבלת פרמטרים'!$O$7),'טבלת פרמטרים'!$P$7,""))))))</f>
        <v>0</v>
      </c>
    </row>
    <row r="390" spans="1:20" x14ac:dyDescent="0.2">
      <c r="A390" s="18">
        <v>390</v>
      </c>
      <c r="B390" s="30">
        <v>44622</v>
      </c>
      <c r="C390" s="30">
        <v>44622</v>
      </c>
      <c r="D390" s="21" t="s">
        <v>12</v>
      </c>
      <c r="E390" s="21" t="s">
        <v>21</v>
      </c>
      <c r="F390" s="21" t="s">
        <v>23</v>
      </c>
      <c r="G390" s="21" t="s">
        <v>26</v>
      </c>
      <c r="H390" s="21" t="s">
        <v>30</v>
      </c>
      <c r="L390" s="21" t="s">
        <v>49</v>
      </c>
      <c r="M390" s="21" t="s">
        <v>54</v>
      </c>
      <c r="N390" s="21" t="s">
        <v>58</v>
      </c>
      <c r="O390" s="19">
        <f>IF(ISBLANK(D390),"",IF(D390='טבלת פרמטרים'!$A$9,1,0)+IF(E390='טבלת פרמטרים'!$B$5,2,1)+IF(F390='טבלת פרמטרים'!$C$5,3,IF(F390='טבלת פרמטרים'!$C$4,1,0))+IF(G390='טבלת פרמטרים'!$D$3,2,0)+IF(M390='טבלת פרמטרים'!$J$4,2,IF(M390='טבלת פרמטרים'!$J$3,1,0))+IF(N390='טבלת פרמטרים'!$K$6,3,IF(OR(N390='טבלת פרמטרים'!$K$4,N390='טבלת פרמטרים'!$K$5),2,IF(N390='טבלת פרמטרים'!$K$3,1,0))))</f>
        <v>3</v>
      </c>
      <c r="Q390" s="20" t="s">
        <v>123</v>
      </c>
      <c r="R390" s="19">
        <f t="shared" si="10"/>
        <v>3</v>
      </c>
      <c r="T390" s="19">
        <f>IF(EXACT(Q390,'טבלת פרמטרים'!$O$2),'טבלת פרמטרים'!$P$2,IF(EXACT(Q390,'טבלת פרמטרים'!$O$3),'טבלת פרמטרים'!$P$3,IF(EXACT(Q390,'טבלת פרמטרים'!$O$4),'טבלת פרמטרים'!$P$4,IF(EXACT(Q390,'טבלת פרמטרים'!$O$5),'טבלת פרמטרים'!$P$5,IF(EXACT(Q390,'טבלת פרמטרים'!$O$6),'טבלת פרמטרים'!$P$6,IF(EXACT(Q390,'טבלת פרמטרים'!$O$7),'טבלת פרמטרים'!$P$7,""))))))</f>
        <v>0</v>
      </c>
    </row>
    <row r="391" spans="1:20" x14ac:dyDescent="0.2">
      <c r="A391" s="18">
        <v>391</v>
      </c>
      <c r="B391" s="30">
        <v>44621</v>
      </c>
      <c r="C391" s="30">
        <v>44621</v>
      </c>
      <c r="D391" s="21" t="s">
        <v>10</v>
      </c>
      <c r="E391" s="21" t="s">
        <v>111</v>
      </c>
      <c r="F391" s="21" t="s">
        <v>23</v>
      </c>
      <c r="G391" s="21" t="s">
        <v>26</v>
      </c>
      <c r="H391" s="21" t="s">
        <v>31</v>
      </c>
      <c r="J391" s="21" t="s">
        <v>11</v>
      </c>
      <c r="L391" s="21" t="s">
        <v>49</v>
      </c>
      <c r="M391" s="21" t="s">
        <v>55</v>
      </c>
      <c r="N391" s="21" t="s">
        <v>58</v>
      </c>
      <c r="O391" s="19">
        <f>IF(ISBLANK(D391),"",IF(D391='טבלת פרמטרים'!$A$9,1,0)+IF(E391='טבלת פרמטרים'!$B$5,2,1)+IF(F391='טבלת פרמטרים'!$C$5,3,IF(F391='טבלת פרמטרים'!$C$4,1,0))+IF(G391='טבלת פרמטרים'!$D$3,2,0)+IF(M391='טבלת פרמטרים'!$J$4,2,IF(M391='טבלת פרמטרים'!$J$3,1,0))+IF(N391='טבלת פרמטרים'!$K$6,3,IF(OR(N391='טבלת פרמטרים'!$K$4,N391='טבלת פרמטרים'!$K$5),2,IF(N391='טבלת פרמטרים'!$K$3,1,0))))</f>
        <v>4</v>
      </c>
      <c r="Q391" s="20" t="s">
        <v>123</v>
      </c>
      <c r="R391" s="19">
        <f t="shared" si="10"/>
        <v>4</v>
      </c>
      <c r="T391" s="19">
        <f>IF(EXACT(Q391,'טבלת פרמטרים'!$O$2),'טבלת פרמטרים'!$P$2,IF(EXACT(Q391,'טבלת פרמטרים'!$O$3),'טבלת פרמטרים'!$P$3,IF(EXACT(Q391,'טבלת פרמטרים'!$O$4),'טבלת פרמטרים'!$P$4,IF(EXACT(Q391,'טבלת פרמטרים'!$O$5),'טבלת פרמטרים'!$P$5,IF(EXACT(Q391,'טבלת פרמטרים'!$O$6),'טבלת פרמטרים'!$P$6,IF(EXACT(Q391,'טבלת פרמטרים'!$O$7),'טבלת פרמטרים'!$P$7,""))))))</f>
        <v>0</v>
      </c>
    </row>
    <row r="392" spans="1:20" x14ac:dyDescent="0.2">
      <c r="A392" s="18">
        <v>392</v>
      </c>
      <c r="B392" s="30">
        <v>44607</v>
      </c>
      <c r="C392" s="30">
        <v>44623</v>
      </c>
      <c r="D392" s="21" t="s">
        <v>13</v>
      </c>
      <c r="E392" s="21" t="s">
        <v>111</v>
      </c>
      <c r="F392" s="21" t="s">
        <v>23</v>
      </c>
      <c r="G392" s="21" t="s">
        <v>26</v>
      </c>
      <c r="H392" s="21" t="s">
        <v>29</v>
      </c>
      <c r="L392" s="21" t="s">
        <v>51</v>
      </c>
      <c r="M392" s="21" t="s">
        <v>53</v>
      </c>
      <c r="N392" s="21" t="s">
        <v>59</v>
      </c>
      <c r="O392" s="19">
        <f>IF(ISBLANK(D392),"",IF(D392='טבלת פרמטרים'!$A$9,1,0)+IF(E392='טבלת פרמטרים'!$B$5,2,1)+IF(F392='טבלת פרמטרים'!$C$5,3,IF(F392='טבלת פרמטרים'!$C$4,1,0))+IF(G392='טבלת פרמטרים'!$D$3,2,0)+IF(M392='טבלת פרמטרים'!$J$4,2,IF(M392='טבלת פרמטרים'!$J$3,1,0))+IF(N392='טבלת פרמטרים'!$K$6,3,IF(OR(N392='טבלת פרמטרים'!$K$4,N392='טבלת פרמטרים'!$K$5),2,IF(N392='טבלת פרמטרים'!$K$3,1,0))))</f>
        <v>3</v>
      </c>
      <c r="Q392" s="20" t="s">
        <v>123</v>
      </c>
      <c r="R392" s="19">
        <f t="shared" si="10"/>
        <v>3</v>
      </c>
      <c r="T392" s="19">
        <f>IF(EXACT(Q392,'טבלת פרמטרים'!$O$2),'טבלת פרמטרים'!$P$2,IF(EXACT(Q392,'טבלת פרמטרים'!$O$3),'טבלת פרמטרים'!$P$3,IF(EXACT(Q392,'טבלת פרמטרים'!$O$4),'טבלת פרמטרים'!$P$4,IF(EXACT(Q392,'טבלת פרמטרים'!$O$5),'טבלת פרמטרים'!$P$5,IF(EXACT(Q392,'טבלת פרמטרים'!$O$6),'טבלת פרמטרים'!$P$6,IF(EXACT(Q392,'טבלת פרמטרים'!$O$7),'טבלת פרמטרים'!$P$7,""))))))</f>
        <v>0</v>
      </c>
    </row>
    <row r="393" spans="1:20" x14ac:dyDescent="0.2">
      <c r="A393" s="18">
        <v>393</v>
      </c>
      <c r="B393" s="30">
        <v>44628</v>
      </c>
      <c r="C393" s="30">
        <v>44628</v>
      </c>
      <c r="D393" s="21" t="s">
        <v>10</v>
      </c>
      <c r="E393" s="21" t="s">
        <v>111</v>
      </c>
      <c r="F393" s="21" t="s">
        <v>23</v>
      </c>
      <c r="G393" s="21" t="s">
        <v>26</v>
      </c>
      <c r="H393" s="21" t="s">
        <v>32</v>
      </c>
      <c r="J393" s="21" t="s">
        <v>39</v>
      </c>
      <c r="K393" s="21" t="s">
        <v>39</v>
      </c>
      <c r="L393" s="21" t="s">
        <v>49</v>
      </c>
      <c r="M393" s="21" t="s">
        <v>55</v>
      </c>
      <c r="N393" s="21" t="s">
        <v>112</v>
      </c>
      <c r="O393" s="19">
        <f>IF(ISBLANK(D393),"",IF(D393='טבלת פרמטרים'!$A$9,1,0)+IF(E393='טבלת פרמטרים'!$B$5,2,1)+IF(F393='טבלת פרמטרים'!$C$5,3,IF(F393='טבלת פרמטרים'!$C$4,1,0))+IF(G393='טבלת פרמטרים'!$D$3,2,0)+IF(M393='טבלת פרמטרים'!$J$4,2,IF(M393='טבלת פרמטרים'!$J$3,1,0))+IF(N393='טבלת פרמטרים'!$K$6,3,IF(OR(N393='טבלת פרמטרים'!$K$4,N393='טבלת פרמטרים'!$K$5),2,IF(N393='טבלת פרמטרים'!$K$3,1,0))))</f>
        <v>5</v>
      </c>
      <c r="Q393" s="20" t="s">
        <v>123</v>
      </c>
      <c r="R393" s="19">
        <f t="shared" si="10"/>
        <v>5</v>
      </c>
      <c r="T393" s="19">
        <f>IF(EXACT(Q393,'טבלת פרמטרים'!$O$2),'טבלת פרמטרים'!$P$2,IF(EXACT(Q393,'טבלת פרמטרים'!$O$3),'טבלת פרמטרים'!$P$3,IF(EXACT(Q393,'טבלת פרמטרים'!$O$4),'טבלת פרמטרים'!$P$4,IF(EXACT(Q393,'טבלת פרמטרים'!$O$5),'טבלת פרמטרים'!$P$5,IF(EXACT(Q393,'טבלת פרמטרים'!$O$6),'טבלת פרמטרים'!$P$6,IF(EXACT(Q393,'טבלת פרמטרים'!$O$7),'טבלת פרמטרים'!$P$7,""))))))</f>
        <v>0</v>
      </c>
    </row>
    <row r="394" spans="1:20" x14ac:dyDescent="0.2">
      <c r="A394" s="18">
        <v>394</v>
      </c>
      <c r="B394" s="30">
        <v>44628</v>
      </c>
      <c r="C394" s="30">
        <v>44628</v>
      </c>
      <c r="D394" s="21" t="s">
        <v>15</v>
      </c>
      <c r="E394" s="21" t="s">
        <v>20</v>
      </c>
      <c r="F394" s="21" t="s">
        <v>23</v>
      </c>
      <c r="G394" s="21" t="s">
        <v>26</v>
      </c>
      <c r="H394" s="21" t="s">
        <v>30</v>
      </c>
      <c r="J394" s="21" t="s">
        <v>39</v>
      </c>
      <c r="K394" s="21" t="s">
        <v>39</v>
      </c>
      <c r="L394" s="21" t="s">
        <v>49</v>
      </c>
      <c r="M394" s="21" t="s">
        <v>53</v>
      </c>
      <c r="N394" s="21" t="s">
        <v>112</v>
      </c>
      <c r="O394" s="19">
        <f>IF(ISBLANK(D394),"",IF(D394='טבלת פרמטרים'!$A$9,1,0)+IF(E394='טבלת פרמטרים'!$B$5,2,1)+IF(F394='טבלת פרמטרים'!$C$5,3,IF(F394='טבלת פרמטרים'!$C$4,1,0))+IF(G394='טבלת פרמטרים'!$D$3,2,0)+IF(M394='טבלת פרמטרים'!$J$4,2,IF(M394='טבלת פרמטרים'!$J$3,1,0))+IF(N394='טבלת פרמטרים'!$K$6,3,IF(OR(N394='טבלת פרמטרים'!$K$4,N394='טבלת פרמטרים'!$K$5),2,IF(N394='טבלת פרמטרים'!$K$3,1,0))))</f>
        <v>3</v>
      </c>
      <c r="Q394" s="20" t="s">
        <v>123</v>
      </c>
      <c r="R394" s="19">
        <f t="shared" si="10"/>
        <v>3</v>
      </c>
      <c r="T394" s="19">
        <f>IF(EXACT(Q394,'טבלת פרמטרים'!$O$2),'טבלת פרמטרים'!$P$2,IF(EXACT(Q394,'טבלת פרמטרים'!$O$3),'טבלת פרמטרים'!$P$3,IF(EXACT(Q394,'טבלת פרמטרים'!$O$4),'טבלת פרמטרים'!$P$4,IF(EXACT(Q394,'טבלת פרמטרים'!$O$5),'טבלת פרמטרים'!$P$5,IF(EXACT(Q394,'טבלת פרמטרים'!$O$6),'טבלת פרמטרים'!$P$6,IF(EXACT(Q394,'טבלת פרמטרים'!$O$7),'טבלת פרמטרים'!$P$7,""))))))</f>
        <v>0</v>
      </c>
    </row>
    <row r="395" spans="1:20" x14ac:dyDescent="0.2">
      <c r="A395" s="18">
        <v>395</v>
      </c>
      <c r="B395" s="30">
        <v>44628</v>
      </c>
      <c r="C395" s="30">
        <v>44629</v>
      </c>
      <c r="D395" s="21" t="s">
        <v>17</v>
      </c>
      <c r="E395" s="21" t="s">
        <v>22</v>
      </c>
      <c r="F395" s="21" t="s">
        <v>24</v>
      </c>
      <c r="G395" s="21" t="s">
        <v>26</v>
      </c>
      <c r="H395" s="21" t="s">
        <v>30</v>
      </c>
      <c r="K395" s="21" t="s">
        <v>44</v>
      </c>
      <c r="L395" s="21" t="s">
        <v>51</v>
      </c>
      <c r="M395" s="21" t="s">
        <v>54</v>
      </c>
      <c r="N395" s="21" t="s">
        <v>59</v>
      </c>
      <c r="O395" s="19">
        <f>IF(ISBLANK(D395),"",IF(D395='טבלת פרמטרים'!$A$9,1,0)+IF(E395='טבלת פרמטרים'!$B$5,2,1)+IF(F395='טבלת פרמטרים'!$C$5,3,IF(F395='טבלת פרמטרים'!$C$4,1,0))+IF(G395='טבלת פרמטרים'!$D$3,2,0)+IF(M395='טבלת פרמטרים'!$J$4,2,IF(M395='טבלת פרמטרים'!$J$3,1,0))+IF(N395='טבלת פרמטרים'!$K$6,3,IF(OR(N395='טבלת פרמטרים'!$K$4,N395='טבלת פרמטרים'!$K$5),2,IF(N395='טבלת פרמטרים'!$K$3,1,0))))</f>
        <v>7</v>
      </c>
      <c r="Q395" s="20" t="s">
        <v>123</v>
      </c>
      <c r="R395" s="19">
        <f t="shared" si="10"/>
        <v>7</v>
      </c>
      <c r="T395" s="19">
        <f>IF(EXACT(Q395,'טבלת פרמטרים'!$O$2),'טבלת פרמטרים'!$P$2,IF(EXACT(Q395,'טבלת פרמטרים'!$O$3),'טבלת פרמטרים'!$P$3,IF(EXACT(Q395,'טבלת פרמטרים'!$O$4),'טבלת פרמטרים'!$P$4,IF(EXACT(Q395,'טבלת פרמטרים'!$O$5),'טבלת פרמטרים'!$P$5,IF(EXACT(Q395,'טבלת פרמטרים'!$O$6),'טבלת פרמטרים'!$P$6,IF(EXACT(Q395,'טבלת פרמטרים'!$O$7),'טבלת פרמטרים'!$P$7,""))))))</f>
        <v>0</v>
      </c>
    </row>
    <row r="396" spans="1:20" x14ac:dyDescent="0.2">
      <c r="A396" s="18">
        <v>396</v>
      </c>
      <c r="B396" s="30">
        <v>44616</v>
      </c>
      <c r="C396" s="30">
        <v>44627</v>
      </c>
      <c r="D396" s="21" t="s">
        <v>11</v>
      </c>
      <c r="E396" s="21" t="s">
        <v>20</v>
      </c>
      <c r="F396" s="21" t="s">
        <v>23</v>
      </c>
      <c r="G396" s="21" t="s">
        <v>26</v>
      </c>
      <c r="H396" s="21" t="s">
        <v>30</v>
      </c>
      <c r="J396" s="21" t="s">
        <v>11</v>
      </c>
      <c r="K396" s="21" t="s">
        <v>44</v>
      </c>
      <c r="L396" s="21" t="s">
        <v>51</v>
      </c>
      <c r="M396" s="21" t="s">
        <v>54</v>
      </c>
      <c r="N396" s="21" t="s">
        <v>59</v>
      </c>
      <c r="O396" s="19">
        <f>IF(ISBLANK(D396),"",IF(D396='טבלת פרמטרים'!$A$9,1,0)+IF(E396='טבלת פרמטרים'!$B$5,2,1)+IF(F396='טבלת פרמטרים'!$C$5,3,IF(F396='טבלת פרמטרים'!$C$4,1,0))+IF(G396='טבלת פרמטרים'!$D$3,2,0)+IF(M396='טבלת פרמטרים'!$J$4,2,IF(M396='טבלת פרמטרים'!$J$3,1,0))+IF(N396='טבלת פרמטרים'!$K$6,3,IF(OR(N396='טבלת פרמטרים'!$K$4,N396='טבלת פרמטרים'!$K$5),2,IF(N396='טבלת פרמטרים'!$K$3,1,0))))</f>
        <v>4</v>
      </c>
      <c r="Q396" s="20" t="s">
        <v>123</v>
      </c>
      <c r="R396" s="19">
        <f t="shared" si="10"/>
        <v>4</v>
      </c>
      <c r="T396" s="19">
        <f>IF(EXACT(Q396,'טבלת פרמטרים'!$O$2),'טבלת פרמטרים'!$P$2,IF(EXACT(Q396,'טבלת פרמטרים'!$O$3),'טבלת פרמטרים'!$P$3,IF(EXACT(Q396,'טבלת פרמטרים'!$O$4),'טבלת פרמטרים'!$P$4,IF(EXACT(Q396,'טבלת פרמטרים'!$O$5),'טבלת פרמטרים'!$P$5,IF(EXACT(Q396,'טבלת פרמטרים'!$O$6),'טבלת פרמטרים'!$P$6,IF(EXACT(Q396,'טבלת פרמטרים'!$O$7),'טבלת פרמטרים'!$P$7,""))))))</f>
        <v>0</v>
      </c>
    </row>
    <row r="397" spans="1:20" x14ac:dyDescent="0.2">
      <c r="A397" s="18">
        <v>397</v>
      </c>
      <c r="B397" s="30">
        <v>44609</v>
      </c>
      <c r="C397" s="30">
        <v>44630</v>
      </c>
      <c r="D397" s="21" t="s">
        <v>11</v>
      </c>
      <c r="E397" s="21" t="s">
        <v>20</v>
      </c>
      <c r="F397" s="21" t="s">
        <v>23</v>
      </c>
      <c r="G397" s="21" t="s">
        <v>26</v>
      </c>
      <c r="H397" s="21" t="s">
        <v>30</v>
      </c>
      <c r="J397" s="21" t="s">
        <v>11</v>
      </c>
      <c r="K397" s="21" t="s">
        <v>45</v>
      </c>
      <c r="L397" s="21" t="s">
        <v>51</v>
      </c>
      <c r="M397" s="21" t="s">
        <v>53</v>
      </c>
      <c r="N397" s="21" t="s">
        <v>59</v>
      </c>
      <c r="O397" s="19">
        <f>IF(ISBLANK(D397),"",IF(D397='טבלת פרמטרים'!$A$9,1,0)+IF(E397='טבלת פרמטרים'!$B$5,2,1)+IF(F397='טבלת פרמטרים'!$C$5,3,IF(F397='טבלת פרמטרים'!$C$4,1,0))+IF(G397='טבלת פרמטרים'!$D$3,2,0)+IF(M397='טבלת פרמטרים'!$J$4,2,IF(M397='טבלת פרמטרים'!$J$3,1,0))+IF(N397='טבלת פרמטרים'!$K$6,3,IF(OR(N397='טבלת פרמטרים'!$K$4,N397='טבלת פרמטרים'!$K$5),2,IF(N397='טבלת פרמטרים'!$K$3,1,0))))</f>
        <v>3</v>
      </c>
      <c r="Q397" s="20" t="s">
        <v>123</v>
      </c>
      <c r="R397" s="19">
        <f t="shared" si="10"/>
        <v>3</v>
      </c>
      <c r="T397" s="19">
        <f>IF(EXACT(Q397,'טבלת פרמטרים'!$O$2),'טבלת פרמטרים'!$P$2,IF(EXACT(Q397,'טבלת פרמטרים'!$O$3),'טבלת פרמטרים'!$P$3,IF(EXACT(Q397,'טבלת פרמטרים'!$O$4),'טבלת פרמטרים'!$P$4,IF(EXACT(Q397,'טבלת פרמטרים'!$O$5),'טבלת פרמטרים'!$P$5,IF(EXACT(Q397,'טבלת פרמטרים'!$O$6),'טבלת פרמטרים'!$P$6,IF(EXACT(Q397,'טבלת פרמטרים'!$O$7),'טבלת פרמטרים'!$P$7,""))))))</f>
        <v>0</v>
      </c>
    </row>
    <row r="398" spans="1:20" x14ac:dyDescent="0.2">
      <c r="A398" s="18">
        <v>398</v>
      </c>
      <c r="B398" s="30">
        <v>44622</v>
      </c>
      <c r="C398" s="30">
        <v>44630</v>
      </c>
      <c r="D398" s="21" t="s">
        <v>11</v>
      </c>
      <c r="E398" s="21" t="s">
        <v>20</v>
      </c>
      <c r="F398" s="21" t="s">
        <v>23</v>
      </c>
      <c r="G398" s="21" t="s">
        <v>26</v>
      </c>
      <c r="H398" s="21" t="s">
        <v>28</v>
      </c>
      <c r="J398" s="21" t="s">
        <v>11</v>
      </c>
      <c r="K398" s="21" t="s">
        <v>43</v>
      </c>
      <c r="L398" s="21" t="s">
        <v>51</v>
      </c>
      <c r="M398" s="21" t="s">
        <v>53</v>
      </c>
      <c r="N398" s="21" t="s">
        <v>59</v>
      </c>
      <c r="O398" s="19">
        <f>IF(ISBLANK(D398),"",IF(D398='טבלת פרמטרים'!$A$9,1,0)+IF(E398='טבלת פרמטרים'!$B$5,2,1)+IF(F398='טבלת פרמטרים'!$C$5,3,IF(F398='טבלת פרמטרים'!$C$4,1,0))+IF(G398='טבלת פרמטרים'!$D$3,2,0)+IF(M398='טבלת פרמטרים'!$J$4,2,IF(M398='טבלת פרמטרים'!$J$3,1,0))+IF(N398='טבלת פרמטרים'!$K$6,3,IF(OR(N398='טבלת פרמטרים'!$K$4,N398='טבלת פרמטרים'!$K$5),2,IF(N398='טבלת פרמטרים'!$K$3,1,0))))</f>
        <v>3</v>
      </c>
      <c r="Q398" s="20" t="s">
        <v>123</v>
      </c>
      <c r="R398" s="19">
        <f t="shared" si="10"/>
        <v>3</v>
      </c>
      <c r="T398" s="19">
        <f>IF(EXACT(Q398,'טבלת פרמטרים'!$O$2),'טבלת פרמטרים'!$P$2,IF(EXACT(Q398,'טבלת פרמטרים'!$O$3),'טבלת פרמטרים'!$P$3,IF(EXACT(Q398,'טבלת פרמטרים'!$O$4),'טבלת פרמטרים'!$P$4,IF(EXACT(Q398,'טבלת פרמטרים'!$O$5),'טבלת פרמטרים'!$P$5,IF(EXACT(Q398,'טבלת פרמטרים'!$O$6),'טבלת פרמטרים'!$P$6,IF(EXACT(Q398,'טבלת פרמטרים'!$O$7),'טבלת פרמטרים'!$P$7,""))))))</f>
        <v>0</v>
      </c>
    </row>
    <row r="399" spans="1:20" x14ac:dyDescent="0.2">
      <c r="A399" s="18">
        <v>399</v>
      </c>
      <c r="B399" s="30">
        <v>44634</v>
      </c>
      <c r="C399" s="30">
        <v>44634</v>
      </c>
      <c r="D399" s="21" t="s">
        <v>16</v>
      </c>
      <c r="E399" s="21" t="s">
        <v>111</v>
      </c>
      <c r="F399" s="21" t="s">
        <v>23</v>
      </c>
      <c r="G399" s="21" t="s">
        <v>26</v>
      </c>
      <c r="H399" s="21" t="s">
        <v>32</v>
      </c>
      <c r="K399" s="21" t="s">
        <v>43</v>
      </c>
      <c r="L399" s="21" t="s">
        <v>49</v>
      </c>
      <c r="M399" s="21" t="s">
        <v>53</v>
      </c>
      <c r="N399" s="21" t="s">
        <v>61</v>
      </c>
      <c r="O399" s="19">
        <f>IF(ISBLANK(D399),"",IF(D399='טבלת פרמטרים'!$A$9,1,0)+IF(E399='טבלת פרמטרים'!$B$5,2,1)+IF(F399='טבלת פרמטרים'!$C$5,3,IF(F399='טבלת פרמטרים'!$C$4,1,0))+IF(G399='טבלת פרמטרים'!$D$3,2,0)+IF(M399='טבלת פרמטרים'!$J$4,2,IF(M399='טבלת פרמטרים'!$J$3,1,0))+IF(N399='טבלת פרמטרים'!$K$6,3,IF(OR(N399='טבלת פרמטרים'!$K$4,N399='טבלת פרמטרים'!$K$5),2,IF(N399='טבלת פרמטרים'!$K$3,1,0))))</f>
        <v>4</v>
      </c>
      <c r="Q399" s="20" t="s">
        <v>123</v>
      </c>
      <c r="R399" s="19">
        <f t="shared" si="10"/>
        <v>4</v>
      </c>
      <c r="T399" s="19">
        <f>IF(EXACT(Q399,'טבלת פרמטרים'!$O$2),'טבלת פרמטרים'!$P$2,IF(EXACT(Q399,'טבלת פרמטרים'!$O$3),'טבלת פרמטרים'!$P$3,IF(EXACT(Q399,'טבלת פרמטרים'!$O$4),'טבלת פרמטרים'!$P$4,IF(EXACT(Q399,'טבלת פרמטרים'!$O$5),'טבלת פרמטרים'!$P$5,IF(EXACT(Q399,'טבלת פרמטרים'!$O$6),'טבלת פרמטרים'!$P$6,IF(EXACT(Q399,'טבלת פרמטרים'!$O$7),'טבלת פרמטרים'!$P$7,""))))))</f>
        <v>0</v>
      </c>
    </row>
    <row r="400" spans="1:20" x14ac:dyDescent="0.2">
      <c r="A400" s="18">
        <v>400</v>
      </c>
      <c r="B400" s="30">
        <v>44626</v>
      </c>
      <c r="C400" s="30">
        <v>44626</v>
      </c>
      <c r="D400" s="21" t="s">
        <v>17</v>
      </c>
      <c r="E400" s="21" t="s">
        <v>22</v>
      </c>
      <c r="F400" s="21" t="s">
        <v>24</v>
      </c>
      <c r="G400" s="21" t="s">
        <v>26</v>
      </c>
      <c r="H400" s="21" t="s">
        <v>29</v>
      </c>
      <c r="I400" s="21" t="s">
        <v>126</v>
      </c>
      <c r="J400" s="21" t="s">
        <v>35</v>
      </c>
      <c r="K400" s="21" t="s">
        <v>43</v>
      </c>
      <c r="L400" s="21" t="s">
        <v>51</v>
      </c>
      <c r="M400" s="21" t="s">
        <v>53</v>
      </c>
      <c r="O400" s="19">
        <f>IF(ISBLANK(D400),"",IF(D400='טבלת פרמטרים'!$A$9,1,0)+IF(E400='טבלת פרמטרים'!$B$5,2,1)+IF(F400='טבלת פרמטרים'!$C$5,3,IF(F400='טבלת פרמטרים'!$C$4,1,0))+IF(G400='טבלת פרמטרים'!$D$3,2,0)+IF(M400='טבלת פרמטרים'!$J$4,2,IF(M400='טבלת פרמטרים'!$J$3,1,0))+IF(N400='טבלת פרמטרים'!$K$6,3,IF(OR(N400='טבלת פרמטרים'!$K$4,N400='טבלת פרמטרים'!$K$5),2,IF(N400='טבלת פרמטרים'!$K$3,1,0))))</f>
        <v>4</v>
      </c>
      <c r="R400" s="19">
        <f t="shared" si="10"/>
        <v>4</v>
      </c>
      <c r="T400" s="19" t="str">
        <f>IF(EXACT(Q400,'טבלת פרמטרים'!$O$2),'טבלת פרמטרים'!$P$2,IF(EXACT(Q400,'טבלת פרמטרים'!$O$3),'טבלת פרמטרים'!$P$3,IF(EXACT(Q400,'טבלת פרמטרים'!$O$4),'טבלת פרמטרים'!$P$4,IF(EXACT(Q400,'טבלת פרמטרים'!$O$5),'טבלת פרמטרים'!$P$5,IF(EXACT(Q400,'טבלת פרמטרים'!$O$6),'טבלת פרמטרים'!$P$6,IF(EXACT(Q400,'טבלת פרמטרים'!$O$7),'טבלת פרמטרים'!$P$7,""))))))</f>
        <v/>
      </c>
    </row>
    <row r="401" spans="1:20" x14ac:dyDescent="0.2">
      <c r="A401" s="18">
        <v>401</v>
      </c>
      <c r="B401" s="30">
        <v>44644</v>
      </c>
      <c r="C401" s="30">
        <v>44647</v>
      </c>
      <c r="D401" s="21" t="s">
        <v>16</v>
      </c>
      <c r="E401" s="21" t="s">
        <v>111</v>
      </c>
      <c r="F401" s="21" t="s">
        <v>23</v>
      </c>
      <c r="G401" s="21" t="s">
        <v>26</v>
      </c>
      <c r="H401" s="21" t="s">
        <v>30</v>
      </c>
      <c r="I401" s="21" t="s">
        <v>127</v>
      </c>
      <c r="J401" s="21" t="s">
        <v>41</v>
      </c>
      <c r="K401" s="21" t="s">
        <v>43</v>
      </c>
      <c r="L401" s="21" t="s">
        <v>49</v>
      </c>
      <c r="M401" s="21" t="s">
        <v>55</v>
      </c>
      <c r="O401" s="19">
        <f>IF(ISBLANK(D401),"",IF(D401='טבלת פרמטרים'!$A$9,1,0)+IF(E401='טבלת פרמטרים'!$B$5,2,1)+IF(F401='טבלת פרמטרים'!$C$5,3,IF(F401='טבלת פרמטרים'!$C$4,1,0))+IF(G401='טבלת פרמטרים'!$D$3,2,0)+IF(M401='טבלת פרמטרים'!$J$4,2,IF(M401='טבלת פרמטרים'!$J$3,1,0))+IF(N401='טבלת פרמטרים'!$K$6,3,IF(OR(N401='טבלת פרמטרים'!$K$4,N401='טבלת פרמטרים'!$K$5),2,IF(N401='טבלת פרמטרים'!$K$3,1,0))))</f>
        <v>3</v>
      </c>
      <c r="R401" s="19">
        <f t="shared" si="10"/>
        <v>3</v>
      </c>
      <c r="T401" s="19" t="str">
        <f>IF(EXACT(Q401,'טבלת פרמטרים'!$O$2),'טבלת פרמטרים'!$P$2,IF(EXACT(Q401,'טבלת פרמטרים'!$O$3),'טבלת פרמטרים'!$P$3,IF(EXACT(Q401,'טבלת פרמטרים'!$O$4),'טבלת פרמטרים'!$P$4,IF(EXACT(Q401,'טבלת פרמטרים'!$O$5),'טבלת פרמטרים'!$P$5,IF(EXACT(Q401,'טבלת פרמטרים'!$O$6),'טבלת פרמטרים'!$P$6,IF(EXACT(Q401,'טבלת פרמטרים'!$O$7),'טבלת פרמטרים'!$P$7,""))))))</f>
        <v/>
      </c>
    </row>
    <row r="402" spans="1:20" x14ac:dyDescent="0.2">
      <c r="A402" s="18">
        <v>402</v>
      </c>
      <c r="B402" s="30">
        <v>44629</v>
      </c>
      <c r="C402" s="30">
        <v>44647</v>
      </c>
      <c r="D402" s="21" t="s">
        <v>11</v>
      </c>
      <c r="E402" s="21" t="s">
        <v>111</v>
      </c>
      <c r="F402" s="21" t="s">
        <v>23</v>
      </c>
      <c r="G402" s="21" t="s">
        <v>26</v>
      </c>
      <c r="H402" s="21" t="s">
        <v>29</v>
      </c>
      <c r="J402" s="21" t="s">
        <v>11</v>
      </c>
      <c r="K402" s="21" t="s">
        <v>45</v>
      </c>
      <c r="L402" s="21" t="s">
        <v>51</v>
      </c>
      <c r="M402" s="21" t="s">
        <v>53</v>
      </c>
      <c r="O402" s="19">
        <f>IF(ISBLANK(D402),"",IF(D402='טבלת פרמטרים'!$A$9,1,0)+IF(E402='טבלת פרמטרים'!$B$5,2,1)+IF(F402='טבלת פרמטרים'!$C$5,3,IF(F402='טבלת פרמטרים'!$C$4,1,0))+IF(G402='טבלת פרמטרים'!$D$3,2,0)+IF(M402='טבלת פרמטרים'!$J$4,2,IF(M402='טבלת פרמטרים'!$J$3,1,0))+IF(N402='טבלת פרמטרים'!$K$6,3,IF(OR(N402='טבלת פרמטרים'!$K$4,N402='טבלת פרמטרים'!$K$5),2,IF(N402='טבלת פרמטרים'!$K$3,1,0))))</f>
        <v>1</v>
      </c>
      <c r="R402" s="19">
        <f t="shared" si="10"/>
        <v>1</v>
      </c>
      <c r="T402" s="19" t="str">
        <f>IF(EXACT(Q402,'טבלת פרמטרים'!$O$2),'טבלת פרמטרים'!$P$2,IF(EXACT(Q402,'טבלת פרמטרים'!$O$3),'טבלת פרמטרים'!$P$3,IF(EXACT(Q402,'טבלת פרמטרים'!$O$4),'טבלת פרמטרים'!$P$4,IF(EXACT(Q402,'טבלת פרמטרים'!$O$5),'טבלת פרמטרים'!$P$5,IF(EXACT(Q402,'טבלת פרמטרים'!$O$6),'טבלת פרמטרים'!$P$6,IF(EXACT(Q402,'טבלת פרמטרים'!$O$7),'טבלת פרמטרים'!$P$7,""))))))</f>
        <v/>
      </c>
    </row>
    <row r="403" spans="1:20" x14ac:dyDescent="0.2">
      <c r="A403" s="18">
        <v>403</v>
      </c>
      <c r="B403" s="30">
        <v>44648</v>
      </c>
      <c r="C403" s="30">
        <v>44648</v>
      </c>
      <c r="D403" s="21" t="s">
        <v>10</v>
      </c>
      <c r="E403" s="21" t="s">
        <v>111</v>
      </c>
      <c r="F403" s="21" t="s">
        <v>23</v>
      </c>
      <c r="G403" s="21" t="s">
        <v>26</v>
      </c>
      <c r="H403" s="21" t="s">
        <v>31</v>
      </c>
      <c r="J403" s="21" t="s">
        <v>41</v>
      </c>
      <c r="K403" s="21" t="s">
        <v>45</v>
      </c>
      <c r="L403" s="21" t="s">
        <v>51</v>
      </c>
      <c r="M403" s="21" t="s">
        <v>54</v>
      </c>
      <c r="O403" s="19">
        <f>IF(ISBLANK(D403),"",IF(D403='טבלת פרמטרים'!$A$9,1,0)+IF(E403='טבלת פרמטרים'!$B$5,2,1)+IF(F403='טבלת פרמטרים'!$C$5,3,IF(F403='טבלת פרמטרים'!$C$4,1,0))+IF(G403='טבלת פרמטרים'!$D$3,2,0)+IF(M403='טבלת פרמטרים'!$J$4,2,IF(M403='טבלת פרמטרים'!$J$3,1,0))+IF(N403='טבלת פרמטרים'!$K$6,3,IF(OR(N403='טבלת פרמטרים'!$K$4,N403='טבלת פרמטרים'!$K$5),2,IF(N403='טבלת פרמטרים'!$K$3,1,0))))</f>
        <v>2</v>
      </c>
      <c r="R403" s="19">
        <f t="shared" si="10"/>
        <v>2</v>
      </c>
      <c r="T403" s="19" t="str">
        <f>IF(EXACT(Q403,'טבלת פרמטרים'!$O$2),'טבלת פרמטרים'!$P$2,IF(EXACT(Q403,'טבלת פרמטרים'!$O$3),'טבלת פרמטרים'!$P$3,IF(EXACT(Q403,'טבלת פרמטרים'!$O$4),'טבלת פרמטרים'!$P$4,IF(EXACT(Q403,'טבלת פרמטרים'!$O$5),'טבלת פרמטרים'!$P$5,IF(EXACT(Q403,'טבלת פרמטרים'!$O$6),'טבלת פרמטרים'!$P$6,IF(EXACT(Q403,'טבלת פרמטרים'!$O$7),'טבלת פרמטרים'!$P$7,""))))))</f>
        <v/>
      </c>
    </row>
    <row r="404" spans="1:20" x14ac:dyDescent="0.2">
      <c r="A404" s="18">
        <v>404</v>
      </c>
      <c r="B404" s="30">
        <v>44635</v>
      </c>
      <c r="C404" s="30">
        <v>44648</v>
      </c>
      <c r="D404" s="21" t="s">
        <v>16</v>
      </c>
      <c r="E404" s="21" t="s">
        <v>111</v>
      </c>
      <c r="F404" s="21" t="s">
        <v>23</v>
      </c>
      <c r="G404" s="21" t="s">
        <v>26</v>
      </c>
      <c r="H404" s="21" t="s">
        <v>31</v>
      </c>
      <c r="J404" s="21" t="s">
        <v>63</v>
      </c>
      <c r="K404" s="21" t="s">
        <v>44</v>
      </c>
      <c r="L404" s="21" t="s">
        <v>51</v>
      </c>
      <c r="M404" s="21" t="s">
        <v>54</v>
      </c>
      <c r="O404" s="19">
        <f>IF(ISBLANK(D404),"",IF(D404='טבלת פרמטרים'!$A$9,1,0)+IF(E404='טבלת פרמטרים'!$B$5,2,1)+IF(F404='טבלת פרמטרים'!$C$5,3,IF(F404='טבלת פרמטרים'!$C$4,1,0))+IF(G404='טבלת פרמטרים'!$D$3,2,0)+IF(M404='טבלת פרמטרים'!$J$4,2,IF(M404='טבלת פרמטרים'!$J$3,1,0))+IF(N404='טבלת פרמטרים'!$K$6,3,IF(OR(N404='טבלת פרמטרים'!$K$4,N404='טבלת פרמטרים'!$K$5),2,IF(N404='טבלת פרמטרים'!$K$3,1,0))))</f>
        <v>2</v>
      </c>
      <c r="R404" s="19">
        <f t="shared" si="10"/>
        <v>2</v>
      </c>
      <c r="T404" s="19" t="str">
        <f>IF(EXACT(Q404,'טבלת פרמטרים'!$O$2),'טבלת פרמטרים'!$P$2,IF(EXACT(Q404,'טבלת פרמטרים'!$O$3),'טבלת פרמטרים'!$P$3,IF(EXACT(Q404,'טבלת פרמטרים'!$O$4),'טבלת פרמטרים'!$P$4,IF(EXACT(Q404,'טבלת פרמטרים'!$O$5),'טבלת פרמטרים'!$P$5,IF(EXACT(Q404,'טבלת פרמטרים'!$O$6),'טבלת פרמטרים'!$P$6,IF(EXACT(Q404,'טבלת פרמטרים'!$O$7),'טבלת פרמטרים'!$P$7,""))))))</f>
        <v/>
      </c>
    </row>
    <row r="405" spans="1:20" x14ac:dyDescent="0.2">
      <c r="A405" s="18">
        <v>405</v>
      </c>
      <c r="B405" s="30">
        <v>44649</v>
      </c>
      <c r="C405" s="30">
        <v>44649</v>
      </c>
      <c r="D405" s="21" t="s">
        <v>11</v>
      </c>
      <c r="E405" s="21" t="s">
        <v>20</v>
      </c>
      <c r="F405" s="21" t="s">
        <v>23</v>
      </c>
      <c r="G405" s="21" t="s">
        <v>26</v>
      </c>
      <c r="H405" s="21" t="s">
        <v>32</v>
      </c>
      <c r="J405" s="21" t="s">
        <v>11</v>
      </c>
      <c r="M405" s="21" t="s">
        <v>53</v>
      </c>
      <c r="O405" s="19">
        <f>IF(ISBLANK(D405),"",IF(D405='טבלת פרמטרים'!$A$9,1,0)+IF(E405='טבלת פרמטרים'!$B$5,2,1)+IF(F405='טבלת פרמטרים'!$C$5,3,IF(F405='טבלת פרמטרים'!$C$4,1,0))+IF(G405='טבלת פרמטרים'!$D$3,2,0)+IF(M405='טבלת פרמטרים'!$J$4,2,IF(M405='טבלת פרמטרים'!$J$3,1,0))+IF(N405='טבלת פרמטרים'!$K$6,3,IF(OR(N405='טבלת פרמטרים'!$K$4,N405='טבלת פרמטרים'!$K$5),2,IF(N405='טבלת פרמטרים'!$K$3,1,0))))</f>
        <v>1</v>
      </c>
      <c r="R405" s="19">
        <f t="shared" si="10"/>
        <v>1</v>
      </c>
      <c r="T405" s="19" t="str">
        <f>IF(EXACT(Q405,'טבלת פרמטרים'!$O$2),'טבלת פרמטרים'!$P$2,IF(EXACT(Q405,'טבלת פרמטרים'!$O$3),'טבלת פרמטרים'!$P$3,IF(EXACT(Q405,'טבלת פרמטרים'!$O$4),'טבלת פרמטרים'!$P$4,IF(EXACT(Q405,'טבלת פרמטרים'!$O$5),'טבלת פרמטרים'!$P$5,IF(EXACT(Q405,'טבלת פרמטרים'!$O$6),'טבלת פרמטרים'!$P$6,IF(EXACT(Q405,'טבלת פרמטרים'!$O$7),'טבלת פרמטרים'!$P$7,""))))))</f>
        <v/>
      </c>
    </row>
    <row r="406" spans="1:20" x14ac:dyDescent="0.2">
      <c r="A406" s="18">
        <v>406</v>
      </c>
      <c r="B406" s="30">
        <v>44648</v>
      </c>
      <c r="C406" s="30">
        <v>44648</v>
      </c>
      <c r="D406" s="21" t="s">
        <v>10</v>
      </c>
      <c r="E406" s="21" t="s">
        <v>111</v>
      </c>
      <c r="F406" s="21" t="s">
        <v>23</v>
      </c>
      <c r="G406" s="21" t="s">
        <v>26</v>
      </c>
      <c r="H406" s="21" t="s">
        <v>31</v>
      </c>
      <c r="J406" s="21" t="s">
        <v>41</v>
      </c>
      <c r="K406" s="21" t="s">
        <v>44</v>
      </c>
      <c r="L406" s="21" t="s">
        <v>51</v>
      </c>
      <c r="M406" s="21" t="s">
        <v>53</v>
      </c>
      <c r="O406" s="19">
        <f>IF(ISBLANK(D406),"",IF(D406='טבלת פרמטרים'!$A$9,1,0)+IF(E406='טבלת פרמטרים'!$B$5,2,1)+IF(F406='טבלת פרמטרים'!$C$5,3,IF(F406='טבלת פרמטרים'!$C$4,1,0))+IF(G406='טבלת פרמטרים'!$D$3,2,0)+IF(M406='טבלת פרמטרים'!$J$4,2,IF(M406='טבלת פרמטרים'!$J$3,1,0))+IF(N406='טבלת פרמטרים'!$K$6,3,IF(OR(N406='טבלת פרמטרים'!$K$4,N406='טבלת פרמטרים'!$K$5),2,IF(N406='טבלת פרמטרים'!$K$3,1,0))))</f>
        <v>1</v>
      </c>
      <c r="R406" s="19">
        <f t="shared" si="10"/>
        <v>1</v>
      </c>
      <c r="T406" s="19" t="str">
        <f>IF(EXACT(Q406,'טבלת פרמטרים'!$O$2),'טבלת פרמטרים'!$P$2,IF(EXACT(Q406,'טבלת פרמטרים'!$O$3),'טבלת פרמטרים'!$P$3,IF(EXACT(Q406,'טבלת פרמטרים'!$O$4),'טבלת פרמטרים'!$P$4,IF(EXACT(Q406,'טבלת פרמטרים'!$O$5),'טבלת פרמטרים'!$P$5,IF(EXACT(Q406,'טבלת פרמטרים'!$O$6),'טבלת פרמטרים'!$P$6,IF(EXACT(Q406,'טבלת פרמטרים'!$O$7),'טבלת פרמטרים'!$P$7,""))))))</f>
        <v/>
      </c>
    </row>
    <row r="407" spans="1:20" x14ac:dyDescent="0.2">
      <c r="A407" s="18">
        <v>407</v>
      </c>
      <c r="B407" s="30">
        <v>44647</v>
      </c>
      <c r="C407" s="30">
        <v>44649</v>
      </c>
      <c r="D407" s="21" t="s">
        <v>15</v>
      </c>
      <c r="E407" s="21" t="s">
        <v>20</v>
      </c>
      <c r="F407" s="21" t="s">
        <v>23</v>
      </c>
      <c r="G407" s="21" t="s">
        <v>26</v>
      </c>
      <c r="H407" s="21" t="s">
        <v>30</v>
      </c>
      <c r="K407" s="21" t="s">
        <v>46</v>
      </c>
      <c r="L407" s="21" t="s">
        <v>50</v>
      </c>
      <c r="M407" s="21" t="s">
        <v>55</v>
      </c>
      <c r="O407" s="19">
        <f>IF(ISBLANK(D407),"",IF(D407='טבלת פרמטרים'!$A$9,1,0)+IF(E407='טבלת פרמטרים'!$B$5,2,1)+IF(F407='טבלת פרמטרים'!$C$5,3,IF(F407='טבלת פרמטרים'!$C$4,1,0))+IF(G407='טבלת פרמטרים'!$D$3,2,0)+IF(M407='טבלת פרמטרים'!$J$4,2,IF(M407='טבלת פרמטרים'!$J$3,1,0))+IF(N407='טבלת פרמטרים'!$K$6,3,IF(OR(N407='טבלת פרמטרים'!$K$4,N407='טבלת פרמטרים'!$K$5),2,IF(N407='טבלת פרמטרים'!$K$3,1,0))))</f>
        <v>3</v>
      </c>
      <c r="R407" s="19">
        <f t="shared" si="10"/>
        <v>3</v>
      </c>
      <c r="T407" s="19" t="str">
        <f>IF(EXACT(Q407,'טבלת פרמטרים'!$O$2),'טבלת פרמטרים'!$P$2,IF(EXACT(Q407,'טבלת פרמטרים'!$O$3),'טבלת פרמטרים'!$P$3,IF(EXACT(Q407,'טבלת פרמטרים'!$O$4),'טבלת פרמטרים'!$P$4,IF(EXACT(Q407,'טבלת פרמטרים'!$O$5),'טבלת פרמטרים'!$P$5,IF(EXACT(Q407,'טבלת פרמטרים'!$O$6),'טבלת פרמטרים'!$P$6,IF(EXACT(Q407,'טבלת פרמטרים'!$O$7),'טבלת פרמטרים'!$P$7,""))))))</f>
        <v/>
      </c>
    </row>
    <row r="408" spans="1:20" x14ac:dyDescent="0.2">
      <c r="A408" s="18">
        <v>408</v>
      </c>
      <c r="B408" s="30">
        <v>44553</v>
      </c>
      <c r="C408" s="30">
        <v>44650</v>
      </c>
      <c r="D408" s="21" t="s">
        <v>13</v>
      </c>
      <c r="E408" s="21" t="s">
        <v>20</v>
      </c>
      <c r="F408" s="21" t="s">
        <v>23</v>
      </c>
      <c r="G408" s="21" t="s">
        <v>26</v>
      </c>
      <c r="H408" s="21" t="s">
        <v>32</v>
      </c>
      <c r="J408" s="21" t="s">
        <v>37</v>
      </c>
      <c r="K408" s="21" t="s">
        <v>43</v>
      </c>
      <c r="M408" s="21" t="s">
        <v>53</v>
      </c>
      <c r="O408" s="19">
        <f>IF(ISBLANK(D408),"",IF(D408='טבלת פרמטרים'!$A$9,1,0)+IF(E408='טבלת פרמטרים'!$B$5,2,1)+IF(F408='טבלת פרמטרים'!$C$5,3,IF(F408='טבלת פרמטרים'!$C$4,1,0))+IF(G408='טבלת פרמטרים'!$D$3,2,0)+IF(M408='טבלת פרמטרים'!$J$4,2,IF(M408='טבלת פרמטרים'!$J$3,1,0))+IF(N408='טבלת פרמטרים'!$K$6,3,IF(OR(N408='טבלת פרמטרים'!$K$4,N408='טבלת פרמטרים'!$K$5),2,IF(N408='טבלת פרמטרים'!$K$3,1,0))))</f>
        <v>1</v>
      </c>
      <c r="R408" s="19">
        <f t="shared" si="10"/>
        <v>1</v>
      </c>
      <c r="T408" s="19" t="str">
        <f>IF(EXACT(Q408,'טבלת פרמטרים'!$O$2),'טבלת פרמטרים'!$P$2,IF(EXACT(Q408,'טבלת פרמטרים'!$O$3),'טבלת פרמטרים'!$P$3,IF(EXACT(Q408,'טבלת פרמטרים'!$O$4),'טבלת פרמטרים'!$P$4,IF(EXACT(Q408,'טבלת פרמטרים'!$O$5),'טבלת פרמטרים'!$P$5,IF(EXACT(Q408,'טבלת פרמטרים'!$O$6),'טבלת פרמטרים'!$P$6,IF(EXACT(Q408,'טבלת פרמטרים'!$O$7),'טבלת פרמטרים'!$P$7,""))))))</f>
        <v/>
      </c>
    </row>
    <row r="409" spans="1:20" x14ac:dyDescent="0.2">
      <c r="A409" s="18">
        <v>409</v>
      </c>
      <c r="B409" s="30">
        <v>44644</v>
      </c>
      <c r="C409" s="30">
        <v>44655</v>
      </c>
      <c r="D409" s="21" t="s">
        <v>12</v>
      </c>
      <c r="E409" s="21" t="s">
        <v>111</v>
      </c>
      <c r="F409" s="21" t="s">
        <v>23</v>
      </c>
      <c r="G409" s="21" t="s">
        <v>26</v>
      </c>
      <c r="H409" s="21" t="s">
        <v>30</v>
      </c>
      <c r="K409" s="21" t="s">
        <v>45</v>
      </c>
      <c r="L409" s="21" t="s">
        <v>51</v>
      </c>
      <c r="M409" s="21" t="s">
        <v>55</v>
      </c>
      <c r="O409" s="19">
        <f>IF(ISBLANK(D409),"",IF(D409='טבלת פרמטרים'!$A$9,1,0)+IF(E409='טבלת פרמטרים'!$B$5,2,1)+IF(F409='טבלת פרמטרים'!$C$5,3,IF(F409='טבלת פרמטרים'!$C$4,1,0))+IF(G409='טבלת פרמטרים'!$D$3,2,0)+IF(M409='טבלת פרמטרים'!$J$4,2,IF(M409='טבלת פרמטרים'!$J$3,1,0))+IF(N409='טבלת פרמטרים'!$K$6,3,IF(OR(N409='טבלת פרמטרים'!$K$4,N409='טבלת פרמטרים'!$K$5),2,IF(N409='טבלת פרמטרים'!$K$3,1,0))))</f>
        <v>3</v>
      </c>
      <c r="R409" s="19">
        <f t="shared" si="10"/>
        <v>3</v>
      </c>
      <c r="T409" s="19" t="str">
        <f>IF(EXACT(Q409,'טבלת פרמטרים'!$O$2),'טבלת פרמטרים'!$P$2,IF(EXACT(Q409,'טבלת פרמטרים'!$O$3),'טבלת פרמטרים'!$P$3,IF(EXACT(Q409,'טבלת פרמטרים'!$O$4),'טבלת פרמטרים'!$P$4,IF(EXACT(Q409,'טבלת פרמטרים'!$O$5),'טבלת פרמטרים'!$P$5,IF(EXACT(Q409,'טבלת פרמטרים'!$O$6),'טבלת פרמטרים'!$P$6,IF(EXACT(Q409,'טבלת פרמטרים'!$O$7),'טבלת פרמטרים'!$P$7,""))))))</f>
        <v/>
      </c>
    </row>
    <row r="410" spans="1:20" x14ac:dyDescent="0.2">
      <c r="A410" s="18">
        <v>410</v>
      </c>
      <c r="B410" s="30">
        <v>44655</v>
      </c>
      <c r="C410" s="30">
        <v>44656</v>
      </c>
      <c r="D410" s="21" t="s">
        <v>16</v>
      </c>
      <c r="E410" s="21" t="s">
        <v>22</v>
      </c>
      <c r="F410" s="21" t="s">
        <v>24</v>
      </c>
      <c r="G410" s="21" t="s">
        <v>26</v>
      </c>
      <c r="H410" s="21" t="s">
        <v>29</v>
      </c>
      <c r="I410" s="21" t="s">
        <v>127</v>
      </c>
      <c r="J410" s="21" t="s">
        <v>35</v>
      </c>
      <c r="K410" s="21" t="s">
        <v>43</v>
      </c>
      <c r="L410" s="21" t="s">
        <v>49</v>
      </c>
      <c r="M410" s="21" t="s">
        <v>53</v>
      </c>
      <c r="O410" s="19">
        <f>IF(ISBLANK(D410),"",IF(D410='טבלת פרמטרים'!$A$9,1,0)+IF(E410='טבלת פרמטרים'!$B$5,2,1)+IF(F410='טבלת פרמטרים'!$C$5,3,IF(F410='טבלת פרמטרים'!$C$4,1,0))+IF(G410='טבלת פרמטרים'!$D$3,2,0)+IF(M410='טבלת פרמטרים'!$J$4,2,IF(M410='טבלת פרמטרים'!$J$3,1,0))+IF(N410='טבלת פרמטרים'!$K$6,3,IF(OR(N410='טבלת פרמטרים'!$K$4,N410='טבלת פרמטרים'!$K$5),2,IF(N410='טבלת פרמטרים'!$K$3,1,0))))</f>
        <v>3</v>
      </c>
      <c r="R410" s="19">
        <f t="shared" si="10"/>
        <v>3</v>
      </c>
      <c r="T410" s="19" t="str">
        <f>IF(EXACT(Q410,'טבלת פרמטרים'!$O$2),'טבלת פרמטרים'!$P$2,IF(EXACT(Q410,'טבלת פרמטרים'!$O$3),'טבלת פרמטרים'!$P$3,IF(EXACT(Q410,'טבלת פרמטרים'!$O$4),'טבלת פרמטרים'!$P$4,IF(EXACT(Q410,'טבלת פרמטרים'!$O$5),'טבלת פרמטרים'!$P$5,IF(EXACT(Q410,'טבלת פרמטרים'!$O$6),'טבלת פרמטרים'!$P$6,IF(EXACT(Q410,'טבלת פרמטרים'!$O$7),'טבלת פרמטרים'!$P$7,""))))))</f>
        <v/>
      </c>
    </row>
    <row r="411" spans="1:20" x14ac:dyDescent="0.2">
      <c r="A411" s="18">
        <v>411</v>
      </c>
      <c r="C411" s="30">
        <v>44657</v>
      </c>
      <c r="D411" s="21" t="s">
        <v>13</v>
      </c>
      <c r="E411" s="21" t="s">
        <v>111</v>
      </c>
      <c r="F411" s="21" t="s">
        <v>23</v>
      </c>
      <c r="G411" s="21" t="s">
        <v>26</v>
      </c>
      <c r="H411" s="21" t="s">
        <v>32</v>
      </c>
      <c r="L411" s="21" t="s">
        <v>49</v>
      </c>
      <c r="M411" s="21" t="s">
        <v>53</v>
      </c>
      <c r="O411" s="19">
        <f>IF(ISBLANK(D411),"",IF(D411='טבלת פרמטרים'!$A$9,1,0)+IF(E411='טבלת פרמטרים'!$B$5,2,1)+IF(F411='טבלת פרמטרים'!$C$5,3,IF(F411='טבלת פרמטרים'!$C$4,1,0))+IF(G411='טבלת פרמטרים'!$D$3,2,0)+IF(M411='טבלת פרמטרים'!$J$4,2,IF(M411='טבלת פרמטרים'!$J$3,1,0))+IF(N411='טבלת פרמטרים'!$K$6,3,IF(OR(N411='טבלת פרמטרים'!$K$4,N411='טבלת פרמטרים'!$K$5),2,IF(N411='טבלת פרמטרים'!$K$3,1,0))))</f>
        <v>1</v>
      </c>
      <c r="R411" s="19">
        <f t="shared" si="10"/>
        <v>1</v>
      </c>
      <c r="T411" s="19" t="str">
        <f>IF(EXACT(Q411,'טבלת פרמטרים'!$O$2),'טבלת פרמטרים'!$P$2,IF(EXACT(Q411,'טבלת פרמטרים'!$O$3),'טבלת פרמטרים'!$P$3,IF(EXACT(Q411,'טבלת פרמטרים'!$O$4),'טבלת פרמטרים'!$P$4,IF(EXACT(Q411,'טבלת פרמטרים'!$O$5),'טבלת פרמטרים'!$P$5,IF(EXACT(Q411,'טבלת פרמטרים'!$O$6),'טבלת פרמטרים'!$P$6,IF(EXACT(Q411,'טבלת פרמטרים'!$O$7),'טבלת פרמטרים'!$P$7,""))))))</f>
        <v/>
      </c>
    </row>
    <row r="412" spans="1:20" x14ac:dyDescent="0.2">
      <c r="A412" s="18">
        <v>412</v>
      </c>
      <c r="B412" s="30">
        <v>44661</v>
      </c>
      <c r="C412" s="30">
        <v>44661</v>
      </c>
      <c r="D412" s="21" t="s">
        <v>16</v>
      </c>
      <c r="E412" s="21" t="s">
        <v>111</v>
      </c>
      <c r="F412" s="21" t="s">
        <v>23</v>
      </c>
      <c r="G412" s="21" t="s">
        <v>26</v>
      </c>
      <c r="H412" s="21" t="s">
        <v>29</v>
      </c>
      <c r="I412" s="21" t="s">
        <v>127</v>
      </c>
      <c r="M412" s="21" t="s">
        <v>53</v>
      </c>
      <c r="O412" s="19">
        <f>IF(ISBLANK(D412),"",IF(D412='טבלת פרמטרים'!$A$9,1,0)+IF(E412='טבלת פרמטרים'!$B$5,2,1)+IF(F412='טבלת פרמטרים'!$C$5,3,IF(F412='טבלת פרמטרים'!$C$4,1,0))+IF(G412='טבלת פרמטרים'!$D$3,2,0)+IF(M412='טבלת פרמטרים'!$J$4,2,IF(M412='טבלת פרמטרים'!$J$3,1,0))+IF(N412='טבלת פרמטרים'!$K$6,3,IF(OR(N412='טבלת פרמטרים'!$K$4,N412='טבלת פרמטרים'!$K$5),2,IF(N412='טבלת פרמטרים'!$K$3,1,0))))</f>
        <v>1</v>
      </c>
      <c r="R412" s="19">
        <f t="shared" si="10"/>
        <v>1</v>
      </c>
      <c r="T412" s="19" t="str">
        <f>IF(EXACT(Q412,'טבלת פרמטרים'!$O$2),'טבלת פרמטרים'!$P$2,IF(EXACT(Q412,'טבלת פרמטרים'!$O$3),'טבלת פרמטרים'!$P$3,IF(EXACT(Q412,'טבלת פרמטרים'!$O$4),'טבלת פרמטרים'!$P$4,IF(EXACT(Q412,'טבלת פרמטרים'!$O$5),'טבלת פרמטרים'!$P$5,IF(EXACT(Q412,'טבלת פרמטרים'!$O$6),'טבלת פרמטרים'!$P$6,IF(EXACT(Q412,'טבלת פרמטרים'!$O$7),'טבלת פרמטרים'!$P$7,""))))))</f>
        <v/>
      </c>
    </row>
    <row r="413" spans="1:20" x14ac:dyDescent="0.2">
      <c r="A413" s="18">
        <v>413</v>
      </c>
      <c r="B413" s="30">
        <v>44661</v>
      </c>
      <c r="C413" s="30">
        <v>44661</v>
      </c>
      <c r="D413" s="21" t="s">
        <v>15</v>
      </c>
      <c r="E413" s="21" t="s">
        <v>111</v>
      </c>
      <c r="F413" s="21" t="s">
        <v>23</v>
      </c>
      <c r="G413" s="21" t="s">
        <v>26</v>
      </c>
      <c r="H413" s="21" t="s">
        <v>29</v>
      </c>
      <c r="I413" s="21" t="s">
        <v>126</v>
      </c>
      <c r="J413" s="21" t="s">
        <v>33</v>
      </c>
      <c r="K413" s="21" t="s">
        <v>44</v>
      </c>
      <c r="L413" s="21" t="s">
        <v>51</v>
      </c>
      <c r="M413" s="21" t="s">
        <v>53</v>
      </c>
      <c r="N413" s="21" t="s">
        <v>59</v>
      </c>
      <c r="O413" s="19">
        <f>IF(ISBLANK(D413),"",IF(D413='טבלת פרמטרים'!$A$9,1,0)+IF(E413='טבלת פרמטרים'!$B$5,2,1)+IF(F413='טבלת פרמטרים'!$C$5,3,IF(F413='טבלת פרמטרים'!$C$4,1,0))+IF(G413='טבלת פרמטרים'!$D$3,2,0)+IF(M413='טבלת פרמטרים'!$J$4,2,IF(M413='טבלת פרמטרים'!$J$3,1,0))+IF(N413='טבלת פרמטרים'!$K$6,3,IF(OR(N413='טבלת פרמטרים'!$K$4,N413='טבלת פרמטרים'!$K$5),2,IF(N413='טבלת פרמטרים'!$K$3,1,0))))</f>
        <v>3</v>
      </c>
      <c r="Q413" s="20" t="s">
        <v>123</v>
      </c>
      <c r="R413" s="19">
        <f t="shared" si="10"/>
        <v>3</v>
      </c>
      <c r="T413" s="19">
        <f>IF(EXACT(Q413,'טבלת פרמטרים'!$O$2),'טבלת פרמטרים'!$P$2,IF(EXACT(Q413,'טבלת פרמטרים'!$O$3),'טבלת פרמטרים'!$P$3,IF(EXACT(Q413,'טבלת פרמטרים'!$O$4),'טבלת פרמטרים'!$P$4,IF(EXACT(Q413,'טבלת פרמטרים'!$O$5),'טבלת פרמטרים'!$P$5,IF(EXACT(Q413,'טבלת פרמטרים'!$O$6),'טבלת פרמטרים'!$P$6,IF(EXACT(Q413,'טבלת פרמטרים'!$O$7),'טבלת פרמטרים'!$P$7,""))))))</f>
        <v>0</v>
      </c>
    </row>
    <row r="414" spans="1:20" x14ac:dyDescent="0.2">
      <c r="A414" s="18">
        <v>414</v>
      </c>
      <c r="C414" s="30">
        <v>44662</v>
      </c>
      <c r="D414" s="21" t="s">
        <v>17</v>
      </c>
      <c r="E414" s="21" t="s">
        <v>20</v>
      </c>
      <c r="F414" s="21" t="s">
        <v>23</v>
      </c>
      <c r="G414" s="21" t="s">
        <v>26</v>
      </c>
      <c r="H414" s="21" t="s">
        <v>30</v>
      </c>
      <c r="J414" s="21" t="s">
        <v>33</v>
      </c>
      <c r="K414" s="21" t="s">
        <v>45</v>
      </c>
      <c r="L414" s="21" t="s">
        <v>51</v>
      </c>
      <c r="M414" s="21" t="s">
        <v>54</v>
      </c>
      <c r="N414" s="21" t="s">
        <v>112</v>
      </c>
      <c r="O414" s="19">
        <f>IF(ISBLANK(D414),"",IF(D414='טבלת פרמטרים'!$A$9,1,0)+IF(E414='טבלת פרמטרים'!$B$5,2,1)+IF(F414='טבלת פרמטרים'!$C$5,3,IF(F414='טבלת פרמטרים'!$C$4,1,0))+IF(G414='טבלת פרמטרים'!$D$3,2,0)+IF(M414='טבלת פרמטרים'!$J$4,2,IF(M414='טבלת פרמטרים'!$J$3,1,0))+IF(N414='טבלת פרמטרים'!$K$6,3,IF(OR(N414='טבלת פרמטרים'!$K$4,N414='טבלת פרמטרים'!$K$5),2,IF(N414='טבלת פרמטרים'!$K$3,1,0))))</f>
        <v>5</v>
      </c>
      <c r="Q414" s="20" t="s">
        <v>123</v>
      </c>
      <c r="R414" s="19">
        <f t="shared" si="10"/>
        <v>5</v>
      </c>
      <c r="T414" s="19">
        <f>IF(EXACT(Q414,'טבלת פרמטרים'!$O$2),'טבלת פרמטרים'!$P$2,IF(EXACT(Q414,'טבלת פרמטרים'!$O$3),'טבלת פרמטרים'!$P$3,IF(EXACT(Q414,'טבלת פרמטרים'!$O$4),'טבלת פרמטרים'!$P$4,IF(EXACT(Q414,'טבלת פרמטרים'!$O$5),'טבלת פרמטרים'!$P$5,IF(EXACT(Q414,'טבלת פרמטרים'!$O$6),'טבלת פרמטרים'!$P$6,IF(EXACT(Q414,'טבלת פרמטרים'!$O$7),'טבלת פרמטרים'!$P$7,""))))))</f>
        <v>0</v>
      </c>
    </row>
    <row r="415" spans="1:20" x14ac:dyDescent="0.2">
      <c r="A415" s="18">
        <v>415</v>
      </c>
      <c r="C415" s="30">
        <v>44662</v>
      </c>
      <c r="D415" s="21" t="s">
        <v>10</v>
      </c>
      <c r="E415" s="21" t="s">
        <v>111</v>
      </c>
      <c r="F415" s="21" t="s">
        <v>23</v>
      </c>
      <c r="G415" s="21" t="s">
        <v>26</v>
      </c>
      <c r="H415" s="21" t="s">
        <v>29</v>
      </c>
      <c r="J415" s="21" t="s">
        <v>42</v>
      </c>
      <c r="M415" s="21" t="s">
        <v>54</v>
      </c>
      <c r="N415" s="21" t="s">
        <v>57</v>
      </c>
      <c r="O415" s="19">
        <f>IF(ISBLANK(D415),"",IF(D415='טבלת פרמטרים'!$A$9,1,0)+IF(E415='טבלת פרמטרים'!$B$5,2,1)+IF(F415='טבלת פרמטרים'!$C$5,3,IF(F415='טבלת פרמטרים'!$C$4,1,0))+IF(G415='טבלת פרמטרים'!$D$3,2,0)+IF(M415='טבלת פרמטרים'!$J$4,2,IF(M415='טבלת פרמטרים'!$J$3,1,0))+IF(N415='טבלת פרמטרים'!$K$6,3,IF(OR(N415='טבלת פרמטרים'!$K$4,N415='טבלת פרמטרים'!$K$5),2,IF(N415='טבלת פרמטרים'!$K$3,1,0))))</f>
        <v>2</v>
      </c>
      <c r="Q415" s="20" t="s">
        <v>123</v>
      </c>
      <c r="R415" s="19">
        <f t="shared" si="10"/>
        <v>2</v>
      </c>
      <c r="T415" s="19">
        <f>IF(EXACT(Q415,'טבלת פרמטרים'!$O$2),'טבלת פרמטרים'!$P$2,IF(EXACT(Q415,'טבלת פרמטרים'!$O$3),'טבלת פרמטרים'!$P$3,IF(EXACT(Q415,'טבלת פרמטרים'!$O$4),'טבלת פרמטרים'!$P$4,IF(EXACT(Q415,'טבלת פרמטרים'!$O$5),'טבלת פרמטרים'!$P$5,IF(EXACT(Q415,'טבלת פרמטרים'!$O$6),'טבלת פרמטרים'!$P$6,IF(EXACT(Q415,'טבלת פרמטרים'!$O$7),'טבלת פרמטרים'!$P$7,""))))))</f>
        <v>0</v>
      </c>
    </row>
    <row r="416" spans="1:20" x14ac:dyDescent="0.2">
      <c r="A416" s="18">
        <v>416</v>
      </c>
      <c r="B416" s="30">
        <v>44661</v>
      </c>
      <c r="C416" s="30">
        <v>44668</v>
      </c>
      <c r="D416" s="21" t="s">
        <v>11</v>
      </c>
      <c r="E416" s="21" t="s">
        <v>22</v>
      </c>
      <c r="F416" s="21" t="s">
        <v>24</v>
      </c>
      <c r="G416" s="21" t="s">
        <v>26</v>
      </c>
      <c r="H416" s="21" t="s">
        <v>31</v>
      </c>
      <c r="J416" s="21" t="s">
        <v>11</v>
      </c>
      <c r="K416" s="21" t="s">
        <v>43</v>
      </c>
      <c r="L416" s="21" t="s">
        <v>50</v>
      </c>
      <c r="M416" s="21" t="s">
        <v>55</v>
      </c>
      <c r="N416" s="21" t="s">
        <v>58</v>
      </c>
      <c r="O416" s="19">
        <f>IF(ISBLANK(D416),"",IF(D416='טבלת פרמטרים'!$A$9,1,0)+IF(E416='טבלת פרמטרים'!$B$5,2,1)+IF(F416='טבלת פרמטרים'!$C$5,3,IF(F416='טבלת פרמטרים'!$C$4,1,0))+IF(G416='טבלת פרמטרים'!$D$3,2,0)+IF(M416='טבלת פרמטרים'!$J$4,2,IF(M416='טבלת פרמטרים'!$J$3,1,0))+IF(N416='טבלת פרמטרים'!$K$6,3,IF(OR(N416='טבלת פרמטרים'!$K$4,N416='טבלת פרמטרים'!$K$5),2,IF(N416='טבלת פרמטרים'!$K$3,1,0))))</f>
        <v>6</v>
      </c>
      <c r="Q416" s="20" t="s">
        <v>123</v>
      </c>
      <c r="R416" s="19">
        <f t="shared" si="10"/>
        <v>6</v>
      </c>
      <c r="T416" s="19">
        <f>IF(EXACT(Q416,'טבלת פרמטרים'!$O$2),'טבלת פרמטרים'!$P$2,IF(EXACT(Q416,'טבלת פרמטרים'!$O$3),'טבלת פרמטרים'!$P$3,IF(EXACT(Q416,'טבלת פרמטרים'!$O$4),'טבלת פרמטרים'!$P$4,IF(EXACT(Q416,'טבלת פרמטרים'!$O$5),'טבלת פרמטרים'!$P$5,IF(EXACT(Q416,'טבלת פרמטרים'!$O$6),'טבלת פרמטרים'!$P$6,IF(EXACT(Q416,'טבלת פרמטרים'!$O$7),'טבלת פרמטרים'!$P$7,""))))))</f>
        <v>0</v>
      </c>
    </row>
    <row r="417" spans="1:20" x14ac:dyDescent="0.2">
      <c r="A417" s="18">
        <v>417</v>
      </c>
      <c r="B417" s="30">
        <v>44663</v>
      </c>
      <c r="C417" s="30">
        <v>44675</v>
      </c>
      <c r="D417" s="21" t="s">
        <v>11</v>
      </c>
      <c r="E417" s="21" t="s">
        <v>20</v>
      </c>
      <c r="F417" s="21" t="s">
        <v>23</v>
      </c>
      <c r="G417" s="21" t="s">
        <v>26</v>
      </c>
      <c r="H417" s="21" t="s">
        <v>29</v>
      </c>
      <c r="J417" s="21" t="s">
        <v>11</v>
      </c>
      <c r="L417" s="21" t="s">
        <v>51</v>
      </c>
      <c r="M417" s="21" t="s">
        <v>53</v>
      </c>
      <c r="O417" s="19">
        <f>IF(ISBLANK(D417),"",IF(D417='טבלת פרמטרים'!$A$9,1,0)+IF(E417='טבלת פרמטרים'!$B$5,2,1)+IF(F417='טבלת פרמטרים'!$C$5,3,IF(F417='טבלת פרמטרים'!$C$4,1,0))+IF(G417='טבלת פרמטרים'!$D$3,2,0)+IF(M417='טבלת פרמטרים'!$J$4,2,IF(M417='טבלת פרמטרים'!$J$3,1,0))+IF(N417='טבלת פרמטרים'!$K$6,3,IF(OR(N417='טבלת פרמטרים'!$K$4,N417='טבלת פרמטרים'!$K$5),2,IF(N417='טבלת פרמטרים'!$K$3,1,0))))</f>
        <v>1</v>
      </c>
      <c r="R417" s="19">
        <f t="shared" si="10"/>
        <v>1</v>
      </c>
      <c r="T417" s="19" t="str">
        <f>IF(EXACT(Q417,'טבלת פרמטרים'!$O$2),'טבלת פרמטרים'!$P$2,IF(EXACT(Q417,'טבלת פרמטרים'!$O$3),'טבלת פרמטרים'!$P$3,IF(EXACT(Q417,'טבלת פרמטרים'!$O$4),'טבלת פרמטרים'!$P$4,IF(EXACT(Q417,'טבלת פרמטרים'!$O$5),'טבלת פרמטרים'!$P$5,IF(EXACT(Q417,'טבלת פרמטרים'!$O$6),'טבלת פרמטרים'!$P$6,IF(EXACT(Q417,'טבלת פרמטרים'!$O$7),'טבלת פרמטרים'!$P$7,""))))))</f>
        <v/>
      </c>
    </row>
    <row r="418" spans="1:20" x14ac:dyDescent="0.2">
      <c r="A418" s="18">
        <v>418</v>
      </c>
      <c r="B418" s="30">
        <v>44675</v>
      </c>
      <c r="C418" s="30">
        <v>44675</v>
      </c>
      <c r="D418" s="21" t="s">
        <v>15</v>
      </c>
      <c r="E418" s="21" t="s">
        <v>111</v>
      </c>
      <c r="F418" s="21" t="s">
        <v>23</v>
      </c>
      <c r="G418" s="21" t="s">
        <v>26</v>
      </c>
      <c r="H418" s="21" t="s">
        <v>28</v>
      </c>
      <c r="J418" s="21" t="s">
        <v>34</v>
      </c>
      <c r="K418" s="21" t="s">
        <v>43</v>
      </c>
      <c r="L418" s="21" t="s">
        <v>51</v>
      </c>
      <c r="M418" s="21" t="s">
        <v>54</v>
      </c>
      <c r="O418" s="19">
        <f>IF(ISBLANK(D418),"",IF(D418='טבלת פרמטרים'!$A$9,1,0)+IF(E418='טבלת פרמטרים'!$B$5,2,1)+IF(F418='טבלת פרמטרים'!$C$5,3,IF(F418='טבלת פרמטרים'!$C$4,1,0))+IF(G418='טבלת פרמטרים'!$D$3,2,0)+IF(M418='טבלת פרמטרים'!$J$4,2,IF(M418='טבלת פרמטרים'!$J$3,1,0))+IF(N418='טבלת פרמטרים'!$K$6,3,IF(OR(N418='טבלת פרמטרים'!$K$4,N418='טבלת פרמטרים'!$K$5),2,IF(N418='טבלת פרמטרים'!$K$3,1,0))))</f>
        <v>2</v>
      </c>
      <c r="R418" s="19">
        <f t="shared" si="10"/>
        <v>2</v>
      </c>
      <c r="T418" s="19" t="str">
        <f>IF(EXACT(Q418,'טבלת פרמטרים'!$O$2),'טבלת פרמטרים'!$P$2,IF(EXACT(Q418,'טבלת פרמטרים'!$O$3),'טבלת פרמטרים'!$P$3,IF(EXACT(Q418,'טבלת פרמטרים'!$O$4),'טבלת פרמטרים'!$P$4,IF(EXACT(Q418,'טבלת פרמטרים'!$O$5),'טבלת פרמטרים'!$P$5,IF(EXACT(Q418,'טבלת פרמטרים'!$O$6),'טבלת פרמטרים'!$P$6,IF(EXACT(Q418,'טבלת פרמטרים'!$O$7),'טבלת פרמטרים'!$P$7,""))))))</f>
        <v/>
      </c>
    </row>
    <row r="419" spans="1:20" x14ac:dyDescent="0.2">
      <c r="A419" s="18">
        <v>419</v>
      </c>
      <c r="B419" s="30">
        <v>44676</v>
      </c>
      <c r="C419" s="30">
        <v>44676</v>
      </c>
      <c r="D419" s="21" t="s">
        <v>16</v>
      </c>
      <c r="E419" s="21" t="s">
        <v>21</v>
      </c>
      <c r="F419" s="21" t="s">
        <v>23</v>
      </c>
      <c r="G419" s="21" t="s">
        <v>26</v>
      </c>
      <c r="H419" s="21" t="s">
        <v>31</v>
      </c>
      <c r="I419" s="21" t="s">
        <v>126</v>
      </c>
      <c r="J419" s="21" t="s">
        <v>35</v>
      </c>
      <c r="K419" s="21" t="s">
        <v>44</v>
      </c>
      <c r="L419" s="21" t="s">
        <v>51</v>
      </c>
      <c r="M419" s="21" t="s">
        <v>55</v>
      </c>
      <c r="O419" s="19">
        <f>IF(ISBLANK(D419),"",IF(D419='טבלת פרמטרים'!$A$9,1,0)+IF(E419='טבלת פרמטרים'!$B$5,2,1)+IF(F419='טבלת פרמטרים'!$C$5,3,IF(F419='טבלת פרמטרים'!$C$4,1,0))+IF(G419='טבלת פרמטרים'!$D$3,2,0)+IF(M419='טבלת פרמטרים'!$J$4,2,IF(M419='טבלת פרמטרים'!$J$3,1,0))+IF(N419='טבלת פרמטרים'!$K$6,3,IF(OR(N419='טבלת פרמטרים'!$K$4,N419='טבלת פרמטרים'!$K$5),2,IF(N419='טבלת פרמטרים'!$K$3,1,0))))</f>
        <v>3</v>
      </c>
      <c r="R419" s="19">
        <f t="shared" si="10"/>
        <v>3</v>
      </c>
      <c r="T419" s="19" t="str">
        <f>IF(EXACT(Q419,'טבלת פרמטרים'!$O$2),'טבלת פרמטרים'!$P$2,IF(EXACT(Q419,'טבלת פרמטרים'!$O$3),'טבלת פרמטרים'!$P$3,IF(EXACT(Q419,'טבלת פרמטרים'!$O$4),'טבלת פרמטרים'!$P$4,IF(EXACT(Q419,'טבלת פרמטרים'!$O$5),'טבלת פרמטרים'!$P$5,IF(EXACT(Q419,'טבלת פרמטרים'!$O$6),'טבלת פרמטרים'!$P$6,IF(EXACT(Q419,'טבלת פרמטרים'!$O$7),'טבלת פרמטרים'!$P$7,""))))))</f>
        <v/>
      </c>
    </row>
    <row r="420" spans="1:20" ht="28.5" x14ac:dyDescent="0.2">
      <c r="A420" s="18">
        <v>420</v>
      </c>
      <c r="B420" s="30">
        <v>44682</v>
      </c>
      <c r="C420" s="30">
        <v>44682</v>
      </c>
      <c r="D420" s="21" t="s">
        <v>17</v>
      </c>
      <c r="E420" s="21" t="s">
        <v>22</v>
      </c>
      <c r="F420" s="21" t="s">
        <v>24</v>
      </c>
      <c r="G420" s="21" t="s">
        <v>26</v>
      </c>
      <c r="H420" s="21" t="s">
        <v>29</v>
      </c>
      <c r="J420" s="21" t="s">
        <v>34</v>
      </c>
      <c r="K420" s="21" t="s">
        <v>48</v>
      </c>
      <c r="L420" s="21" t="s">
        <v>49</v>
      </c>
      <c r="M420" s="21" t="s">
        <v>55</v>
      </c>
      <c r="O420" s="19">
        <f>IF(ISBLANK(D420),"",IF(D420='טבלת פרמטרים'!$A$9,1,0)+IF(E420='טבלת פרמטרים'!$B$5,2,1)+IF(F420='טבלת פרמטרים'!$C$5,3,IF(F420='טבלת פרמטרים'!$C$4,1,0))+IF(G420='טבלת פרמטרים'!$D$3,2,0)+IF(M420='טבלת פרמטרים'!$J$4,2,IF(M420='טבלת פרמטרים'!$J$3,1,0))+IF(N420='טבלת פרמטרים'!$K$6,3,IF(OR(N420='טבלת פרמטרים'!$K$4,N420='טבלת פרמטרים'!$K$5),2,IF(N420='טבלת פרמטרים'!$K$3,1,0))))</f>
        <v>6</v>
      </c>
      <c r="Q420" s="20" t="s">
        <v>332</v>
      </c>
      <c r="R420" s="19">
        <f t="shared" si="10"/>
        <v>14</v>
      </c>
      <c r="T420" s="19">
        <f>IF(EXACT(Q420,'טבלת פרמטרים'!$O$2),'טבלת פרמטרים'!$P$2,IF(EXACT(Q420,'טבלת פרמטרים'!$O$3),'טבלת פרמטרים'!$P$3,IF(EXACT(Q420,'טבלת פרמטרים'!$O$4),'טבלת פרמטרים'!$P$4,IF(EXACT(Q420,'טבלת פרמטרים'!$O$5),'טבלת פרמטרים'!$P$5,IF(EXACT(Q420,'טבלת פרמטרים'!$O$6),'טבלת פרמטרים'!$P$6,IF(EXACT(Q420,'טבלת פרמטרים'!$O$7),'טבלת פרמטרים'!$P$7,""))))))</f>
        <v>8</v>
      </c>
    </row>
    <row r="421" spans="1:20" x14ac:dyDescent="0.2">
      <c r="A421" s="18">
        <v>421</v>
      </c>
      <c r="B421" s="30">
        <v>44682</v>
      </c>
      <c r="C421" s="30">
        <v>44682</v>
      </c>
      <c r="D421" s="21" t="s">
        <v>17</v>
      </c>
      <c r="E421" s="21" t="s">
        <v>21</v>
      </c>
      <c r="F421" s="21" t="s">
        <v>23</v>
      </c>
      <c r="G421" s="21" t="s">
        <v>26</v>
      </c>
      <c r="H421" s="21" t="s">
        <v>29</v>
      </c>
      <c r="J421" s="21" t="s">
        <v>35</v>
      </c>
      <c r="K421" s="21" t="s">
        <v>43</v>
      </c>
      <c r="L421" s="21" t="s">
        <v>51</v>
      </c>
      <c r="M421" s="21" t="s">
        <v>53</v>
      </c>
      <c r="N421" s="21" t="s">
        <v>58</v>
      </c>
      <c r="O421" s="19">
        <f>IF(ISBLANK(D421),"",IF(D421='טבלת פרמטרים'!$A$9,1,0)+IF(E421='טבלת פרמטרים'!$B$5,2,1)+IF(F421='טבלת פרמטרים'!$C$5,3,IF(F421='טבלת פרמטרים'!$C$4,1,0))+IF(G421='טבלת פרמטרים'!$D$3,2,0)+IF(M421='טבלת פרמטרים'!$J$4,2,IF(M421='טבלת פרמטרים'!$J$3,1,0))+IF(N421='טבלת פרמטרים'!$K$6,3,IF(OR(N421='טבלת פרמטרים'!$K$4,N421='טבלת פרמטרים'!$K$5),2,IF(N421='טבלת פרמטרים'!$K$3,1,0))))</f>
        <v>3</v>
      </c>
      <c r="Q421" s="20" t="s">
        <v>123</v>
      </c>
      <c r="R421" s="19">
        <f t="shared" si="10"/>
        <v>3</v>
      </c>
      <c r="T421" s="19">
        <f>IF(EXACT(Q421,'טבלת פרמטרים'!$O$2),'טבלת פרמטרים'!$P$2,IF(EXACT(Q421,'טבלת פרמטרים'!$O$3),'טבלת פרמטרים'!$P$3,IF(EXACT(Q421,'טבלת פרמטרים'!$O$4),'טבלת פרמטרים'!$P$4,IF(EXACT(Q421,'טבלת פרמטרים'!$O$5),'טבלת פרמטרים'!$P$5,IF(EXACT(Q421,'טבלת פרמטרים'!$O$6),'טבלת פרמטרים'!$P$6,IF(EXACT(Q421,'טבלת פרמטרים'!$O$7),'טבלת פרמטרים'!$P$7,""))))))</f>
        <v>0</v>
      </c>
    </row>
    <row r="422" spans="1:20" x14ac:dyDescent="0.2">
      <c r="A422" s="18">
        <v>422</v>
      </c>
      <c r="B422" s="30">
        <v>44682</v>
      </c>
      <c r="C422" s="30">
        <v>44682</v>
      </c>
      <c r="D422" s="21" t="s">
        <v>19</v>
      </c>
      <c r="E422" s="21" t="s">
        <v>111</v>
      </c>
      <c r="F422" s="21" t="s">
        <v>23</v>
      </c>
      <c r="G422" s="21" t="s">
        <v>26</v>
      </c>
      <c r="H422" s="21" t="s">
        <v>32</v>
      </c>
      <c r="L422" s="21" t="s">
        <v>51</v>
      </c>
      <c r="M422" s="21" t="s">
        <v>54</v>
      </c>
      <c r="N422" s="21" t="s">
        <v>57</v>
      </c>
      <c r="O422" s="19">
        <f>IF(ISBLANK(D422),"",IF(D422='טבלת פרמטרים'!$A$9,1,0)+IF(E422='טבלת פרמטרים'!$B$5,2,1)+IF(F422='טבלת פרמטרים'!$C$5,3,IF(F422='טבלת פרמטרים'!$C$4,1,0))+IF(G422='טבלת פרמטרים'!$D$3,2,0)+IF(M422='טבלת פרמטרים'!$J$4,2,IF(M422='טבלת פרמטרים'!$J$3,1,0))+IF(N422='טבלת פרמטרים'!$K$6,3,IF(OR(N422='טבלת פרמטרים'!$K$4,N422='טבלת פרמטרים'!$K$5),2,IF(N422='טבלת פרמטרים'!$K$3,1,0))))</f>
        <v>2</v>
      </c>
      <c r="Q422" s="20" t="s">
        <v>123</v>
      </c>
      <c r="R422" s="19">
        <f t="shared" si="10"/>
        <v>2</v>
      </c>
      <c r="T422" s="19">
        <f>IF(EXACT(Q422,'טבלת פרמטרים'!$O$2),'טבלת פרמטרים'!$P$2,IF(EXACT(Q422,'טבלת פרמטרים'!$O$3),'טבלת פרמטרים'!$P$3,IF(EXACT(Q422,'טבלת פרמטרים'!$O$4),'טבלת פרמטרים'!$P$4,IF(EXACT(Q422,'טבלת פרמטרים'!$O$5),'טבלת פרמטרים'!$P$5,IF(EXACT(Q422,'טבלת פרמטרים'!$O$6),'טבלת פרמטרים'!$P$6,IF(EXACT(Q422,'טבלת פרמטרים'!$O$7),'טבלת פרמטרים'!$P$7,""))))))</f>
        <v>0</v>
      </c>
    </row>
    <row r="423" spans="1:20" x14ac:dyDescent="0.2">
      <c r="A423" s="18">
        <v>423</v>
      </c>
      <c r="B423" s="30">
        <v>44684</v>
      </c>
      <c r="C423" s="30">
        <v>44684</v>
      </c>
      <c r="D423" s="21" t="s">
        <v>17</v>
      </c>
      <c r="E423" s="21" t="s">
        <v>20</v>
      </c>
      <c r="F423" s="21" t="s">
        <v>23</v>
      </c>
      <c r="G423" s="21" t="s">
        <v>27</v>
      </c>
      <c r="H423" s="21" t="s">
        <v>32</v>
      </c>
      <c r="I423" s="21" t="s">
        <v>126</v>
      </c>
      <c r="J423" s="21" t="s">
        <v>35</v>
      </c>
      <c r="K423" s="21" t="s">
        <v>44</v>
      </c>
      <c r="L423" s="21" t="s">
        <v>51</v>
      </c>
      <c r="M423" s="21" t="s">
        <v>54</v>
      </c>
      <c r="N423" s="21" t="s">
        <v>112</v>
      </c>
      <c r="O423" s="19">
        <f>IF(ISBLANK(D423),"",IF(D423='טבלת פרמטרים'!$A$9,1,0)+IF(E423='טבלת פרמטרים'!$B$5,2,1)+IF(F423='טבלת פרמטרים'!$C$5,3,IF(F423='טבלת פרמטרים'!$C$4,1,0))+IF(G423='טבלת פרמטרים'!$D$3,2,0)+IF(M423='טבלת פרמטרים'!$J$4,2,IF(M423='טבלת פרמטרים'!$J$3,1,0))+IF(N423='טבלת פרמטרים'!$K$6,3,IF(OR(N423='טבלת פרמטרים'!$K$4,N423='טבלת פרמטרים'!$K$5),2,IF(N423='טבלת פרמטרים'!$K$3,1,0))))</f>
        <v>7</v>
      </c>
      <c r="Q423" s="20" t="s">
        <v>123</v>
      </c>
      <c r="R423" s="19">
        <f t="shared" si="10"/>
        <v>7</v>
      </c>
      <c r="T423" s="19">
        <f>IF(EXACT(Q423,'טבלת פרמטרים'!$O$2),'טבלת פרמטרים'!$P$2,IF(EXACT(Q423,'טבלת פרמטרים'!$O$3),'טבלת פרמטרים'!$P$3,IF(EXACT(Q423,'טבלת פרמטרים'!$O$4),'טבלת פרמטרים'!$P$4,IF(EXACT(Q423,'טבלת פרמטרים'!$O$5),'טבלת פרמטרים'!$P$5,IF(EXACT(Q423,'טבלת פרמטרים'!$O$6),'טבלת פרמטרים'!$P$6,IF(EXACT(Q423,'טבלת פרמטרים'!$O$7),'טבלת פרמטרים'!$P$7,""))))))</f>
        <v>0</v>
      </c>
    </row>
    <row r="424" spans="1:20" x14ac:dyDescent="0.2">
      <c r="A424" s="18">
        <v>424</v>
      </c>
      <c r="B424" s="30">
        <v>44690</v>
      </c>
      <c r="C424" s="30">
        <v>44692</v>
      </c>
      <c r="D424" s="21" t="s">
        <v>17</v>
      </c>
      <c r="E424" s="21" t="s">
        <v>20</v>
      </c>
      <c r="F424" s="21" t="s">
        <v>23</v>
      </c>
      <c r="G424" s="21" t="s">
        <v>27</v>
      </c>
      <c r="H424" s="21" t="s">
        <v>32</v>
      </c>
      <c r="K424" s="21" t="s">
        <v>44</v>
      </c>
      <c r="L424" s="21" t="s">
        <v>51</v>
      </c>
      <c r="N424" s="21" t="s">
        <v>57</v>
      </c>
      <c r="O424" s="19">
        <f>IF(ISBLANK(D424),"",IF(D424='טבלת פרמטרים'!$A$9,1,0)+IF(E424='טבלת פרמטרים'!$B$5,2,1)+IF(F424='טבלת פרמטרים'!$C$5,3,IF(F424='טבלת פרמטרים'!$C$4,1,0))+IF(G424='טבלת פרמטרים'!$D$3,2,0)+IF(M424='טבלת פרמטרים'!$J$4,2,IF(M424='טבלת פרמטרים'!$J$3,1,0))+IF(N424='טבלת פרמטרים'!$K$6,3,IF(OR(N424='טבלת פרמטרים'!$K$4,N424='טבלת פרמטרים'!$K$5),2,IF(N424='טבלת פרמטרים'!$K$3,1,0))))</f>
        <v>4</v>
      </c>
      <c r="Q424" s="20" t="s">
        <v>123</v>
      </c>
      <c r="R424" s="19">
        <f t="shared" si="10"/>
        <v>4</v>
      </c>
      <c r="T424" s="19">
        <f>IF(EXACT(Q424,'טבלת פרמטרים'!$O$2),'טבלת פרמטרים'!$P$2,IF(EXACT(Q424,'טבלת פרמטרים'!$O$3),'טבלת פרמטרים'!$P$3,IF(EXACT(Q424,'טבלת פרמטרים'!$O$4),'טבלת פרמטרים'!$P$4,IF(EXACT(Q424,'טבלת פרמטרים'!$O$5),'טבלת פרמטרים'!$P$5,IF(EXACT(Q424,'טבלת פרמטרים'!$O$6),'טבלת פרמטרים'!$P$6,IF(EXACT(Q424,'טבלת פרמטרים'!$O$7),'טבלת פרמטרים'!$P$7,""))))))</f>
        <v>0</v>
      </c>
    </row>
    <row r="425" spans="1:20" x14ac:dyDescent="0.2">
      <c r="A425" s="18">
        <v>425</v>
      </c>
      <c r="B425" s="30">
        <v>44697</v>
      </c>
      <c r="C425" s="30">
        <v>44698</v>
      </c>
      <c r="D425" s="21" t="s">
        <v>17</v>
      </c>
      <c r="E425" s="21" t="s">
        <v>20</v>
      </c>
      <c r="F425" s="21" t="s">
        <v>23</v>
      </c>
      <c r="G425" s="21" t="s">
        <v>26</v>
      </c>
      <c r="H425" s="21" t="s">
        <v>28</v>
      </c>
      <c r="J425" s="21" t="s">
        <v>35</v>
      </c>
      <c r="N425" s="21" t="s">
        <v>112</v>
      </c>
      <c r="O425" s="19">
        <f>IF(ISBLANK(D425),"",IF(D425='טבלת פרמטרים'!$A$9,1,0)+IF(E425='טבלת פרמטרים'!$B$5,2,1)+IF(F425='טבלת פרמטרים'!$C$5,3,IF(F425='טבלת פרמטרים'!$C$4,1,0))+IF(G425='טבלת פרמטרים'!$D$3,2,0)+IF(M425='טבלת פרמטרים'!$J$4,2,IF(M425='טבלת פרמטרים'!$J$3,1,0))+IF(N425='טבלת פרמטרים'!$K$6,3,IF(OR(N425='טבלת פרמטרים'!$K$4,N425='טבלת פרמטרים'!$K$5),2,IF(N425='טבלת פרמטרים'!$K$3,1,0))))</f>
        <v>4</v>
      </c>
      <c r="Q425" s="20" t="s">
        <v>123</v>
      </c>
      <c r="R425" s="19">
        <f t="shared" si="10"/>
        <v>4</v>
      </c>
      <c r="T425" s="19">
        <f>IF(EXACT(Q425,'טבלת פרמטרים'!$O$2),'טבלת פרמטרים'!$P$2,IF(EXACT(Q425,'טבלת פרמטרים'!$O$3),'טבלת פרמטרים'!$P$3,IF(EXACT(Q425,'טבלת פרמטרים'!$O$4),'טבלת פרמטרים'!$P$4,IF(EXACT(Q425,'טבלת פרמטרים'!$O$5),'טבלת פרמטרים'!$P$5,IF(EXACT(Q425,'טבלת פרמטרים'!$O$6),'טבלת פרמטרים'!$P$6,IF(EXACT(Q425,'טבלת פרמטרים'!$O$7),'טבלת פרמטרים'!$P$7,""))))))</f>
        <v>0</v>
      </c>
    </row>
    <row r="426" spans="1:20" ht="28.5" x14ac:dyDescent="0.2">
      <c r="A426" s="18">
        <v>426</v>
      </c>
      <c r="B426" s="30">
        <v>44696</v>
      </c>
      <c r="C426" s="30">
        <v>44700</v>
      </c>
      <c r="D426" s="21" t="s">
        <v>17</v>
      </c>
      <c r="E426" s="21" t="s">
        <v>22</v>
      </c>
      <c r="F426" s="21" t="s">
        <v>24</v>
      </c>
      <c r="G426" s="21" t="s">
        <v>27</v>
      </c>
      <c r="H426" s="21" t="s">
        <v>30</v>
      </c>
      <c r="I426" s="21" t="s">
        <v>127</v>
      </c>
      <c r="J426" s="21" t="s">
        <v>33</v>
      </c>
      <c r="K426" s="21" t="s">
        <v>45</v>
      </c>
      <c r="L426" s="21" t="s">
        <v>51</v>
      </c>
      <c r="M426" s="21" t="s">
        <v>54</v>
      </c>
      <c r="N426" s="21" t="s">
        <v>58</v>
      </c>
      <c r="O426" s="19">
        <f>IF(ISBLANK(D426),"",IF(D426='טבלת פרמטרים'!$A$9,1,0)+IF(E426='טבלת פרמטרים'!$B$5,2,1)+IF(F426='טבלת פרמטרים'!$C$5,3,IF(F426='טבלת פרמטרים'!$C$4,1,0))+IF(G426='טבלת פרמטרים'!$D$3,2,0)+IF(M426='טבלת פרמטרים'!$J$4,2,IF(M426='טבלת פרמטרים'!$J$3,1,0))+IF(N426='טבלת פרמטרים'!$K$6,3,IF(OR(N426='טבלת פרמטרים'!$K$4,N426='טבלת פרמטרים'!$K$5),2,IF(N426='טבלת פרמטרים'!$K$3,1,0))))</f>
        <v>8</v>
      </c>
      <c r="Q426" s="20" t="s">
        <v>331</v>
      </c>
      <c r="R426" s="19">
        <f t="shared" si="10"/>
        <v>14</v>
      </c>
      <c r="T426" s="19">
        <f>IF(EXACT(Q426,'טבלת פרמטרים'!$O$2),'טבלת פרמטרים'!$P$2,IF(EXACT(Q426,'טבלת פרמטרים'!$O$3),'טבלת פרמטרים'!$P$3,IF(EXACT(Q426,'טבלת פרמטרים'!$O$4),'טבלת פרמטרים'!$P$4,IF(EXACT(Q426,'טבלת פרמטרים'!$O$5),'טבלת פרמטרים'!$P$5,IF(EXACT(Q426,'טבלת פרמטרים'!$O$6),'טבלת פרמטרים'!$P$6,IF(EXACT(Q426,'טבלת פרמטרים'!$O$7),'טבלת פרמטרים'!$P$7,""))))))</f>
        <v>6</v>
      </c>
    </row>
    <row r="427" spans="1:20" x14ac:dyDescent="0.2">
      <c r="A427" s="18">
        <v>427</v>
      </c>
      <c r="B427" s="30">
        <v>44704</v>
      </c>
      <c r="C427" s="30">
        <v>44704</v>
      </c>
      <c r="D427" s="21" t="s">
        <v>13</v>
      </c>
      <c r="E427" s="21" t="s">
        <v>111</v>
      </c>
      <c r="F427" s="21" t="s">
        <v>23</v>
      </c>
      <c r="G427" s="21" t="s">
        <v>26</v>
      </c>
      <c r="H427" s="21" t="s">
        <v>32</v>
      </c>
      <c r="I427" s="21" t="s">
        <v>127</v>
      </c>
      <c r="K427" s="21" t="s">
        <v>43</v>
      </c>
      <c r="L427" s="21" t="s">
        <v>49</v>
      </c>
      <c r="M427" s="21" t="s">
        <v>55</v>
      </c>
      <c r="N427" s="21" t="s">
        <v>59</v>
      </c>
      <c r="O427" s="19">
        <f>IF(ISBLANK(D427),"",IF(D427='טבלת פרמטרים'!$A$9,1,0)+IF(E427='טבלת פרמטרים'!$B$5,2,1)+IF(F427='טבלת פרמטרים'!$C$5,3,IF(F427='טבלת פרמטרים'!$C$4,1,0))+IF(G427='טבלת פרמטרים'!$D$3,2,0)+IF(M427='טבלת פרמטרים'!$J$4,2,IF(M427='טבלת פרמטרים'!$J$3,1,0))+IF(N427='טבלת פרמטרים'!$K$6,3,IF(OR(N427='טבלת פרמטרים'!$K$4,N427='טבלת פרמטרים'!$K$5),2,IF(N427='טבלת פרמטרים'!$K$3,1,0))))</f>
        <v>5</v>
      </c>
      <c r="Q427" s="20" t="s">
        <v>123</v>
      </c>
      <c r="R427" s="19">
        <f t="shared" si="10"/>
        <v>5</v>
      </c>
      <c r="T427" s="19">
        <f>IF(EXACT(Q427,'טבלת פרמטרים'!$O$2),'טבלת פרמטרים'!$P$2,IF(EXACT(Q427,'טבלת פרמטרים'!$O$3),'טבלת פרמטרים'!$P$3,IF(EXACT(Q427,'טבלת פרמטרים'!$O$4),'טבלת פרמטרים'!$P$4,IF(EXACT(Q427,'טבלת פרמטרים'!$O$5),'טבלת פרמטרים'!$P$5,IF(EXACT(Q427,'טבלת פרמטרים'!$O$6),'טבלת פרמטרים'!$P$6,IF(EXACT(Q427,'טבלת פרמטרים'!$O$7),'טבלת פרמטרים'!$P$7,""))))))</f>
        <v>0</v>
      </c>
    </row>
    <row r="428" spans="1:20" x14ac:dyDescent="0.2">
      <c r="A428" s="18">
        <v>428</v>
      </c>
      <c r="B428" s="30">
        <v>44707</v>
      </c>
      <c r="C428" s="30">
        <v>44710</v>
      </c>
      <c r="D428" s="21" t="s">
        <v>11</v>
      </c>
      <c r="E428" s="21" t="s">
        <v>20</v>
      </c>
      <c r="F428" s="21" t="s">
        <v>23</v>
      </c>
      <c r="G428" s="21" t="s">
        <v>26</v>
      </c>
      <c r="H428" s="21" t="s">
        <v>29</v>
      </c>
      <c r="K428" s="21" t="s">
        <v>44</v>
      </c>
      <c r="L428" s="21" t="s">
        <v>51</v>
      </c>
      <c r="M428" s="21" t="s">
        <v>53</v>
      </c>
      <c r="N428" s="21" t="s">
        <v>112</v>
      </c>
      <c r="O428" s="19">
        <f>IF(ISBLANK(D428),"",IF(D428='טבלת פרמטרים'!$A$9,1,0)+IF(E428='טבלת פרמטרים'!$B$5,2,1)+IF(F428='טבלת פרמטרים'!$C$5,3,IF(F428='טבלת פרמטרים'!$C$4,1,0))+IF(G428='טבלת פרמטרים'!$D$3,2,0)+IF(M428='טבלת פרמטרים'!$J$4,2,IF(M428='טבלת פרמטרים'!$J$3,1,0))+IF(N428='טבלת פרמטרים'!$K$6,3,IF(OR(N428='טבלת פרמטרים'!$K$4,N428='טבלת פרמטרים'!$K$5),2,IF(N428='טבלת פרמטרים'!$K$3,1,0))))</f>
        <v>3</v>
      </c>
      <c r="Q428" s="20" t="s">
        <v>123</v>
      </c>
      <c r="R428" s="19">
        <f t="shared" si="10"/>
        <v>3</v>
      </c>
      <c r="T428" s="19">
        <f>IF(EXACT(Q428,'טבלת פרמטרים'!$O$2),'טבלת פרמטרים'!$P$2,IF(EXACT(Q428,'טבלת פרמטרים'!$O$3),'טבלת פרמטרים'!$P$3,IF(EXACT(Q428,'טבלת פרמטרים'!$O$4),'טבלת פרמטרים'!$P$4,IF(EXACT(Q428,'טבלת פרמטרים'!$O$5),'טבלת פרמטרים'!$P$5,IF(EXACT(Q428,'טבלת פרמטרים'!$O$6),'טבלת פרמטרים'!$P$6,IF(EXACT(Q428,'טבלת פרמטרים'!$O$7),'טבלת פרמטרים'!$P$7,""))))))</f>
        <v>0</v>
      </c>
    </row>
    <row r="429" spans="1:20" x14ac:dyDescent="0.2">
      <c r="A429" s="18">
        <v>429</v>
      </c>
      <c r="B429" s="30">
        <v>44710</v>
      </c>
      <c r="C429" s="30" t="s">
        <v>709</v>
      </c>
      <c r="D429" s="21" t="s">
        <v>14</v>
      </c>
      <c r="E429" s="21" t="s">
        <v>111</v>
      </c>
      <c r="F429" s="21" t="s">
        <v>23</v>
      </c>
      <c r="G429" s="21" t="s">
        <v>26</v>
      </c>
      <c r="H429" s="21" t="s">
        <v>29</v>
      </c>
      <c r="I429" s="21" t="s">
        <v>126</v>
      </c>
      <c r="J429" s="21" t="s">
        <v>35</v>
      </c>
      <c r="K429" s="21" t="s">
        <v>44</v>
      </c>
      <c r="L429" s="21" t="s">
        <v>51</v>
      </c>
      <c r="M429" s="21" t="s">
        <v>54</v>
      </c>
      <c r="N429" s="21" t="s">
        <v>59</v>
      </c>
      <c r="O429" s="19">
        <f>IF(ISBLANK(D429),"",IF(D429='טבלת פרמטרים'!$A$9,1,0)+IF(E429='טבלת פרמטרים'!$B$5,2,1)+IF(F429='טבלת פרמטרים'!$C$5,3,IF(F429='טבלת פרמטרים'!$C$4,1,0))+IF(G429='טבלת פרמטרים'!$D$3,2,0)+IF(M429='טבלת פרמטרים'!$J$4,2,IF(M429='טבלת פרמטרים'!$J$3,1,0))+IF(N429='טבלת פרמטרים'!$K$6,3,IF(OR(N429='טבלת פרמטרים'!$K$4,N429='טבלת פרמטרים'!$K$5),2,IF(N429='טבלת פרמטרים'!$K$3,1,0))))</f>
        <v>4</v>
      </c>
      <c r="Q429" s="20" t="s">
        <v>123</v>
      </c>
      <c r="R429" s="19">
        <f t="shared" si="10"/>
        <v>4</v>
      </c>
      <c r="T429" s="19">
        <f>IF(EXACT(Q429,'טבלת פרמטרים'!$O$2),'טבלת פרמטרים'!$P$2,IF(EXACT(Q429,'טבלת פרמטרים'!$O$3),'טבלת פרמטרים'!$P$3,IF(EXACT(Q429,'טבלת פרמטרים'!$O$4),'טבלת פרמטרים'!$P$4,IF(EXACT(Q429,'טבלת פרמטרים'!$O$5),'טבלת פרמטרים'!$P$5,IF(EXACT(Q429,'טבלת פרמטרים'!$O$6),'טבלת פרמטרים'!$P$6,IF(EXACT(Q429,'טבלת פרמטרים'!$O$7),'טבלת פרמטרים'!$P$7,""))))))</f>
        <v>0</v>
      </c>
    </row>
    <row r="430" spans="1:20" x14ac:dyDescent="0.2">
      <c r="A430" s="18">
        <v>430</v>
      </c>
      <c r="B430" s="30">
        <v>44346</v>
      </c>
      <c r="C430" s="30">
        <v>44346</v>
      </c>
      <c r="D430" s="21" t="s">
        <v>14</v>
      </c>
      <c r="E430" s="21" t="s">
        <v>111</v>
      </c>
      <c r="F430" s="21" t="s">
        <v>23</v>
      </c>
      <c r="G430" s="21" t="s">
        <v>26</v>
      </c>
      <c r="H430" s="21" t="s">
        <v>29</v>
      </c>
      <c r="I430" s="21" t="s">
        <v>126</v>
      </c>
      <c r="J430" s="21" t="s">
        <v>35</v>
      </c>
      <c r="K430" s="21" t="s">
        <v>43</v>
      </c>
      <c r="L430" s="21" t="s">
        <v>51</v>
      </c>
      <c r="M430" s="21" t="s">
        <v>54</v>
      </c>
      <c r="N430" s="21" t="s">
        <v>58</v>
      </c>
      <c r="O430" s="19">
        <f>IF(ISBLANK(D430),"",IF(D430='טבלת פרמטרים'!$A$9,1,0)+IF(E430='טבלת פרמטרים'!$B$5,2,1)+IF(F430='טבלת פרמטרים'!$C$5,3,IF(F430='טבלת פרמטרים'!$C$4,1,0))+IF(G430='טבלת פרמטרים'!$D$3,2,0)+IF(M430='טבלת פרמטרים'!$J$4,2,IF(M430='טבלת פרמטרים'!$J$3,1,0))+IF(N430='טבלת פרמטרים'!$K$6,3,IF(OR(N430='טבלת פרמטרים'!$K$4,N430='טבלת פרמטרים'!$K$5),2,IF(N430='טבלת פרמטרים'!$K$3,1,0))))</f>
        <v>3</v>
      </c>
      <c r="Q430" s="20" t="s">
        <v>123</v>
      </c>
      <c r="R430" s="19">
        <f t="shared" si="10"/>
        <v>3</v>
      </c>
      <c r="T430" s="19">
        <f>IF(EXACT(Q430,'טבלת פרמטרים'!$O$2),'טבלת פרמטרים'!$P$2,IF(EXACT(Q430,'טבלת פרמטרים'!$O$3),'טבלת פרמטרים'!$P$3,IF(EXACT(Q430,'טבלת פרמטרים'!$O$4),'טבלת פרמטרים'!$P$4,IF(EXACT(Q430,'טבלת פרמטרים'!$O$5),'טבלת פרמטרים'!$P$5,IF(EXACT(Q430,'טבלת פרמטרים'!$O$6),'טבלת פרמטרים'!$P$6,IF(EXACT(Q430,'טבלת פרמטרים'!$O$7),'טבלת פרמטרים'!$P$7,""))))))</f>
        <v>0</v>
      </c>
    </row>
    <row r="431" spans="1:20" x14ac:dyDescent="0.2">
      <c r="A431" s="18">
        <v>431</v>
      </c>
      <c r="B431" s="30">
        <v>44711</v>
      </c>
      <c r="C431" s="30">
        <v>44711</v>
      </c>
      <c r="D431" s="21" t="s">
        <v>10</v>
      </c>
      <c r="E431" s="21" t="s">
        <v>111</v>
      </c>
      <c r="F431" s="21" t="s">
        <v>23</v>
      </c>
      <c r="G431" s="21" t="s">
        <v>26</v>
      </c>
      <c r="H431" s="21" t="s">
        <v>31</v>
      </c>
      <c r="I431" s="21" t="s">
        <v>127</v>
      </c>
      <c r="K431" s="21" t="s">
        <v>43</v>
      </c>
      <c r="L431" s="21" t="s">
        <v>49</v>
      </c>
      <c r="N431" s="21" t="s">
        <v>59</v>
      </c>
      <c r="O431" s="19">
        <f>IF(ISBLANK(D431),"",IF(D431='טבלת פרמטרים'!$A$9,1,0)+IF(E431='טבלת פרמטרים'!$B$5,2,1)+IF(F431='טבלת פרמטרים'!$C$5,3,IF(F431='טבלת פרמטרים'!$C$4,1,0))+IF(G431='טבלת פרמטרים'!$D$3,2,0)+IF(M431='טבלת פרמטרים'!$J$4,2,IF(M431='טבלת פרמטרים'!$J$3,1,0))+IF(N431='טבלת פרמטרים'!$K$6,3,IF(OR(N431='טבלת פרמטרים'!$K$4,N431='טבלת פרמטרים'!$K$5),2,IF(N431='טבלת פרמטרים'!$K$3,1,0))))</f>
        <v>3</v>
      </c>
      <c r="Q431" s="20" t="s">
        <v>123</v>
      </c>
      <c r="R431" s="19">
        <f t="shared" si="10"/>
        <v>3</v>
      </c>
      <c r="T431" s="19">
        <f>IF(EXACT(Q431,'טבלת פרמטרים'!$O$2),'טבלת פרמטרים'!$P$2,IF(EXACT(Q431,'טבלת פרמטרים'!$O$3),'טבלת פרמטרים'!$P$3,IF(EXACT(Q431,'טבלת פרמטרים'!$O$4),'טבלת פרמטרים'!$P$4,IF(EXACT(Q431,'טבלת פרמטרים'!$O$5),'טבלת פרמטרים'!$P$5,IF(EXACT(Q431,'טבלת פרמטרים'!$O$6),'טבלת פרמטרים'!$P$6,IF(EXACT(Q431,'טבלת פרמטרים'!$O$7),'טבלת פרמטרים'!$P$7,""))))))</f>
        <v>0</v>
      </c>
    </row>
    <row r="432" spans="1:20" x14ac:dyDescent="0.2">
      <c r="A432" s="18">
        <v>432</v>
      </c>
      <c r="B432" s="30">
        <v>44711</v>
      </c>
      <c r="C432" s="30">
        <v>44712</v>
      </c>
      <c r="D432" s="21" t="s">
        <v>10</v>
      </c>
      <c r="E432" s="21" t="s">
        <v>111</v>
      </c>
      <c r="F432" s="21" t="s">
        <v>23</v>
      </c>
      <c r="G432" s="21" t="s">
        <v>26</v>
      </c>
      <c r="H432" s="21" t="s">
        <v>31</v>
      </c>
      <c r="I432" s="21" t="s">
        <v>126</v>
      </c>
      <c r="J432" s="21" t="s">
        <v>42</v>
      </c>
      <c r="L432" s="21" t="s">
        <v>51</v>
      </c>
      <c r="M432" s="21" t="s">
        <v>53</v>
      </c>
      <c r="N432" s="21" t="s">
        <v>59</v>
      </c>
      <c r="O432" s="19">
        <f>IF(ISBLANK(D432),"",IF(D432='טבלת פרמטרים'!$A$9,1,0)+IF(E432='טבלת פרמטרים'!$B$5,2,1)+IF(F432='טבלת פרמטרים'!$C$5,3,IF(F432='טבלת פרמטרים'!$C$4,1,0))+IF(G432='טבלת פרמטרים'!$D$3,2,0)+IF(M432='טבלת פרמטרים'!$J$4,2,IF(M432='טבלת פרמטרים'!$J$3,1,0))+IF(N432='טבלת פרמטרים'!$K$6,3,IF(OR(N432='טבלת פרמטרים'!$K$4,N432='טבלת פרמטרים'!$K$5),2,IF(N432='טבלת פרמטרים'!$K$3,1,0))))</f>
        <v>3</v>
      </c>
      <c r="Q432" s="20" t="s">
        <v>123</v>
      </c>
      <c r="R432" s="19">
        <f t="shared" si="10"/>
        <v>3</v>
      </c>
      <c r="T432" s="19">
        <f>IF(EXACT(Q432,'טבלת פרמטרים'!$O$2),'טבלת פרמטרים'!$P$2,IF(EXACT(Q432,'טבלת פרמטרים'!$O$3),'טבלת פרמטרים'!$P$3,IF(EXACT(Q432,'טבלת פרמטרים'!$O$4),'טבלת פרמטרים'!$P$4,IF(EXACT(Q432,'טבלת פרמטרים'!$O$5),'טבלת פרמטרים'!$P$5,IF(EXACT(Q432,'טבלת פרמטרים'!$O$6),'טבלת פרמטרים'!$P$6,IF(EXACT(Q432,'טבלת פרמטרים'!$O$7),'טבלת פרמטרים'!$P$7,""))))))</f>
        <v>0</v>
      </c>
    </row>
    <row r="433" spans="1:20" x14ac:dyDescent="0.2">
      <c r="A433" s="18">
        <v>433</v>
      </c>
      <c r="B433" s="30">
        <v>44712</v>
      </c>
      <c r="C433" s="30">
        <v>44712</v>
      </c>
      <c r="D433" s="21" t="s">
        <v>10</v>
      </c>
      <c r="E433" s="21" t="s">
        <v>20</v>
      </c>
      <c r="F433" s="21" t="s">
        <v>23</v>
      </c>
      <c r="G433" s="21" t="s">
        <v>26</v>
      </c>
      <c r="H433" s="21" t="s">
        <v>32</v>
      </c>
      <c r="J433" s="21" t="s">
        <v>11</v>
      </c>
      <c r="K433" s="21" t="s">
        <v>43</v>
      </c>
      <c r="L433" s="21" t="s">
        <v>51</v>
      </c>
      <c r="M433" s="21" t="s">
        <v>55</v>
      </c>
      <c r="N433" s="21" t="s">
        <v>112</v>
      </c>
      <c r="O433" s="19">
        <f>IF(ISBLANK(D433),"",IF(D433='טבלת פרמטרים'!$A$9,1,0)+IF(E433='טבלת פרמטרים'!$B$5,2,1)+IF(F433='טבלת פרמטרים'!$C$5,3,IF(F433='טבלת פרמטרים'!$C$4,1,0))+IF(G433='טבלת פרמטרים'!$D$3,2,0)+IF(M433='טבלת פרמטרים'!$J$4,2,IF(M433='טבלת פרמטרים'!$J$3,1,0))+IF(N433='טבלת פרמטרים'!$K$6,3,IF(OR(N433='טבלת פרמטרים'!$K$4,N433='טבלת פרמטרים'!$K$5),2,IF(N433='טבלת פרמטרים'!$K$3,1,0))))</f>
        <v>5</v>
      </c>
      <c r="Q433" s="20" t="s">
        <v>123</v>
      </c>
      <c r="R433" s="19">
        <f t="shared" si="10"/>
        <v>5</v>
      </c>
      <c r="T433" s="19">
        <f>IF(EXACT(Q433,'טבלת פרמטרים'!$O$2),'טבלת פרמטרים'!$P$2,IF(EXACT(Q433,'טבלת פרמטרים'!$O$3),'טבלת פרמטרים'!$P$3,IF(EXACT(Q433,'טבלת פרמטרים'!$O$4),'טבלת פרמטרים'!$P$4,IF(EXACT(Q433,'טבלת פרמטרים'!$O$5),'טבלת פרמטרים'!$P$5,IF(EXACT(Q433,'טבלת פרמטרים'!$O$6),'טבלת פרמטרים'!$P$6,IF(EXACT(Q433,'טבלת פרמטרים'!$O$7),'טבלת פרמטרים'!$P$7,""))))))</f>
        <v>0</v>
      </c>
    </row>
    <row r="434" spans="1:20" x14ac:dyDescent="0.2">
      <c r="A434" s="18">
        <v>434</v>
      </c>
      <c r="B434" s="30">
        <v>44710</v>
      </c>
      <c r="C434" s="30">
        <v>44712</v>
      </c>
      <c r="D434" s="21" t="s">
        <v>10</v>
      </c>
      <c r="E434" s="21" t="s">
        <v>20</v>
      </c>
      <c r="F434" s="21" t="s">
        <v>23</v>
      </c>
      <c r="G434" s="21" t="s">
        <v>26</v>
      </c>
      <c r="H434" s="21" t="s">
        <v>31</v>
      </c>
      <c r="J434" s="21" t="s">
        <v>42</v>
      </c>
      <c r="L434" s="21" t="s">
        <v>51</v>
      </c>
      <c r="M434" s="21" t="s">
        <v>53</v>
      </c>
      <c r="N434" s="21" t="s">
        <v>57</v>
      </c>
      <c r="O434" s="19">
        <f>IF(ISBLANK(D434),"",IF(D434='טבלת פרמטרים'!$A$9,1,0)+IF(E434='טבלת פרמטרים'!$B$5,2,1)+IF(F434='טבלת פרמטרים'!$C$5,3,IF(F434='טבלת פרמטרים'!$C$4,1,0))+IF(G434='טבלת פרמטרים'!$D$3,2,0)+IF(M434='טבלת פרמטרים'!$J$4,2,IF(M434='טבלת פרמטרים'!$J$3,1,0))+IF(N434='טבלת פרמטרים'!$K$6,3,IF(OR(N434='טבלת פרמטרים'!$K$4,N434='טבלת פרמטרים'!$K$5),2,IF(N434='טבלת פרמטרים'!$K$3,1,0))))</f>
        <v>1</v>
      </c>
      <c r="Q434" s="20" t="s">
        <v>123</v>
      </c>
      <c r="R434" s="19">
        <f t="shared" ref="R434:R497" si="11">IF(ISNUMBER(T434),T434+O434,O434)</f>
        <v>1</v>
      </c>
      <c r="T434" s="19">
        <f>IF(EXACT(Q434,'טבלת פרמטרים'!$O$2),'טבלת פרמטרים'!$P$2,IF(EXACT(Q434,'טבלת פרמטרים'!$O$3),'טבלת פרמטרים'!$P$3,IF(EXACT(Q434,'טבלת פרמטרים'!$O$4),'טבלת פרמטרים'!$P$4,IF(EXACT(Q434,'טבלת פרמטרים'!$O$5),'טבלת פרמטרים'!$P$5,IF(EXACT(Q434,'טבלת פרמטרים'!$O$6),'טבלת פרמטרים'!$P$6,IF(EXACT(Q434,'טבלת פרמטרים'!$O$7),'טבלת פרמטרים'!$P$7,""))))))</f>
        <v>0</v>
      </c>
    </row>
    <row r="435" spans="1:20" x14ac:dyDescent="0.2">
      <c r="A435" s="18">
        <v>435</v>
      </c>
      <c r="B435" s="30">
        <v>44703</v>
      </c>
      <c r="C435" s="30">
        <v>44719</v>
      </c>
      <c r="D435" s="21" t="s">
        <v>11</v>
      </c>
      <c r="E435" s="21" t="s">
        <v>111</v>
      </c>
      <c r="F435" s="21" t="s">
        <v>23</v>
      </c>
      <c r="G435" s="21" t="s">
        <v>26</v>
      </c>
      <c r="H435" s="21" t="s">
        <v>32</v>
      </c>
      <c r="J435" s="21" t="s">
        <v>11</v>
      </c>
      <c r="K435" s="21" t="s">
        <v>45</v>
      </c>
      <c r="L435" s="21" t="s">
        <v>51</v>
      </c>
      <c r="M435" s="21" t="s">
        <v>55</v>
      </c>
      <c r="N435" s="21" t="s">
        <v>112</v>
      </c>
      <c r="O435" s="19">
        <f>IF(ISBLANK(D435),"",IF(D435='טבלת פרמטרים'!$A$9,1,0)+IF(E435='טבלת פרמטרים'!$B$5,2,1)+IF(F435='טבלת פרמטרים'!$C$5,3,IF(F435='טבלת פרמטרים'!$C$4,1,0))+IF(G435='טבלת פרמטרים'!$D$3,2,0)+IF(M435='טבלת פרמטרים'!$J$4,2,IF(M435='טבלת פרמטרים'!$J$3,1,0))+IF(N435='טבלת פרמטרים'!$K$6,3,IF(OR(N435='טבלת פרמטרים'!$K$4,N435='טבלת פרמטרים'!$K$5),2,IF(N435='טבלת פרמטרים'!$K$3,1,0))))</f>
        <v>5</v>
      </c>
      <c r="Q435" s="20" t="s">
        <v>123</v>
      </c>
      <c r="R435" s="19">
        <f t="shared" si="11"/>
        <v>5</v>
      </c>
      <c r="T435" s="19">
        <f>IF(EXACT(Q435,'טבלת פרמטרים'!$O$2),'טבלת פרמטרים'!$P$2,IF(EXACT(Q435,'טבלת פרמטרים'!$O$3),'טבלת פרמטרים'!$P$3,IF(EXACT(Q435,'טבלת פרמטרים'!$O$4),'טבלת פרמטרים'!$P$4,IF(EXACT(Q435,'טבלת פרמטרים'!$O$5),'טבלת פרמטרים'!$P$5,IF(EXACT(Q435,'טבלת פרמטרים'!$O$6),'טבלת פרמטרים'!$P$6,IF(EXACT(Q435,'טבלת פרמטרים'!$O$7),'טבלת פרמטרים'!$P$7,""))))))</f>
        <v>0</v>
      </c>
    </row>
    <row r="436" spans="1:20" x14ac:dyDescent="0.2">
      <c r="A436" s="18">
        <v>436</v>
      </c>
      <c r="B436" s="30">
        <v>44703</v>
      </c>
      <c r="C436" s="30">
        <v>44720</v>
      </c>
      <c r="D436" s="21" t="s">
        <v>17</v>
      </c>
      <c r="F436" s="21" t="s">
        <v>24</v>
      </c>
      <c r="G436" s="21" t="s">
        <v>26</v>
      </c>
      <c r="H436" s="21" t="s">
        <v>30</v>
      </c>
      <c r="J436" s="21" t="s">
        <v>11</v>
      </c>
      <c r="K436" s="21" t="s">
        <v>44</v>
      </c>
      <c r="L436" s="21" t="s">
        <v>51</v>
      </c>
      <c r="M436" s="21" t="s">
        <v>55</v>
      </c>
      <c r="N436" s="21" t="s">
        <v>59</v>
      </c>
      <c r="O436" s="19">
        <f>IF(ISBLANK(D436),"",IF(D436='טבלת פרמטרים'!$A$9,1,0)+IF(E436='טבלת פרמטרים'!$B$5,2,1)+IF(F436='טבלת פרמטרים'!$C$5,3,IF(F436='טבלת פרמטרים'!$C$4,1,0))+IF(G436='טבלת פרמטרים'!$D$3,2,0)+IF(M436='טבלת פרמטרים'!$J$4,2,IF(M436='טבלת פרמטרים'!$J$3,1,0))+IF(N436='טבלת פרמטרים'!$K$6,3,IF(OR(N436='טבלת פרמטרים'!$K$4,N436='טבלת פרמטרים'!$K$5),2,IF(N436='טבלת פרמטרים'!$K$3,1,0))))</f>
        <v>7</v>
      </c>
      <c r="Q436" s="20" t="s">
        <v>123</v>
      </c>
      <c r="R436" s="19">
        <f t="shared" si="11"/>
        <v>7</v>
      </c>
      <c r="T436" s="19">
        <f>IF(EXACT(Q436,'טבלת פרמטרים'!$O$2),'טבלת פרמטרים'!$P$2,IF(EXACT(Q436,'טבלת פרמטרים'!$O$3),'טבלת פרמטרים'!$P$3,IF(EXACT(Q436,'טבלת פרמטרים'!$O$4),'טבלת פרמטרים'!$P$4,IF(EXACT(Q436,'טבלת פרמטרים'!$O$5),'טבלת פרמטרים'!$P$5,IF(EXACT(Q436,'טבלת פרמטרים'!$O$6),'טבלת פרמטרים'!$P$6,IF(EXACT(Q436,'טבלת פרמטרים'!$O$7),'טבלת פרמטרים'!$P$7,""))))))</f>
        <v>0</v>
      </c>
    </row>
    <row r="437" spans="1:20" x14ac:dyDescent="0.2">
      <c r="A437" s="18">
        <v>437</v>
      </c>
      <c r="B437" s="30">
        <v>44724</v>
      </c>
      <c r="C437" s="30">
        <v>44725</v>
      </c>
      <c r="D437" s="21" t="s">
        <v>16</v>
      </c>
      <c r="E437" s="21" t="s">
        <v>111</v>
      </c>
      <c r="F437" s="21" t="s">
        <v>23</v>
      </c>
      <c r="G437" s="21" t="s">
        <v>26</v>
      </c>
      <c r="H437" s="21" t="s">
        <v>19</v>
      </c>
      <c r="I437" s="21" t="s">
        <v>127</v>
      </c>
      <c r="J437" s="21" t="s">
        <v>35</v>
      </c>
      <c r="K437" s="21" t="s">
        <v>43</v>
      </c>
      <c r="L437" s="21" t="s">
        <v>51</v>
      </c>
      <c r="M437" s="21" t="s">
        <v>53</v>
      </c>
      <c r="N437" s="21" t="s">
        <v>59</v>
      </c>
      <c r="O437" s="19">
        <f>IF(ISBLANK(D437),"",IF(D437='טבלת פרמטרים'!$A$9,1,0)+IF(E437='טבלת פרמטרים'!$B$5,2,1)+IF(F437='טבלת פרמטרים'!$C$5,3,IF(F437='טבלת פרמטרים'!$C$4,1,0))+IF(G437='טבלת פרמטרים'!$D$3,2,0)+IF(M437='טבלת פרמטרים'!$J$4,2,IF(M437='טבלת פרמטרים'!$J$3,1,0))+IF(N437='טבלת פרמטרים'!$K$6,3,IF(OR(N437='טבלת פרמטרים'!$K$4,N437='טבלת פרמטרים'!$K$5),2,IF(N437='טבלת פרמטרים'!$K$3,1,0))))</f>
        <v>3</v>
      </c>
      <c r="Q437" s="20" t="s">
        <v>123</v>
      </c>
      <c r="R437" s="19">
        <f t="shared" si="11"/>
        <v>3</v>
      </c>
      <c r="T437" s="19">
        <f>IF(EXACT(Q437,'טבלת פרמטרים'!$O$2),'טבלת פרמטרים'!$P$2,IF(EXACT(Q437,'טבלת פרמטרים'!$O$3),'טבלת פרמטרים'!$P$3,IF(EXACT(Q437,'טבלת פרמטרים'!$O$4),'טבלת פרמטרים'!$P$4,IF(EXACT(Q437,'טבלת פרמטרים'!$O$5),'טבלת פרמטרים'!$P$5,IF(EXACT(Q437,'טבלת פרמטרים'!$O$6),'טבלת פרמטרים'!$P$6,IF(EXACT(Q437,'טבלת פרמטרים'!$O$7),'טבלת פרמטרים'!$P$7,""))))))</f>
        <v>0</v>
      </c>
    </row>
    <row r="438" spans="1:20" x14ac:dyDescent="0.2">
      <c r="A438" s="18">
        <v>438</v>
      </c>
      <c r="B438" s="30">
        <v>44720</v>
      </c>
      <c r="C438" s="30">
        <v>44726</v>
      </c>
      <c r="D438" s="21" t="s">
        <v>17</v>
      </c>
      <c r="E438" s="21" t="s">
        <v>22</v>
      </c>
      <c r="F438" s="21" t="s">
        <v>24</v>
      </c>
      <c r="G438" s="21" t="s">
        <v>27</v>
      </c>
      <c r="H438" s="21" t="s">
        <v>30</v>
      </c>
      <c r="I438" s="21" t="s">
        <v>126</v>
      </c>
      <c r="J438" s="21" t="s">
        <v>33</v>
      </c>
      <c r="K438" s="21" t="s">
        <v>44</v>
      </c>
      <c r="L438" s="21" t="s">
        <v>51</v>
      </c>
      <c r="M438" s="21" t="s">
        <v>54</v>
      </c>
      <c r="N438" s="21" t="s">
        <v>58</v>
      </c>
      <c r="O438" s="19">
        <f>IF(ISBLANK(D438),"",IF(D438='טבלת פרמטרים'!$A$9,1,0)+IF(E438='טבלת פרמטרים'!$B$5,2,1)+IF(F438='טבלת פרמטרים'!$C$5,3,IF(F438='טבלת פרמטרים'!$C$4,1,0))+IF(G438='טבלת פרמטרים'!$D$3,2,0)+IF(M438='טבלת פרמטרים'!$J$4,2,IF(M438='טבלת פרמטרים'!$J$3,1,0))+IF(N438='טבלת פרמטרים'!$K$6,3,IF(OR(N438='טבלת פרמטרים'!$K$4,N438='טבלת פרמטרים'!$K$5),2,IF(N438='טבלת פרמטרים'!$K$3,1,0))))</f>
        <v>8</v>
      </c>
      <c r="Q438" s="20" t="s">
        <v>123</v>
      </c>
      <c r="R438" s="19">
        <f t="shared" si="11"/>
        <v>8</v>
      </c>
      <c r="T438" s="19">
        <f>IF(EXACT(Q438,'טבלת פרמטרים'!$O$2),'טבלת פרמטרים'!$P$2,IF(EXACT(Q438,'טבלת פרמטרים'!$O$3),'טבלת פרמטרים'!$P$3,IF(EXACT(Q438,'טבלת פרמטרים'!$O$4),'טבלת פרמטרים'!$P$4,IF(EXACT(Q438,'טבלת פרמטרים'!$O$5),'טבלת פרמטרים'!$P$5,IF(EXACT(Q438,'טבלת פרמטרים'!$O$6),'טבלת פרמטרים'!$P$6,IF(EXACT(Q438,'טבלת פרמטרים'!$O$7),'טבלת פרמטרים'!$P$7,""))))))</f>
        <v>0</v>
      </c>
    </row>
    <row r="439" spans="1:20" ht="28.5" x14ac:dyDescent="0.2">
      <c r="A439" s="18">
        <v>439</v>
      </c>
      <c r="B439" s="30">
        <v>44720</v>
      </c>
      <c r="C439" s="30">
        <v>44728</v>
      </c>
      <c r="D439" s="21" t="s">
        <v>17</v>
      </c>
      <c r="E439" s="21" t="s">
        <v>22</v>
      </c>
      <c r="F439" s="21" t="s">
        <v>24</v>
      </c>
      <c r="G439" s="21" t="s">
        <v>27</v>
      </c>
      <c r="H439" s="21" t="s">
        <v>29</v>
      </c>
      <c r="I439" s="21" t="s">
        <v>126</v>
      </c>
      <c r="J439" s="21" t="s">
        <v>34</v>
      </c>
      <c r="K439" s="21" t="s">
        <v>43</v>
      </c>
      <c r="L439" s="21" t="s">
        <v>51</v>
      </c>
      <c r="M439" s="21" t="s">
        <v>55</v>
      </c>
      <c r="N439" s="21" t="s">
        <v>112</v>
      </c>
      <c r="O439" s="19">
        <f>IF(ISBLANK(D439),"",IF(D439='טבלת פרמטרים'!$A$9,1,0)+IF(E439='טבלת פרמטרים'!$B$5,2,1)+IF(F439='טבלת פרמטרים'!$C$5,3,IF(F439='טבלת פרמטרים'!$C$4,1,0))+IF(G439='טבלת פרמטרים'!$D$3,2,0)+IF(M439='טבלת פרמטרים'!$J$4,2,IF(M439='טבלת פרמטרים'!$J$3,1,0))+IF(N439='טבלת פרמטרים'!$K$6,3,IF(OR(N439='טבלת פרמטרים'!$K$4,N439='טבלת פרמטרים'!$K$5),2,IF(N439='טבלת פרמטרים'!$K$3,1,0))))</f>
        <v>10</v>
      </c>
      <c r="Q439" s="20" t="s">
        <v>332</v>
      </c>
      <c r="R439" s="19">
        <f t="shared" si="11"/>
        <v>18</v>
      </c>
      <c r="T439" s="19">
        <f>IF(EXACT(Q439,'טבלת פרמטרים'!$O$2),'טבלת פרמטרים'!$P$2,IF(EXACT(Q439,'טבלת פרמטרים'!$O$3),'טבלת פרמטרים'!$P$3,IF(EXACT(Q439,'טבלת פרמטרים'!$O$4),'טבלת פרמטרים'!$P$4,IF(EXACT(Q439,'טבלת פרמטרים'!$O$5),'טבלת פרמטרים'!$P$5,IF(EXACT(Q439,'טבלת פרמטרים'!$O$6),'טבלת פרמטרים'!$P$6,IF(EXACT(Q439,'טבלת פרמטרים'!$O$7),'טבלת פרמטרים'!$P$7,""))))))</f>
        <v>8</v>
      </c>
    </row>
    <row r="440" spans="1:20" x14ac:dyDescent="0.2">
      <c r="A440" s="18">
        <v>440</v>
      </c>
      <c r="B440" s="30">
        <v>44728</v>
      </c>
      <c r="C440" s="30">
        <v>44728</v>
      </c>
      <c r="D440" s="21" t="s">
        <v>17</v>
      </c>
      <c r="E440" s="21" t="s">
        <v>20</v>
      </c>
      <c r="F440" s="21" t="s">
        <v>24</v>
      </c>
      <c r="G440" s="21" t="s">
        <v>26</v>
      </c>
      <c r="H440" s="21" t="s">
        <v>30</v>
      </c>
      <c r="I440" s="21" t="s">
        <v>126</v>
      </c>
      <c r="J440" s="21" t="s">
        <v>34</v>
      </c>
      <c r="K440" s="21" t="s">
        <v>43</v>
      </c>
      <c r="L440" s="21" t="s">
        <v>51</v>
      </c>
      <c r="M440" s="21" t="s">
        <v>54</v>
      </c>
      <c r="N440" s="21" t="s">
        <v>59</v>
      </c>
      <c r="O440" s="19">
        <f>IF(ISBLANK(D440),"",IF(D440='טבלת פרמטרים'!$A$9,1,0)+IF(E440='טבלת פרמטרים'!$B$5,2,1)+IF(F440='טבלת פרמטרים'!$C$5,3,IF(F440='טבלת פרמטרים'!$C$4,1,0))+IF(G440='טבלת פרמטרים'!$D$3,2,0)+IF(M440='טבלת פרמטרים'!$J$4,2,IF(M440='טבלת פרמטרים'!$J$3,1,0))+IF(N440='טבלת פרמטרים'!$K$6,3,IF(OR(N440='טבלת פרמטרים'!$K$4,N440='טבלת פרמטרים'!$K$5),2,IF(N440='טבלת פרמטרים'!$K$3,1,0))))</f>
        <v>6</v>
      </c>
      <c r="Q440" s="20" t="s">
        <v>123</v>
      </c>
      <c r="R440" s="19">
        <f t="shared" si="11"/>
        <v>6</v>
      </c>
      <c r="T440" s="19">
        <f>IF(EXACT(Q440,'טבלת פרמטרים'!$O$2),'טבלת פרמטרים'!$P$2,IF(EXACT(Q440,'טבלת פרמטרים'!$O$3),'טבלת פרמטרים'!$P$3,IF(EXACT(Q440,'טבלת פרמטרים'!$O$4),'טבלת פרמטרים'!$P$4,IF(EXACT(Q440,'טבלת פרמטרים'!$O$5),'טבלת פרמטרים'!$P$5,IF(EXACT(Q440,'טבלת פרמטרים'!$O$6),'טבלת פרמטרים'!$P$6,IF(EXACT(Q440,'טבלת פרמטרים'!$O$7),'טבלת פרמטרים'!$P$7,""))))))</f>
        <v>0</v>
      </c>
    </row>
    <row r="441" spans="1:20" x14ac:dyDescent="0.2">
      <c r="A441" s="18">
        <v>441</v>
      </c>
      <c r="B441" s="30">
        <v>44734</v>
      </c>
      <c r="C441" s="30">
        <v>44740</v>
      </c>
      <c r="D441" s="21" t="s">
        <v>17</v>
      </c>
      <c r="E441" s="21" t="s">
        <v>22</v>
      </c>
      <c r="F441" s="21" t="s">
        <v>24</v>
      </c>
      <c r="G441" s="21" t="s">
        <v>27</v>
      </c>
      <c r="H441" s="21" t="s">
        <v>29</v>
      </c>
      <c r="I441" s="21" t="s">
        <v>126</v>
      </c>
      <c r="J441" s="21" t="s">
        <v>33</v>
      </c>
      <c r="K441" s="21" t="s">
        <v>45</v>
      </c>
      <c r="L441" s="21" t="s">
        <v>51</v>
      </c>
      <c r="M441" s="21" t="s">
        <v>53</v>
      </c>
      <c r="N441" s="21" t="s">
        <v>112</v>
      </c>
      <c r="O441" s="19">
        <f>IF(ISBLANK(D441),"",IF(D441='טבלת פרמטרים'!$A$9,1,0)+IF(E441='טבלת פרמטרים'!$B$5,2,1)+IF(F441='טבלת פרמטרים'!$C$5,3,IF(F441='טבלת פרמטרים'!$C$4,1,0))+IF(G441='טבלת פרמטרים'!$D$3,2,0)+IF(M441='טבלת פרמטרים'!$J$4,2,IF(M441='טבלת פרמטרים'!$J$3,1,0))+IF(N441='טבלת פרמטרים'!$K$6,3,IF(OR(N441='טבלת פרמטרים'!$K$4,N441='טבלת פרמטרים'!$K$5),2,IF(N441='טבלת פרמטרים'!$K$3,1,0))))</f>
        <v>8</v>
      </c>
      <c r="Q441" s="20" t="s">
        <v>123</v>
      </c>
      <c r="R441" s="19">
        <f t="shared" si="11"/>
        <v>8</v>
      </c>
      <c r="T441" s="19">
        <f>IF(EXACT(Q441,'טבלת פרמטרים'!$O$2),'טבלת פרמטרים'!$P$2,IF(EXACT(Q441,'טבלת פרמטרים'!$O$3),'טבלת פרמטרים'!$P$3,IF(EXACT(Q441,'טבלת פרמטרים'!$O$4),'טבלת פרמטרים'!$P$4,IF(EXACT(Q441,'טבלת פרמטרים'!$O$5),'טבלת פרמטרים'!$P$5,IF(EXACT(Q441,'טבלת פרמטרים'!$O$6),'טבלת פרמטרים'!$P$6,IF(EXACT(Q441,'טבלת פרמטרים'!$O$7),'טבלת פרמטרים'!$P$7,""))))))</f>
        <v>0</v>
      </c>
    </row>
    <row r="442" spans="1:20" x14ac:dyDescent="0.2">
      <c r="A442" s="18">
        <v>442</v>
      </c>
      <c r="B442" s="30">
        <v>44741</v>
      </c>
      <c r="C442" s="30">
        <v>44742</v>
      </c>
      <c r="D442" s="21" t="s">
        <v>11</v>
      </c>
      <c r="E442" s="21" t="s">
        <v>20</v>
      </c>
      <c r="F442" s="21" t="s">
        <v>23</v>
      </c>
      <c r="G442" s="21" t="s">
        <v>26</v>
      </c>
      <c r="H442" s="21" t="s">
        <v>30</v>
      </c>
      <c r="J442" s="21" t="s">
        <v>11</v>
      </c>
      <c r="L442" s="21" t="s">
        <v>51</v>
      </c>
      <c r="M442" s="21" t="s">
        <v>55</v>
      </c>
      <c r="N442" s="21" t="s">
        <v>112</v>
      </c>
      <c r="O442" s="19">
        <f>IF(ISBLANK(D442),"",IF(D442='טבלת פרמטרים'!$A$9,1,0)+IF(E442='טבלת פרמטרים'!$B$5,2,1)+IF(F442='טבלת פרמטרים'!$C$5,3,IF(F442='טבלת פרמטרים'!$C$4,1,0))+IF(G442='טבלת פרמטרים'!$D$3,2,0)+IF(M442='טבלת פרמטרים'!$J$4,2,IF(M442='טבלת פרמטרים'!$J$3,1,0))+IF(N442='טבלת פרמטרים'!$K$6,3,IF(OR(N442='טבלת פרמטרים'!$K$4,N442='טבלת פרמטרים'!$K$5),2,IF(N442='טבלת פרמטרים'!$K$3,1,0))))</f>
        <v>5</v>
      </c>
      <c r="Q442" s="20" t="s">
        <v>123</v>
      </c>
      <c r="R442" s="19">
        <f t="shared" si="11"/>
        <v>5</v>
      </c>
      <c r="T442" s="19">
        <f>IF(EXACT(Q442,'טבלת פרמטרים'!$O$2),'טבלת פרמטרים'!$P$2,IF(EXACT(Q442,'טבלת פרמטרים'!$O$3),'טבלת פרמטרים'!$P$3,IF(EXACT(Q442,'טבלת פרמטרים'!$O$4),'טבלת פרמטרים'!$P$4,IF(EXACT(Q442,'טבלת פרמטרים'!$O$5),'טבלת פרמטרים'!$P$5,IF(EXACT(Q442,'טבלת פרמטרים'!$O$6),'טבלת פרמטרים'!$P$6,IF(EXACT(Q442,'טבלת פרמטרים'!$O$7),'טבלת פרמטרים'!$P$7,""))))))</f>
        <v>0</v>
      </c>
    </row>
    <row r="443" spans="1:20" x14ac:dyDescent="0.2">
      <c r="A443" s="18">
        <v>443</v>
      </c>
      <c r="C443" s="30">
        <v>44745</v>
      </c>
      <c r="D443" s="21" t="s">
        <v>18</v>
      </c>
      <c r="E443" s="21" t="s">
        <v>111</v>
      </c>
      <c r="F443" s="21" t="s">
        <v>23</v>
      </c>
      <c r="G443" s="21" t="s">
        <v>26</v>
      </c>
      <c r="H443" s="21" t="s">
        <v>29</v>
      </c>
      <c r="J443" s="21" t="s">
        <v>41</v>
      </c>
      <c r="M443" s="21" t="s">
        <v>53</v>
      </c>
      <c r="N443" s="21" t="s">
        <v>57</v>
      </c>
      <c r="O443" s="19">
        <f>IF(ISBLANK(D443),"",IF(D443='טבלת פרמטרים'!$A$9,1,0)+IF(E443='טבלת פרמטרים'!$B$5,2,1)+IF(F443='טבלת פרמטרים'!$C$5,3,IF(F443='טבלת פרמטרים'!$C$4,1,0))+IF(G443='טבלת פרמטרים'!$D$3,2,0)+IF(M443='טבלת פרמטרים'!$J$4,2,IF(M443='טבלת פרמטרים'!$J$3,1,0))+IF(N443='טבלת פרמטרים'!$K$6,3,IF(OR(N443='טבלת פרמטרים'!$K$4,N443='טבלת פרמטרים'!$K$5),2,IF(N443='טבלת פרמטרים'!$K$3,1,0))))</f>
        <v>1</v>
      </c>
      <c r="Q443" s="20" t="s">
        <v>123</v>
      </c>
      <c r="R443" s="19">
        <f t="shared" si="11"/>
        <v>1</v>
      </c>
      <c r="T443" s="19">
        <f>IF(EXACT(Q443,'טבלת פרמטרים'!$O$2),'טבלת פרמטרים'!$P$2,IF(EXACT(Q443,'טבלת פרמטרים'!$O$3),'טבלת פרמטרים'!$P$3,IF(EXACT(Q443,'טבלת פרמטרים'!$O$4),'טבלת פרמטרים'!$P$4,IF(EXACT(Q443,'טבלת פרמטרים'!$O$5),'טבלת פרמטרים'!$P$5,IF(EXACT(Q443,'טבלת פרמטרים'!$O$6),'טבלת פרמטרים'!$P$6,IF(EXACT(Q443,'טבלת פרמטרים'!$O$7),'טבלת פרמטרים'!$P$7,""))))))</f>
        <v>0</v>
      </c>
    </row>
    <row r="444" spans="1:20" x14ac:dyDescent="0.2">
      <c r="A444" s="18">
        <v>444</v>
      </c>
      <c r="B444" s="30">
        <v>44741</v>
      </c>
      <c r="C444" s="30">
        <v>44741</v>
      </c>
      <c r="D444" s="21" t="s">
        <v>17</v>
      </c>
      <c r="E444" s="21" t="s">
        <v>22</v>
      </c>
      <c r="F444" s="21" t="s">
        <v>24</v>
      </c>
      <c r="G444" s="21" t="s">
        <v>26</v>
      </c>
      <c r="H444" s="21" t="s">
        <v>31</v>
      </c>
      <c r="I444" s="21" t="s">
        <v>126</v>
      </c>
      <c r="J444" s="21" t="s">
        <v>34</v>
      </c>
      <c r="K444" s="21" t="s">
        <v>44</v>
      </c>
      <c r="L444" s="21" t="s">
        <v>51</v>
      </c>
      <c r="M444" s="21" t="s">
        <v>55</v>
      </c>
      <c r="N444" s="21" t="s">
        <v>57</v>
      </c>
      <c r="O444" s="19">
        <f>IF(ISBLANK(D444),"",IF(D444='טבלת פרמטרים'!$A$9,1,0)+IF(E444='טבלת פרמטרים'!$B$5,2,1)+IF(F444='טבלת פרמטרים'!$C$5,3,IF(F444='טבלת פרמטרים'!$C$4,1,0))+IF(G444='טבלת פרמטרים'!$D$3,2,0)+IF(M444='טבלת פרמטרים'!$J$4,2,IF(M444='טבלת פרמטרים'!$J$3,1,0))+IF(N444='טבלת פרמטרים'!$K$6,3,IF(OR(N444='טבלת פרמטרים'!$K$4,N444='טבלת פרמטרים'!$K$5),2,IF(N444='טבלת פרמטרים'!$K$3,1,0))))</f>
        <v>6</v>
      </c>
      <c r="Q444" s="20" t="s">
        <v>123</v>
      </c>
      <c r="R444" s="19">
        <f t="shared" si="11"/>
        <v>6</v>
      </c>
      <c r="T444" s="19">
        <f>IF(EXACT(Q444,'טבלת פרמטרים'!$O$2),'טבלת פרמטרים'!$P$2,IF(EXACT(Q444,'טבלת פרמטרים'!$O$3),'טבלת פרמטרים'!$P$3,IF(EXACT(Q444,'טבלת פרמטרים'!$O$4),'טבלת פרמטרים'!$P$4,IF(EXACT(Q444,'טבלת פרמטרים'!$O$5),'טבלת פרמטרים'!$P$5,IF(EXACT(Q444,'טבלת פרמטרים'!$O$6),'טבלת פרמטרים'!$P$6,IF(EXACT(Q444,'טבלת פרמטרים'!$O$7),'טבלת פרמטרים'!$P$7,""))))))</f>
        <v>0</v>
      </c>
    </row>
    <row r="445" spans="1:20" x14ac:dyDescent="0.2">
      <c r="A445" s="18">
        <v>445</v>
      </c>
      <c r="B445" s="30">
        <v>44747</v>
      </c>
      <c r="C445" s="30">
        <v>44747</v>
      </c>
      <c r="D445" s="21" t="s">
        <v>17</v>
      </c>
      <c r="E445" s="21" t="s">
        <v>21</v>
      </c>
      <c r="F445" s="21" t="s">
        <v>23</v>
      </c>
      <c r="G445" s="21" t="s">
        <v>26</v>
      </c>
      <c r="H445" s="21" t="s">
        <v>32</v>
      </c>
      <c r="I445" s="21" t="s">
        <v>126</v>
      </c>
      <c r="J445" s="21" t="s">
        <v>34</v>
      </c>
      <c r="K445" s="21" t="s">
        <v>43</v>
      </c>
      <c r="L445" s="21" t="s">
        <v>50</v>
      </c>
      <c r="M445" s="21" t="s">
        <v>55</v>
      </c>
      <c r="N445" s="21" t="s">
        <v>59</v>
      </c>
      <c r="O445" s="19">
        <f>IF(ISBLANK(D445),"",IF(D445='טבלת פרמטרים'!$A$9,1,0)+IF(E445='טבלת פרמטרים'!$B$5,2,1)+IF(F445='טבלת פרמטרים'!$C$5,3,IF(F445='טבלת פרמטרים'!$C$4,1,0))+IF(G445='טבלת פרמטרים'!$D$3,2,0)+IF(M445='טבלת פרמטרים'!$J$4,2,IF(M445='טבלת פרמטרים'!$J$3,1,0))+IF(N445='טבלת פרמטרים'!$K$6,3,IF(OR(N445='טבלת פרמטרים'!$K$4,N445='טבלת פרמטרים'!$K$5),2,IF(N445='טבלת פרמטרים'!$K$3,1,0))))</f>
        <v>6</v>
      </c>
      <c r="Q445" s="20" t="s">
        <v>123</v>
      </c>
      <c r="R445" s="19">
        <f t="shared" si="11"/>
        <v>6</v>
      </c>
      <c r="T445" s="19">
        <f>IF(EXACT(Q445,'טבלת פרמטרים'!$O$2),'טבלת פרמטרים'!$P$2,IF(EXACT(Q445,'טבלת פרמטרים'!$O$3),'טבלת פרמטרים'!$P$3,IF(EXACT(Q445,'טבלת פרמטרים'!$O$4),'טבלת פרמטרים'!$P$4,IF(EXACT(Q445,'טבלת פרמטרים'!$O$5),'טבלת פרמטרים'!$P$5,IF(EXACT(Q445,'טבלת פרמטרים'!$O$6),'טבלת פרמטרים'!$P$6,IF(EXACT(Q445,'טבלת פרמטרים'!$O$7),'טבלת פרמטרים'!$P$7,""))))))</f>
        <v>0</v>
      </c>
    </row>
    <row r="446" spans="1:20" x14ac:dyDescent="0.2">
      <c r="A446" s="18">
        <v>446</v>
      </c>
      <c r="B446" s="30">
        <v>44762</v>
      </c>
      <c r="C446" s="30">
        <v>44763</v>
      </c>
      <c r="D446" s="21" t="s">
        <v>16</v>
      </c>
      <c r="E446" s="21" t="s">
        <v>111</v>
      </c>
      <c r="F446" s="21" t="s">
        <v>23</v>
      </c>
      <c r="G446" s="21" t="s">
        <v>26</v>
      </c>
      <c r="H446" s="21" t="s">
        <v>30</v>
      </c>
      <c r="I446" s="21" t="s">
        <v>127</v>
      </c>
      <c r="J446" s="21" t="s">
        <v>35</v>
      </c>
      <c r="K446" s="21" t="s">
        <v>45</v>
      </c>
      <c r="L446" s="21" t="s">
        <v>51</v>
      </c>
      <c r="M446" s="21" t="s">
        <v>55</v>
      </c>
      <c r="N446" s="21" t="s">
        <v>58</v>
      </c>
      <c r="O446" s="19">
        <f>IF(ISBLANK(D446),"",IF(D446='טבלת פרמטרים'!$A$9,1,0)+IF(E446='טבלת פרמטרים'!$B$5,2,1)+IF(F446='טבלת פרמטרים'!$C$5,3,IF(F446='טבלת פרמטרים'!$C$4,1,0))+IF(G446='טבלת פרמטרים'!$D$3,2,0)+IF(M446='טבלת פרמטרים'!$J$4,2,IF(M446='טבלת פרמטרים'!$J$3,1,0))+IF(N446='טבלת פרמטרים'!$K$6,3,IF(OR(N446='טבלת פרמטרים'!$K$4,N446='טבלת פרמטרים'!$K$5),2,IF(N446='טבלת פרמטרים'!$K$3,1,0))))</f>
        <v>4</v>
      </c>
      <c r="Q446" s="20" t="s">
        <v>123</v>
      </c>
      <c r="R446" s="19">
        <f t="shared" si="11"/>
        <v>4</v>
      </c>
      <c r="T446" s="19">
        <f>IF(EXACT(Q446,'טבלת פרמטרים'!$O$2),'טבלת פרמטרים'!$P$2,IF(EXACT(Q446,'טבלת פרמטרים'!$O$3),'טבלת פרמטרים'!$P$3,IF(EXACT(Q446,'טבלת פרמטרים'!$O$4),'טבלת פרמטרים'!$P$4,IF(EXACT(Q446,'טבלת פרמטרים'!$O$5),'טבלת פרמטרים'!$P$5,IF(EXACT(Q446,'טבלת פרמטרים'!$O$6),'טבלת פרמטרים'!$P$6,IF(EXACT(Q446,'טבלת פרמטרים'!$O$7),'טבלת פרמטרים'!$P$7,""))))))</f>
        <v>0</v>
      </c>
    </row>
    <row r="447" spans="1:20" x14ac:dyDescent="0.2">
      <c r="A447" s="18">
        <v>447</v>
      </c>
      <c r="B447" s="30">
        <v>44752</v>
      </c>
      <c r="C447" s="30">
        <v>44763</v>
      </c>
      <c r="D447" s="21" t="s">
        <v>17</v>
      </c>
      <c r="E447" s="21" t="s">
        <v>111</v>
      </c>
      <c r="F447" s="21" t="s">
        <v>23</v>
      </c>
      <c r="G447" s="21" t="s">
        <v>27</v>
      </c>
      <c r="H447" s="21" t="s">
        <v>31</v>
      </c>
      <c r="K447" s="21" t="s">
        <v>44</v>
      </c>
      <c r="L447" s="21" t="s">
        <v>51</v>
      </c>
      <c r="M447" s="21" t="s">
        <v>54</v>
      </c>
      <c r="N447" s="21" t="s">
        <v>112</v>
      </c>
      <c r="O447" s="19">
        <f>IF(ISBLANK(D447),"",IF(D447='טבלת פרמטרים'!$A$9,1,0)+IF(E447='טבלת פרמטרים'!$B$5,2,1)+IF(F447='טבלת פרמטרים'!$C$5,3,IF(F447='טבלת פרמטרים'!$C$4,1,0))+IF(G447='טבלת פרמטרים'!$D$3,2,0)+IF(M447='טבלת פרמטרים'!$J$4,2,IF(M447='טבלת פרמטרים'!$J$3,1,0))+IF(N447='טבלת פרמטרים'!$K$6,3,IF(OR(N447='טבלת פרמטרים'!$K$4,N447='טבלת פרמטרים'!$K$5),2,IF(N447='טבלת פרמטרים'!$K$3,1,0))))</f>
        <v>7</v>
      </c>
      <c r="Q447" s="20" t="s">
        <v>123</v>
      </c>
      <c r="R447" s="19">
        <f t="shared" si="11"/>
        <v>7</v>
      </c>
      <c r="T447" s="19">
        <f>IF(EXACT(Q447,'טבלת פרמטרים'!$O$2),'טבלת פרמטרים'!$P$2,IF(EXACT(Q447,'טבלת פרמטרים'!$O$3),'טבלת פרמטרים'!$P$3,IF(EXACT(Q447,'טבלת פרמטרים'!$O$4),'טבלת פרמטרים'!$P$4,IF(EXACT(Q447,'טבלת פרמטרים'!$O$5),'טבלת פרמטרים'!$P$5,IF(EXACT(Q447,'טבלת פרמטרים'!$O$6),'טבלת פרמטרים'!$P$6,IF(EXACT(Q447,'טבלת פרמטרים'!$O$7),'טבלת פרמטרים'!$P$7,""))))))</f>
        <v>0</v>
      </c>
    </row>
    <row r="448" spans="1:20" x14ac:dyDescent="0.2">
      <c r="A448" s="18">
        <v>448</v>
      </c>
      <c r="B448" s="30">
        <v>44747</v>
      </c>
      <c r="C448" s="30">
        <v>44773</v>
      </c>
      <c r="D448" s="21" t="s">
        <v>11</v>
      </c>
      <c r="E448" s="21" t="s">
        <v>111</v>
      </c>
      <c r="F448" s="21" t="s">
        <v>23</v>
      </c>
      <c r="G448" s="21" t="s">
        <v>26</v>
      </c>
      <c r="H448" s="21" t="s">
        <v>29</v>
      </c>
      <c r="J448" s="21" t="s">
        <v>11</v>
      </c>
      <c r="K448" s="21" t="s">
        <v>44</v>
      </c>
      <c r="L448" s="21" t="s">
        <v>51</v>
      </c>
      <c r="M448" s="21" t="s">
        <v>54</v>
      </c>
      <c r="N448" s="21" t="s">
        <v>59</v>
      </c>
      <c r="O448" s="19">
        <f>IF(ISBLANK(D448),"",IF(D448='טבלת פרמטרים'!$A$9,1,0)+IF(E448='טבלת פרמטרים'!$B$5,2,1)+IF(F448='טבלת פרמטרים'!$C$5,3,IF(F448='טבלת פרמטרים'!$C$4,1,0))+IF(G448='טבלת פרמטרים'!$D$3,2,0)+IF(M448='טבלת פרמטרים'!$J$4,2,IF(M448='טבלת פרמטרים'!$J$3,1,0))+IF(N448='טבלת פרמטרים'!$K$6,3,IF(OR(N448='טבלת פרמטרים'!$K$4,N448='טבלת פרמטרים'!$K$5),2,IF(N448='טבלת פרמטרים'!$K$3,1,0))))</f>
        <v>4</v>
      </c>
      <c r="Q448" s="20" t="s">
        <v>123</v>
      </c>
      <c r="R448" s="19">
        <f t="shared" si="11"/>
        <v>4</v>
      </c>
      <c r="T448" s="19">
        <f>IF(EXACT(Q448,'טבלת פרמטרים'!$O$2),'טבלת פרמטרים'!$P$2,IF(EXACT(Q448,'טבלת פרמטרים'!$O$3),'טבלת פרמטרים'!$P$3,IF(EXACT(Q448,'טבלת פרמטרים'!$O$4),'טבלת פרמטרים'!$P$4,IF(EXACT(Q448,'טבלת פרמטרים'!$O$5),'טבלת פרמטרים'!$P$5,IF(EXACT(Q448,'טבלת פרמטרים'!$O$6),'טבלת פרמטרים'!$P$6,IF(EXACT(Q448,'טבלת פרמטרים'!$O$7),'טבלת פרמטרים'!$P$7,""))))))</f>
        <v>0</v>
      </c>
    </row>
    <row r="449" spans="1:20" x14ac:dyDescent="0.2">
      <c r="A449" s="18">
        <v>449</v>
      </c>
      <c r="B449" s="30">
        <v>44774</v>
      </c>
      <c r="C449" s="30">
        <v>44777</v>
      </c>
      <c r="D449" s="21" t="s">
        <v>17</v>
      </c>
      <c r="E449" s="21" t="s">
        <v>20</v>
      </c>
      <c r="F449" s="21" t="s">
        <v>23</v>
      </c>
      <c r="G449" s="21" t="s">
        <v>26</v>
      </c>
      <c r="H449" s="21" t="s">
        <v>30</v>
      </c>
      <c r="I449" s="21" t="s">
        <v>126</v>
      </c>
      <c r="J449" s="21" t="s">
        <v>39</v>
      </c>
      <c r="K449" s="21" t="s">
        <v>39</v>
      </c>
      <c r="L449" s="21" t="s">
        <v>50</v>
      </c>
      <c r="M449" s="21" t="s">
        <v>55</v>
      </c>
      <c r="N449" s="21" t="s">
        <v>58</v>
      </c>
      <c r="O449" s="19">
        <f>IF(ISBLANK(D449),"",IF(D449='טבלת פרמטרים'!$A$9,1,0)+IF(E449='טבלת פרמטרים'!$B$5,2,1)+IF(F449='טבלת פרמטרים'!$C$5,3,IF(F449='טבלת פרמטרים'!$C$4,1,0))+IF(G449='טבלת פרמטרים'!$D$3,2,0)+IF(M449='טבלת פרמטרים'!$J$4,2,IF(M449='טבלת פרמטרים'!$J$3,1,0))+IF(N449='טבלת פרמטרים'!$K$6,3,IF(OR(N449='טבלת פרמטרים'!$K$4,N449='טבלת פרמטרים'!$K$5),2,IF(N449='טבלת פרמטרים'!$K$3,1,0))))</f>
        <v>5</v>
      </c>
      <c r="Q449" s="20" t="s">
        <v>123</v>
      </c>
      <c r="R449" s="19">
        <f t="shared" si="11"/>
        <v>5</v>
      </c>
      <c r="T449" s="19">
        <f>IF(EXACT(Q449,'טבלת פרמטרים'!$O$2),'טבלת פרמטרים'!$P$2,IF(EXACT(Q449,'טבלת פרמטרים'!$O$3),'טבלת פרמטרים'!$P$3,IF(EXACT(Q449,'טבלת פרמטרים'!$O$4),'טבלת פרמטרים'!$P$4,IF(EXACT(Q449,'טבלת פרמטרים'!$O$5),'טבלת פרמטרים'!$P$5,IF(EXACT(Q449,'טבלת פרמטרים'!$O$6),'טבלת פרמטרים'!$P$6,IF(EXACT(Q449,'טבלת פרמטרים'!$O$7),'טבלת פרמטרים'!$P$7,""))))))</f>
        <v>0</v>
      </c>
    </row>
    <row r="450" spans="1:20" x14ac:dyDescent="0.2">
      <c r="A450" s="18">
        <v>450</v>
      </c>
      <c r="B450" s="30">
        <v>44761</v>
      </c>
      <c r="C450" s="30">
        <v>44781</v>
      </c>
      <c r="D450" s="21" t="s">
        <v>14</v>
      </c>
      <c r="E450" s="21" t="s">
        <v>111</v>
      </c>
      <c r="F450" s="21" t="s">
        <v>23</v>
      </c>
      <c r="G450" s="21" t="s">
        <v>26</v>
      </c>
      <c r="H450" s="21" t="s">
        <v>31</v>
      </c>
      <c r="I450" s="21" t="s">
        <v>126</v>
      </c>
      <c r="J450" s="21" t="s">
        <v>33</v>
      </c>
      <c r="K450" s="21" t="s">
        <v>44</v>
      </c>
      <c r="L450" s="21" t="s">
        <v>51</v>
      </c>
      <c r="M450" s="21" t="s">
        <v>54</v>
      </c>
      <c r="N450" s="21" t="s">
        <v>58</v>
      </c>
      <c r="O450" s="19">
        <f>IF(ISBLANK(D450),"",IF(D450='טבלת פרמטרים'!$A$9,1,0)+IF(E450='טבלת פרמטרים'!$B$5,2,1)+IF(F450='טבלת פרמטרים'!$C$5,3,IF(F450='טבלת פרמטרים'!$C$4,1,0))+IF(G450='טבלת פרמטרים'!$D$3,2,0)+IF(M450='טבלת פרמטרים'!$J$4,2,IF(M450='טבלת פרמטרים'!$J$3,1,0))+IF(N450='טבלת פרמטרים'!$K$6,3,IF(OR(N450='טבלת פרמטרים'!$K$4,N450='טבלת פרמטרים'!$K$5),2,IF(N450='טבלת פרמטרים'!$K$3,1,0))))</f>
        <v>3</v>
      </c>
      <c r="Q450" s="20" t="s">
        <v>123</v>
      </c>
      <c r="R450" s="19">
        <f t="shared" si="11"/>
        <v>3</v>
      </c>
      <c r="T450" s="19">
        <f>IF(EXACT(Q450,'טבלת פרמטרים'!$O$2),'טבלת פרמטרים'!$P$2,IF(EXACT(Q450,'טבלת פרמטרים'!$O$3),'טבלת פרמטרים'!$P$3,IF(EXACT(Q450,'טבלת פרמטרים'!$O$4),'טבלת פרמטרים'!$P$4,IF(EXACT(Q450,'טבלת פרמטרים'!$O$5),'טבלת פרמטרים'!$P$5,IF(EXACT(Q450,'טבלת פרמטרים'!$O$6),'טבלת פרמטרים'!$P$6,IF(EXACT(Q450,'טבלת פרמטרים'!$O$7),'טבלת פרמטרים'!$P$7,""))))))</f>
        <v>0</v>
      </c>
    </row>
    <row r="451" spans="1:20" x14ac:dyDescent="0.2">
      <c r="A451" s="18">
        <v>451</v>
      </c>
      <c r="B451" s="30">
        <v>44775</v>
      </c>
      <c r="C451" s="30">
        <v>44783</v>
      </c>
      <c r="D451" s="21" t="s">
        <v>11</v>
      </c>
      <c r="E451" s="21" t="s">
        <v>20</v>
      </c>
      <c r="F451" s="21" t="s">
        <v>23</v>
      </c>
      <c r="G451" s="21" t="s">
        <v>26</v>
      </c>
      <c r="H451" s="21" t="s">
        <v>30</v>
      </c>
      <c r="I451" s="21" t="s">
        <v>127</v>
      </c>
      <c r="J451" s="21" t="s">
        <v>11</v>
      </c>
      <c r="L451" s="21" t="s">
        <v>51</v>
      </c>
      <c r="M451" s="21" t="s">
        <v>54</v>
      </c>
      <c r="N451" s="21" t="s">
        <v>58</v>
      </c>
      <c r="O451" s="19">
        <f>IF(ISBLANK(D451),"",IF(D451='טבלת פרמטרים'!$A$9,1,0)+IF(E451='טבלת פרמטרים'!$B$5,2,1)+IF(F451='טבלת פרמטרים'!$C$5,3,IF(F451='טבלת פרמטרים'!$C$4,1,0))+IF(G451='טבלת פרמטרים'!$D$3,2,0)+IF(M451='טבלת פרמטרים'!$J$4,2,IF(M451='טבלת פרמטרים'!$J$3,1,0))+IF(N451='טבלת פרמטרים'!$K$6,3,IF(OR(N451='טבלת פרמטרים'!$K$4,N451='טבלת פרמטרים'!$K$5),2,IF(N451='טבלת פרמטרים'!$K$3,1,0))))</f>
        <v>3</v>
      </c>
      <c r="Q451" s="20" t="s">
        <v>123</v>
      </c>
      <c r="R451" s="19">
        <f t="shared" si="11"/>
        <v>3</v>
      </c>
      <c r="T451" s="19">
        <f>IF(EXACT(Q451,'טבלת פרמטרים'!$O$2),'טבלת פרמטרים'!$P$2,IF(EXACT(Q451,'טבלת פרמטרים'!$O$3),'טבלת פרמטרים'!$P$3,IF(EXACT(Q451,'טבלת פרמטרים'!$O$4),'טבלת פרמטרים'!$P$4,IF(EXACT(Q451,'טבלת פרמטרים'!$O$5),'טבלת פרמטרים'!$P$5,IF(EXACT(Q451,'טבלת פרמטרים'!$O$6),'טבלת פרמטרים'!$P$6,IF(EXACT(Q451,'טבלת פרמטרים'!$O$7),'טבלת פרמטרים'!$P$7,""))))))</f>
        <v>0</v>
      </c>
    </row>
    <row r="452" spans="1:20" x14ac:dyDescent="0.2">
      <c r="A452" s="18">
        <v>452</v>
      </c>
      <c r="B452" s="30">
        <v>44782</v>
      </c>
      <c r="C452" s="30">
        <v>44783</v>
      </c>
      <c r="D452" s="21" t="s">
        <v>11</v>
      </c>
      <c r="E452" s="21" t="s">
        <v>20</v>
      </c>
      <c r="F452" s="21" t="s">
        <v>23</v>
      </c>
      <c r="G452" s="21" t="s">
        <v>26</v>
      </c>
      <c r="H452" s="21" t="s">
        <v>30</v>
      </c>
      <c r="I452" s="21" t="s">
        <v>127</v>
      </c>
      <c r="J452" s="21" t="s">
        <v>11</v>
      </c>
      <c r="L452" s="21" t="s">
        <v>51</v>
      </c>
      <c r="M452" s="21" t="s">
        <v>54</v>
      </c>
      <c r="N452" s="21" t="s">
        <v>58</v>
      </c>
      <c r="O452" s="19">
        <f>IF(ISBLANK(D452),"",IF(D452='טבלת פרמטרים'!$A$9,1,0)+IF(E452='טבלת פרמטרים'!$B$5,2,1)+IF(F452='טבלת פרמטרים'!$C$5,3,IF(F452='טבלת פרמטרים'!$C$4,1,0))+IF(G452='טבלת פרמטרים'!$D$3,2,0)+IF(M452='טבלת פרמטרים'!$J$4,2,IF(M452='טבלת פרמטרים'!$J$3,1,0))+IF(N452='טבלת פרמטרים'!$K$6,3,IF(OR(N452='טבלת פרמטרים'!$K$4,N452='טבלת פרמטרים'!$K$5),2,IF(N452='טבלת פרמטרים'!$K$3,1,0))))</f>
        <v>3</v>
      </c>
      <c r="Q452" s="20" t="s">
        <v>123</v>
      </c>
      <c r="R452" s="19">
        <f t="shared" si="11"/>
        <v>3</v>
      </c>
      <c r="T452" s="19">
        <f>IF(EXACT(Q452,'טבלת פרמטרים'!$O$2),'טבלת פרמטרים'!$P$2,IF(EXACT(Q452,'טבלת פרמטרים'!$O$3),'טבלת פרמטרים'!$P$3,IF(EXACT(Q452,'טבלת פרמטרים'!$O$4),'טבלת פרמטרים'!$P$4,IF(EXACT(Q452,'טבלת פרמטרים'!$O$5),'טבלת פרמטרים'!$P$5,IF(EXACT(Q452,'טבלת פרמטרים'!$O$6),'טבלת פרמטרים'!$P$6,IF(EXACT(Q452,'טבלת פרמטרים'!$O$7),'טבלת פרמטרים'!$P$7,""))))))</f>
        <v>0</v>
      </c>
    </row>
    <row r="453" spans="1:20" x14ac:dyDescent="0.2">
      <c r="A453" s="18">
        <v>453</v>
      </c>
      <c r="B453" s="30">
        <v>44721</v>
      </c>
      <c r="C453" s="30">
        <v>44733</v>
      </c>
      <c r="D453" s="21" t="s">
        <v>10</v>
      </c>
      <c r="E453" s="21" t="s">
        <v>20</v>
      </c>
      <c r="F453" s="21" t="s">
        <v>23</v>
      </c>
      <c r="G453" s="21" t="s">
        <v>26</v>
      </c>
      <c r="H453" s="21" t="s">
        <v>31</v>
      </c>
      <c r="I453" s="21" t="s">
        <v>127</v>
      </c>
      <c r="J453" s="21" t="s">
        <v>41</v>
      </c>
      <c r="M453" s="21" t="s">
        <v>55</v>
      </c>
      <c r="N453" s="21" t="s">
        <v>59</v>
      </c>
      <c r="O453" s="19">
        <f>IF(ISBLANK(D453),"",IF(D453='טבלת פרמטרים'!$A$9,1,0)+IF(E453='טבלת פרמטרים'!$B$5,2,1)+IF(F453='טבלת פרמטרים'!$C$5,3,IF(F453='טבלת פרמטרים'!$C$4,1,0))+IF(G453='טבלת פרמטרים'!$D$3,2,0)+IF(M453='טבלת פרמטרים'!$J$4,2,IF(M453='טבלת פרמטרים'!$J$3,1,0))+IF(N453='טבלת פרמטרים'!$K$6,3,IF(OR(N453='טבלת פרמטרים'!$K$4,N453='טבלת פרמטרים'!$K$5),2,IF(N453='טבלת פרמטרים'!$K$3,1,0))))</f>
        <v>5</v>
      </c>
      <c r="Q453" s="20" t="s">
        <v>123</v>
      </c>
      <c r="R453" s="19">
        <f t="shared" si="11"/>
        <v>5</v>
      </c>
      <c r="T453" s="19">
        <f>IF(EXACT(Q453,'טבלת פרמטרים'!$O$2),'טבלת פרמטרים'!$P$2,IF(EXACT(Q453,'טבלת פרמטרים'!$O$3),'טבלת פרמטרים'!$P$3,IF(EXACT(Q453,'טבלת פרמטרים'!$O$4),'טבלת פרמטרים'!$P$4,IF(EXACT(Q453,'טבלת פרמטרים'!$O$5),'טבלת פרמטרים'!$P$5,IF(EXACT(Q453,'טבלת פרמטרים'!$O$6),'טבלת פרמטרים'!$P$6,IF(EXACT(Q453,'טבלת פרמטרים'!$O$7),'טבלת פרמטרים'!$P$7,""))))))</f>
        <v>0</v>
      </c>
    </row>
    <row r="454" spans="1:20" x14ac:dyDescent="0.2">
      <c r="A454" s="18">
        <v>454</v>
      </c>
      <c r="B454" s="30">
        <v>44719</v>
      </c>
      <c r="C454" s="30">
        <v>44754</v>
      </c>
      <c r="D454" s="21" t="s">
        <v>18</v>
      </c>
      <c r="E454" s="21" t="s">
        <v>20</v>
      </c>
      <c r="F454" s="21" t="s">
        <v>23</v>
      </c>
      <c r="G454" s="21" t="s">
        <v>27</v>
      </c>
      <c r="H454" s="21" t="s">
        <v>31</v>
      </c>
      <c r="J454" s="21" t="s">
        <v>40</v>
      </c>
      <c r="M454" s="21" t="s">
        <v>54</v>
      </c>
      <c r="N454" s="21" t="s">
        <v>58</v>
      </c>
      <c r="O454" s="19">
        <f>IF(ISBLANK(D454),"",IF(D454='טבלת פרמטרים'!$A$9,1,0)+IF(E454='טבלת פרמטרים'!$B$5,2,1)+IF(F454='טבלת פרמטרים'!$C$5,3,IF(F454='טבלת פרמטרים'!$C$4,1,0))+IF(G454='טבלת פרמטרים'!$D$3,2,0)+IF(M454='טבלת פרמטרים'!$J$4,2,IF(M454='טבלת פרמטרים'!$J$3,1,0))+IF(N454='טבלת פרמטרים'!$K$6,3,IF(OR(N454='טבלת פרמטרים'!$K$4,N454='טבלת פרמטרים'!$K$5),2,IF(N454='טבלת פרמטרים'!$K$3,1,0))))</f>
        <v>5</v>
      </c>
      <c r="Q454" s="20" t="s">
        <v>123</v>
      </c>
      <c r="R454" s="19">
        <f t="shared" si="11"/>
        <v>5</v>
      </c>
      <c r="T454" s="19">
        <f>IF(EXACT(Q454,'טבלת פרמטרים'!$O$2),'טבלת פרמטרים'!$P$2,IF(EXACT(Q454,'טבלת פרמטרים'!$O$3),'טבלת פרמטרים'!$P$3,IF(EXACT(Q454,'טבלת פרמטרים'!$O$4),'טבלת פרמטרים'!$P$4,IF(EXACT(Q454,'טבלת פרמטרים'!$O$5),'טבלת פרמטרים'!$P$5,IF(EXACT(Q454,'טבלת פרמטרים'!$O$6),'טבלת פרמטרים'!$P$6,IF(EXACT(Q454,'טבלת פרמטרים'!$O$7),'טבלת פרמטרים'!$P$7,""))))))</f>
        <v>0</v>
      </c>
    </row>
    <row r="455" spans="1:20" x14ac:dyDescent="0.2">
      <c r="A455" s="18">
        <v>455</v>
      </c>
      <c r="B455" s="30">
        <v>44787</v>
      </c>
      <c r="C455" s="30">
        <v>44790</v>
      </c>
      <c r="D455" s="21" t="s">
        <v>11</v>
      </c>
      <c r="E455" s="21" t="s">
        <v>20</v>
      </c>
      <c r="F455" s="21" t="s">
        <v>23</v>
      </c>
      <c r="G455" s="21" t="s">
        <v>26</v>
      </c>
      <c r="H455" s="21" t="s">
        <v>30</v>
      </c>
      <c r="I455" s="21" t="s">
        <v>127</v>
      </c>
      <c r="J455" s="21" t="s">
        <v>11</v>
      </c>
      <c r="K455" s="21" t="s">
        <v>43</v>
      </c>
      <c r="L455" s="21" t="s">
        <v>51</v>
      </c>
      <c r="M455" s="21" t="s">
        <v>54</v>
      </c>
      <c r="N455" s="21" t="s">
        <v>59</v>
      </c>
      <c r="O455" s="19">
        <f>IF(ISBLANK(D455),"",IF(D455='טבלת פרמטרים'!$A$9,1,0)+IF(E455='טבלת פרמטרים'!$B$5,2,1)+IF(F455='טבלת פרמטרים'!$C$5,3,IF(F455='טבלת פרמטרים'!$C$4,1,0))+IF(G455='טבלת פרמטרים'!$D$3,2,0)+IF(M455='טבלת פרמטרים'!$J$4,2,IF(M455='טבלת פרמטרים'!$J$3,1,0))+IF(N455='טבלת פרמטרים'!$K$6,3,IF(OR(N455='טבלת פרמטרים'!$K$4,N455='טבלת פרמטרים'!$K$5),2,IF(N455='טבלת פרמטרים'!$K$3,1,0))))</f>
        <v>4</v>
      </c>
      <c r="Q455" s="20" t="s">
        <v>123</v>
      </c>
      <c r="R455" s="19">
        <f t="shared" si="11"/>
        <v>4</v>
      </c>
      <c r="T455" s="19">
        <f>IF(EXACT(Q455,'טבלת פרמטרים'!$O$2),'טבלת פרמטרים'!$P$2,IF(EXACT(Q455,'טבלת פרמטרים'!$O$3),'טבלת פרמטרים'!$P$3,IF(EXACT(Q455,'טבלת פרמטרים'!$O$4),'טבלת פרמטרים'!$P$4,IF(EXACT(Q455,'טבלת פרמטרים'!$O$5),'טבלת פרמטרים'!$P$5,IF(EXACT(Q455,'טבלת פרמטרים'!$O$6),'טבלת פרמטרים'!$P$6,IF(EXACT(Q455,'טבלת פרמטרים'!$O$7),'טבלת פרמטרים'!$P$7,""))))))</f>
        <v>0</v>
      </c>
    </row>
    <row r="456" spans="1:20" x14ac:dyDescent="0.2">
      <c r="A456" s="18">
        <v>456</v>
      </c>
      <c r="C456" s="30">
        <v>44801</v>
      </c>
      <c r="D456" s="21" t="s">
        <v>11</v>
      </c>
      <c r="E456" s="21" t="s">
        <v>111</v>
      </c>
      <c r="F456" s="21" t="s">
        <v>23</v>
      </c>
      <c r="G456" s="21" t="s">
        <v>26</v>
      </c>
      <c r="H456" s="21" t="s">
        <v>32</v>
      </c>
      <c r="J456" s="21" t="s">
        <v>11</v>
      </c>
      <c r="K456" s="21" t="s">
        <v>43</v>
      </c>
      <c r="L456" s="21" t="s">
        <v>51</v>
      </c>
      <c r="M456" s="21" t="s">
        <v>54</v>
      </c>
      <c r="N456" s="21" t="s">
        <v>59</v>
      </c>
      <c r="O456" s="19">
        <f>IF(ISBLANK(D456),"",IF(D456='טבלת פרמטרים'!$A$9,1,0)+IF(E456='טבלת פרמטרים'!$B$5,2,1)+IF(F456='טבלת פרמטרים'!$C$5,3,IF(F456='טבלת פרמטרים'!$C$4,1,0))+IF(G456='טבלת פרמטרים'!$D$3,2,0)+IF(M456='טבלת פרמטרים'!$J$4,2,IF(M456='טבלת פרמטרים'!$J$3,1,0))+IF(N456='טבלת פרמטרים'!$K$6,3,IF(OR(N456='טבלת פרמטרים'!$K$4,N456='טבלת פרמטרים'!$K$5),2,IF(N456='טבלת פרמטרים'!$K$3,1,0))))</f>
        <v>4</v>
      </c>
      <c r="Q456" s="20" t="s">
        <v>123</v>
      </c>
      <c r="R456" s="19">
        <f t="shared" si="11"/>
        <v>4</v>
      </c>
      <c r="T456" s="19">
        <f>IF(EXACT(Q456,'טבלת פרמטרים'!$O$2),'טבלת פרמטרים'!$P$2,IF(EXACT(Q456,'טבלת פרמטרים'!$O$3),'טבלת פרמטרים'!$P$3,IF(EXACT(Q456,'טבלת פרמטרים'!$O$4),'טבלת פרמטרים'!$P$4,IF(EXACT(Q456,'טבלת פרמטרים'!$O$5),'טבלת פרמטרים'!$P$5,IF(EXACT(Q456,'טבלת פרמטרים'!$O$6),'טבלת פרמטרים'!$P$6,IF(EXACT(Q456,'טבלת פרמטרים'!$O$7),'טבלת פרמטרים'!$P$7,""))))))</f>
        <v>0</v>
      </c>
    </row>
    <row r="457" spans="1:20" x14ac:dyDescent="0.2">
      <c r="A457" s="18">
        <v>457</v>
      </c>
      <c r="C457" s="30">
        <v>44802</v>
      </c>
      <c r="D457" s="21" t="s">
        <v>10</v>
      </c>
      <c r="E457" s="21" t="s">
        <v>111</v>
      </c>
      <c r="F457" s="21" t="s">
        <v>23</v>
      </c>
      <c r="G457" s="21" t="s">
        <v>26</v>
      </c>
      <c r="H457" s="21" t="s">
        <v>31</v>
      </c>
      <c r="I457" s="21" t="s">
        <v>126</v>
      </c>
      <c r="J457" s="21" t="s">
        <v>42</v>
      </c>
      <c r="K457" s="21" t="s">
        <v>46</v>
      </c>
      <c r="L457" s="21" t="s">
        <v>50</v>
      </c>
      <c r="M457" s="21" t="s">
        <v>55</v>
      </c>
      <c r="N457" s="21" t="s">
        <v>58</v>
      </c>
      <c r="O457" s="19">
        <f>IF(ISBLANK(D457),"",IF(D457='טבלת פרמטרים'!$A$9,1,0)+IF(E457='טבלת פרמטרים'!$B$5,2,1)+IF(F457='טבלת פרמטרים'!$C$5,3,IF(F457='טבלת פרמטרים'!$C$4,1,0))+IF(G457='טבלת פרמטרים'!$D$3,2,0)+IF(M457='טבלת פרמטרים'!$J$4,2,IF(M457='טבלת פרמטרים'!$J$3,1,0))+IF(N457='טבלת פרמטרים'!$K$6,3,IF(OR(N457='טבלת פרמטרים'!$K$4,N457='טבלת פרמטרים'!$K$5),2,IF(N457='טבלת פרמטרים'!$K$3,1,0))))</f>
        <v>4</v>
      </c>
      <c r="Q457" s="20" t="s">
        <v>123</v>
      </c>
      <c r="R457" s="19">
        <f t="shared" si="11"/>
        <v>4</v>
      </c>
      <c r="T457" s="19">
        <f>IF(EXACT(Q457,'טבלת פרמטרים'!$O$2),'טבלת פרמטרים'!$P$2,IF(EXACT(Q457,'טבלת פרמטרים'!$O$3),'טבלת פרמטרים'!$P$3,IF(EXACT(Q457,'טבלת פרמטרים'!$O$4),'טבלת פרמטרים'!$P$4,IF(EXACT(Q457,'טבלת פרמטרים'!$O$5),'טבלת פרמטרים'!$P$5,IF(EXACT(Q457,'טבלת פרמטרים'!$O$6),'טבלת פרמטרים'!$P$6,IF(EXACT(Q457,'טבלת פרמטרים'!$O$7),'טבלת פרמטרים'!$P$7,""))))))</f>
        <v>0</v>
      </c>
    </row>
    <row r="458" spans="1:20" x14ac:dyDescent="0.2">
      <c r="A458" s="18">
        <v>458</v>
      </c>
      <c r="B458" s="30">
        <v>44805</v>
      </c>
      <c r="C458" s="30">
        <v>44805</v>
      </c>
      <c r="D458" s="21" t="s">
        <v>10</v>
      </c>
      <c r="E458" s="21" t="s">
        <v>111</v>
      </c>
      <c r="F458" s="21" t="s">
        <v>23</v>
      </c>
      <c r="G458" s="21" t="s">
        <v>26</v>
      </c>
      <c r="H458" s="21" t="s">
        <v>31</v>
      </c>
      <c r="I458" s="21" t="s">
        <v>126</v>
      </c>
      <c r="J458" s="21" t="s">
        <v>40</v>
      </c>
      <c r="K458" s="21" t="s">
        <v>43</v>
      </c>
      <c r="L458" s="21" t="s">
        <v>51</v>
      </c>
      <c r="M458" s="21" t="s">
        <v>55</v>
      </c>
      <c r="N458" s="21" t="s">
        <v>59</v>
      </c>
      <c r="O458" s="19">
        <f>IF(ISBLANK(D458),"",IF(D458='טבלת פרמטרים'!$A$9,1,0)+IF(E458='טבלת פרמטרים'!$B$5,2,1)+IF(F458='טבלת פרמטרים'!$C$5,3,IF(F458='טבלת פרמטרים'!$C$4,1,0))+IF(G458='טבלת פרמטרים'!$D$3,2,0)+IF(M458='טבלת פרמטרים'!$J$4,2,IF(M458='טבלת פרמטרים'!$J$3,1,0))+IF(N458='טבלת פרמטרים'!$K$6,3,IF(OR(N458='טבלת פרמטרים'!$K$4,N458='טבלת פרמטרים'!$K$5),2,IF(N458='טבלת פרמטרים'!$K$3,1,0))))</f>
        <v>5</v>
      </c>
      <c r="Q458" s="20" t="s">
        <v>123</v>
      </c>
      <c r="R458" s="19">
        <f t="shared" si="11"/>
        <v>5</v>
      </c>
      <c r="T458" s="19">
        <f>IF(EXACT(Q458,'טבלת פרמטרים'!$O$2),'טבלת פרמטרים'!$P$2,IF(EXACT(Q458,'טבלת פרמטרים'!$O$3),'טבלת פרמטרים'!$P$3,IF(EXACT(Q458,'טבלת פרמטרים'!$O$4),'טבלת פרמטרים'!$P$4,IF(EXACT(Q458,'טבלת פרמטרים'!$O$5),'טבלת פרמטרים'!$P$5,IF(EXACT(Q458,'טבלת פרמטרים'!$O$6),'טבלת פרמטרים'!$P$6,IF(EXACT(Q458,'טבלת פרמטרים'!$O$7),'טבלת פרמטרים'!$P$7,""))))))</f>
        <v>0</v>
      </c>
    </row>
    <row r="459" spans="1:20" x14ac:dyDescent="0.2">
      <c r="A459" s="18">
        <v>459</v>
      </c>
      <c r="B459" s="30">
        <v>44809</v>
      </c>
      <c r="C459" s="30">
        <v>44809</v>
      </c>
      <c r="D459" s="21" t="s">
        <v>16</v>
      </c>
      <c r="E459" s="21" t="s">
        <v>111</v>
      </c>
      <c r="F459" s="21" t="s">
        <v>23</v>
      </c>
      <c r="G459" s="21" t="s">
        <v>26</v>
      </c>
      <c r="H459" s="21" t="s">
        <v>31</v>
      </c>
      <c r="I459" s="21" t="s">
        <v>126</v>
      </c>
      <c r="J459" s="21" t="s">
        <v>33</v>
      </c>
      <c r="K459" s="21" t="s">
        <v>44</v>
      </c>
      <c r="L459" s="21" t="s">
        <v>51</v>
      </c>
      <c r="M459" s="21" t="s">
        <v>55</v>
      </c>
      <c r="N459" s="21" t="s">
        <v>58</v>
      </c>
      <c r="O459" s="19">
        <f>IF(ISBLANK(D459),"",IF(D459='טבלת פרמטרים'!$A$9,1,0)+IF(E459='טבלת פרמטרים'!$B$5,2,1)+IF(F459='טבלת פרמטרים'!$C$5,3,IF(F459='טבלת פרמטרים'!$C$4,1,0))+IF(G459='טבלת פרמטרים'!$D$3,2,0)+IF(M459='טבלת פרמטרים'!$J$4,2,IF(M459='טבלת פרמטרים'!$J$3,1,0))+IF(N459='טבלת פרמטרים'!$K$6,3,IF(OR(N459='טבלת פרמטרים'!$K$4,N459='טבלת פרמטרים'!$K$5),2,IF(N459='טבלת פרמטרים'!$K$3,1,0))))</f>
        <v>4</v>
      </c>
      <c r="Q459" s="20" t="s">
        <v>123</v>
      </c>
      <c r="R459" s="19">
        <f t="shared" si="11"/>
        <v>4</v>
      </c>
      <c r="T459" s="19">
        <f>IF(EXACT(Q459,'טבלת פרמטרים'!$O$2),'טבלת פרמטרים'!$P$2,IF(EXACT(Q459,'טבלת פרמטרים'!$O$3),'טבלת פרמטרים'!$P$3,IF(EXACT(Q459,'טבלת פרמטרים'!$O$4),'טבלת פרמטרים'!$P$4,IF(EXACT(Q459,'טבלת פרמטרים'!$O$5),'טבלת פרמטרים'!$P$5,IF(EXACT(Q459,'טבלת פרמטרים'!$O$6),'טבלת פרמטרים'!$P$6,IF(EXACT(Q459,'טבלת פרמטרים'!$O$7),'טבלת פרמטרים'!$P$7,""))))))</f>
        <v>0</v>
      </c>
    </row>
    <row r="460" spans="1:20" x14ac:dyDescent="0.2">
      <c r="A460" s="18">
        <v>460</v>
      </c>
      <c r="B460" s="30">
        <v>44810</v>
      </c>
      <c r="C460" s="30">
        <v>44810</v>
      </c>
      <c r="D460" s="21" t="s">
        <v>15</v>
      </c>
      <c r="E460" s="21" t="s">
        <v>111</v>
      </c>
      <c r="F460" s="21" t="s">
        <v>23</v>
      </c>
      <c r="G460" s="21" t="s">
        <v>26</v>
      </c>
      <c r="H460" s="21" t="s">
        <v>31</v>
      </c>
      <c r="M460" s="21" t="s">
        <v>53</v>
      </c>
      <c r="N460" s="21" t="s">
        <v>58</v>
      </c>
      <c r="O460" s="19">
        <f>IF(ISBLANK(D460),"",IF(D460='טבלת פרמטרים'!$A$9,1,0)+IF(E460='טבלת פרמטרים'!$B$5,2,1)+IF(F460='טבלת פרמטרים'!$C$5,3,IF(F460='טבלת פרמטרים'!$C$4,1,0))+IF(G460='טבלת פרמטרים'!$D$3,2,0)+IF(M460='טבלת פרמטרים'!$J$4,2,IF(M460='טבלת פרמטרים'!$J$3,1,0))+IF(N460='טבלת פרמטרים'!$K$6,3,IF(OR(N460='טבלת פרמטרים'!$K$4,N460='טבלת פרמטרים'!$K$5),2,IF(N460='טבלת פרמטרים'!$K$3,1,0))))</f>
        <v>2</v>
      </c>
      <c r="Q460" s="20" t="s">
        <v>123</v>
      </c>
      <c r="R460" s="19">
        <f t="shared" si="11"/>
        <v>2</v>
      </c>
      <c r="T460" s="19">
        <f>IF(EXACT(Q460,'טבלת פרמטרים'!$O$2),'טבלת פרמטרים'!$P$2,IF(EXACT(Q460,'טבלת פרמטרים'!$O$3),'טבלת פרמטרים'!$P$3,IF(EXACT(Q460,'טבלת פרמטרים'!$O$4),'טבלת פרמטרים'!$P$4,IF(EXACT(Q460,'טבלת פרמטרים'!$O$5),'טבלת פרמטרים'!$P$5,IF(EXACT(Q460,'טבלת פרמטרים'!$O$6),'טבלת פרמטרים'!$P$6,IF(EXACT(Q460,'טבלת פרמטרים'!$O$7),'טבלת פרמטרים'!$P$7,""))))))</f>
        <v>0</v>
      </c>
    </row>
    <row r="461" spans="1:20" ht="28.5" x14ac:dyDescent="0.2">
      <c r="A461" s="18">
        <v>461</v>
      </c>
      <c r="B461" s="30">
        <v>44832</v>
      </c>
      <c r="C461" s="30">
        <v>44815</v>
      </c>
      <c r="D461" s="21" t="s">
        <v>17</v>
      </c>
      <c r="E461" s="21" t="s">
        <v>22</v>
      </c>
      <c r="F461" s="21" t="s">
        <v>24</v>
      </c>
      <c r="G461" s="21" t="s">
        <v>27</v>
      </c>
      <c r="H461" s="21" t="s">
        <v>30</v>
      </c>
      <c r="K461" s="21" t="s">
        <v>44</v>
      </c>
      <c r="L461" s="21" t="s">
        <v>51</v>
      </c>
      <c r="M461" s="21" t="s">
        <v>55</v>
      </c>
      <c r="N461" s="21" t="s">
        <v>58</v>
      </c>
      <c r="O461" s="19">
        <f>IF(ISBLANK(D461),"",IF(D461='טבלת פרמטרים'!$A$9,1,0)+IF(E461='טבלת פרמטרים'!$B$5,2,1)+IF(F461='טבלת פרמטרים'!$C$5,3,IF(F461='טבלת פרמטרים'!$C$4,1,0))+IF(G461='טבלת פרמטרים'!$D$3,2,0)+IF(M461='טבלת פרמטרים'!$J$4,2,IF(M461='טבלת פרמטרים'!$J$3,1,0))+IF(N461='טבלת פרמטרים'!$K$6,3,IF(OR(N461='טבלת פרמטרים'!$K$4,N461='טבלת פרמטרים'!$K$5),2,IF(N461='טבלת פרמטרים'!$K$3,1,0))))</f>
        <v>9</v>
      </c>
      <c r="Q461" s="20" t="s">
        <v>329</v>
      </c>
      <c r="R461" s="19">
        <f t="shared" si="11"/>
        <v>10</v>
      </c>
      <c r="T461" s="19">
        <f>IF(EXACT(Q461,'טבלת פרמטרים'!$O$2),'טבלת פרמטרים'!$P$2,IF(EXACT(Q461,'טבלת פרמטרים'!$O$3),'טבלת פרמטרים'!$P$3,IF(EXACT(Q461,'טבלת פרמטרים'!$O$4),'טבלת פרמטרים'!$P$4,IF(EXACT(Q461,'טבלת פרמטרים'!$O$5),'טבלת פרמטרים'!$P$5,IF(EXACT(Q461,'טבלת פרמטרים'!$O$6),'טבלת פרמטרים'!$P$6,IF(EXACT(Q461,'טבלת פרמטרים'!$O$7),'טבלת פרמטרים'!$P$7,""))))))</f>
        <v>1</v>
      </c>
    </row>
    <row r="462" spans="1:20" x14ac:dyDescent="0.2">
      <c r="A462" s="18">
        <v>462</v>
      </c>
      <c r="C462" s="30">
        <v>44815</v>
      </c>
      <c r="D462" s="21" t="s">
        <v>11</v>
      </c>
      <c r="E462" s="21" t="s">
        <v>20</v>
      </c>
      <c r="F462" s="21" t="s">
        <v>23</v>
      </c>
      <c r="G462" s="21" t="s">
        <v>26</v>
      </c>
      <c r="H462" s="21" t="s">
        <v>32</v>
      </c>
      <c r="J462" s="21" t="s">
        <v>11</v>
      </c>
      <c r="K462" s="21" t="s">
        <v>44</v>
      </c>
      <c r="L462" s="21" t="s">
        <v>50</v>
      </c>
      <c r="M462" s="21" t="s">
        <v>55</v>
      </c>
      <c r="N462" s="21" t="s">
        <v>58</v>
      </c>
      <c r="O462" s="19">
        <f>IF(ISBLANK(D462),"",IF(D462='טבלת פרמטרים'!$A$9,1,0)+IF(E462='טבלת פרמטרים'!$B$5,2,1)+IF(F462='טבלת פרמטרים'!$C$5,3,IF(F462='טבלת פרמטרים'!$C$4,1,0))+IF(G462='טבלת פרמטרים'!$D$3,2,0)+IF(M462='טבלת פרמטרים'!$J$4,2,IF(M462='טבלת פרמטרים'!$J$3,1,0))+IF(N462='טבלת פרמטרים'!$K$6,3,IF(OR(N462='טבלת פרמטרים'!$K$4,N462='טבלת פרמטרים'!$K$5),2,IF(N462='טבלת פרמטרים'!$K$3,1,0))))</f>
        <v>4</v>
      </c>
      <c r="Q462" s="20" t="s">
        <v>123</v>
      </c>
      <c r="R462" s="19">
        <f t="shared" si="11"/>
        <v>4</v>
      </c>
      <c r="T462" s="19">
        <f>IF(EXACT(Q462,'טבלת פרמטרים'!$O$2),'טבלת פרמטרים'!$P$2,IF(EXACT(Q462,'טבלת פרמטרים'!$O$3),'טבלת פרמטרים'!$P$3,IF(EXACT(Q462,'טבלת פרמטרים'!$O$4),'טבלת פרמטרים'!$P$4,IF(EXACT(Q462,'טבלת פרמטרים'!$O$5),'טבלת פרמטרים'!$P$5,IF(EXACT(Q462,'טבלת פרמטרים'!$O$6),'טבלת פרמטרים'!$P$6,IF(EXACT(Q462,'טבלת פרמטרים'!$O$7),'טבלת פרמטרים'!$P$7,""))))))</f>
        <v>0</v>
      </c>
    </row>
    <row r="463" spans="1:20" x14ac:dyDescent="0.2">
      <c r="A463" s="18">
        <v>463</v>
      </c>
      <c r="C463" s="30">
        <v>44815</v>
      </c>
      <c r="D463" s="21" t="s">
        <v>17</v>
      </c>
      <c r="E463" s="21" t="s">
        <v>22</v>
      </c>
      <c r="F463" s="21" t="s">
        <v>24</v>
      </c>
      <c r="G463" s="21" t="s">
        <v>26</v>
      </c>
      <c r="H463" s="21" t="s">
        <v>30</v>
      </c>
      <c r="J463" s="21" t="s">
        <v>40</v>
      </c>
      <c r="L463" s="21" t="s">
        <v>51</v>
      </c>
      <c r="M463" s="21" t="s">
        <v>54</v>
      </c>
      <c r="N463" s="21" t="s">
        <v>58</v>
      </c>
      <c r="O463" s="19">
        <f>IF(ISBLANK(D463),"",IF(D463='טבלת פרמטרים'!$A$9,1,0)+IF(E463='טבלת פרמטרים'!$B$5,2,1)+IF(F463='טבלת פרמטרים'!$C$5,3,IF(F463='טבלת פרמטרים'!$C$4,1,0))+IF(G463='טבלת פרמטרים'!$D$3,2,0)+IF(M463='טבלת פרמטרים'!$J$4,2,IF(M463='טבלת פרמטרים'!$J$3,1,0))+IF(N463='טבלת פרמטרים'!$K$6,3,IF(OR(N463='טבלת פרמטרים'!$K$4,N463='טבלת פרמטרים'!$K$5),2,IF(N463='טבלת פרמטרים'!$K$3,1,0))))</f>
        <v>6</v>
      </c>
      <c r="Q463" s="20" t="s">
        <v>123</v>
      </c>
      <c r="R463" s="19">
        <f t="shared" si="11"/>
        <v>6</v>
      </c>
      <c r="T463" s="19">
        <f>IF(EXACT(Q463,'טבלת פרמטרים'!$O$2),'טבלת פרמטרים'!$P$2,IF(EXACT(Q463,'טבלת פרמטרים'!$O$3),'טבלת פרמטרים'!$P$3,IF(EXACT(Q463,'טבלת פרמטרים'!$O$4),'טבלת פרמטרים'!$P$4,IF(EXACT(Q463,'טבלת פרמטרים'!$O$5),'טבלת פרמטרים'!$P$5,IF(EXACT(Q463,'טבלת פרמטרים'!$O$6),'טבלת פרמטרים'!$P$6,IF(EXACT(Q463,'טבלת פרמטרים'!$O$7),'טבלת פרמטרים'!$P$7,""))))))</f>
        <v>0</v>
      </c>
    </row>
    <row r="464" spans="1:20" x14ac:dyDescent="0.2">
      <c r="A464" s="18">
        <v>464</v>
      </c>
      <c r="B464" s="30">
        <v>44808</v>
      </c>
      <c r="C464" s="30">
        <v>44808</v>
      </c>
      <c r="D464" s="21" t="s">
        <v>18</v>
      </c>
      <c r="E464" s="21" t="s">
        <v>111</v>
      </c>
      <c r="F464" s="21" t="s">
        <v>23</v>
      </c>
      <c r="G464" s="21" t="s">
        <v>26</v>
      </c>
      <c r="H464" s="21" t="s">
        <v>29</v>
      </c>
      <c r="I464" s="21" t="s">
        <v>127</v>
      </c>
      <c r="J464" s="21" t="s">
        <v>40</v>
      </c>
      <c r="M464" s="21" t="s">
        <v>54</v>
      </c>
      <c r="N464" s="21" t="s">
        <v>58</v>
      </c>
      <c r="O464" s="19">
        <f>IF(ISBLANK(D464),"",IF(D464='טבלת פרמטרים'!$A$9,1,0)+IF(E464='טבלת פרמטרים'!$B$5,2,1)+IF(F464='טבלת פרמטרים'!$C$5,3,IF(F464='טבלת פרמטרים'!$C$4,1,0))+IF(G464='טבלת פרמטרים'!$D$3,2,0)+IF(M464='טבלת פרמטרים'!$J$4,2,IF(M464='טבלת פרמטרים'!$J$3,1,0))+IF(N464='טבלת פרמטרים'!$K$6,3,IF(OR(N464='טבלת פרמטרים'!$K$4,N464='טבלת פרמטרים'!$K$5),2,IF(N464='טבלת פרמטרים'!$K$3,1,0))))</f>
        <v>3</v>
      </c>
      <c r="Q464" s="20" t="s">
        <v>123</v>
      </c>
      <c r="R464" s="19">
        <f t="shared" si="11"/>
        <v>3</v>
      </c>
      <c r="T464" s="19">
        <f>IF(EXACT(Q464,'טבלת פרמטרים'!$O$2),'טבלת פרמטרים'!$P$2,IF(EXACT(Q464,'טבלת פרמטרים'!$O$3),'טבלת פרמטרים'!$P$3,IF(EXACT(Q464,'טבלת פרמטרים'!$O$4),'טבלת פרמטרים'!$P$4,IF(EXACT(Q464,'טבלת פרמטרים'!$O$5),'טבלת פרמטרים'!$P$5,IF(EXACT(Q464,'טבלת פרמטרים'!$O$6),'טבלת פרמטרים'!$P$6,IF(EXACT(Q464,'טבלת פרמטרים'!$O$7),'טבלת פרמטרים'!$P$7,""))))))</f>
        <v>0</v>
      </c>
    </row>
    <row r="465" spans="1:20" x14ac:dyDescent="0.2">
      <c r="A465" s="18">
        <v>465</v>
      </c>
      <c r="C465" s="30">
        <v>44824</v>
      </c>
      <c r="D465" s="21" t="s">
        <v>14</v>
      </c>
      <c r="E465" s="21" t="s">
        <v>21</v>
      </c>
      <c r="F465" s="21" t="s">
        <v>23</v>
      </c>
      <c r="G465" s="21" t="s">
        <v>26</v>
      </c>
      <c r="H465" s="21" t="s">
        <v>31</v>
      </c>
      <c r="I465" s="21" t="s">
        <v>126</v>
      </c>
      <c r="J465" s="21" t="s">
        <v>33</v>
      </c>
      <c r="K465" s="21" t="s">
        <v>43</v>
      </c>
      <c r="M465" s="21" t="s">
        <v>55</v>
      </c>
      <c r="N465" s="21" t="s">
        <v>112</v>
      </c>
      <c r="O465" s="19">
        <f>IF(ISBLANK(D465),"",IF(D465='טבלת פרמטרים'!$A$9,1,0)+IF(E465='טבלת פרמטרים'!$B$5,2,1)+IF(F465='טבלת פרמטרים'!$C$5,3,IF(F465='טבלת פרמטרים'!$C$4,1,0))+IF(G465='טבלת פרמטרים'!$D$3,2,0)+IF(M465='טבלת פרמטרים'!$J$4,2,IF(M465='טבלת פרמטרים'!$J$3,1,0))+IF(N465='טבלת פרמטרים'!$K$6,3,IF(OR(N465='טבלת פרמטרים'!$K$4,N465='טבלת פרמטרים'!$K$5),2,IF(N465='טבלת פרמטרים'!$K$3,1,0))))</f>
        <v>5</v>
      </c>
      <c r="Q465" s="20" t="s">
        <v>123</v>
      </c>
      <c r="R465" s="19">
        <f t="shared" si="11"/>
        <v>5</v>
      </c>
      <c r="T465" s="19">
        <f>IF(EXACT(Q465,'טבלת פרמטרים'!$O$2),'טבלת פרמטרים'!$P$2,IF(EXACT(Q465,'טבלת פרמטרים'!$O$3),'טבלת פרמטרים'!$P$3,IF(EXACT(Q465,'טבלת פרמטרים'!$O$4),'טבלת פרמטרים'!$P$4,IF(EXACT(Q465,'טבלת פרמטרים'!$O$5),'טבלת פרמטרים'!$P$5,IF(EXACT(Q465,'טבלת פרמטרים'!$O$6),'טבלת פרמטרים'!$P$6,IF(EXACT(Q465,'טבלת פרמטרים'!$O$7),'טבלת פרמטרים'!$P$7,""))))))</f>
        <v>0</v>
      </c>
    </row>
    <row r="466" spans="1:20" x14ac:dyDescent="0.2">
      <c r="A466" s="18">
        <v>466</v>
      </c>
      <c r="B466" s="30">
        <v>44824</v>
      </c>
      <c r="C466" s="30">
        <v>44824</v>
      </c>
      <c r="D466" s="21" t="s">
        <v>11</v>
      </c>
      <c r="E466" s="21" t="s">
        <v>20</v>
      </c>
      <c r="F466" s="21" t="s">
        <v>23</v>
      </c>
      <c r="G466" s="21" t="s">
        <v>26</v>
      </c>
      <c r="H466" s="21" t="s">
        <v>31</v>
      </c>
      <c r="I466" s="21" t="s">
        <v>126</v>
      </c>
      <c r="J466" s="21" t="s">
        <v>11</v>
      </c>
      <c r="K466" s="21" t="s">
        <v>43</v>
      </c>
      <c r="L466" s="21" t="s">
        <v>49</v>
      </c>
      <c r="M466" s="21" t="s">
        <v>54</v>
      </c>
      <c r="N466" s="21" t="s">
        <v>58</v>
      </c>
      <c r="O466" s="19">
        <f>IF(ISBLANK(D466),"",IF(D466='טבלת פרמטרים'!$A$9,1,0)+IF(E466='טבלת פרמטרים'!$B$5,2,1)+IF(F466='טבלת פרמטרים'!$C$5,3,IF(F466='טבלת פרמטרים'!$C$4,1,0))+IF(G466='טבלת פרמטרים'!$D$3,2,0)+IF(M466='טבלת פרמטרים'!$J$4,2,IF(M466='טבלת פרמטרים'!$J$3,1,0))+IF(N466='טבלת פרמטרים'!$K$6,3,IF(OR(N466='טבלת פרמטרים'!$K$4,N466='טבלת פרמטרים'!$K$5),2,IF(N466='טבלת פרמטרים'!$K$3,1,0))))</f>
        <v>3</v>
      </c>
      <c r="Q466" s="20" t="s">
        <v>123</v>
      </c>
      <c r="R466" s="19">
        <f t="shared" si="11"/>
        <v>3</v>
      </c>
      <c r="T466" s="19">
        <f>IF(EXACT(Q466,'טבלת פרמטרים'!$O$2),'טבלת פרמטרים'!$P$2,IF(EXACT(Q466,'טבלת פרמטרים'!$O$3),'טבלת פרמטרים'!$P$3,IF(EXACT(Q466,'טבלת פרמטרים'!$O$4),'טבלת פרמטרים'!$P$4,IF(EXACT(Q466,'טבלת פרמטרים'!$O$5),'טבלת פרמטרים'!$P$5,IF(EXACT(Q466,'טבלת פרמטרים'!$O$6),'טבלת פרמטרים'!$P$6,IF(EXACT(Q466,'טבלת פרמטרים'!$O$7),'טבלת פרמטרים'!$P$7,""))))))</f>
        <v>0</v>
      </c>
    </row>
    <row r="467" spans="1:20" x14ac:dyDescent="0.2">
      <c r="A467" s="18">
        <v>467</v>
      </c>
      <c r="B467" s="30">
        <v>44833</v>
      </c>
      <c r="C467" s="30">
        <v>44833</v>
      </c>
      <c r="D467" s="21" t="s">
        <v>10</v>
      </c>
      <c r="E467" s="21" t="s">
        <v>111</v>
      </c>
      <c r="F467" s="21" t="s">
        <v>23</v>
      </c>
      <c r="G467" s="21" t="s">
        <v>26</v>
      </c>
      <c r="H467" s="21" t="s">
        <v>30</v>
      </c>
      <c r="I467" s="21" t="s">
        <v>126</v>
      </c>
      <c r="J467" s="21" t="s">
        <v>41</v>
      </c>
      <c r="M467" s="21" t="s">
        <v>54</v>
      </c>
      <c r="N467" s="21" t="s">
        <v>59</v>
      </c>
      <c r="O467" s="19">
        <f>IF(ISBLANK(D467),"",IF(D467='טבלת פרמטרים'!$A$9,1,0)+IF(E467='טבלת פרמטרים'!$B$5,2,1)+IF(F467='טבלת פרמטרים'!$C$5,3,IF(F467='טבלת פרמטרים'!$C$4,1,0))+IF(G467='טבלת פרמטרים'!$D$3,2,0)+IF(M467='טבלת פרמטרים'!$J$4,2,IF(M467='טבלת פרמטרים'!$J$3,1,0))+IF(N467='טבלת פרמטרים'!$K$6,3,IF(OR(N467='טבלת פרמטרים'!$K$4,N467='טבלת פרמטרים'!$K$5),2,IF(N467='טבלת פרמטרים'!$K$3,1,0))))</f>
        <v>4</v>
      </c>
      <c r="Q467" s="20" t="s">
        <v>123</v>
      </c>
      <c r="R467" s="19">
        <f t="shared" si="11"/>
        <v>4</v>
      </c>
      <c r="T467" s="19">
        <f>IF(EXACT(Q467,'טבלת פרמטרים'!$O$2),'טבלת פרמטרים'!$P$2,IF(EXACT(Q467,'טבלת פרמטרים'!$O$3),'טבלת פרמטרים'!$P$3,IF(EXACT(Q467,'טבלת פרמטרים'!$O$4),'טבלת פרמטרים'!$P$4,IF(EXACT(Q467,'טבלת פרמטרים'!$O$5),'טבלת פרמטרים'!$P$5,IF(EXACT(Q467,'טבלת פרמטרים'!$O$6),'טבלת פרמטרים'!$P$6,IF(EXACT(Q467,'טבלת פרמטרים'!$O$7),'טבלת פרמטרים'!$P$7,""))))))</f>
        <v>0</v>
      </c>
    </row>
    <row r="468" spans="1:20" x14ac:dyDescent="0.2">
      <c r="A468" s="18">
        <v>468</v>
      </c>
      <c r="B468" s="30">
        <v>44833</v>
      </c>
      <c r="C468" s="30">
        <v>44833</v>
      </c>
      <c r="D468" s="21" t="s">
        <v>10</v>
      </c>
      <c r="E468" s="21" t="s">
        <v>20</v>
      </c>
      <c r="F468" s="21" t="s">
        <v>23</v>
      </c>
      <c r="G468" s="21" t="s">
        <v>26</v>
      </c>
      <c r="H468" s="21" t="s">
        <v>31</v>
      </c>
      <c r="I468" s="21" t="s">
        <v>126</v>
      </c>
      <c r="J468" s="21" t="s">
        <v>41</v>
      </c>
      <c r="K468" s="21" t="s">
        <v>43</v>
      </c>
      <c r="L468" s="21" t="s">
        <v>49</v>
      </c>
      <c r="M468" s="21" t="s">
        <v>54</v>
      </c>
      <c r="N468" s="21" t="s">
        <v>58</v>
      </c>
      <c r="O468" s="19">
        <f>IF(ISBLANK(D468),"",IF(D468='טבלת פרמטרים'!$A$9,1,0)+IF(E468='טבלת פרמטרים'!$B$5,2,1)+IF(F468='טבלת פרמטרים'!$C$5,3,IF(F468='טבלת פרמטרים'!$C$4,1,0))+IF(G468='טבלת פרמטרים'!$D$3,2,0)+IF(M468='טבלת פרמטרים'!$J$4,2,IF(M468='טבלת פרמטרים'!$J$3,1,0))+IF(N468='טבלת פרמטרים'!$K$6,3,IF(OR(N468='טבלת פרמטרים'!$K$4,N468='טבלת פרמטרים'!$K$5),2,IF(N468='טבלת פרמטרים'!$K$3,1,0))))</f>
        <v>3</v>
      </c>
      <c r="Q468" s="20" t="s">
        <v>123</v>
      </c>
      <c r="R468" s="19">
        <f t="shared" si="11"/>
        <v>3</v>
      </c>
      <c r="T468" s="19">
        <f>IF(EXACT(Q468,'טבלת פרמטרים'!$O$2),'טבלת פרמטרים'!$P$2,IF(EXACT(Q468,'טבלת פרמטרים'!$O$3),'טבלת פרמטרים'!$P$3,IF(EXACT(Q468,'טבלת פרמטרים'!$O$4),'טבלת פרמטרים'!$P$4,IF(EXACT(Q468,'טבלת פרמטרים'!$O$5),'טבלת פרמטרים'!$P$5,IF(EXACT(Q468,'טבלת פרמטרים'!$O$6),'טבלת פרמטרים'!$P$6,IF(EXACT(Q468,'טבלת פרמטרים'!$O$7),'טבלת פרמטרים'!$P$7,""))))))</f>
        <v>0</v>
      </c>
    </row>
    <row r="469" spans="1:20" x14ac:dyDescent="0.2">
      <c r="A469" s="18">
        <v>469</v>
      </c>
      <c r="B469" s="30">
        <v>44819</v>
      </c>
      <c r="C469" s="30">
        <v>44819</v>
      </c>
      <c r="D469" s="21" t="s">
        <v>10</v>
      </c>
      <c r="E469" s="21" t="s">
        <v>111</v>
      </c>
      <c r="F469" s="21" t="s">
        <v>23</v>
      </c>
      <c r="G469" s="21" t="s">
        <v>26</v>
      </c>
      <c r="H469" s="21" t="s">
        <v>31</v>
      </c>
      <c r="J469" s="21" t="s">
        <v>41</v>
      </c>
      <c r="L469" s="21" t="s">
        <v>51</v>
      </c>
      <c r="M469" s="21" t="s">
        <v>54</v>
      </c>
      <c r="N469" s="21" t="s">
        <v>112</v>
      </c>
      <c r="O469" s="19">
        <f>IF(ISBLANK(D469),"",IF(D469='טבלת פרמטרים'!$A$9,1,0)+IF(E469='טבלת פרמטרים'!$B$5,2,1)+IF(F469='טבלת פרמטרים'!$C$5,3,IF(F469='טבלת פרמטרים'!$C$4,1,0))+IF(G469='טבלת פרמטרים'!$D$3,2,0)+IF(M469='טבלת פרמטרים'!$J$4,2,IF(M469='טבלת פרמטרים'!$J$3,1,0))+IF(N469='טבלת פרמטרים'!$K$6,3,IF(OR(N469='טבלת פרמטרים'!$K$4,N469='טבלת פרמטרים'!$K$5),2,IF(N469='טבלת פרמטרים'!$K$3,1,0))))</f>
        <v>4</v>
      </c>
      <c r="Q469" s="20" t="s">
        <v>123</v>
      </c>
      <c r="R469" s="19">
        <f t="shared" si="11"/>
        <v>4</v>
      </c>
      <c r="T469" s="19">
        <f>IF(EXACT(Q469,'טבלת פרמטרים'!$O$2),'טבלת פרמטרים'!$P$2,IF(EXACT(Q469,'טבלת פרמטרים'!$O$3),'טבלת פרמטרים'!$P$3,IF(EXACT(Q469,'טבלת פרמטרים'!$O$4),'טבלת פרמטרים'!$P$4,IF(EXACT(Q469,'טבלת פרמטרים'!$O$5),'טבלת פרמטרים'!$P$5,IF(EXACT(Q469,'טבלת פרמטרים'!$O$6),'טבלת פרמטרים'!$P$6,IF(EXACT(Q469,'טבלת פרמטרים'!$O$7),'טבלת פרמטרים'!$P$7,""))))))</f>
        <v>0</v>
      </c>
    </row>
    <row r="470" spans="1:20" x14ac:dyDescent="0.2">
      <c r="A470" s="18">
        <v>470</v>
      </c>
      <c r="B470" s="30">
        <v>44832</v>
      </c>
      <c r="C470" s="30">
        <v>44845</v>
      </c>
      <c r="D470" s="21" t="s">
        <v>11</v>
      </c>
      <c r="E470" s="21" t="s">
        <v>111</v>
      </c>
      <c r="F470" s="21" t="s">
        <v>23</v>
      </c>
      <c r="G470" s="21" t="s">
        <v>26</v>
      </c>
      <c r="H470" s="21" t="s">
        <v>32</v>
      </c>
      <c r="I470" s="21" t="s">
        <v>126</v>
      </c>
      <c r="J470" s="21" t="s">
        <v>11</v>
      </c>
      <c r="K470" s="21" t="s">
        <v>46</v>
      </c>
      <c r="L470" s="21" t="s">
        <v>51</v>
      </c>
      <c r="M470" s="21" t="s">
        <v>53</v>
      </c>
      <c r="N470" s="21" t="s">
        <v>57</v>
      </c>
      <c r="O470" s="19">
        <f>IF(ISBLANK(D470),"",IF(D470='טבלת פרמטרים'!$A$9,1,0)+IF(E470='טבלת פרמטרים'!$B$5,2,1)+IF(F470='טבלת פרמטרים'!$C$5,3,IF(F470='טבלת פרמטרים'!$C$4,1,0))+IF(G470='טבלת פרמטרים'!$D$3,2,0)+IF(M470='טבלת פרמטרים'!$J$4,2,IF(M470='טבלת פרמטרים'!$J$3,1,0))+IF(N470='טבלת פרמטרים'!$K$6,3,IF(OR(N470='טבלת פרמטרים'!$K$4,N470='טבלת פרמטרים'!$K$5),2,IF(N470='טבלת פרמטרים'!$K$3,1,0))))</f>
        <v>1</v>
      </c>
      <c r="Q470" s="20" t="s">
        <v>123</v>
      </c>
      <c r="R470" s="19">
        <f t="shared" si="11"/>
        <v>1</v>
      </c>
      <c r="T470" s="19">
        <f>IF(EXACT(Q470,'טבלת פרמטרים'!$O$2),'טבלת פרמטרים'!$P$2,IF(EXACT(Q470,'טבלת פרמטרים'!$O$3),'טבלת פרמטרים'!$P$3,IF(EXACT(Q470,'טבלת פרמטרים'!$O$4),'טבלת פרמטרים'!$P$4,IF(EXACT(Q470,'טבלת פרמטרים'!$O$5),'טבלת פרמטרים'!$P$5,IF(EXACT(Q470,'טבלת פרמטרים'!$O$6),'טבלת פרמטרים'!$P$6,IF(EXACT(Q470,'טבלת פרמטרים'!$O$7),'טבלת פרמטרים'!$P$7,""))))))</f>
        <v>0</v>
      </c>
    </row>
    <row r="471" spans="1:20" x14ac:dyDescent="0.2">
      <c r="A471" s="18">
        <v>471</v>
      </c>
      <c r="B471" s="30">
        <v>44833</v>
      </c>
      <c r="C471" s="30">
        <v>44854</v>
      </c>
      <c r="D471" s="21" t="s">
        <v>11</v>
      </c>
      <c r="E471" s="21" t="s">
        <v>20</v>
      </c>
      <c r="F471" s="21" t="s">
        <v>23</v>
      </c>
      <c r="G471" s="21" t="s">
        <v>26</v>
      </c>
      <c r="H471" s="21" t="s">
        <v>29</v>
      </c>
      <c r="I471" s="21" t="s">
        <v>126</v>
      </c>
      <c r="J471" s="21" t="s">
        <v>11</v>
      </c>
      <c r="K471" s="21" t="s">
        <v>43</v>
      </c>
      <c r="L471" s="21" t="s">
        <v>51</v>
      </c>
      <c r="M471" s="21" t="s">
        <v>54</v>
      </c>
      <c r="N471" s="21" t="s">
        <v>58</v>
      </c>
      <c r="O471" s="19">
        <f>IF(ISBLANK(D471),"",IF(D471='טבלת פרמטרים'!$A$9,1,0)+IF(E471='טבלת פרמטרים'!$B$5,2,1)+IF(F471='טבלת פרמטרים'!$C$5,3,IF(F471='טבלת פרמטרים'!$C$4,1,0))+IF(G471='טבלת פרמטרים'!$D$3,2,0)+IF(M471='טבלת פרמטרים'!$J$4,2,IF(M471='טבלת פרמטרים'!$J$3,1,0))+IF(N471='טבלת פרמטרים'!$K$6,3,IF(OR(N471='טבלת פרמטרים'!$K$4,N471='טבלת פרמטרים'!$K$5),2,IF(N471='טבלת פרמטרים'!$K$3,1,0))))</f>
        <v>3</v>
      </c>
      <c r="Q471" s="20" t="s">
        <v>123</v>
      </c>
      <c r="R471" s="19">
        <f t="shared" si="11"/>
        <v>3</v>
      </c>
      <c r="T471" s="19">
        <f>IF(EXACT(Q471,'טבלת פרמטרים'!$O$2),'טבלת פרמטרים'!$P$2,IF(EXACT(Q471,'טבלת פרמטרים'!$O$3),'טבלת פרמטרים'!$P$3,IF(EXACT(Q471,'טבלת פרמטרים'!$O$4),'טבלת פרמטרים'!$P$4,IF(EXACT(Q471,'טבלת פרמטרים'!$O$5),'טבלת פרמטרים'!$P$5,IF(EXACT(Q471,'טבלת פרמטרים'!$O$6),'טבלת פרמטרים'!$P$6,IF(EXACT(Q471,'טבלת פרמטרים'!$O$7),'טבלת פרמטרים'!$P$7,""))))))</f>
        <v>0</v>
      </c>
    </row>
    <row r="472" spans="1:20" x14ac:dyDescent="0.2">
      <c r="A472" s="18">
        <v>472</v>
      </c>
      <c r="B472" s="30">
        <v>44809</v>
      </c>
      <c r="C472" s="30">
        <v>44868</v>
      </c>
      <c r="D472" s="21" t="s">
        <v>10</v>
      </c>
      <c r="E472" s="21" t="s">
        <v>20</v>
      </c>
      <c r="F472" s="21" t="s">
        <v>23</v>
      </c>
      <c r="G472" s="21" t="s">
        <v>26</v>
      </c>
      <c r="H472" s="21" t="s">
        <v>31</v>
      </c>
      <c r="J472" s="21" t="s">
        <v>42</v>
      </c>
      <c r="K472" s="21" t="s">
        <v>43</v>
      </c>
      <c r="L472" s="21" t="s">
        <v>51</v>
      </c>
      <c r="M472" s="21" t="s">
        <v>53</v>
      </c>
      <c r="N472" s="21" t="s">
        <v>57</v>
      </c>
      <c r="O472" s="19">
        <f>IF(ISBLANK(D472),"",IF(D472='טבלת פרמטרים'!$A$9,1,0)+IF(E472='טבלת פרמטרים'!$B$5,2,1)+IF(F472='טבלת פרמטרים'!$C$5,3,IF(F472='טבלת פרמטרים'!$C$4,1,0))+IF(G472='טבלת פרמטרים'!$D$3,2,0)+IF(M472='טבלת פרמטרים'!$J$4,2,IF(M472='טבלת פרמטרים'!$J$3,1,0))+IF(N472='טבלת פרמטרים'!$K$6,3,IF(OR(N472='טבלת פרמטרים'!$K$4,N472='טבלת פרמטרים'!$K$5),2,IF(N472='טבלת פרמטרים'!$K$3,1,0))))</f>
        <v>1</v>
      </c>
      <c r="Q472" s="20" t="s">
        <v>123</v>
      </c>
      <c r="R472" s="19">
        <f t="shared" si="11"/>
        <v>1</v>
      </c>
      <c r="T472" s="19">
        <f>IF(EXACT(Q472,'טבלת פרמטרים'!$O$2),'טבלת פרמטרים'!$P$2,IF(EXACT(Q472,'טבלת פרמטרים'!$O$3),'טבלת פרמטרים'!$P$3,IF(EXACT(Q472,'טבלת פרמטרים'!$O$4),'טבלת פרמטרים'!$P$4,IF(EXACT(Q472,'טבלת פרמטרים'!$O$5),'טבלת פרמטרים'!$P$5,IF(EXACT(Q472,'טבלת פרמטרים'!$O$6),'טבלת פרמטרים'!$P$6,IF(EXACT(Q472,'טבלת פרמטרים'!$O$7),'טבלת פרמטרים'!$P$7,""))))))</f>
        <v>0</v>
      </c>
    </row>
    <row r="473" spans="1:20" x14ac:dyDescent="0.2">
      <c r="A473" s="18">
        <v>473</v>
      </c>
      <c r="C473" s="30">
        <v>44845</v>
      </c>
      <c r="D473" s="21" t="s">
        <v>17</v>
      </c>
      <c r="E473" s="21" t="s">
        <v>22</v>
      </c>
      <c r="F473" s="21" t="s">
        <v>24</v>
      </c>
      <c r="G473" s="21" t="s">
        <v>27</v>
      </c>
      <c r="H473" s="21" t="s">
        <v>31</v>
      </c>
      <c r="I473" s="21" t="s">
        <v>126</v>
      </c>
      <c r="J473" s="21" t="s">
        <v>33</v>
      </c>
      <c r="K473" s="21" t="s">
        <v>45</v>
      </c>
      <c r="L473" s="21" t="s">
        <v>51</v>
      </c>
      <c r="M473" s="21" t="s">
        <v>54</v>
      </c>
      <c r="N473" s="21" t="s">
        <v>59</v>
      </c>
      <c r="O473" s="19">
        <f>IF(ISBLANK(D473),"",IF(D473='טבלת פרמטרים'!$A$9,1,0)+IF(E473='טבלת פרמטרים'!$B$5,2,1)+IF(F473='טבלת פרמטרים'!$C$5,3,IF(F473='טבלת פרמטרים'!$C$4,1,0))+IF(G473='טבלת פרמטרים'!$D$3,2,0)+IF(M473='טבלת פרמטרים'!$J$4,2,IF(M473='טבלת פרמטרים'!$J$3,1,0))+IF(N473='טבלת פרמטרים'!$K$6,3,IF(OR(N473='טבלת פרמטרים'!$K$4,N473='טבלת פרמטרים'!$K$5),2,IF(N473='טבלת פרמטרים'!$K$3,1,0))))</f>
        <v>9</v>
      </c>
      <c r="Q473" s="20" t="s">
        <v>123</v>
      </c>
      <c r="R473" s="19">
        <f t="shared" si="11"/>
        <v>9</v>
      </c>
      <c r="T473" s="19">
        <f>IF(EXACT(Q473,'טבלת פרמטרים'!$O$2),'טבלת פרמטרים'!$P$2,IF(EXACT(Q473,'טבלת פרמטרים'!$O$3),'טבלת פרמטרים'!$P$3,IF(EXACT(Q473,'טבלת פרמטרים'!$O$4),'טבלת פרמטרים'!$P$4,IF(EXACT(Q473,'טבלת פרמטרים'!$O$5),'טבלת פרמטרים'!$P$5,IF(EXACT(Q473,'טבלת פרמטרים'!$O$6),'טבלת פרמטרים'!$P$6,IF(EXACT(Q473,'טבלת פרמטרים'!$O$7),'טבלת פרמטרים'!$P$7,""))))))</f>
        <v>0</v>
      </c>
    </row>
    <row r="474" spans="1:20" x14ac:dyDescent="0.2">
      <c r="A474" s="18">
        <v>474</v>
      </c>
      <c r="B474" s="30">
        <v>44852</v>
      </c>
      <c r="C474" s="30">
        <v>44852</v>
      </c>
      <c r="D474" s="21" t="s">
        <v>10</v>
      </c>
      <c r="E474" s="21" t="s">
        <v>20</v>
      </c>
      <c r="F474" s="21" t="s">
        <v>23</v>
      </c>
      <c r="G474" s="21" t="s">
        <v>26</v>
      </c>
      <c r="H474" s="21" t="s">
        <v>29</v>
      </c>
      <c r="I474" s="21" t="s">
        <v>126</v>
      </c>
      <c r="J474" s="21" t="s">
        <v>40</v>
      </c>
      <c r="L474" s="21" t="s">
        <v>51</v>
      </c>
      <c r="M474" s="21" t="s">
        <v>54</v>
      </c>
      <c r="N474" s="21" t="s">
        <v>58</v>
      </c>
      <c r="O474" s="19">
        <f>IF(ISBLANK(D474),"",IF(D474='טבלת פרמטרים'!$A$9,1,0)+IF(E474='טבלת פרמטרים'!$B$5,2,1)+IF(F474='טבלת פרמטרים'!$C$5,3,IF(F474='טבלת פרמטרים'!$C$4,1,0))+IF(G474='טבלת פרמטרים'!$D$3,2,0)+IF(M474='טבלת פרמטרים'!$J$4,2,IF(M474='טבלת פרמטרים'!$J$3,1,0))+IF(N474='טבלת פרמטרים'!$K$6,3,IF(OR(N474='טבלת פרמטרים'!$K$4,N474='טבלת פרמטרים'!$K$5),2,IF(N474='טבלת פרמטרים'!$K$3,1,0))))</f>
        <v>3</v>
      </c>
      <c r="Q474" s="20" t="s">
        <v>123</v>
      </c>
      <c r="R474" s="19">
        <f t="shared" si="11"/>
        <v>3</v>
      </c>
      <c r="T474" s="19">
        <f>IF(EXACT(Q474,'טבלת פרמטרים'!$O$2),'טבלת פרמטרים'!$P$2,IF(EXACT(Q474,'טבלת פרמטרים'!$O$3),'טבלת פרמטרים'!$P$3,IF(EXACT(Q474,'טבלת פרמטרים'!$O$4),'טבלת פרמטרים'!$P$4,IF(EXACT(Q474,'טבלת פרמטרים'!$O$5),'טבלת פרמטרים'!$P$5,IF(EXACT(Q474,'טבלת פרמטרים'!$O$6),'טבלת פרמטרים'!$P$6,IF(EXACT(Q474,'טבלת פרמטרים'!$O$7),'טבלת פרמטרים'!$P$7,""))))))</f>
        <v>0</v>
      </c>
    </row>
    <row r="475" spans="1:20" x14ac:dyDescent="0.2">
      <c r="A475" s="18">
        <v>475</v>
      </c>
      <c r="C475" s="30">
        <v>44859</v>
      </c>
      <c r="D475" s="21" t="s">
        <v>17</v>
      </c>
      <c r="E475" s="21" t="s">
        <v>111</v>
      </c>
      <c r="F475" s="21" t="s">
        <v>23</v>
      </c>
      <c r="G475" s="21" t="s">
        <v>26</v>
      </c>
      <c r="H475" s="21" t="s">
        <v>29</v>
      </c>
      <c r="I475" s="21" t="s">
        <v>126</v>
      </c>
      <c r="K475" s="21" t="s">
        <v>43</v>
      </c>
      <c r="L475" s="21" t="s">
        <v>49</v>
      </c>
      <c r="M475" s="21" t="s">
        <v>54</v>
      </c>
      <c r="N475" s="21" t="s">
        <v>58</v>
      </c>
      <c r="O475" s="19">
        <f>IF(ISBLANK(D475),"",IF(D475='טבלת פרמטרים'!$A$9,1,0)+IF(E475='טבלת פרמטרים'!$B$5,2,1)+IF(F475='טבלת פרמטרים'!$C$5,3,IF(F475='טבלת פרמטרים'!$C$4,1,0))+IF(G475='טבלת פרמטרים'!$D$3,2,0)+IF(M475='טבלת פרמטרים'!$J$4,2,IF(M475='טבלת פרמטרים'!$J$3,1,0))+IF(N475='טבלת פרמטרים'!$K$6,3,IF(OR(N475='טבלת פרמטרים'!$K$4,N475='טבלת פרמטרים'!$K$5),2,IF(N475='טבלת פרמטרים'!$K$3,1,0))))</f>
        <v>4</v>
      </c>
      <c r="Q475" s="20" t="s">
        <v>123</v>
      </c>
      <c r="R475" s="19">
        <f t="shared" si="11"/>
        <v>4</v>
      </c>
      <c r="T475" s="19">
        <f>IF(EXACT(Q475,'טבלת פרמטרים'!$O$2),'טבלת פרמטרים'!$P$2,IF(EXACT(Q475,'טבלת פרמטרים'!$O$3),'טבלת פרמטרים'!$P$3,IF(EXACT(Q475,'טבלת פרמטרים'!$O$4),'טבלת פרמטרים'!$P$4,IF(EXACT(Q475,'טבלת פרמטרים'!$O$5),'טבלת פרמטרים'!$P$5,IF(EXACT(Q475,'טבלת פרמטרים'!$O$6),'טבלת פרמטרים'!$P$6,IF(EXACT(Q475,'טבלת פרמטרים'!$O$7),'טבלת פרמטרים'!$P$7,""))))))</f>
        <v>0</v>
      </c>
    </row>
    <row r="476" spans="1:20" x14ac:dyDescent="0.2">
      <c r="A476" s="18">
        <v>476</v>
      </c>
      <c r="B476" s="30">
        <v>44872</v>
      </c>
      <c r="C476" s="30">
        <v>44872</v>
      </c>
      <c r="D476" s="21" t="s">
        <v>11</v>
      </c>
      <c r="E476" s="21" t="s">
        <v>111</v>
      </c>
      <c r="F476" s="21" t="s">
        <v>23</v>
      </c>
      <c r="G476" s="21" t="s">
        <v>26</v>
      </c>
      <c r="H476" s="21" t="s">
        <v>32</v>
      </c>
      <c r="M476" s="21" t="s">
        <v>55</v>
      </c>
      <c r="N476" s="21" t="s">
        <v>59</v>
      </c>
      <c r="O476" s="19">
        <f>IF(ISBLANK(D476),"",IF(D476='טבלת פרמטרים'!$A$9,1,0)+IF(E476='טבלת פרמטרים'!$B$5,2,1)+IF(F476='טבלת פרמטרים'!$C$5,3,IF(F476='טבלת פרמטרים'!$C$4,1,0))+IF(G476='טבלת פרמטרים'!$D$3,2,0)+IF(M476='טבלת פרמטרים'!$J$4,2,IF(M476='טבלת פרמטרים'!$J$3,1,0))+IF(N476='טבלת פרמטרים'!$K$6,3,IF(OR(N476='טבלת פרמטרים'!$K$4,N476='טבלת פרמטרים'!$K$5),2,IF(N476='טבלת פרמטרים'!$K$3,1,0))))</f>
        <v>5</v>
      </c>
      <c r="Q476" s="20" t="s">
        <v>123</v>
      </c>
      <c r="R476" s="19">
        <f t="shared" si="11"/>
        <v>5</v>
      </c>
      <c r="T476" s="19">
        <f>IF(EXACT(Q476,'טבלת פרמטרים'!$O$2),'טבלת פרמטרים'!$P$2,IF(EXACT(Q476,'טבלת פרמטרים'!$O$3),'טבלת פרמטרים'!$P$3,IF(EXACT(Q476,'טבלת פרמטרים'!$O$4),'טבלת פרמטרים'!$P$4,IF(EXACT(Q476,'טבלת פרמטרים'!$O$5),'טבלת פרמטרים'!$P$5,IF(EXACT(Q476,'טבלת פרמטרים'!$O$6),'טבלת פרמטרים'!$P$6,IF(EXACT(Q476,'טבלת פרמטרים'!$O$7),'טבלת פרמטרים'!$P$7,""))))))</f>
        <v>0</v>
      </c>
    </row>
    <row r="477" spans="1:20" ht="28.5" x14ac:dyDescent="0.2">
      <c r="A477" s="18">
        <v>477</v>
      </c>
      <c r="B477" s="30">
        <v>44879</v>
      </c>
      <c r="C477" s="30">
        <v>44879</v>
      </c>
      <c r="D477" s="21" t="s">
        <v>17</v>
      </c>
      <c r="E477" s="21" t="s">
        <v>22</v>
      </c>
      <c r="F477" s="21" t="s">
        <v>24</v>
      </c>
      <c r="G477" s="21" t="s">
        <v>26</v>
      </c>
      <c r="H477" s="21" t="s">
        <v>30</v>
      </c>
      <c r="I477" s="21" t="s">
        <v>127</v>
      </c>
      <c r="J477" s="21" t="s">
        <v>35</v>
      </c>
      <c r="K477" s="21" t="s">
        <v>906</v>
      </c>
      <c r="L477" s="21" t="s">
        <v>49</v>
      </c>
      <c r="M477" s="21" t="s">
        <v>55</v>
      </c>
      <c r="N477" s="21" t="s">
        <v>112</v>
      </c>
      <c r="O477" s="19">
        <f>IF(ISBLANK(D477),"",IF(D477='טבלת פרמטרים'!$A$9,1,0)+IF(E477='טבלת פרמטרים'!$B$5,2,1)+IF(F477='טבלת פרמטרים'!$C$5,3,IF(F477='טבלת פרמטרים'!$C$4,1,0))+IF(G477='טבלת פרמטרים'!$D$3,2,0)+IF(M477='טבלת פרמטרים'!$J$4,2,IF(M477='טבלת פרמטרים'!$J$3,1,0))+IF(N477='טבלת פרמטרים'!$K$6,3,IF(OR(N477='טבלת פרמטרים'!$K$4,N477='טבלת פרמטרים'!$K$5),2,IF(N477='טבלת פרמטרים'!$K$3,1,0))))</f>
        <v>8</v>
      </c>
      <c r="Q477" s="20" t="s">
        <v>329</v>
      </c>
      <c r="R477" s="19">
        <f t="shared" si="11"/>
        <v>9</v>
      </c>
      <c r="T477" s="19">
        <f>IF(EXACT(Q477,'טבלת פרמטרים'!$O$2),'טבלת פרמטרים'!$P$2,IF(EXACT(Q477,'טבלת פרמטרים'!$O$3),'טבלת פרמטרים'!$P$3,IF(EXACT(Q477,'טבלת פרמטרים'!$O$4),'טבלת פרמטרים'!$P$4,IF(EXACT(Q477,'טבלת פרמטרים'!$O$5),'טבלת פרמטרים'!$P$5,IF(EXACT(Q477,'טבלת פרמטרים'!$O$6),'טבלת פרמטרים'!$P$6,IF(EXACT(Q477,'טבלת פרמטרים'!$O$7),'טבלת פרמטרים'!$P$7,""))))))</f>
        <v>1</v>
      </c>
    </row>
    <row r="478" spans="1:20" x14ac:dyDescent="0.2">
      <c r="A478" s="18">
        <v>478</v>
      </c>
      <c r="B478" s="30">
        <v>44879</v>
      </c>
      <c r="C478" s="30">
        <v>44879</v>
      </c>
      <c r="D478" s="21" t="s">
        <v>17</v>
      </c>
      <c r="E478" s="21" t="s">
        <v>20</v>
      </c>
      <c r="F478" s="21" t="s">
        <v>23</v>
      </c>
      <c r="G478" s="21" t="s">
        <v>26</v>
      </c>
      <c r="H478" s="21" t="s">
        <v>30</v>
      </c>
      <c r="I478" s="21" t="s">
        <v>126</v>
      </c>
      <c r="J478" s="21" t="s">
        <v>33</v>
      </c>
      <c r="K478" s="21" t="s">
        <v>906</v>
      </c>
      <c r="L478" s="21" t="s">
        <v>51</v>
      </c>
      <c r="M478" s="21" t="s">
        <v>54</v>
      </c>
      <c r="N478" s="21" t="s">
        <v>59</v>
      </c>
      <c r="O478" s="19">
        <f>IF(ISBLANK(D478),"",IF(D478='טבלת פרמטרים'!$A$9,1,0)+IF(E478='טבלת פרמטרים'!$B$5,2,1)+IF(F478='טבלת פרמטרים'!$C$5,3,IF(F478='טבלת פרמטרים'!$C$4,1,0))+IF(G478='טבלת פרמטרים'!$D$3,2,0)+IF(M478='טבלת פרמטרים'!$J$4,2,IF(M478='טבלת פרמטרים'!$J$3,1,0))+IF(N478='טבלת פרמטרים'!$K$6,3,IF(OR(N478='טבלת פרמטרים'!$K$4,N478='טבלת פרמטרים'!$K$5),2,IF(N478='טבלת פרמטרים'!$K$3,1,0))))</f>
        <v>5</v>
      </c>
      <c r="Q478" s="20" t="s">
        <v>123</v>
      </c>
      <c r="R478" s="19">
        <f t="shared" si="11"/>
        <v>5</v>
      </c>
      <c r="T478" s="19">
        <f>IF(EXACT(Q478,'טבלת פרמטרים'!$O$2),'טבלת פרמטרים'!$P$2,IF(EXACT(Q478,'טבלת פרמטרים'!$O$3),'טבלת פרמטרים'!$P$3,IF(EXACT(Q478,'טבלת פרמטרים'!$O$4),'טבלת פרמטרים'!$P$4,IF(EXACT(Q478,'טבלת פרמטרים'!$O$5),'טבלת פרמטרים'!$P$5,IF(EXACT(Q478,'טבלת פרמטרים'!$O$6),'טבלת פרמטרים'!$P$6,IF(EXACT(Q478,'טבלת פרמטרים'!$O$7),'טבלת פרמטרים'!$P$7,""))))))</f>
        <v>0</v>
      </c>
    </row>
    <row r="479" spans="1:20" ht="28.5" x14ac:dyDescent="0.2">
      <c r="A479" s="18">
        <v>479</v>
      </c>
      <c r="B479" s="30">
        <v>44834</v>
      </c>
      <c r="C479" s="30">
        <v>44836</v>
      </c>
      <c r="D479" s="21" t="s">
        <v>17</v>
      </c>
      <c r="E479" s="21" t="s">
        <v>22</v>
      </c>
      <c r="F479" s="21" t="s">
        <v>24</v>
      </c>
      <c r="G479" s="21" t="s">
        <v>26</v>
      </c>
      <c r="H479" s="21" t="s">
        <v>29</v>
      </c>
      <c r="I479" s="21" t="s">
        <v>126</v>
      </c>
      <c r="J479" s="21" t="s">
        <v>35</v>
      </c>
      <c r="K479" s="21" t="s">
        <v>48</v>
      </c>
      <c r="L479" s="21" t="s">
        <v>51</v>
      </c>
      <c r="M479" s="21" t="s">
        <v>55</v>
      </c>
      <c r="N479" s="21" t="s">
        <v>58</v>
      </c>
      <c r="O479" s="19">
        <f>IF(ISBLANK(D479),"",IF(D479='טבלת פרמטרים'!$A$9,1,0)+IF(E479='טבלת פרמטרים'!$B$5,2,1)+IF(F479='טבלת פרמטרים'!$C$5,3,IF(F479='טבלת פרמטרים'!$C$4,1,0))+IF(G479='טבלת פרמטרים'!$D$3,2,0)+IF(M479='טבלת פרמטרים'!$J$4,2,IF(M479='טבלת פרמטרים'!$J$3,1,0))+IF(N479='טבלת פרמטרים'!$K$6,3,IF(OR(N479='טבלת פרמטרים'!$K$4,N479='טבלת פרמטרים'!$K$5),2,IF(N479='טבלת פרמטרים'!$K$3,1,0))))</f>
        <v>7</v>
      </c>
      <c r="Q479" s="20" t="s">
        <v>330</v>
      </c>
      <c r="R479" s="19">
        <f t="shared" si="11"/>
        <v>11</v>
      </c>
      <c r="T479" s="19">
        <f>IF(EXACT(Q479,'טבלת פרמטרים'!$O$2),'טבלת פרמטרים'!$P$2,IF(EXACT(Q479,'טבלת פרמטרים'!$O$3),'טבלת פרמטרים'!$P$3,IF(EXACT(Q479,'טבלת פרמטרים'!$O$4),'טבלת פרמטרים'!$P$4,IF(EXACT(Q479,'טבלת פרמטרים'!$O$5),'טבלת פרמטרים'!$P$5,IF(EXACT(Q479,'טבלת פרמטרים'!$O$6),'טבלת פרמטרים'!$P$6,IF(EXACT(Q479,'טבלת פרמטרים'!$O$7),'טבלת פרמטרים'!$P$7,""))))))</f>
        <v>4</v>
      </c>
    </row>
    <row r="480" spans="1:20" x14ac:dyDescent="0.2">
      <c r="A480" s="18">
        <v>480</v>
      </c>
      <c r="B480" s="30">
        <v>44881</v>
      </c>
      <c r="C480" s="30">
        <v>44881</v>
      </c>
      <c r="D480" s="21" t="s">
        <v>10</v>
      </c>
      <c r="E480" s="21" t="s">
        <v>20</v>
      </c>
      <c r="F480" s="21" t="s">
        <v>23</v>
      </c>
      <c r="G480" s="21" t="s">
        <v>26</v>
      </c>
      <c r="H480" s="21" t="s">
        <v>29</v>
      </c>
      <c r="I480" s="21" t="s">
        <v>127</v>
      </c>
      <c r="J480" s="21" t="s">
        <v>11</v>
      </c>
      <c r="K480" s="21" t="s">
        <v>45</v>
      </c>
      <c r="L480" s="21" t="s">
        <v>51</v>
      </c>
      <c r="M480" s="21" t="s">
        <v>54</v>
      </c>
      <c r="N480" s="21" t="s">
        <v>59</v>
      </c>
      <c r="O480" s="19">
        <f>IF(ISBLANK(D480),"",IF(D480='טבלת פרמטרים'!$A$9,1,0)+IF(E480='טבלת פרמטרים'!$B$5,2,1)+IF(F480='טבלת פרמטרים'!$C$5,3,IF(F480='טבלת פרמטרים'!$C$4,1,0))+IF(G480='טבלת פרמטרים'!$D$3,2,0)+IF(M480='טבלת פרמטרים'!$J$4,2,IF(M480='טבלת פרמטרים'!$J$3,1,0))+IF(N480='טבלת פרמטרים'!$K$6,3,IF(OR(N480='טבלת פרמטרים'!$K$4,N480='טבלת פרמטרים'!$K$5),2,IF(N480='טבלת פרמטרים'!$K$3,1,0))))</f>
        <v>4</v>
      </c>
      <c r="Q480" s="20" t="s">
        <v>123</v>
      </c>
      <c r="R480" s="19">
        <f t="shared" si="11"/>
        <v>4</v>
      </c>
      <c r="T480" s="19">
        <f>IF(EXACT(Q480,'טבלת פרמטרים'!$O$2),'טבלת פרמטרים'!$P$2,IF(EXACT(Q480,'טבלת פרמטרים'!$O$3),'טבלת פרמטרים'!$P$3,IF(EXACT(Q480,'טבלת פרמטרים'!$O$4),'טבלת פרמטרים'!$P$4,IF(EXACT(Q480,'טבלת פרמטרים'!$O$5),'טבלת פרמטרים'!$P$5,IF(EXACT(Q480,'טבלת פרמטרים'!$O$6),'טבלת פרמטרים'!$P$6,IF(EXACT(Q480,'טבלת פרמטרים'!$O$7),'טבלת פרמטרים'!$P$7,""))))))</f>
        <v>0</v>
      </c>
    </row>
    <row r="481" spans="1:20" x14ac:dyDescent="0.2">
      <c r="A481" s="18">
        <v>481</v>
      </c>
      <c r="B481" s="30">
        <v>44881</v>
      </c>
      <c r="C481" s="30">
        <v>44881</v>
      </c>
      <c r="D481" s="21" t="s">
        <v>11</v>
      </c>
      <c r="E481" s="21" t="s">
        <v>20</v>
      </c>
      <c r="F481" s="21" t="s">
        <v>23</v>
      </c>
      <c r="G481" s="21" t="s">
        <v>26</v>
      </c>
      <c r="H481" s="21" t="s">
        <v>30</v>
      </c>
      <c r="I481" s="21" t="s">
        <v>127</v>
      </c>
      <c r="J481" s="21" t="s">
        <v>11</v>
      </c>
      <c r="K481" s="21" t="s">
        <v>45</v>
      </c>
      <c r="L481" s="21" t="s">
        <v>51</v>
      </c>
      <c r="M481" s="21" t="s">
        <v>55</v>
      </c>
      <c r="N481" s="21" t="s">
        <v>58</v>
      </c>
      <c r="O481" s="19">
        <f>IF(ISBLANK(D481),"",IF(D481='טבלת פרמטרים'!$A$9,1,0)+IF(E481='טבלת פרמטרים'!$B$5,2,1)+IF(F481='טבלת פרמטרים'!$C$5,3,IF(F481='טבלת פרמטרים'!$C$4,1,0))+IF(G481='טבלת פרמטרים'!$D$3,2,0)+IF(M481='טבלת פרמטרים'!$J$4,2,IF(M481='טבלת פרמטרים'!$J$3,1,0))+IF(N481='טבלת פרמטרים'!$K$6,3,IF(OR(N481='טבלת פרמטרים'!$K$4,N481='טבלת פרמטרים'!$K$5),2,IF(N481='טבלת פרמטרים'!$K$3,1,0))))</f>
        <v>4</v>
      </c>
      <c r="Q481" s="20" t="s">
        <v>123</v>
      </c>
      <c r="R481" s="19">
        <f t="shared" si="11"/>
        <v>4</v>
      </c>
      <c r="T481" s="19">
        <f>IF(EXACT(Q481,'טבלת פרמטרים'!$O$2),'טבלת פרמטרים'!$P$2,IF(EXACT(Q481,'טבלת פרמטרים'!$O$3),'טבלת פרמטרים'!$P$3,IF(EXACT(Q481,'טבלת פרמטרים'!$O$4),'טבלת פרמטרים'!$P$4,IF(EXACT(Q481,'טבלת פרמטרים'!$O$5),'טבלת פרמטרים'!$P$5,IF(EXACT(Q481,'טבלת פרמטרים'!$O$6),'טבלת פרמטרים'!$P$6,IF(EXACT(Q481,'טבלת פרמטרים'!$O$7),'טבלת פרמטרים'!$P$7,""))))))</f>
        <v>0</v>
      </c>
    </row>
    <row r="482" spans="1:20" x14ac:dyDescent="0.2">
      <c r="A482" s="18">
        <v>482</v>
      </c>
      <c r="B482" s="30">
        <v>44887</v>
      </c>
      <c r="C482" s="30">
        <v>44887</v>
      </c>
      <c r="D482" s="21" t="s">
        <v>11</v>
      </c>
      <c r="E482" s="21" t="s">
        <v>111</v>
      </c>
      <c r="F482" s="21" t="s">
        <v>23</v>
      </c>
      <c r="G482" s="21" t="s">
        <v>26</v>
      </c>
      <c r="H482" s="21" t="s">
        <v>30</v>
      </c>
      <c r="I482" s="21" t="s">
        <v>127</v>
      </c>
      <c r="J482" s="21" t="s">
        <v>11</v>
      </c>
      <c r="K482" s="21" t="s">
        <v>45</v>
      </c>
      <c r="L482" s="21" t="s">
        <v>51</v>
      </c>
      <c r="M482" s="21" t="s">
        <v>55</v>
      </c>
      <c r="N482" s="21" t="s">
        <v>58</v>
      </c>
      <c r="O482" s="19">
        <f>IF(ISBLANK(D482),"",IF(D482='טבלת פרמטרים'!$A$9,1,0)+IF(E482='טבלת פרמטרים'!$B$5,2,1)+IF(F482='טבלת פרמטרים'!$C$5,3,IF(F482='טבלת פרמטרים'!$C$4,1,0))+IF(G482='טבלת פרמטרים'!$D$3,2,0)+IF(M482='טבלת פרמטרים'!$J$4,2,IF(M482='טבלת פרמטרים'!$J$3,1,0))+IF(N482='טבלת פרמטרים'!$K$6,3,IF(OR(N482='טבלת פרמטרים'!$K$4,N482='טבלת פרמטרים'!$K$5),2,IF(N482='טבלת פרמטרים'!$K$3,1,0))))</f>
        <v>4</v>
      </c>
      <c r="Q482" s="20" t="s">
        <v>123</v>
      </c>
      <c r="R482" s="19">
        <f t="shared" si="11"/>
        <v>4</v>
      </c>
      <c r="T482" s="19">
        <f>IF(EXACT(Q482,'טבלת פרמטרים'!$O$2),'טבלת פרמטרים'!$P$2,IF(EXACT(Q482,'טבלת פרמטרים'!$O$3),'טבלת פרמטרים'!$P$3,IF(EXACT(Q482,'טבלת פרמטרים'!$O$4),'טבלת פרמטרים'!$P$4,IF(EXACT(Q482,'טבלת פרמטרים'!$O$5),'טבלת פרמטרים'!$P$5,IF(EXACT(Q482,'טבלת פרמטרים'!$O$6),'טבלת פרמטרים'!$P$6,IF(EXACT(Q482,'טבלת פרמטרים'!$O$7),'טבלת פרמטרים'!$P$7,""))))))</f>
        <v>0</v>
      </c>
    </row>
    <row r="483" spans="1:20" ht="28.5" x14ac:dyDescent="0.2">
      <c r="A483" s="18">
        <v>483</v>
      </c>
      <c r="B483" s="30">
        <v>44885</v>
      </c>
      <c r="C483" s="30">
        <v>44889</v>
      </c>
      <c r="D483" s="21" t="s">
        <v>17</v>
      </c>
      <c r="E483" s="21" t="s">
        <v>22</v>
      </c>
      <c r="F483" s="21" t="s">
        <v>24</v>
      </c>
      <c r="G483" s="21" t="s">
        <v>27</v>
      </c>
      <c r="H483" s="21" t="s">
        <v>30</v>
      </c>
      <c r="I483" s="21" t="s">
        <v>127</v>
      </c>
      <c r="J483" s="21" t="s">
        <v>35</v>
      </c>
      <c r="K483" s="21" t="s">
        <v>44</v>
      </c>
      <c r="L483" s="21" t="s">
        <v>51</v>
      </c>
      <c r="M483" s="21" t="s">
        <v>55</v>
      </c>
      <c r="N483" s="21" t="s">
        <v>58</v>
      </c>
      <c r="O483" s="19">
        <f>IF(ISBLANK(D483),"",IF(D483='טבלת פרמטרים'!$A$9,1,0)+IF(E483='טבלת פרמטרים'!$B$5,2,1)+IF(F483='טבלת פרמטרים'!$C$5,3,IF(F483='טבלת פרמטרים'!$C$4,1,0))+IF(G483='טבלת פרמטרים'!$D$3,2,0)+IF(M483='טבלת פרמטרים'!$J$4,2,IF(M483='טבלת פרמטרים'!$J$3,1,0))+IF(N483='טבלת פרמטרים'!$K$6,3,IF(OR(N483='טבלת פרמטרים'!$K$4,N483='טבלת פרמטרים'!$K$5),2,IF(N483='טבלת פרמטרים'!$K$3,1,0))))</f>
        <v>9</v>
      </c>
      <c r="Q483" s="20" t="s">
        <v>329</v>
      </c>
      <c r="R483" s="19">
        <f t="shared" si="11"/>
        <v>10</v>
      </c>
      <c r="T483" s="19">
        <f>IF(EXACT(Q483,'טבלת פרמטרים'!$O$2),'טבלת פרמטרים'!$P$2,IF(EXACT(Q483,'טבלת פרמטרים'!$O$3),'טבלת פרמטרים'!$P$3,IF(EXACT(Q483,'טבלת פרמטרים'!$O$4),'טבלת פרמטרים'!$P$4,IF(EXACT(Q483,'טבלת פרמטרים'!$O$5),'טבלת פרמטרים'!$P$5,IF(EXACT(Q483,'טבלת פרמטרים'!$O$6),'טבלת פרמטרים'!$P$6,IF(EXACT(Q483,'טבלת פרמטרים'!$O$7),'טבלת פרמטרים'!$P$7,""))))))</f>
        <v>1</v>
      </c>
    </row>
    <row r="484" spans="1:20" x14ac:dyDescent="0.2">
      <c r="A484" s="18">
        <v>484</v>
      </c>
      <c r="B484" s="30">
        <v>44889</v>
      </c>
      <c r="C484" s="30">
        <v>44889</v>
      </c>
      <c r="D484" s="21" t="s">
        <v>17</v>
      </c>
      <c r="E484" s="21" t="s">
        <v>111</v>
      </c>
      <c r="F484" s="21" t="s">
        <v>23</v>
      </c>
      <c r="G484" s="21" t="s">
        <v>26</v>
      </c>
      <c r="H484" s="21" t="s">
        <v>32</v>
      </c>
      <c r="I484" s="21" t="s">
        <v>127</v>
      </c>
      <c r="J484" s="21" t="s">
        <v>39</v>
      </c>
      <c r="K484" s="21" t="s">
        <v>39</v>
      </c>
      <c r="L484" s="21" t="s">
        <v>50</v>
      </c>
      <c r="M484" s="21" t="s">
        <v>54</v>
      </c>
      <c r="N484" s="21" t="s">
        <v>59</v>
      </c>
      <c r="O484" s="19">
        <f>IF(ISBLANK(D484),"",IF(D484='טבלת פרמטרים'!$A$9,1,0)+IF(E484='טבלת פרמטרים'!$B$5,2,1)+IF(F484='טבלת פרמטרים'!$C$5,3,IF(F484='טבלת פרמטרים'!$C$4,1,0))+IF(G484='טבלת פרמטרים'!$D$3,2,0)+IF(M484='טבלת פרמטרים'!$J$4,2,IF(M484='טבלת פרמטרים'!$J$3,1,0))+IF(N484='טבלת פרמטרים'!$K$6,3,IF(OR(N484='טבלת פרמטרים'!$K$4,N484='טבלת פרמטרים'!$K$5),2,IF(N484='טבלת פרמטרים'!$K$3,1,0))))</f>
        <v>5</v>
      </c>
      <c r="Q484" s="20" t="s">
        <v>123</v>
      </c>
      <c r="R484" s="19">
        <f t="shared" si="11"/>
        <v>5</v>
      </c>
      <c r="T484" s="19">
        <f>IF(EXACT(Q484,'טבלת פרמטרים'!$O$2),'טבלת פרמטרים'!$P$2,IF(EXACT(Q484,'טבלת פרמטרים'!$O$3),'טבלת פרמטרים'!$P$3,IF(EXACT(Q484,'טבלת פרמטרים'!$O$4),'טבלת פרמטרים'!$P$4,IF(EXACT(Q484,'טבלת פרמטרים'!$O$5),'טבלת פרמטרים'!$P$5,IF(EXACT(Q484,'טבלת פרמטרים'!$O$6),'טבלת פרמטרים'!$P$6,IF(EXACT(Q484,'טבלת פרמטרים'!$O$7),'טבלת פרמטרים'!$P$7,""))))))</f>
        <v>0</v>
      </c>
    </row>
    <row r="485" spans="1:20" x14ac:dyDescent="0.2">
      <c r="A485" s="18">
        <v>485</v>
      </c>
      <c r="B485" s="30">
        <v>44892</v>
      </c>
      <c r="C485" s="30">
        <v>44892</v>
      </c>
      <c r="D485" s="21" t="s">
        <v>16</v>
      </c>
      <c r="E485" s="21" t="s">
        <v>21</v>
      </c>
      <c r="F485" s="21" t="s">
        <v>23</v>
      </c>
      <c r="G485" s="21" t="s">
        <v>26</v>
      </c>
      <c r="H485" s="21" t="s">
        <v>29</v>
      </c>
      <c r="I485" s="21" t="s">
        <v>126</v>
      </c>
      <c r="J485" s="21" t="s">
        <v>33</v>
      </c>
      <c r="K485" s="21" t="s">
        <v>43</v>
      </c>
      <c r="L485" s="21" t="s">
        <v>51</v>
      </c>
      <c r="M485" s="21" t="s">
        <v>55</v>
      </c>
      <c r="N485" s="21" t="s">
        <v>58</v>
      </c>
      <c r="O485" s="19">
        <f>IF(ISBLANK(D485),"",IF(D485='טבלת פרמטרים'!$A$9,1,0)+IF(E485='טבלת פרמטרים'!$B$5,2,1)+IF(F485='טבלת פרמטרים'!$C$5,3,IF(F485='טבלת פרמטרים'!$C$4,1,0))+IF(G485='טבלת פרמטרים'!$D$3,2,0)+IF(M485='טבלת פרמטרים'!$J$4,2,IF(M485='טבלת פרמטרים'!$J$3,1,0))+IF(N485='טבלת פרמטרים'!$K$6,3,IF(OR(N485='טבלת פרמטרים'!$K$4,N485='טבלת פרמטרים'!$K$5),2,IF(N485='טבלת פרמטרים'!$K$3,1,0))))</f>
        <v>4</v>
      </c>
      <c r="Q485" s="20" t="s">
        <v>123</v>
      </c>
      <c r="R485" s="19">
        <f t="shared" si="11"/>
        <v>4</v>
      </c>
      <c r="T485" s="19">
        <f>IF(EXACT(Q485,'טבלת פרמטרים'!$O$2),'טבלת פרמטרים'!$P$2,IF(EXACT(Q485,'טבלת פרמטרים'!$O$3),'טבלת פרמטרים'!$P$3,IF(EXACT(Q485,'טבלת פרמטרים'!$O$4),'טבלת פרמטרים'!$P$4,IF(EXACT(Q485,'טבלת פרמטרים'!$O$5),'טבלת פרמטרים'!$P$5,IF(EXACT(Q485,'טבלת פרמטרים'!$O$6),'טבלת פרמטרים'!$P$6,IF(EXACT(Q485,'טבלת פרמטרים'!$O$7),'טבלת פרמטרים'!$P$7,""))))))</f>
        <v>0</v>
      </c>
    </row>
    <row r="486" spans="1:20" x14ac:dyDescent="0.2">
      <c r="A486" s="18">
        <v>486</v>
      </c>
      <c r="B486" s="30">
        <v>44893</v>
      </c>
      <c r="C486" s="30">
        <v>44893</v>
      </c>
      <c r="D486" s="21" t="s">
        <v>17</v>
      </c>
      <c r="E486" s="21" t="s">
        <v>20</v>
      </c>
      <c r="F486" s="21" t="s">
        <v>23</v>
      </c>
      <c r="G486" s="21" t="s">
        <v>27</v>
      </c>
      <c r="H486" s="21" t="s">
        <v>32</v>
      </c>
      <c r="I486" s="21" t="s">
        <v>127</v>
      </c>
      <c r="J486" s="21" t="s">
        <v>33</v>
      </c>
      <c r="K486" s="21" t="s">
        <v>44</v>
      </c>
      <c r="L486" s="21" t="s">
        <v>51</v>
      </c>
      <c r="M486" s="21" t="s">
        <v>54</v>
      </c>
      <c r="N486" s="21" t="s">
        <v>59</v>
      </c>
      <c r="O486" s="19">
        <f>IF(ISBLANK(D486),"",IF(D486='טבלת פרמטרים'!$A$9,1,0)+IF(E486='טבלת פרמטרים'!$B$5,2,1)+IF(F486='טבלת פרמטרים'!$C$5,3,IF(F486='טבלת פרמטרים'!$C$4,1,0))+IF(G486='טבלת פרמטרים'!$D$3,2,0)+IF(M486='טבלת פרמטרים'!$J$4,2,IF(M486='טבלת פרמטרים'!$J$3,1,0))+IF(N486='טבלת פרמטרים'!$K$6,3,IF(OR(N486='טבלת פרמטרים'!$K$4,N486='טבלת פרמטרים'!$K$5),2,IF(N486='טבלת פרמטרים'!$K$3,1,0))))</f>
        <v>7</v>
      </c>
      <c r="Q486" s="20" t="s">
        <v>123</v>
      </c>
      <c r="R486" s="19">
        <f t="shared" si="11"/>
        <v>7</v>
      </c>
      <c r="T486" s="19">
        <f>IF(EXACT(Q486,'טבלת פרמטרים'!$O$2),'טבלת פרמטרים'!$P$2,IF(EXACT(Q486,'טבלת פרמטרים'!$O$3),'טבלת פרמטרים'!$P$3,IF(EXACT(Q486,'טבלת פרמטרים'!$O$4),'טבלת פרמטרים'!$P$4,IF(EXACT(Q486,'טבלת פרמטרים'!$O$5),'טבלת פרמטרים'!$P$5,IF(EXACT(Q486,'טבלת פרמטרים'!$O$6),'טבלת פרמטרים'!$P$6,IF(EXACT(Q486,'טבלת פרמטרים'!$O$7),'טבלת פרמטרים'!$P$7,""))))))</f>
        <v>0</v>
      </c>
    </row>
    <row r="487" spans="1:20" x14ac:dyDescent="0.2">
      <c r="A487" s="18">
        <v>487</v>
      </c>
      <c r="B487" s="30">
        <v>44899</v>
      </c>
      <c r="C487" s="30">
        <v>44899</v>
      </c>
      <c r="D487" s="21" t="s">
        <v>17</v>
      </c>
      <c r="E487" s="21" t="s">
        <v>111</v>
      </c>
      <c r="F487" s="21" t="s">
        <v>23</v>
      </c>
      <c r="G487" s="21" t="s">
        <v>26</v>
      </c>
      <c r="H487" s="21" t="s">
        <v>31</v>
      </c>
      <c r="I487" s="21" t="s">
        <v>127</v>
      </c>
      <c r="K487" s="21" t="s">
        <v>45</v>
      </c>
      <c r="L487" s="21" t="s">
        <v>51</v>
      </c>
      <c r="M487" s="21" t="s">
        <v>54</v>
      </c>
      <c r="N487" s="21" t="s">
        <v>58</v>
      </c>
      <c r="O487" s="19">
        <f>IF(ISBLANK(D487),"",IF(D487='טבלת פרמטרים'!$A$9,1,0)+IF(E487='טבלת פרמטרים'!$B$5,2,1)+IF(F487='טבלת פרמטרים'!$C$5,3,IF(F487='טבלת פרמטרים'!$C$4,1,0))+IF(G487='טבלת פרמטרים'!$D$3,2,0)+IF(M487='טבלת פרמטרים'!$J$4,2,IF(M487='טבלת פרמטרים'!$J$3,1,0))+IF(N487='טבלת פרמטרים'!$K$6,3,IF(OR(N487='טבלת פרמטרים'!$K$4,N487='טבלת פרמטרים'!$K$5),2,IF(N487='טבלת פרמטרים'!$K$3,1,0))))</f>
        <v>4</v>
      </c>
      <c r="Q487" s="20" t="s">
        <v>123</v>
      </c>
      <c r="R487" s="19">
        <f t="shared" si="11"/>
        <v>4</v>
      </c>
      <c r="T487" s="19">
        <f>IF(EXACT(Q487,'טבלת פרמטרים'!$O$2),'טבלת פרמטרים'!$P$2,IF(EXACT(Q487,'טבלת פרמטרים'!$O$3),'טבלת פרמטרים'!$P$3,IF(EXACT(Q487,'טבלת פרמטרים'!$O$4),'טבלת פרמטרים'!$P$4,IF(EXACT(Q487,'טבלת פרמטרים'!$O$5),'טבלת פרמטרים'!$P$5,IF(EXACT(Q487,'טבלת פרמטרים'!$O$6),'טבלת פרמטרים'!$P$6,IF(EXACT(Q487,'טבלת פרמטרים'!$O$7),'טבלת פרמטרים'!$P$7,""))))))</f>
        <v>0</v>
      </c>
    </row>
    <row r="488" spans="1:20" x14ac:dyDescent="0.2">
      <c r="A488" s="18">
        <v>488</v>
      </c>
      <c r="B488" s="30">
        <v>44908</v>
      </c>
      <c r="C488" s="30">
        <v>44913</v>
      </c>
      <c r="D488" s="21" t="s">
        <v>11</v>
      </c>
      <c r="E488" s="21" t="s">
        <v>20</v>
      </c>
      <c r="F488" s="21" t="s">
        <v>23</v>
      </c>
      <c r="G488" s="21" t="s">
        <v>26</v>
      </c>
      <c r="H488" s="21" t="s">
        <v>32</v>
      </c>
      <c r="J488" s="21" t="s">
        <v>11</v>
      </c>
      <c r="K488" s="21" t="s">
        <v>43</v>
      </c>
      <c r="L488" s="21" t="s">
        <v>51</v>
      </c>
      <c r="M488" s="21" t="s">
        <v>55</v>
      </c>
      <c r="N488" s="21" t="s">
        <v>58</v>
      </c>
      <c r="O488" s="19">
        <f>IF(ISBLANK(D488),"",IF(D488='טבלת פרמטרים'!$A$9,1,0)+IF(E488='טבלת פרמטרים'!$B$5,2,1)+IF(F488='טבלת פרמטרים'!$C$5,3,IF(F488='טבלת פרמטרים'!$C$4,1,0))+IF(G488='טבלת פרמטרים'!$D$3,2,0)+IF(M488='טבלת פרמטרים'!$J$4,2,IF(M488='טבלת פרמטרים'!$J$3,1,0))+IF(N488='טבלת פרמטרים'!$K$6,3,IF(OR(N488='טבלת פרמטרים'!$K$4,N488='טבלת פרמטרים'!$K$5),2,IF(N488='טבלת פרמטרים'!$K$3,1,0))))</f>
        <v>4</v>
      </c>
      <c r="Q488" s="20" t="s">
        <v>123</v>
      </c>
      <c r="R488" s="19">
        <f t="shared" si="11"/>
        <v>4</v>
      </c>
      <c r="T488" s="19">
        <f>IF(EXACT(Q488,'טבלת פרמטרים'!$O$2),'טבלת פרמטרים'!$P$2,IF(EXACT(Q488,'טבלת פרמטרים'!$O$3),'טבלת פרמטרים'!$P$3,IF(EXACT(Q488,'טבלת פרמטרים'!$O$4),'טבלת פרמטרים'!$P$4,IF(EXACT(Q488,'טבלת פרמטרים'!$O$5),'טבלת פרמטרים'!$P$5,IF(EXACT(Q488,'טבלת פרמטרים'!$O$6),'טבלת פרמטרים'!$P$6,IF(EXACT(Q488,'טבלת פרמטרים'!$O$7),'טבלת פרמטרים'!$P$7,""))))))</f>
        <v>0</v>
      </c>
    </row>
    <row r="489" spans="1:20" x14ac:dyDescent="0.2">
      <c r="A489" s="18">
        <v>489</v>
      </c>
      <c r="B489" s="30">
        <v>44914</v>
      </c>
      <c r="C489" s="30">
        <v>44916</v>
      </c>
      <c r="D489" s="21" t="s">
        <v>10</v>
      </c>
      <c r="E489" s="21" t="s">
        <v>111</v>
      </c>
      <c r="F489" s="21" t="s">
        <v>23</v>
      </c>
      <c r="G489" s="21" t="s">
        <v>26</v>
      </c>
      <c r="H489" s="21" t="s">
        <v>31</v>
      </c>
      <c r="J489" s="21" t="s">
        <v>41</v>
      </c>
      <c r="K489" s="21" t="s">
        <v>45</v>
      </c>
      <c r="L489" s="21" t="s">
        <v>49</v>
      </c>
      <c r="M489" s="21" t="s">
        <v>54</v>
      </c>
      <c r="N489" s="21" t="s">
        <v>58</v>
      </c>
      <c r="O489" s="19">
        <f>IF(ISBLANK(D489),"",IF(D489='טבלת פרמטרים'!$A$9,1,0)+IF(E489='טבלת פרמטרים'!$B$5,2,1)+IF(F489='טבלת פרמטרים'!$C$5,3,IF(F489='טבלת פרמטרים'!$C$4,1,0))+IF(G489='טבלת פרמטרים'!$D$3,2,0)+IF(M489='טבלת פרמטרים'!$J$4,2,IF(M489='טבלת פרמטרים'!$J$3,1,0))+IF(N489='טבלת פרמטרים'!$K$6,3,IF(OR(N489='טבלת פרמטרים'!$K$4,N489='טבלת פרמטרים'!$K$5),2,IF(N489='טבלת פרמטרים'!$K$3,1,0))))</f>
        <v>3</v>
      </c>
      <c r="Q489" s="20" t="s">
        <v>123</v>
      </c>
      <c r="R489" s="19">
        <f t="shared" si="11"/>
        <v>3</v>
      </c>
      <c r="T489" s="19">
        <f>IF(EXACT(Q489,'טבלת פרמטרים'!$O$2),'טבלת פרמטרים'!$P$2,IF(EXACT(Q489,'טבלת פרמטרים'!$O$3),'טבלת פרמטרים'!$P$3,IF(EXACT(Q489,'טבלת פרמטרים'!$O$4),'טבלת פרמטרים'!$P$4,IF(EXACT(Q489,'טבלת פרמטרים'!$O$5),'טבלת פרמטרים'!$P$5,IF(EXACT(Q489,'טבלת פרמטרים'!$O$6),'טבלת פרמטרים'!$P$6,IF(EXACT(Q489,'טבלת פרמטרים'!$O$7),'טבלת פרמטרים'!$P$7,""))))))</f>
        <v>0</v>
      </c>
    </row>
    <row r="490" spans="1:20" x14ac:dyDescent="0.2">
      <c r="A490" s="18">
        <v>490</v>
      </c>
      <c r="B490" s="30">
        <v>44916</v>
      </c>
      <c r="C490" s="30">
        <v>44916</v>
      </c>
      <c r="D490" s="21" t="s">
        <v>11</v>
      </c>
      <c r="E490" s="21" t="s">
        <v>20</v>
      </c>
      <c r="F490" s="21" t="s">
        <v>23</v>
      </c>
      <c r="G490" s="21" t="s">
        <v>26</v>
      </c>
      <c r="H490" s="21" t="s">
        <v>29</v>
      </c>
      <c r="J490" s="21" t="s">
        <v>11</v>
      </c>
      <c r="L490" s="21" t="s">
        <v>51</v>
      </c>
      <c r="M490" s="21" t="s">
        <v>54</v>
      </c>
      <c r="N490" s="21" t="s">
        <v>58</v>
      </c>
      <c r="O490" s="19">
        <f>IF(ISBLANK(D490),"",IF(D490='טבלת פרמטרים'!$A$9,1,0)+IF(E490='טבלת פרמטרים'!$B$5,2,1)+IF(F490='טבלת פרמטרים'!$C$5,3,IF(F490='טבלת פרמטרים'!$C$4,1,0))+IF(G490='טבלת פרמטרים'!$D$3,2,0)+IF(M490='טבלת פרמטרים'!$J$4,2,IF(M490='טבלת פרמטרים'!$J$3,1,0))+IF(N490='טבלת פרמטרים'!$K$6,3,IF(OR(N490='טבלת פרמטרים'!$K$4,N490='טבלת פרמטרים'!$K$5),2,IF(N490='טבלת פרמטרים'!$K$3,1,0))))</f>
        <v>3</v>
      </c>
      <c r="Q490" s="20" t="s">
        <v>123</v>
      </c>
      <c r="R490" s="19">
        <f t="shared" si="11"/>
        <v>3</v>
      </c>
      <c r="T490" s="19">
        <f>IF(EXACT(Q490,'טבלת פרמטרים'!$O$2),'טבלת פרמטרים'!$P$2,IF(EXACT(Q490,'טבלת פרמטרים'!$O$3),'טבלת פרמטרים'!$P$3,IF(EXACT(Q490,'טבלת פרמטרים'!$O$4),'טבלת פרמטרים'!$P$4,IF(EXACT(Q490,'טבלת פרמטרים'!$O$5),'טבלת פרמטרים'!$P$5,IF(EXACT(Q490,'טבלת פרמטרים'!$O$6),'טבלת פרמטרים'!$P$6,IF(EXACT(Q490,'טבלת פרמטרים'!$O$7),'טבלת פרמטרים'!$P$7,""))))))</f>
        <v>0</v>
      </c>
    </row>
    <row r="491" spans="1:20" x14ac:dyDescent="0.2">
      <c r="A491" s="18">
        <v>491</v>
      </c>
      <c r="B491" s="30">
        <v>44917</v>
      </c>
      <c r="C491" s="30">
        <v>44917</v>
      </c>
      <c r="D491" s="21" t="s">
        <v>14</v>
      </c>
      <c r="E491" s="21" t="s">
        <v>111</v>
      </c>
      <c r="F491" s="21" t="s">
        <v>23</v>
      </c>
      <c r="G491" s="21" t="s">
        <v>26</v>
      </c>
      <c r="H491" s="21" t="s">
        <v>31</v>
      </c>
      <c r="K491" s="21" t="s">
        <v>44</v>
      </c>
      <c r="L491" s="21" t="s">
        <v>49</v>
      </c>
      <c r="M491" s="21" t="s">
        <v>54</v>
      </c>
      <c r="N491" s="21" t="s">
        <v>59</v>
      </c>
      <c r="O491" s="19">
        <f>IF(ISBLANK(D491),"",IF(D491='טבלת פרמטרים'!$A$9,1,0)+IF(E491='טבלת פרמטרים'!$B$5,2,1)+IF(F491='טבלת פרמטרים'!$C$5,3,IF(F491='טבלת פרמטרים'!$C$4,1,0))+IF(G491='טבלת פרמטרים'!$D$3,2,0)+IF(M491='טבלת פרמטרים'!$J$4,2,IF(M491='טבלת פרמטרים'!$J$3,1,0))+IF(N491='טבלת פרמטרים'!$K$6,3,IF(OR(N491='טבלת פרמטרים'!$K$4,N491='טבלת פרמטרים'!$K$5),2,IF(N491='טבלת פרמטרים'!$K$3,1,0))))</f>
        <v>4</v>
      </c>
      <c r="Q491" s="20" t="s">
        <v>123</v>
      </c>
      <c r="R491" s="19">
        <f t="shared" si="11"/>
        <v>4</v>
      </c>
      <c r="T491" s="19">
        <f>IF(EXACT(Q491,'טבלת פרמטרים'!$O$2),'טבלת פרמטרים'!$P$2,IF(EXACT(Q491,'טבלת פרמטרים'!$O$3),'טבלת פרמטרים'!$P$3,IF(EXACT(Q491,'טבלת פרמטרים'!$O$4),'טבלת פרמטרים'!$P$4,IF(EXACT(Q491,'טבלת פרמטרים'!$O$5),'טבלת פרמטרים'!$P$5,IF(EXACT(Q491,'טבלת פרמטרים'!$O$6),'טבלת פרמטרים'!$P$6,IF(EXACT(Q491,'טבלת פרמטרים'!$O$7),'טבלת פרמטרים'!$P$7,""))))))</f>
        <v>0</v>
      </c>
    </row>
    <row r="492" spans="1:20" x14ac:dyDescent="0.2">
      <c r="A492" s="18">
        <v>492</v>
      </c>
      <c r="B492" s="30">
        <v>44922</v>
      </c>
      <c r="C492" s="30">
        <v>44922</v>
      </c>
      <c r="D492" s="21" t="s">
        <v>17</v>
      </c>
      <c r="E492" s="21" t="s">
        <v>20</v>
      </c>
      <c r="F492" s="21" t="s">
        <v>23</v>
      </c>
      <c r="G492" s="21" t="s">
        <v>26</v>
      </c>
      <c r="H492" s="21" t="s">
        <v>31</v>
      </c>
      <c r="J492" s="21" t="s">
        <v>33</v>
      </c>
      <c r="K492" s="21" t="s">
        <v>44</v>
      </c>
      <c r="L492" s="21" t="s">
        <v>50</v>
      </c>
      <c r="M492" s="21" t="s">
        <v>55</v>
      </c>
      <c r="N492" s="21" t="s">
        <v>112</v>
      </c>
      <c r="O492" s="19">
        <f>IF(ISBLANK(D492),"",IF(D492='טבלת פרמטרים'!$A$9,1,0)+IF(E492='טבלת פרמטרים'!$B$5,2,1)+IF(F492='טבלת פרמטרים'!$C$5,3,IF(F492='טבלת פרמטרים'!$C$4,1,0))+IF(G492='טבלת פרמטרים'!$D$3,2,0)+IF(M492='טבלת פרמטרים'!$J$4,2,IF(M492='טבלת פרמטרים'!$J$3,1,0))+IF(N492='טבלת פרמטרים'!$K$6,3,IF(OR(N492='טבלת פרמטרים'!$K$4,N492='טבלת פרמטרים'!$K$5),2,IF(N492='טבלת פרמטרים'!$K$3,1,0))))</f>
        <v>6</v>
      </c>
      <c r="Q492" s="20" t="s">
        <v>123</v>
      </c>
      <c r="R492" s="19">
        <f t="shared" si="11"/>
        <v>6</v>
      </c>
      <c r="T492" s="19">
        <f>IF(EXACT(Q492,'טבלת פרמטרים'!$O$2),'טבלת פרמטרים'!$P$2,IF(EXACT(Q492,'טבלת פרמטרים'!$O$3),'טבלת פרמטרים'!$P$3,IF(EXACT(Q492,'טבלת פרמטרים'!$O$4),'טבלת פרמטרים'!$P$4,IF(EXACT(Q492,'טבלת פרמטרים'!$O$5),'טבלת פרמטרים'!$P$5,IF(EXACT(Q492,'טבלת פרמטרים'!$O$6),'טבלת פרמטרים'!$P$6,IF(EXACT(Q492,'טבלת פרמטרים'!$O$7),'טבלת פרמטרים'!$P$7,""))))))</f>
        <v>0</v>
      </c>
    </row>
    <row r="493" spans="1:20" x14ac:dyDescent="0.2">
      <c r="A493" s="18">
        <v>493</v>
      </c>
      <c r="C493" s="30">
        <v>44923</v>
      </c>
      <c r="D493" s="21" t="s">
        <v>11</v>
      </c>
      <c r="E493" s="21" t="s">
        <v>20</v>
      </c>
      <c r="F493" s="21" t="s">
        <v>23</v>
      </c>
      <c r="G493" s="21" t="s">
        <v>26</v>
      </c>
      <c r="H493" s="21" t="s">
        <v>30</v>
      </c>
      <c r="J493" s="21" t="s">
        <v>11</v>
      </c>
      <c r="M493" s="21" t="s">
        <v>55</v>
      </c>
      <c r="N493" s="21" t="s">
        <v>59</v>
      </c>
      <c r="O493" s="19">
        <f>IF(ISBLANK(D493),"",IF(D493='טבלת פרמטרים'!$A$9,1,0)+IF(E493='טבלת פרמטרים'!$B$5,2,1)+IF(F493='טבלת פרמטרים'!$C$5,3,IF(F493='טבלת פרמטרים'!$C$4,1,0))+IF(G493='טבלת פרמטרים'!$D$3,2,0)+IF(M493='טבלת פרמטרים'!$J$4,2,IF(M493='טבלת פרמטרים'!$J$3,1,0))+IF(N493='טבלת פרמטרים'!$K$6,3,IF(OR(N493='טבלת פרמטרים'!$K$4,N493='טבלת פרמטרים'!$K$5),2,IF(N493='טבלת פרמטרים'!$K$3,1,0))))</f>
        <v>5</v>
      </c>
      <c r="Q493" s="20" t="s">
        <v>123</v>
      </c>
      <c r="R493" s="19">
        <f t="shared" si="11"/>
        <v>5</v>
      </c>
      <c r="T493" s="19">
        <f>IF(EXACT(Q493,'טבלת פרמטרים'!$O$2),'טבלת פרמטרים'!$P$2,IF(EXACT(Q493,'טבלת פרמטרים'!$O$3),'טבלת פרמטרים'!$P$3,IF(EXACT(Q493,'טבלת פרמטרים'!$O$4),'טבלת פרמטרים'!$P$4,IF(EXACT(Q493,'טבלת פרמטרים'!$O$5),'טבלת פרמטרים'!$P$5,IF(EXACT(Q493,'טבלת פרמטרים'!$O$6),'טבלת פרמטרים'!$P$6,IF(EXACT(Q493,'טבלת פרמטרים'!$O$7),'טבלת פרמטרים'!$P$7,""))))))</f>
        <v>0</v>
      </c>
    </row>
    <row r="494" spans="1:20" x14ac:dyDescent="0.2">
      <c r="A494" s="18">
        <v>494</v>
      </c>
      <c r="C494" s="30">
        <v>44923</v>
      </c>
      <c r="D494" s="21" t="s">
        <v>11</v>
      </c>
      <c r="E494" s="21" t="s">
        <v>20</v>
      </c>
      <c r="F494" s="21" t="s">
        <v>23</v>
      </c>
      <c r="G494" s="21" t="s">
        <v>26</v>
      </c>
      <c r="H494" s="21" t="s">
        <v>30</v>
      </c>
      <c r="J494" s="21" t="s">
        <v>11</v>
      </c>
      <c r="M494" s="21" t="s">
        <v>55</v>
      </c>
      <c r="N494" s="21" t="s">
        <v>59</v>
      </c>
      <c r="O494" s="19">
        <f>IF(ISBLANK(D494),"",IF(D494='טבלת פרמטרים'!$A$9,1,0)+IF(E494='טבלת פרמטרים'!$B$5,2,1)+IF(F494='טבלת פרמטרים'!$C$5,3,IF(F494='טבלת פרמטרים'!$C$4,1,0))+IF(G494='טבלת פרמטרים'!$D$3,2,0)+IF(M494='טבלת פרמטרים'!$J$4,2,IF(M494='טבלת פרמטרים'!$J$3,1,0))+IF(N494='טבלת פרמטרים'!$K$6,3,IF(OR(N494='טבלת פרמטרים'!$K$4,N494='טבלת פרמטרים'!$K$5),2,IF(N494='טבלת פרמטרים'!$K$3,1,0))))</f>
        <v>5</v>
      </c>
      <c r="Q494" s="20" t="s">
        <v>123</v>
      </c>
      <c r="R494" s="19">
        <f t="shared" si="11"/>
        <v>5</v>
      </c>
      <c r="T494" s="19">
        <f>IF(EXACT(Q494,'טבלת פרמטרים'!$O$2),'טבלת פרמטרים'!$P$2,IF(EXACT(Q494,'טבלת פרמטרים'!$O$3),'טבלת פרמטרים'!$P$3,IF(EXACT(Q494,'טבלת פרמטרים'!$O$4),'טבלת פרמטרים'!$P$4,IF(EXACT(Q494,'טבלת פרמטרים'!$O$5),'טבלת פרמטרים'!$P$5,IF(EXACT(Q494,'טבלת פרמטרים'!$O$6),'טבלת פרמטרים'!$P$6,IF(EXACT(Q494,'טבלת פרמטרים'!$O$7),'טבלת פרמטרים'!$P$7,""))))))</f>
        <v>0</v>
      </c>
    </row>
    <row r="495" spans="1:20" x14ac:dyDescent="0.2">
      <c r="A495" s="18">
        <v>495</v>
      </c>
      <c r="C495" s="30">
        <v>44922</v>
      </c>
      <c r="D495" s="21" t="s">
        <v>16</v>
      </c>
      <c r="E495" s="21" t="s">
        <v>111</v>
      </c>
      <c r="F495" s="21" t="s">
        <v>23</v>
      </c>
      <c r="G495" s="21" t="s">
        <v>26</v>
      </c>
      <c r="H495" s="21" t="s">
        <v>29</v>
      </c>
      <c r="J495" s="21" t="s">
        <v>42</v>
      </c>
      <c r="K495" s="21" t="s">
        <v>44</v>
      </c>
      <c r="L495" s="21" t="s">
        <v>51</v>
      </c>
      <c r="M495" s="21" t="s">
        <v>54</v>
      </c>
      <c r="N495" s="21" t="s">
        <v>61</v>
      </c>
      <c r="O495" s="19">
        <f>IF(ISBLANK(D495),"",IF(D495='טבלת פרמטרים'!$A$9,1,0)+IF(E495='טבלת פרמטרים'!$B$5,2,1)+IF(F495='טבלת פרמטרים'!$C$5,3,IF(F495='טבלת פרמטרים'!$C$4,1,0))+IF(G495='טבלת פרמטרים'!$D$3,2,0)+IF(M495='טבלת פרמטרים'!$J$4,2,IF(M495='טבלת פרמטרים'!$J$3,1,0))+IF(N495='טבלת פרמטרים'!$K$6,3,IF(OR(N495='טבלת פרמטרים'!$K$4,N495='טבלת פרמטרים'!$K$5),2,IF(N495='טבלת פרמטרים'!$K$3,1,0))))</f>
        <v>5</v>
      </c>
      <c r="Q495" s="20" t="s">
        <v>123</v>
      </c>
      <c r="R495" s="19">
        <f t="shared" si="11"/>
        <v>5</v>
      </c>
      <c r="T495" s="19">
        <f>IF(EXACT(Q495,'טבלת פרמטרים'!$O$2),'טבלת פרמטרים'!$P$2,IF(EXACT(Q495,'טבלת פרמטרים'!$O$3),'טבלת פרמטרים'!$P$3,IF(EXACT(Q495,'טבלת פרמטרים'!$O$4),'טבלת פרמטרים'!$P$4,IF(EXACT(Q495,'טבלת פרמטרים'!$O$5),'טבלת פרמטרים'!$P$5,IF(EXACT(Q495,'טבלת פרמטרים'!$O$6),'טבלת פרמטרים'!$P$6,IF(EXACT(Q495,'טבלת פרמטרים'!$O$7),'טבלת פרמטרים'!$P$7,""))))))</f>
        <v>0</v>
      </c>
    </row>
    <row r="496" spans="1:20" x14ac:dyDescent="0.2">
      <c r="A496" s="18">
        <v>496</v>
      </c>
      <c r="B496" s="30">
        <v>44910</v>
      </c>
      <c r="C496" s="30">
        <v>44928</v>
      </c>
      <c r="D496" s="21" t="s">
        <v>10</v>
      </c>
      <c r="E496" s="21" t="s">
        <v>20</v>
      </c>
      <c r="F496" s="21" t="s">
        <v>23</v>
      </c>
      <c r="G496" s="21" t="s">
        <v>26</v>
      </c>
      <c r="H496" s="21" t="s">
        <v>29</v>
      </c>
      <c r="J496" s="21" t="s">
        <v>42</v>
      </c>
      <c r="L496" s="21" t="s">
        <v>51</v>
      </c>
      <c r="M496" s="21" t="s">
        <v>54</v>
      </c>
      <c r="N496" s="21" t="s">
        <v>59</v>
      </c>
      <c r="O496" s="19">
        <f>IF(ISBLANK(D496),"",IF(D496='טבלת פרמטרים'!$A$9,1,0)+IF(E496='טבלת פרמטרים'!$B$5,2,1)+IF(F496='טבלת פרמטרים'!$C$5,3,IF(F496='טבלת פרמטרים'!$C$4,1,0))+IF(G496='טבלת פרמטרים'!$D$3,2,0)+IF(M496='טבלת פרמטרים'!$J$4,2,IF(M496='טבלת פרמטרים'!$J$3,1,0))+IF(N496='טבלת פרמטרים'!$K$6,3,IF(OR(N496='טבלת פרמטרים'!$K$4,N496='טבלת פרמטרים'!$K$5),2,IF(N496='טבלת פרמטרים'!$K$3,1,0))))</f>
        <v>4</v>
      </c>
      <c r="Q496" s="20" t="s">
        <v>123</v>
      </c>
      <c r="R496" s="19">
        <f t="shared" si="11"/>
        <v>4</v>
      </c>
      <c r="T496" s="19">
        <f>IF(EXACT(Q496,'טבלת פרמטרים'!$O$2),'טבלת פרמטרים'!$P$2,IF(EXACT(Q496,'טבלת פרמטרים'!$O$3),'טבלת פרמטרים'!$P$3,IF(EXACT(Q496,'טבלת פרמטרים'!$O$4),'טבלת פרמטרים'!$P$4,IF(EXACT(Q496,'טבלת פרמטרים'!$O$5),'טבלת פרמטרים'!$P$5,IF(EXACT(Q496,'טבלת פרמטרים'!$O$6),'טבלת פרמטרים'!$P$6,IF(EXACT(Q496,'טבלת פרמטרים'!$O$7),'טבלת פרמטרים'!$P$7,""))))))</f>
        <v>0</v>
      </c>
    </row>
    <row r="497" spans="1:20" ht="28.5" x14ac:dyDescent="0.2">
      <c r="A497" s="18">
        <v>497</v>
      </c>
      <c r="B497" s="30">
        <v>44928</v>
      </c>
      <c r="C497" s="30">
        <v>44928</v>
      </c>
      <c r="D497" s="21" t="s">
        <v>17</v>
      </c>
      <c r="E497" s="21" t="s">
        <v>22</v>
      </c>
      <c r="F497" s="21" t="s">
        <v>24</v>
      </c>
      <c r="G497" s="21" t="s">
        <v>26</v>
      </c>
      <c r="H497" s="21" t="s">
        <v>30</v>
      </c>
      <c r="I497" s="21" t="s">
        <v>127</v>
      </c>
      <c r="J497" s="21" t="s">
        <v>35</v>
      </c>
      <c r="K497" s="21" t="s">
        <v>48</v>
      </c>
      <c r="L497" s="21" t="s">
        <v>49</v>
      </c>
      <c r="M497" s="21" t="s">
        <v>55</v>
      </c>
      <c r="N497" s="21" t="s">
        <v>59</v>
      </c>
      <c r="O497" s="19">
        <f>IF(ISBLANK(D497),"",IF(D497='טבלת פרמטרים'!$A$9,1,0)+IF(E497='טבלת פרמטרים'!$B$5,2,1)+IF(F497='טבלת פרמטרים'!$C$5,3,IF(F497='טבלת פרמטרים'!$C$4,1,0))+IF(G497='טבלת פרמטרים'!$D$3,2,0)+IF(M497='טבלת פרמטרים'!$J$4,2,IF(M497='טבלת פרמטרים'!$J$3,1,0))+IF(N497='טבלת פרמטרים'!$K$6,3,IF(OR(N497='טבלת פרמטרים'!$K$4,N497='טבלת פרמטרים'!$K$5),2,IF(N497='טבלת פרמטרים'!$K$3,1,0))))</f>
        <v>8</v>
      </c>
      <c r="Q497" s="20" t="s">
        <v>330</v>
      </c>
      <c r="R497" s="19">
        <f t="shared" si="11"/>
        <v>12</v>
      </c>
      <c r="T497" s="19">
        <f>IF(EXACT(Q497,'טבלת פרמטרים'!$O$2),'טבלת פרמטרים'!$P$2,IF(EXACT(Q497,'טבלת פרמטרים'!$O$3),'טבלת פרמטרים'!$P$3,IF(EXACT(Q497,'טבלת פרמטרים'!$O$4),'טבלת פרמטרים'!$P$4,IF(EXACT(Q497,'טבלת פרמטרים'!$O$5),'טבלת פרמטרים'!$P$5,IF(EXACT(Q497,'טבלת פרמטרים'!$O$6),'טבלת פרמטרים'!$P$6,IF(EXACT(Q497,'טבלת פרמטרים'!$O$7),'טבלת פרמטרים'!$P$7,""))))))</f>
        <v>4</v>
      </c>
    </row>
    <row r="498" spans="1:20" x14ac:dyDescent="0.2">
      <c r="A498" s="18">
        <v>498</v>
      </c>
      <c r="B498" s="30">
        <v>44906</v>
      </c>
      <c r="C498" s="30">
        <v>44929</v>
      </c>
      <c r="D498" s="21" t="s">
        <v>11</v>
      </c>
      <c r="E498" s="21" t="s">
        <v>20</v>
      </c>
      <c r="F498" s="21" t="s">
        <v>23</v>
      </c>
      <c r="G498" s="21" t="s">
        <v>26</v>
      </c>
      <c r="H498" s="21" t="s">
        <v>30</v>
      </c>
      <c r="I498" s="21" t="s">
        <v>126</v>
      </c>
      <c r="J498" s="21" t="s">
        <v>11</v>
      </c>
      <c r="K498" s="21" t="s">
        <v>45</v>
      </c>
      <c r="L498" s="21" t="s">
        <v>51</v>
      </c>
      <c r="M498" s="21" t="s">
        <v>54</v>
      </c>
      <c r="N498" s="21" t="s">
        <v>58</v>
      </c>
      <c r="O498" s="19">
        <f>IF(ISBLANK(D498),"",IF(D498='טבלת פרמטרים'!$A$9,1,0)+IF(E498='טבלת פרמטרים'!$B$5,2,1)+IF(F498='טבלת פרמטרים'!$C$5,3,IF(F498='טבלת פרמטרים'!$C$4,1,0))+IF(G498='טבלת פרמטרים'!$D$3,2,0)+IF(M498='טבלת פרמטרים'!$J$4,2,IF(M498='טבלת פרמטרים'!$J$3,1,0))+IF(N498='טבלת פרמטרים'!$K$6,3,IF(OR(N498='טבלת פרמטרים'!$K$4,N498='טבלת פרמטרים'!$K$5),2,IF(N498='טבלת פרמטרים'!$K$3,1,0))))</f>
        <v>3</v>
      </c>
      <c r="Q498" s="20" t="s">
        <v>123</v>
      </c>
      <c r="R498" s="19">
        <f t="shared" ref="R498:R561" si="12">IF(ISNUMBER(T498),T498+O498,O498)</f>
        <v>3</v>
      </c>
      <c r="T498" s="19">
        <f>IF(EXACT(Q498,'טבלת פרמטרים'!$O$2),'טבלת פרמטרים'!$P$2,IF(EXACT(Q498,'טבלת פרמטרים'!$O$3),'טבלת פרמטרים'!$P$3,IF(EXACT(Q498,'טבלת פרמטרים'!$O$4),'טבלת פרמטרים'!$P$4,IF(EXACT(Q498,'טבלת פרמטרים'!$O$5),'טבלת פרמטרים'!$P$5,IF(EXACT(Q498,'טבלת פרמטרים'!$O$6),'טבלת פרמטרים'!$P$6,IF(EXACT(Q498,'טבלת פרמטרים'!$O$7),'טבלת פרמטרים'!$P$7,""))))))</f>
        <v>0</v>
      </c>
    </row>
    <row r="499" spans="1:20" x14ac:dyDescent="0.2">
      <c r="A499" s="18">
        <v>499</v>
      </c>
      <c r="C499" s="30">
        <v>44928</v>
      </c>
      <c r="D499" s="21" t="s">
        <v>10</v>
      </c>
      <c r="E499" s="21" t="s">
        <v>111</v>
      </c>
      <c r="F499" s="21" t="s">
        <v>23</v>
      </c>
      <c r="G499" s="21" t="s">
        <v>26</v>
      </c>
      <c r="H499" s="21" t="s">
        <v>29</v>
      </c>
      <c r="M499" s="21" t="s">
        <v>53</v>
      </c>
      <c r="N499" s="21" t="s">
        <v>59</v>
      </c>
      <c r="O499" s="19">
        <f>IF(ISBLANK(D499),"",IF(D499='טבלת פרמטרים'!$A$9,1,0)+IF(E499='טבלת פרמטרים'!$B$5,2,1)+IF(F499='טבלת פרמטרים'!$C$5,3,IF(F499='טבלת פרמטרים'!$C$4,1,0))+IF(G499='טבלת פרמטרים'!$D$3,2,0)+IF(M499='טבלת פרמטרים'!$J$4,2,IF(M499='טבלת פרמטרים'!$J$3,1,0))+IF(N499='טבלת פרמטרים'!$K$6,3,IF(OR(N499='טבלת פרמטרים'!$K$4,N499='טבלת פרמטרים'!$K$5),2,IF(N499='טבלת פרמטרים'!$K$3,1,0))))</f>
        <v>3</v>
      </c>
      <c r="Q499" s="20" t="s">
        <v>123</v>
      </c>
      <c r="R499" s="19">
        <f t="shared" si="12"/>
        <v>3</v>
      </c>
      <c r="T499" s="19">
        <f>IF(EXACT(Q499,'טבלת פרמטרים'!$O$2),'טבלת פרמטרים'!$P$2,IF(EXACT(Q499,'טבלת פרמטרים'!$O$3),'טבלת פרמטרים'!$P$3,IF(EXACT(Q499,'טבלת פרמטרים'!$O$4),'טבלת פרמטרים'!$P$4,IF(EXACT(Q499,'טבלת פרמטרים'!$O$5),'טבלת פרמטרים'!$P$5,IF(EXACT(Q499,'טבלת פרמטרים'!$O$6),'טבלת פרמטרים'!$P$6,IF(EXACT(Q499,'טבלת פרמטרים'!$O$7),'טבלת פרמטרים'!$P$7,""))))))</f>
        <v>0</v>
      </c>
    </row>
    <row r="500" spans="1:20" x14ac:dyDescent="0.2">
      <c r="A500" s="18">
        <v>500</v>
      </c>
      <c r="C500" s="30">
        <v>44929</v>
      </c>
      <c r="D500" s="21" t="s">
        <v>11</v>
      </c>
      <c r="E500" s="21" t="s">
        <v>111</v>
      </c>
      <c r="F500" s="21" t="s">
        <v>23</v>
      </c>
      <c r="G500" s="21" t="s">
        <v>26</v>
      </c>
      <c r="H500" s="21" t="s">
        <v>30</v>
      </c>
      <c r="I500" s="21" t="s">
        <v>126</v>
      </c>
      <c r="J500" s="21" t="s">
        <v>11</v>
      </c>
      <c r="K500" s="21" t="s">
        <v>43</v>
      </c>
      <c r="L500" s="21" t="s">
        <v>51</v>
      </c>
      <c r="M500" s="21" t="s">
        <v>53</v>
      </c>
      <c r="N500" s="21" t="s">
        <v>59</v>
      </c>
      <c r="O500" s="19">
        <f>IF(ISBLANK(D500),"",IF(D500='טבלת פרמטרים'!$A$9,1,0)+IF(E500='טבלת פרמטרים'!$B$5,2,1)+IF(F500='טבלת פרמטרים'!$C$5,3,IF(F500='טבלת פרמטרים'!$C$4,1,0))+IF(G500='טבלת פרמטרים'!$D$3,2,0)+IF(M500='טבלת פרמטרים'!$J$4,2,IF(M500='טבלת פרמטרים'!$J$3,1,0))+IF(N500='טבלת פרמטרים'!$K$6,3,IF(OR(N500='טבלת פרמטרים'!$K$4,N500='טבלת פרמטרים'!$K$5),2,IF(N500='טבלת פרמטרים'!$K$3,1,0))))</f>
        <v>3</v>
      </c>
      <c r="Q500" s="20" t="s">
        <v>123</v>
      </c>
      <c r="R500" s="19">
        <f t="shared" si="12"/>
        <v>3</v>
      </c>
      <c r="T500" s="19">
        <f>IF(EXACT(Q500,'טבלת פרמטרים'!$O$2),'טבלת פרמטרים'!$P$2,IF(EXACT(Q500,'טבלת פרמטרים'!$O$3),'טבלת פרמטרים'!$P$3,IF(EXACT(Q500,'טבלת פרמטרים'!$O$4),'טבלת פרמטרים'!$P$4,IF(EXACT(Q500,'טבלת פרמטרים'!$O$5),'טבלת פרמטרים'!$P$5,IF(EXACT(Q500,'טבלת פרמטרים'!$O$6),'טבלת פרמטרים'!$P$6,IF(EXACT(Q500,'טבלת פרמטרים'!$O$7),'טבלת פרמטרים'!$P$7,""))))))</f>
        <v>0</v>
      </c>
    </row>
    <row r="501" spans="1:20" x14ac:dyDescent="0.2">
      <c r="A501" s="18">
        <v>501</v>
      </c>
      <c r="C501" s="30">
        <v>44937</v>
      </c>
      <c r="D501" s="21" t="s">
        <v>10</v>
      </c>
      <c r="E501" s="21" t="s">
        <v>111</v>
      </c>
      <c r="F501" s="21" t="s">
        <v>23</v>
      </c>
      <c r="G501" s="21" t="s">
        <v>26</v>
      </c>
      <c r="H501" s="21" t="s">
        <v>29</v>
      </c>
      <c r="I501" s="21" t="s">
        <v>126</v>
      </c>
      <c r="J501" s="21" t="s">
        <v>11</v>
      </c>
      <c r="K501" s="21" t="s">
        <v>45</v>
      </c>
      <c r="L501" s="21" t="s">
        <v>51</v>
      </c>
      <c r="M501" s="21" t="s">
        <v>54</v>
      </c>
      <c r="N501" s="21" t="s">
        <v>59</v>
      </c>
      <c r="O501" s="19">
        <f>IF(ISBLANK(D501),"",IF(D501='טבלת פרמטרים'!$A$9,1,0)+IF(E501='טבלת פרמטרים'!$B$5,2,1)+IF(F501='טבלת פרמטרים'!$C$5,3,IF(F501='טבלת פרמטרים'!$C$4,1,0))+IF(G501='טבלת פרמטרים'!$D$3,2,0)+IF(M501='טבלת פרמטרים'!$J$4,2,IF(M501='טבלת פרמטרים'!$J$3,1,0))+IF(N501='טבלת פרמטרים'!$K$6,3,IF(OR(N501='טבלת פרמטרים'!$K$4,N501='טבלת פרמטרים'!$K$5),2,IF(N501='טבלת פרמטרים'!$K$3,1,0))))</f>
        <v>4</v>
      </c>
      <c r="Q501" s="20" t="s">
        <v>123</v>
      </c>
      <c r="R501" s="19">
        <f t="shared" si="12"/>
        <v>4</v>
      </c>
      <c r="T501" s="19">
        <f>IF(EXACT(Q501,'טבלת פרמטרים'!$O$2),'טבלת פרמטרים'!$P$2,IF(EXACT(Q501,'טבלת פרמטרים'!$O$3),'טבלת פרמטרים'!$P$3,IF(EXACT(Q501,'טבלת פרמטרים'!$O$4),'טבלת פרמטרים'!$P$4,IF(EXACT(Q501,'טבלת פרמטרים'!$O$5),'טבלת פרמטרים'!$P$5,IF(EXACT(Q501,'טבלת פרמטרים'!$O$6),'טבלת פרמטרים'!$P$6,IF(EXACT(Q501,'טבלת פרמטרים'!$O$7),'טבלת פרמטרים'!$P$7,""))))))</f>
        <v>0</v>
      </c>
    </row>
    <row r="502" spans="1:20" x14ac:dyDescent="0.2">
      <c r="A502" s="18">
        <v>502</v>
      </c>
      <c r="C502" s="30">
        <v>44938</v>
      </c>
      <c r="D502" s="21" t="s">
        <v>10</v>
      </c>
      <c r="E502" s="21" t="s">
        <v>21</v>
      </c>
      <c r="F502" s="21" t="s">
        <v>23</v>
      </c>
      <c r="G502" s="21" t="s">
        <v>26</v>
      </c>
      <c r="H502" s="21" t="s">
        <v>30</v>
      </c>
      <c r="I502" s="21" t="s">
        <v>126</v>
      </c>
      <c r="J502" s="21" t="s">
        <v>41</v>
      </c>
      <c r="K502" s="21" t="s">
        <v>45</v>
      </c>
      <c r="L502" s="21" t="s">
        <v>51</v>
      </c>
      <c r="M502" s="21" t="s">
        <v>54</v>
      </c>
      <c r="N502" s="21" t="s">
        <v>58</v>
      </c>
      <c r="O502" s="19">
        <f>IF(ISBLANK(D502),"",IF(D502='טבלת פרמטרים'!$A$9,1,0)+IF(E502='טבלת פרמטרים'!$B$5,2,1)+IF(F502='טבלת פרמטרים'!$C$5,3,IF(F502='טבלת פרמטרים'!$C$4,1,0))+IF(G502='טבלת פרמטרים'!$D$3,2,0)+IF(M502='טבלת פרמטרים'!$J$4,2,IF(M502='טבלת פרמטרים'!$J$3,1,0))+IF(N502='טבלת פרמטרים'!$K$6,3,IF(OR(N502='טבלת פרמטרים'!$K$4,N502='טבלת פרמטרים'!$K$5),2,IF(N502='טבלת פרמטרים'!$K$3,1,0))))</f>
        <v>3</v>
      </c>
      <c r="Q502" s="20" t="s">
        <v>123</v>
      </c>
      <c r="R502" s="19">
        <f t="shared" si="12"/>
        <v>3</v>
      </c>
      <c r="T502" s="19">
        <f>IF(EXACT(Q502,'טבלת פרמטרים'!$O$2),'טבלת פרמטרים'!$P$2,IF(EXACT(Q502,'טבלת פרמטרים'!$O$3),'טבלת פרמטרים'!$P$3,IF(EXACT(Q502,'טבלת פרמטרים'!$O$4),'טבלת פרמטרים'!$P$4,IF(EXACT(Q502,'טבלת פרמטרים'!$O$5),'טבלת פרמטרים'!$P$5,IF(EXACT(Q502,'טבלת פרמטרים'!$O$6),'טבלת פרמטרים'!$P$6,IF(EXACT(Q502,'טבלת פרמטרים'!$O$7),'טבלת פרמטרים'!$P$7,""))))))</f>
        <v>0</v>
      </c>
    </row>
    <row r="503" spans="1:20" x14ac:dyDescent="0.2">
      <c r="A503" s="18">
        <v>503</v>
      </c>
      <c r="C503" s="30">
        <v>44941</v>
      </c>
      <c r="D503" s="21" t="s">
        <v>17</v>
      </c>
      <c r="E503" s="21" t="s">
        <v>22</v>
      </c>
      <c r="F503" s="21" t="s">
        <v>24</v>
      </c>
      <c r="G503" s="21" t="s">
        <v>26</v>
      </c>
      <c r="H503" s="21" t="s">
        <v>32</v>
      </c>
      <c r="I503" s="21" t="s">
        <v>126</v>
      </c>
      <c r="J503" s="21" t="s">
        <v>33</v>
      </c>
      <c r="K503" s="21" t="s">
        <v>45</v>
      </c>
      <c r="L503" s="21" t="s">
        <v>51</v>
      </c>
      <c r="M503" s="21" t="s">
        <v>54</v>
      </c>
      <c r="N503" s="21" t="s">
        <v>112</v>
      </c>
      <c r="O503" s="19">
        <f>IF(ISBLANK(D503),"",IF(D503='טבלת פרמטרים'!$A$9,1,0)+IF(E503='טבלת פרמטרים'!$B$5,2,1)+IF(F503='טבלת פרמטרים'!$C$5,3,IF(F503='טבלת פרמטרים'!$C$4,1,0))+IF(G503='טבלת פרמטרים'!$D$3,2,0)+IF(M503='טבלת פרמטרים'!$J$4,2,IF(M503='טבלת פרמטרים'!$J$3,1,0))+IF(N503='טבלת פרמטרים'!$K$6,3,IF(OR(N503='טבלת פרמטרים'!$K$4,N503='טבלת פרמטרים'!$K$5),2,IF(N503='טבלת פרמטרים'!$K$3,1,0))))</f>
        <v>7</v>
      </c>
      <c r="Q503" s="20" t="s">
        <v>123</v>
      </c>
      <c r="R503" s="19">
        <f t="shared" si="12"/>
        <v>7</v>
      </c>
      <c r="T503" s="19">
        <f>IF(EXACT(Q503,'טבלת פרמטרים'!$O$2),'טבלת פרמטרים'!$P$2,IF(EXACT(Q503,'טבלת פרמטרים'!$O$3),'טבלת פרמטרים'!$P$3,IF(EXACT(Q503,'טבלת פרמטרים'!$O$4),'טבלת פרמטרים'!$P$4,IF(EXACT(Q503,'טבלת פרמטרים'!$O$5),'טבלת פרמטרים'!$P$5,IF(EXACT(Q503,'טבלת פרמטרים'!$O$6),'טבלת פרמטרים'!$P$6,IF(EXACT(Q503,'טבלת פרמטרים'!$O$7),'טבלת פרמטרים'!$P$7,""))))))</f>
        <v>0</v>
      </c>
    </row>
    <row r="504" spans="1:20" x14ac:dyDescent="0.2">
      <c r="A504" s="18">
        <v>504</v>
      </c>
      <c r="B504" s="30">
        <v>44944</v>
      </c>
      <c r="C504" s="30">
        <v>44945</v>
      </c>
      <c r="D504" s="21" t="s">
        <v>16</v>
      </c>
      <c r="E504" s="21" t="s">
        <v>111</v>
      </c>
      <c r="F504" s="21" t="s">
        <v>23</v>
      </c>
      <c r="G504" s="21" t="s">
        <v>26</v>
      </c>
      <c r="H504" s="21" t="s">
        <v>30</v>
      </c>
      <c r="I504" s="21" t="s">
        <v>127</v>
      </c>
      <c r="J504" s="21" t="s">
        <v>33</v>
      </c>
      <c r="K504" s="21" t="s">
        <v>46</v>
      </c>
      <c r="L504" s="21" t="s">
        <v>50</v>
      </c>
      <c r="M504" s="21" t="s">
        <v>53</v>
      </c>
      <c r="N504" s="21" t="s">
        <v>58</v>
      </c>
      <c r="O504" s="19">
        <f>IF(ISBLANK(D504),"",IF(D504='טבלת פרמטרים'!$A$9,1,0)+IF(E504='טבלת פרמטרים'!$B$5,2,1)+IF(F504='טבלת פרמטרים'!$C$5,3,IF(F504='טבלת פרמטרים'!$C$4,1,0))+IF(G504='טבלת פרמטרים'!$D$3,2,0)+IF(M504='טבלת פרמטרים'!$J$4,2,IF(M504='טבלת פרמטרים'!$J$3,1,0))+IF(N504='טבלת פרמטרים'!$K$6,3,IF(OR(N504='טבלת פרמטרים'!$K$4,N504='טבלת פרמטרים'!$K$5),2,IF(N504='טבלת פרמטרים'!$K$3,1,0))))</f>
        <v>2</v>
      </c>
      <c r="Q504" s="20" t="s">
        <v>123</v>
      </c>
      <c r="R504" s="19">
        <f t="shared" si="12"/>
        <v>2</v>
      </c>
      <c r="T504" s="19">
        <f>IF(EXACT(Q504,'טבלת פרמטרים'!$O$2),'טבלת פרמטרים'!$P$2,IF(EXACT(Q504,'טבלת פרמטרים'!$O$3),'טבלת פרמטרים'!$P$3,IF(EXACT(Q504,'טבלת פרמטרים'!$O$4),'טבלת פרמטרים'!$P$4,IF(EXACT(Q504,'טבלת פרמטרים'!$O$5),'טבלת פרמטרים'!$P$5,IF(EXACT(Q504,'טבלת פרמטרים'!$O$6),'טבלת פרמטרים'!$P$6,IF(EXACT(Q504,'טבלת פרמטרים'!$O$7),'טבלת פרמטרים'!$P$7,""))))))</f>
        <v>0</v>
      </c>
    </row>
    <row r="505" spans="1:20" ht="28.5" x14ac:dyDescent="0.2">
      <c r="A505" s="18">
        <v>505</v>
      </c>
      <c r="B505" s="30">
        <v>44948</v>
      </c>
      <c r="C505" s="30">
        <v>44948</v>
      </c>
      <c r="D505" s="21" t="s">
        <v>17</v>
      </c>
      <c r="E505" s="21" t="s">
        <v>22</v>
      </c>
      <c r="F505" s="21" t="s">
        <v>24</v>
      </c>
      <c r="G505" s="21" t="s">
        <v>27</v>
      </c>
      <c r="H505" s="21" t="s">
        <v>29</v>
      </c>
      <c r="I505" s="21" t="s">
        <v>127</v>
      </c>
      <c r="K505" s="21" t="s">
        <v>44</v>
      </c>
      <c r="L505" s="21" t="s">
        <v>50</v>
      </c>
      <c r="M505" s="21" t="s">
        <v>54</v>
      </c>
      <c r="N505" s="21" t="s">
        <v>59</v>
      </c>
      <c r="O505" s="19">
        <f>IF(ISBLANK(D505),"",IF(D505='טבלת פרמטרים'!$A$9,1,0)+IF(E505='טבלת פרמטרים'!$B$5,2,1)+IF(F505='טבלת פרמטרים'!$C$5,3,IF(F505='טבלת פרמטרים'!$C$4,1,0))+IF(G505='טבלת פרמטרים'!$D$3,2,0)+IF(M505='טבלת פרמטרים'!$J$4,2,IF(M505='טבלת פרמטרים'!$J$3,1,0))+IF(N505='טבלת פרמטרים'!$K$6,3,IF(OR(N505='טבלת פרמטרים'!$K$4,N505='טבלת פרמטרים'!$K$5),2,IF(N505='טבלת פרמטרים'!$K$3,1,0))))</f>
        <v>9</v>
      </c>
      <c r="Q505" s="20" t="s">
        <v>331</v>
      </c>
      <c r="R505" s="19">
        <f t="shared" si="12"/>
        <v>15</v>
      </c>
      <c r="T505" s="19">
        <f>IF(EXACT(Q505,'טבלת פרמטרים'!$O$2),'טבלת פרמטרים'!$P$2,IF(EXACT(Q505,'טבלת פרמטרים'!$O$3),'טבלת פרמטרים'!$P$3,IF(EXACT(Q505,'טבלת פרמטרים'!$O$4),'טבלת פרמטרים'!$P$4,IF(EXACT(Q505,'טבלת פרמטרים'!$O$5),'טבלת פרמטרים'!$P$5,IF(EXACT(Q505,'טבלת פרמטרים'!$O$6),'טבלת פרמטרים'!$P$6,IF(EXACT(Q505,'טבלת פרמטרים'!$O$7),'טבלת פרמטרים'!$P$7,""))))))</f>
        <v>6</v>
      </c>
    </row>
    <row r="506" spans="1:20" x14ac:dyDescent="0.2">
      <c r="A506" s="18">
        <v>506</v>
      </c>
      <c r="B506" s="30">
        <v>44958</v>
      </c>
      <c r="C506" s="30">
        <v>44958</v>
      </c>
      <c r="D506" s="21" t="s">
        <v>16</v>
      </c>
      <c r="E506" s="21" t="s">
        <v>111</v>
      </c>
      <c r="F506" s="21" t="s">
        <v>23</v>
      </c>
      <c r="G506" s="21" t="s">
        <v>26</v>
      </c>
      <c r="H506" s="21" t="s">
        <v>31</v>
      </c>
      <c r="I506" s="21" t="s">
        <v>126</v>
      </c>
      <c r="J506" s="21" t="s">
        <v>39</v>
      </c>
      <c r="K506" s="21" t="s">
        <v>39</v>
      </c>
      <c r="L506" s="21" t="s">
        <v>50</v>
      </c>
      <c r="M506" s="21" t="s">
        <v>55</v>
      </c>
      <c r="N506" s="21" t="s">
        <v>57</v>
      </c>
      <c r="O506" s="19">
        <f>IF(ISBLANK(D506),"",IF(D506='טבלת פרמטרים'!$A$9,1,0)+IF(E506='טבלת פרמטרים'!$B$5,2,1)+IF(F506='טבלת פרמטרים'!$C$5,3,IF(F506='טבלת פרמטרים'!$C$4,1,0))+IF(G506='טבלת פרמטרים'!$D$3,2,0)+IF(M506='טבלת פרמטרים'!$J$4,2,IF(M506='טבלת פרמטרים'!$J$3,1,0))+IF(N506='טבלת פרמטרים'!$K$6,3,IF(OR(N506='טבלת פרמטרים'!$K$4,N506='טבלת פרמטרים'!$K$5),2,IF(N506='טבלת פרמטרים'!$K$3,1,0))))</f>
        <v>3</v>
      </c>
      <c r="Q506" s="20" t="s">
        <v>123</v>
      </c>
      <c r="R506" s="19">
        <f t="shared" si="12"/>
        <v>3</v>
      </c>
      <c r="T506" s="19">
        <f>IF(EXACT(Q506,'טבלת פרמטרים'!$O$2),'טבלת פרמטרים'!$P$2,IF(EXACT(Q506,'טבלת פרמטרים'!$O$3),'טבלת פרמטרים'!$P$3,IF(EXACT(Q506,'טבלת פרמטרים'!$O$4),'טבלת פרמטרים'!$P$4,IF(EXACT(Q506,'טבלת פרמטרים'!$O$5),'טבלת פרמטרים'!$P$5,IF(EXACT(Q506,'טבלת פרמטרים'!$O$6),'טבלת פרמטרים'!$P$6,IF(EXACT(Q506,'טבלת פרמטרים'!$O$7),'טבלת פרמטרים'!$P$7,""))))))</f>
        <v>0</v>
      </c>
    </row>
    <row r="507" spans="1:20" x14ac:dyDescent="0.2">
      <c r="A507" s="18">
        <v>507</v>
      </c>
      <c r="B507" s="30">
        <v>44958</v>
      </c>
      <c r="C507" s="30">
        <v>44958</v>
      </c>
      <c r="D507" s="21" t="s">
        <v>17</v>
      </c>
      <c r="E507" s="21" t="s">
        <v>22</v>
      </c>
      <c r="F507" s="21" t="s">
        <v>24</v>
      </c>
      <c r="G507" s="21" t="s">
        <v>26</v>
      </c>
      <c r="H507" s="21" t="s">
        <v>30</v>
      </c>
      <c r="I507" s="21" t="s">
        <v>126</v>
      </c>
      <c r="J507" s="21" t="s">
        <v>39</v>
      </c>
      <c r="K507" s="21" t="s">
        <v>39</v>
      </c>
      <c r="L507" s="21" t="s">
        <v>49</v>
      </c>
      <c r="M507" s="21" t="s">
        <v>55</v>
      </c>
      <c r="N507" s="21" t="s">
        <v>112</v>
      </c>
      <c r="O507" s="19">
        <f>IF(ISBLANK(D507),"",IF(D507='טבלת פרמטרים'!$A$9,1,0)+IF(E507='טבלת פרמטרים'!$B$5,2,1)+IF(F507='טבלת פרמטרים'!$C$5,3,IF(F507='טבלת פרמטרים'!$C$4,1,0))+IF(G507='טבלת פרמטרים'!$D$3,2,0)+IF(M507='טבלת פרמטרים'!$J$4,2,IF(M507='טבלת פרמטרים'!$J$3,1,0))+IF(N507='טבלת פרמטרים'!$K$6,3,IF(OR(N507='טבלת פרמטרים'!$K$4,N507='טבלת פרמטרים'!$K$5),2,IF(N507='טבלת פרמטרים'!$K$3,1,0))))</f>
        <v>8</v>
      </c>
      <c r="Q507" s="20" t="s">
        <v>123</v>
      </c>
      <c r="R507" s="19">
        <f t="shared" si="12"/>
        <v>8</v>
      </c>
      <c r="T507" s="19">
        <f>IF(EXACT(Q507,'טבלת פרמטרים'!$O$2),'טבלת פרמטרים'!$P$2,IF(EXACT(Q507,'טבלת פרמטרים'!$O$3),'טבלת פרמטרים'!$P$3,IF(EXACT(Q507,'טבלת פרמטרים'!$O$4),'טבלת פרמטרים'!$P$4,IF(EXACT(Q507,'טבלת פרמטרים'!$O$5),'טבלת פרמטרים'!$P$5,IF(EXACT(Q507,'טבלת פרמטרים'!$O$6),'טבלת פרמטרים'!$P$6,IF(EXACT(Q507,'טבלת פרמטרים'!$O$7),'טבלת פרמטרים'!$P$7,""))))))</f>
        <v>0</v>
      </c>
    </row>
    <row r="508" spans="1:20" x14ac:dyDescent="0.2">
      <c r="A508" s="18">
        <v>508</v>
      </c>
      <c r="B508" s="30">
        <v>44964</v>
      </c>
      <c r="C508" s="30">
        <v>44964</v>
      </c>
      <c r="D508" s="21" t="s">
        <v>16</v>
      </c>
      <c r="E508" s="21" t="s">
        <v>111</v>
      </c>
      <c r="F508" s="21" t="s">
        <v>23</v>
      </c>
      <c r="G508" s="21" t="s">
        <v>26</v>
      </c>
      <c r="H508" s="21" t="s">
        <v>31</v>
      </c>
      <c r="I508" s="21" t="s">
        <v>126</v>
      </c>
      <c r="J508" s="21" t="s">
        <v>33</v>
      </c>
      <c r="K508" s="21" t="s">
        <v>43</v>
      </c>
      <c r="L508" s="21" t="s">
        <v>49</v>
      </c>
      <c r="M508" s="21" t="s">
        <v>55</v>
      </c>
      <c r="N508" s="21" t="s">
        <v>59</v>
      </c>
      <c r="O508" s="19">
        <f>IF(ISBLANK(D508),"",IF(D508='טבלת פרמטרים'!$A$9,1,0)+IF(E508='טבלת פרמטרים'!$B$5,2,1)+IF(F508='טבלת פרמטרים'!$C$5,3,IF(F508='טבלת פרמטרים'!$C$4,1,0))+IF(G508='טבלת פרמטרים'!$D$3,2,0)+IF(M508='טבלת פרמטרים'!$J$4,2,IF(M508='טבלת פרמטרים'!$J$3,1,0))+IF(N508='טבלת פרמטרים'!$K$6,3,IF(OR(N508='טבלת פרמטרים'!$K$4,N508='טבלת פרמטרים'!$K$5),2,IF(N508='טבלת פרמטרים'!$K$3,1,0))))</f>
        <v>5</v>
      </c>
      <c r="Q508" s="20" t="s">
        <v>123</v>
      </c>
      <c r="R508" s="19">
        <f t="shared" si="12"/>
        <v>5</v>
      </c>
      <c r="T508" s="19">
        <f>IF(EXACT(Q508,'טבלת פרמטרים'!$O$2),'טבלת פרמטרים'!$P$2,IF(EXACT(Q508,'טבלת פרמטרים'!$O$3),'טבלת פרמטרים'!$P$3,IF(EXACT(Q508,'טבלת פרמטרים'!$O$4),'טבלת פרמטרים'!$P$4,IF(EXACT(Q508,'טבלת פרמטרים'!$O$5),'טבלת פרמטרים'!$P$5,IF(EXACT(Q508,'טבלת פרמטרים'!$O$6),'טבלת פרמטרים'!$P$6,IF(EXACT(Q508,'טבלת פרמטרים'!$O$7),'טבלת פרמטרים'!$P$7,""))))))</f>
        <v>0</v>
      </c>
    </row>
    <row r="509" spans="1:20" x14ac:dyDescent="0.2">
      <c r="A509" s="18">
        <v>509</v>
      </c>
      <c r="C509" s="30">
        <v>44969</v>
      </c>
      <c r="D509" s="21" t="s">
        <v>13</v>
      </c>
      <c r="E509" s="21" t="s">
        <v>20</v>
      </c>
      <c r="F509" s="21" t="s">
        <v>23</v>
      </c>
      <c r="G509" s="21" t="s">
        <v>26</v>
      </c>
      <c r="H509" s="21" t="s">
        <v>30</v>
      </c>
      <c r="J509" s="21" t="s">
        <v>36</v>
      </c>
      <c r="K509" s="21" t="s">
        <v>36</v>
      </c>
      <c r="M509" s="21" t="s">
        <v>54</v>
      </c>
      <c r="N509" s="21" t="s">
        <v>112</v>
      </c>
      <c r="O509" s="19">
        <f>IF(ISBLANK(D509),"",IF(D509='טבלת פרמטרים'!$A$9,1,0)+IF(E509='טבלת פרמטרים'!$B$5,2,1)+IF(F509='טבלת פרמטרים'!$C$5,3,IF(F509='טבלת פרמטרים'!$C$4,1,0))+IF(G509='טבלת פרמטרים'!$D$3,2,0)+IF(M509='טבלת פרמטרים'!$J$4,2,IF(M509='טבלת פרמטרים'!$J$3,1,0))+IF(N509='טבלת פרמטרים'!$K$6,3,IF(OR(N509='טבלת פרמטרים'!$K$4,N509='טבלת פרמטרים'!$K$5),2,IF(N509='טבלת פרמטרים'!$K$3,1,0))))</f>
        <v>4</v>
      </c>
      <c r="Q509" s="20" t="s">
        <v>123</v>
      </c>
      <c r="R509" s="19">
        <f t="shared" si="12"/>
        <v>4</v>
      </c>
      <c r="T509" s="19">
        <f>IF(EXACT(Q509,'טבלת פרמטרים'!$O$2),'טבלת פרמטרים'!$P$2,IF(EXACT(Q509,'טבלת פרמטרים'!$O$3),'טבלת פרמטרים'!$P$3,IF(EXACT(Q509,'טבלת פרמטרים'!$O$4),'טבלת פרמטרים'!$P$4,IF(EXACT(Q509,'טבלת פרמטרים'!$O$5),'טבלת פרמטרים'!$P$5,IF(EXACT(Q509,'טבלת פרמטרים'!$O$6),'טבלת פרמטרים'!$P$6,IF(EXACT(Q509,'טבלת פרמטרים'!$O$7),'טבלת פרמטרים'!$P$7,""))))))</f>
        <v>0</v>
      </c>
    </row>
    <row r="510" spans="1:20" x14ac:dyDescent="0.2">
      <c r="A510" s="18">
        <v>510</v>
      </c>
      <c r="B510" s="30">
        <v>44963</v>
      </c>
      <c r="C510" s="30">
        <v>44963</v>
      </c>
      <c r="D510" s="21" t="s">
        <v>11</v>
      </c>
      <c r="E510" s="21" t="s">
        <v>20</v>
      </c>
      <c r="F510" s="21" t="s">
        <v>23</v>
      </c>
      <c r="G510" s="21" t="s">
        <v>26</v>
      </c>
      <c r="H510" s="21" t="s">
        <v>30</v>
      </c>
      <c r="I510" s="21" t="s">
        <v>127</v>
      </c>
      <c r="J510" s="21" t="s">
        <v>11</v>
      </c>
      <c r="K510" s="21" t="s">
        <v>43</v>
      </c>
      <c r="L510" s="21" t="s">
        <v>51</v>
      </c>
      <c r="M510" s="21" t="s">
        <v>54</v>
      </c>
      <c r="N510" s="21" t="s">
        <v>58</v>
      </c>
      <c r="O510" s="19">
        <f>IF(ISBLANK(D510),"",IF(D510='טבלת פרמטרים'!$A$9,1,0)+IF(E510='טבלת פרמטרים'!$B$5,2,1)+IF(F510='טבלת פרמטרים'!$C$5,3,IF(F510='טבלת פרמטרים'!$C$4,1,0))+IF(G510='טבלת פרמטרים'!$D$3,2,0)+IF(M510='טבלת פרמטרים'!$J$4,2,IF(M510='טבלת פרמטרים'!$J$3,1,0))+IF(N510='טבלת פרמטרים'!$K$6,3,IF(OR(N510='טבלת פרמטרים'!$K$4,N510='טבלת פרמטרים'!$K$5),2,IF(N510='טבלת פרמטרים'!$K$3,1,0))))</f>
        <v>3</v>
      </c>
      <c r="Q510" s="20" t="s">
        <v>123</v>
      </c>
      <c r="R510" s="19">
        <f t="shared" si="12"/>
        <v>3</v>
      </c>
      <c r="T510" s="19">
        <f>IF(EXACT(Q510,'טבלת פרמטרים'!$O$2),'טבלת פרמטרים'!$P$2,IF(EXACT(Q510,'טבלת פרמטרים'!$O$3),'טבלת פרמטרים'!$P$3,IF(EXACT(Q510,'טבלת פרמטרים'!$O$4),'טבלת פרמטרים'!$P$4,IF(EXACT(Q510,'טבלת פרמטרים'!$O$5),'טבלת פרמטרים'!$P$5,IF(EXACT(Q510,'טבלת פרמטרים'!$O$6),'טבלת פרמטרים'!$P$6,IF(EXACT(Q510,'טבלת פרמטרים'!$O$7),'טבלת פרמטרים'!$P$7,""))))))</f>
        <v>0</v>
      </c>
    </row>
    <row r="511" spans="1:20" x14ac:dyDescent="0.2">
      <c r="A511" s="18">
        <v>511</v>
      </c>
      <c r="B511" s="30">
        <v>44979</v>
      </c>
      <c r="C511" s="30">
        <v>44980</v>
      </c>
      <c r="D511" s="21" t="s">
        <v>16</v>
      </c>
      <c r="E511" s="21" t="s">
        <v>111</v>
      </c>
      <c r="F511" s="21" t="s">
        <v>23</v>
      </c>
      <c r="G511" s="21" t="s">
        <v>26</v>
      </c>
      <c r="H511" s="21" t="s">
        <v>30</v>
      </c>
      <c r="I511" s="21" t="s">
        <v>126</v>
      </c>
      <c r="L511" s="21" t="s">
        <v>49</v>
      </c>
      <c r="M511" s="21" t="s">
        <v>55</v>
      </c>
      <c r="N511" s="21" t="s">
        <v>59</v>
      </c>
      <c r="O511" s="19">
        <f>IF(ISBLANK(D511),"",IF(D511='טבלת פרמטרים'!$A$9,1,0)+IF(E511='טבלת פרמטרים'!$B$5,2,1)+IF(F511='טבלת פרמטרים'!$C$5,3,IF(F511='טבלת פרמטרים'!$C$4,1,0))+IF(G511='טבלת פרמטרים'!$D$3,2,0)+IF(M511='טבלת פרמטרים'!$J$4,2,IF(M511='טבלת פרמטרים'!$J$3,1,0))+IF(N511='טבלת פרמטרים'!$K$6,3,IF(OR(N511='טבלת פרמטרים'!$K$4,N511='טבלת פרמטרים'!$K$5),2,IF(N511='טבלת פרמטרים'!$K$3,1,0))))</f>
        <v>5</v>
      </c>
      <c r="Q511" s="20" t="s">
        <v>123</v>
      </c>
      <c r="R511" s="19">
        <f t="shared" si="12"/>
        <v>5</v>
      </c>
      <c r="T511" s="19">
        <f>IF(EXACT(Q511,'טבלת פרמטרים'!$O$2),'טבלת פרמטרים'!$P$2,IF(EXACT(Q511,'טבלת פרמטרים'!$O$3),'טבלת פרמטרים'!$P$3,IF(EXACT(Q511,'טבלת פרמטרים'!$O$4),'טבלת פרמטרים'!$P$4,IF(EXACT(Q511,'טבלת פרמטרים'!$O$5),'טבלת פרמטרים'!$P$5,IF(EXACT(Q511,'טבלת פרמטרים'!$O$6),'טבלת פרמטרים'!$P$6,IF(EXACT(Q511,'טבלת פרמטרים'!$O$7),'טבלת פרמטרים'!$P$7,""))))))</f>
        <v>0</v>
      </c>
    </row>
    <row r="512" spans="1:20" x14ac:dyDescent="0.2">
      <c r="A512" s="18">
        <v>512</v>
      </c>
      <c r="B512" s="30">
        <v>44979</v>
      </c>
      <c r="C512" s="30">
        <v>44980</v>
      </c>
      <c r="D512" s="21" t="s">
        <v>11</v>
      </c>
      <c r="E512" s="21" t="s">
        <v>111</v>
      </c>
      <c r="F512" s="21" t="s">
        <v>23</v>
      </c>
      <c r="G512" s="21" t="s">
        <v>26</v>
      </c>
      <c r="H512" s="21" t="s">
        <v>19</v>
      </c>
      <c r="I512" s="21" t="s">
        <v>126</v>
      </c>
      <c r="J512" s="21" t="s">
        <v>41</v>
      </c>
      <c r="K512" s="21" t="s">
        <v>43</v>
      </c>
      <c r="L512" s="21" t="s">
        <v>50</v>
      </c>
      <c r="M512" s="21" t="s">
        <v>54</v>
      </c>
      <c r="N512" s="21" t="s">
        <v>59</v>
      </c>
      <c r="O512" s="19">
        <f>IF(ISBLANK(D512),"",IF(D512='טבלת פרמטרים'!$A$9,1,0)+IF(E512='טבלת פרמטרים'!$B$5,2,1)+IF(F512='טבלת פרמטרים'!$C$5,3,IF(F512='טבלת פרמטרים'!$C$4,1,0))+IF(G512='טבלת פרמטרים'!$D$3,2,0)+IF(M512='טבלת פרמטרים'!$J$4,2,IF(M512='טבלת פרמטרים'!$J$3,1,0))+IF(N512='טבלת פרמטרים'!$K$6,3,IF(OR(N512='טבלת פרמטרים'!$K$4,N512='טבלת פרמטרים'!$K$5),2,IF(N512='טבלת פרמטרים'!$K$3,1,0))))</f>
        <v>4</v>
      </c>
      <c r="Q512" s="20" t="s">
        <v>123</v>
      </c>
      <c r="R512" s="19">
        <f t="shared" si="12"/>
        <v>4</v>
      </c>
      <c r="T512" s="19">
        <f>IF(EXACT(Q512,'טבלת פרמטרים'!$O$2),'טבלת פרמטרים'!$P$2,IF(EXACT(Q512,'טבלת פרמטרים'!$O$3),'טבלת פרמטרים'!$P$3,IF(EXACT(Q512,'טבלת פרמטרים'!$O$4),'טבלת פרמטרים'!$P$4,IF(EXACT(Q512,'טבלת פרמטרים'!$O$5),'טבלת פרמטרים'!$P$5,IF(EXACT(Q512,'טבלת פרמטרים'!$O$6),'טבלת פרמטרים'!$P$6,IF(EXACT(Q512,'טבלת פרמטרים'!$O$7),'טבלת פרמטרים'!$P$7,""))))))</f>
        <v>0</v>
      </c>
    </row>
    <row r="513" spans="1:20" x14ac:dyDescent="0.2">
      <c r="A513" s="18">
        <v>513</v>
      </c>
      <c r="B513" s="30">
        <v>44976</v>
      </c>
      <c r="C513" s="30">
        <v>44976</v>
      </c>
      <c r="D513" s="21" t="s">
        <v>16</v>
      </c>
      <c r="E513" s="21" t="s">
        <v>111</v>
      </c>
      <c r="F513" s="21" t="s">
        <v>23</v>
      </c>
      <c r="G513" s="21" t="s">
        <v>26</v>
      </c>
      <c r="H513" s="21" t="s">
        <v>29</v>
      </c>
      <c r="I513" s="21" t="s">
        <v>127</v>
      </c>
      <c r="J513" s="21" t="s">
        <v>35</v>
      </c>
      <c r="K513" s="21" t="s">
        <v>44</v>
      </c>
      <c r="L513" s="21" t="s">
        <v>51</v>
      </c>
      <c r="M513" s="21" t="s">
        <v>53</v>
      </c>
      <c r="N513" s="21" t="s">
        <v>57</v>
      </c>
      <c r="O513" s="19">
        <f>IF(ISBLANK(D513),"",IF(D513='טבלת פרמטרים'!$A$9,1,0)+IF(E513='טבלת פרמטרים'!$B$5,2,1)+IF(F513='טבלת פרמטרים'!$C$5,3,IF(F513='טבלת פרמטרים'!$C$4,1,0))+IF(G513='טבלת פרמטרים'!$D$3,2,0)+IF(M513='טבלת פרמטרים'!$J$4,2,IF(M513='טבלת פרמטרים'!$J$3,1,0))+IF(N513='טבלת פרמטרים'!$K$6,3,IF(OR(N513='טבלת פרמטרים'!$K$4,N513='טבלת פרמטרים'!$K$5),2,IF(N513='טבלת פרמטרים'!$K$3,1,0))))</f>
        <v>1</v>
      </c>
      <c r="Q513" s="20" t="s">
        <v>123</v>
      </c>
      <c r="R513" s="19">
        <f t="shared" si="12"/>
        <v>1</v>
      </c>
      <c r="T513" s="19">
        <f>IF(EXACT(Q513,'טבלת פרמטרים'!$O$2),'טבלת פרמטרים'!$P$2,IF(EXACT(Q513,'טבלת פרמטרים'!$O$3),'טבלת פרמטרים'!$P$3,IF(EXACT(Q513,'טבלת פרמטרים'!$O$4),'טבלת פרמטרים'!$P$4,IF(EXACT(Q513,'טבלת פרמטרים'!$O$5),'טבלת פרמטרים'!$P$5,IF(EXACT(Q513,'טבלת פרמטרים'!$O$6),'טבלת פרמטרים'!$P$6,IF(EXACT(Q513,'טבלת פרמטרים'!$O$7),'טבלת פרמטרים'!$P$7,""))))))</f>
        <v>0</v>
      </c>
    </row>
    <row r="514" spans="1:20" x14ac:dyDescent="0.2">
      <c r="A514" s="18">
        <v>514</v>
      </c>
      <c r="C514" s="30">
        <v>44977</v>
      </c>
      <c r="D514" s="21" t="s">
        <v>10</v>
      </c>
      <c r="E514" s="21" t="s">
        <v>20</v>
      </c>
      <c r="F514" s="21" t="s">
        <v>23</v>
      </c>
      <c r="G514" s="21" t="s">
        <v>26</v>
      </c>
      <c r="H514" s="21" t="s">
        <v>29</v>
      </c>
      <c r="N514" s="21" t="s">
        <v>59</v>
      </c>
      <c r="O514" s="19">
        <f>IF(ISBLANK(D514),"",IF(D514='טבלת פרמטרים'!$A$9,1,0)+IF(E514='טבלת פרמטרים'!$B$5,2,1)+IF(F514='טבלת פרמטרים'!$C$5,3,IF(F514='טבלת פרמטרים'!$C$4,1,0))+IF(G514='טבלת פרמטרים'!$D$3,2,0)+IF(M514='טבלת פרמטרים'!$J$4,2,IF(M514='טבלת פרמטרים'!$J$3,1,0))+IF(N514='טבלת פרמטרים'!$K$6,3,IF(OR(N514='טבלת פרמטרים'!$K$4,N514='טבלת פרמטרים'!$K$5),2,IF(N514='טבלת פרמטרים'!$K$3,1,0))))</f>
        <v>3</v>
      </c>
      <c r="Q514" s="20" t="s">
        <v>123</v>
      </c>
      <c r="R514" s="19">
        <f t="shared" si="12"/>
        <v>3</v>
      </c>
      <c r="T514" s="19">
        <f>IF(EXACT(Q514,'טבלת פרמטרים'!$O$2),'טבלת פרמטרים'!$P$2,IF(EXACT(Q514,'טבלת פרמטרים'!$O$3),'טבלת פרמטרים'!$P$3,IF(EXACT(Q514,'טבלת פרמטרים'!$O$4),'טבלת פרמטרים'!$P$4,IF(EXACT(Q514,'טבלת פרמטרים'!$O$5),'טבלת פרמטרים'!$P$5,IF(EXACT(Q514,'טבלת פרמטרים'!$O$6),'טבלת פרמטרים'!$P$6,IF(EXACT(Q514,'טבלת פרמטרים'!$O$7),'טבלת פרמטרים'!$P$7,""))))))</f>
        <v>0</v>
      </c>
    </row>
    <row r="515" spans="1:20" x14ac:dyDescent="0.2">
      <c r="A515" s="18">
        <v>515</v>
      </c>
      <c r="B515" s="30">
        <v>44984</v>
      </c>
      <c r="C515" s="30">
        <v>44984</v>
      </c>
      <c r="D515" s="21" t="s">
        <v>16</v>
      </c>
      <c r="E515" s="21" t="s">
        <v>111</v>
      </c>
      <c r="F515" s="21" t="s">
        <v>23</v>
      </c>
      <c r="G515" s="21" t="s">
        <v>26</v>
      </c>
      <c r="H515" s="21" t="s">
        <v>30</v>
      </c>
      <c r="I515" s="21" t="s">
        <v>126</v>
      </c>
      <c r="J515" s="21" t="s">
        <v>34</v>
      </c>
      <c r="K515" s="21" t="s">
        <v>906</v>
      </c>
      <c r="L515" s="21" t="s">
        <v>51</v>
      </c>
      <c r="M515" s="21" t="s">
        <v>53</v>
      </c>
      <c r="N515" s="21" t="s">
        <v>59</v>
      </c>
      <c r="O515" s="19">
        <f>IF(ISBLANK(D515),"",IF(D515='טבלת פרמטרים'!$A$9,1,0)+IF(E515='טבלת פרמטרים'!$B$5,2,1)+IF(F515='טבלת פרמטרים'!$C$5,3,IF(F515='טבלת פרמטרים'!$C$4,1,0))+IF(G515='טבלת פרמטרים'!$D$3,2,0)+IF(M515='טבלת פרמטרים'!$J$4,2,IF(M515='טבלת פרמטרים'!$J$3,1,0))+IF(N515='טבלת פרמטרים'!$K$6,3,IF(OR(N515='טבלת פרמטרים'!$K$4,N515='טבלת פרמטרים'!$K$5),2,IF(N515='טבלת פרמטרים'!$K$3,1,0))))</f>
        <v>3</v>
      </c>
      <c r="Q515" s="20" t="s">
        <v>123</v>
      </c>
      <c r="R515" s="19">
        <f t="shared" si="12"/>
        <v>3</v>
      </c>
      <c r="T515" s="19">
        <f>IF(EXACT(Q515,'טבלת פרמטרים'!$O$2),'טבלת פרמטרים'!$P$2,IF(EXACT(Q515,'טבלת פרמטרים'!$O$3),'טבלת פרמטרים'!$P$3,IF(EXACT(Q515,'טבלת פרמטרים'!$O$4),'טבלת פרמטרים'!$P$4,IF(EXACT(Q515,'טבלת פרמטרים'!$O$5),'טבלת פרמטרים'!$P$5,IF(EXACT(Q515,'טבלת פרמטרים'!$O$6),'טבלת פרמטרים'!$P$6,IF(EXACT(Q515,'טבלת פרמטרים'!$O$7),'טבלת פרמטרים'!$P$7,""))))))</f>
        <v>0</v>
      </c>
    </row>
    <row r="516" spans="1:20" x14ac:dyDescent="0.2">
      <c r="A516" s="18">
        <v>516</v>
      </c>
      <c r="B516" s="30">
        <v>44985</v>
      </c>
      <c r="C516" s="30">
        <v>44985</v>
      </c>
      <c r="D516" s="21" t="s">
        <v>16</v>
      </c>
      <c r="E516" s="21" t="s">
        <v>111</v>
      </c>
      <c r="F516" s="21" t="s">
        <v>23</v>
      </c>
      <c r="G516" s="21" t="s">
        <v>26</v>
      </c>
      <c r="H516" s="21" t="s">
        <v>30</v>
      </c>
      <c r="I516" s="21" t="s">
        <v>126</v>
      </c>
      <c r="J516" s="21" t="s">
        <v>35</v>
      </c>
      <c r="K516" s="21" t="s">
        <v>44</v>
      </c>
      <c r="L516" s="21" t="s">
        <v>51</v>
      </c>
      <c r="M516" s="21" t="s">
        <v>54</v>
      </c>
      <c r="N516" s="21" t="s">
        <v>58</v>
      </c>
      <c r="O516" s="19">
        <f>IF(ISBLANK(D516),"",IF(D516='טבלת פרמטרים'!$A$9,1,0)+IF(E516='טבלת פרמטרים'!$B$5,2,1)+IF(F516='טבלת פרמטרים'!$C$5,3,IF(F516='טבלת פרמטרים'!$C$4,1,0))+IF(G516='טבלת פרמטרים'!$D$3,2,0)+IF(M516='טבלת פרמטרים'!$J$4,2,IF(M516='טבלת פרמטרים'!$J$3,1,0))+IF(N516='טבלת פרמטרים'!$K$6,3,IF(OR(N516='טבלת פרמטרים'!$K$4,N516='טבלת פרמטרים'!$K$5),2,IF(N516='טבלת פרמטרים'!$K$3,1,0))))</f>
        <v>3</v>
      </c>
      <c r="Q516" s="20" t="s">
        <v>123</v>
      </c>
      <c r="R516" s="19">
        <f t="shared" si="12"/>
        <v>3</v>
      </c>
      <c r="T516" s="19">
        <f>IF(EXACT(Q516,'טבלת פרמטרים'!$O$2),'טבלת פרמטרים'!$P$2,IF(EXACT(Q516,'טבלת פרמטרים'!$O$3),'טבלת פרמטרים'!$P$3,IF(EXACT(Q516,'טבלת פרמטרים'!$O$4),'טבלת פרמטרים'!$P$4,IF(EXACT(Q516,'טבלת פרמטרים'!$O$5),'טבלת פרמטרים'!$P$5,IF(EXACT(Q516,'טבלת פרמטרים'!$O$6),'טבלת פרמטרים'!$P$6,IF(EXACT(Q516,'טבלת פרמטרים'!$O$7),'טבלת פרמטרים'!$P$7,""))))))</f>
        <v>0</v>
      </c>
    </row>
    <row r="517" spans="1:20" x14ac:dyDescent="0.2">
      <c r="A517" s="18">
        <v>517</v>
      </c>
      <c r="B517" s="30">
        <v>44986</v>
      </c>
      <c r="C517" s="30">
        <v>44986</v>
      </c>
      <c r="D517" s="21" t="s">
        <v>16</v>
      </c>
      <c r="E517" s="21" t="s">
        <v>20</v>
      </c>
      <c r="F517" s="21" t="s">
        <v>23</v>
      </c>
      <c r="G517" s="21" t="s">
        <v>26</v>
      </c>
      <c r="H517" s="21" t="s">
        <v>30</v>
      </c>
      <c r="I517" s="21" t="s">
        <v>126</v>
      </c>
      <c r="J517" s="21" t="s">
        <v>35</v>
      </c>
      <c r="K517" s="21" t="s">
        <v>48</v>
      </c>
      <c r="M517" s="21" t="s">
        <v>55</v>
      </c>
      <c r="N517" s="21" t="s">
        <v>58</v>
      </c>
      <c r="O517" s="19">
        <f>IF(ISBLANK(D517),"",IF(D517='טבלת פרמטרים'!$A$9,1,0)+IF(E517='טבלת פרמטרים'!$B$5,2,1)+IF(F517='טבלת פרמטרים'!$C$5,3,IF(F517='טבלת פרמטרים'!$C$4,1,0))+IF(G517='טבלת פרמטרים'!$D$3,2,0)+IF(M517='טבלת פרמטרים'!$J$4,2,IF(M517='טבלת פרמטרים'!$J$3,1,0))+IF(N517='טבלת פרמטרים'!$K$6,3,IF(OR(N517='טבלת פרמטרים'!$K$4,N517='טבלת פרמטרים'!$K$5),2,IF(N517='טבלת פרמטרים'!$K$3,1,0))))</f>
        <v>4</v>
      </c>
      <c r="Q517" s="20" t="s">
        <v>123</v>
      </c>
      <c r="R517" s="19">
        <f t="shared" si="12"/>
        <v>4</v>
      </c>
      <c r="T517" s="19">
        <f>IF(EXACT(Q517,'טבלת פרמטרים'!$O$2),'טבלת פרמטרים'!$P$2,IF(EXACT(Q517,'טבלת פרמטרים'!$O$3),'טבלת פרמטרים'!$P$3,IF(EXACT(Q517,'טבלת פרמטרים'!$O$4),'טבלת פרמטרים'!$P$4,IF(EXACT(Q517,'טבלת פרמטרים'!$O$5),'טבלת פרמטרים'!$P$5,IF(EXACT(Q517,'טבלת פרמטרים'!$O$6),'טבלת פרמטרים'!$P$6,IF(EXACT(Q517,'טבלת פרמטרים'!$O$7),'טבלת פרמטרים'!$P$7,""))))))</f>
        <v>0</v>
      </c>
    </row>
    <row r="518" spans="1:20" x14ac:dyDescent="0.2">
      <c r="A518" s="18">
        <v>518</v>
      </c>
      <c r="B518" s="30">
        <v>44997</v>
      </c>
      <c r="C518" s="30">
        <v>44998</v>
      </c>
      <c r="D518" s="21" t="s">
        <v>11</v>
      </c>
      <c r="E518" s="21" t="s">
        <v>21</v>
      </c>
      <c r="F518" s="21" t="s">
        <v>23</v>
      </c>
      <c r="G518" s="21" t="s">
        <v>26</v>
      </c>
      <c r="H518" s="21" t="s">
        <v>29</v>
      </c>
      <c r="J518" s="21" t="s">
        <v>11</v>
      </c>
      <c r="K518" s="21" t="s">
        <v>44</v>
      </c>
      <c r="L518" s="21" t="s">
        <v>49</v>
      </c>
      <c r="M518" s="21" t="s">
        <v>55</v>
      </c>
      <c r="N518" s="21" t="s">
        <v>58</v>
      </c>
      <c r="O518" s="19">
        <f>IF(ISBLANK(D518),"",IF(D518='טבלת פרמטרים'!$A$9,1,0)+IF(E518='טבלת פרמטרים'!$B$5,2,1)+IF(F518='טבלת פרמטרים'!$C$5,3,IF(F518='טבלת פרמטרים'!$C$4,1,0))+IF(G518='טבלת פרמטרים'!$D$3,2,0)+IF(M518='טבלת פרמטרים'!$J$4,2,IF(M518='טבלת פרמטרים'!$J$3,1,0))+IF(N518='טבלת פרמטרים'!$K$6,3,IF(OR(N518='טבלת פרמטרים'!$K$4,N518='טבלת פרמטרים'!$K$5),2,IF(N518='טבלת פרמטרים'!$K$3,1,0))))</f>
        <v>4</v>
      </c>
      <c r="Q518" s="20" t="s">
        <v>123</v>
      </c>
      <c r="R518" s="19">
        <f t="shared" si="12"/>
        <v>4</v>
      </c>
      <c r="T518" s="19">
        <f>IF(EXACT(Q518,'טבלת פרמטרים'!$O$2),'טבלת פרמטרים'!$P$2,IF(EXACT(Q518,'טבלת פרמטרים'!$O$3),'טבלת פרמטרים'!$P$3,IF(EXACT(Q518,'טבלת פרמטרים'!$O$4),'טבלת פרמטרים'!$P$4,IF(EXACT(Q518,'טבלת פרמטרים'!$O$5),'טבלת פרמטרים'!$P$5,IF(EXACT(Q518,'טבלת פרמטרים'!$O$6),'טבלת פרמטרים'!$P$6,IF(EXACT(Q518,'טבלת פרמטרים'!$O$7),'טבלת פרמטרים'!$P$7,""))))))</f>
        <v>0</v>
      </c>
    </row>
    <row r="519" spans="1:20" ht="28.5" x14ac:dyDescent="0.2">
      <c r="A519" s="18">
        <v>519</v>
      </c>
      <c r="B519" s="30">
        <v>45012</v>
      </c>
      <c r="C519" s="30">
        <v>45012</v>
      </c>
      <c r="D519" s="21" t="s">
        <v>17</v>
      </c>
      <c r="E519" s="21" t="s">
        <v>22</v>
      </c>
      <c r="F519" s="21" t="s">
        <v>24</v>
      </c>
      <c r="G519" s="21" t="s">
        <v>26</v>
      </c>
      <c r="H519" s="21" t="s">
        <v>30</v>
      </c>
      <c r="I519" s="21" t="s">
        <v>127</v>
      </c>
      <c r="J519" s="21" t="s">
        <v>35</v>
      </c>
      <c r="K519" s="21" t="s">
        <v>44</v>
      </c>
      <c r="L519" s="21" t="s">
        <v>51</v>
      </c>
      <c r="M519" s="21" t="s">
        <v>55</v>
      </c>
      <c r="N519" s="21" t="s">
        <v>58</v>
      </c>
      <c r="O519" s="19">
        <f>IF(ISBLANK(D519),"",IF(D519='טבלת פרמטרים'!$A$9,1,0)+IF(E519='טבלת פרמטרים'!$B$5,2,1)+IF(F519='טבלת פרמטרים'!$C$5,3,IF(F519='טבלת פרמטרים'!$C$4,1,0))+IF(G519='טבלת פרמטרים'!$D$3,2,0)+IF(M519='טבלת פרמטרים'!$J$4,2,IF(M519='טבלת פרמטרים'!$J$3,1,0))+IF(N519='טבלת פרמטרים'!$K$6,3,IF(OR(N519='טבלת פרמטרים'!$K$4,N519='טבלת פרמטרים'!$K$5),2,IF(N519='טבלת פרמטרים'!$K$3,1,0))))</f>
        <v>7</v>
      </c>
      <c r="Q519" s="20" t="s">
        <v>329</v>
      </c>
      <c r="R519" s="19">
        <f t="shared" si="12"/>
        <v>8</v>
      </c>
      <c r="T519" s="19">
        <f>IF(EXACT(Q519,'טבלת פרמטרים'!$O$2),'טבלת פרמטרים'!$P$2,IF(EXACT(Q519,'טבלת פרמטרים'!$O$3),'טבלת פרמטרים'!$P$3,IF(EXACT(Q519,'טבלת פרמטרים'!$O$4),'טבלת פרמטרים'!$P$4,IF(EXACT(Q519,'טבלת פרמטרים'!$O$5),'טבלת פרמטרים'!$P$5,IF(EXACT(Q519,'טבלת פרמטרים'!$O$6),'טבלת פרמטרים'!$P$6,IF(EXACT(Q519,'טבלת פרמטרים'!$O$7),'טבלת פרמטרים'!$P$7,""))))))</f>
        <v>1</v>
      </c>
    </row>
    <row r="520" spans="1:20" x14ac:dyDescent="0.2">
      <c r="A520" s="18">
        <v>520</v>
      </c>
      <c r="C520" s="30">
        <v>45006</v>
      </c>
      <c r="D520" s="21" t="s">
        <v>10</v>
      </c>
      <c r="E520" s="21" t="s">
        <v>111</v>
      </c>
      <c r="F520" s="21" t="s">
        <v>23</v>
      </c>
      <c r="G520" s="21" t="s">
        <v>26</v>
      </c>
      <c r="H520" s="21" t="s">
        <v>31</v>
      </c>
      <c r="J520" s="21" t="s">
        <v>40</v>
      </c>
      <c r="N520" s="21" t="s">
        <v>59</v>
      </c>
      <c r="O520" s="19">
        <f>IF(ISBLANK(D520),"",IF(D520='טבלת פרמטרים'!$A$9,1,0)+IF(E520='טבלת פרמטרים'!$B$5,2,1)+IF(F520='טבלת פרמטרים'!$C$5,3,IF(F520='טבלת פרמטרים'!$C$4,1,0))+IF(G520='טבלת פרמטרים'!$D$3,2,0)+IF(M520='טבלת פרמטרים'!$J$4,2,IF(M520='טבלת פרמטרים'!$J$3,1,0))+IF(N520='טבלת פרמטרים'!$K$6,3,IF(OR(N520='טבלת פרמטרים'!$K$4,N520='טבלת פרמטרים'!$K$5),2,IF(N520='טבלת פרמטרים'!$K$3,1,0))))</f>
        <v>3</v>
      </c>
      <c r="Q520" s="20" t="s">
        <v>123</v>
      </c>
      <c r="R520" s="19">
        <f t="shared" si="12"/>
        <v>3</v>
      </c>
      <c r="T520" s="19">
        <f>IF(EXACT(Q520,'טבלת פרמטרים'!$O$2),'טבלת פרמטרים'!$P$2,IF(EXACT(Q520,'טבלת פרמטרים'!$O$3),'טבלת פרמטרים'!$P$3,IF(EXACT(Q520,'טבלת פרמטרים'!$O$4),'טבלת פרמטרים'!$P$4,IF(EXACT(Q520,'טבלת פרמטרים'!$O$5),'טבלת פרמטרים'!$P$5,IF(EXACT(Q520,'טבלת פרמטרים'!$O$6),'טבלת פרמטרים'!$P$6,IF(EXACT(Q520,'טבלת פרמטרים'!$O$7),'טבלת פרמטרים'!$P$7,""))))))</f>
        <v>0</v>
      </c>
    </row>
    <row r="521" spans="1:20" x14ac:dyDescent="0.2">
      <c r="A521" s="18">
        <v>521</v>
      </c>
      <c r="C521" s="30">
        <v>45011</v>
      </c>
      <c r="D521" s="21" t="s">
        <v>11</v>
      </c>
      <c r="E521" s="21" t="s">
        <v>21</v>
      </c>
      <c r="F521" s="21" t="s">
        <v>23</v>
      </c>
      <c r="G521" s="21" t="s">
        <v>26</v>
      </c>
      <c r="H521" s="21" t="s">
        <v>31</v>
      </c>
      <c r="I521" s="21" t="s">
        <v>127</v>
      </c>
      <c r="J521" s="21" t="s">
        <v>11</v>
      </c>
      <c r="K521" s="21" t="s">
        <v>45</v>
      </c>
      <c r="L521" s="21" t="s">
        <v>51</v>
      </c>
      <c r="M521" s="21" t="s">
        <v>55</v>
      </c>
      <c r="N521" s="21" t="s">
        <v>58</v>
      </c>
      <c r="O521" s="19">
        <f>IF(ISBLANK(D521),"",IF(D521='טבלת פרמטרים'!$A$9,1,0)+IF(E521='טבלת פרמטרים'!$B$5,2,1)+IF(F521='טבלת פרמטרים'!$C$5,3,IF(F521='טבלת פרמטרים'!$C$4,1,0))+IF(G521='טבלת פרמטרים'!$D$3,2,0)+IF(M521='טבלת פרמטרים'!$J$4,2,IF(M521='טבלת פרמטרים'!$J$3,1,0))+IF(N521='טבלת פרמטרים'!$K$6,3,IF(OR(N521='טבלת פרמטרים'!$K$4,N521='טבלת פרמטרים'!$K$5),2,IF(N521='טבלת פרמטרים'!$K$3,1,0))))</f>
        <v>4</v>
      </c>
      <c r="Q521" s="20" t="s">
        <v>123</v>
      </c>
      <c r="R521" s="19">
        <f t="shared" si="12"/>
        <v>4</v>
      </c>
      <c r="T521" s="19">
        <f>IF(EXACT(Q521,'טבלת פרמטרים'!$O$2),'טבלת פרמטרים'!$P$2,IF(EXACT(Q521,'טבלת פרמטרים'!$O$3),'טבלת פרמטרים'!$P$3,IF(EXACT(Q521,'טבלת פרמטרים'!$O$4),'טבלת פרמטרים'!$P$4,IF(EXACT(Q521,'טבלת פרמטרים'!$O$5),'טבלת פרמטרים'!$P$5,IF(EXACT(Q521,'טבלת פרמטרים'!$O$6),'טבלת פרמטרים'!$P$6,IF(EXACT(Q521,'טבלת פרמטרים'!$O$7),'טבלת פרמטרים'!$P$7,""))))))</f>
        <v>0</v>
      </c>
    </row>
    <row r="522" spans="1:20" x14ac:dyDescent="0.2">
      <c r="A522" s="18">
        <v>522</v>
      </c>
      <c r="B522" s="30">
        <v>44984</v>
      </c>
      <c r="C522" s="30">
        <v>44986</v>
      </c>
      <c r="D522" s="21" t="s">
        <v>11</v>
      </c>
      <c r="E522" s="21" t="s">
        <v>20</v>
      </c>
      <c r="F522" s="21" t="s">
        <v>23</v>
      </c>
      <c r="G522" s="21" t="s">
        <v>26</v>
      </c>
      <c r="H522" s="21" t="s">
        <v>30</v>
      </c>
      <c r="J522" s="21" t="s">
        <v>11</v>
      </c>
      <c r="K522" s="21" t="s">
        <v>44</v>
      </c>
      <c r="L522" s="21" t="s">
        <v>51</v>
      </c>
      <c r="M522" s="21" t="s">
        <v>54</v>
      </c>
      <c r="N522" s="21" t="s">
        <v>58</v>
      </c>
      <c r="O522" s="19">
        <f>IF(ISBLANK(D522),"",IF(D522='טבלת פרמטרים'!$A$9,1,0)+IF(E522='טבלת פרמטרים'!$B$5,2,1)+IF(F522='טבלת פרמטרים'!$C$5,3,IF(F522='טבלת פרמטרים'!$C$4,1,0))+IF(G522='טבלת פרמטרים'!$D$3,2,0)+IF(M522='טבלת פרמטרים'!$J$4,2,IF(M522='טבלת פרמטרים'!$J$3,1,0))+IF(N522='טבלת פרמטרים'!$K$6,3,IF(OR(N522='טבלת פרמטרים'!$K$4,N522='טבלת פרמטרים'!$K$5),2,IF(N522='טבלת פרמטרים'!$K$3,1,0))))</f>
        <v>3</v>
      </c>
      <c r="Q522" s="20" t="s">
        <v>123</v>
      </c>
      <c r="R522" s="19">
        <f t="shared" si="12"/>
        <v>3</v>
      </c>
      <c r="T522" s="19">
        <f>IF(EXACT(Q522,'טבלת פרמטרים'!$O$2),'טבלת פרמטרים'!$P$2,IF(EXACT(Q522,'טבלת פרמטרים'!$O$3),'טבלת פרמטרים'!$P$3,IF(EXACT(Q522,'טבלת פרמטרים'!$O$4),'טבלת פרמטרים'!$P$4,IF(EXACT(Q522,'טבלת פרמטרים'!$O$5),'טבלת פרמטרים'!$P$5,IF(EXACT(Q522,'טבלת פרמטרים'!$O$6),'טבלת פרמטרים'!$P$6,IF(EXACT(Q522,'טבלת פרמטרים'!$O$7),'טבלת פרמטרים'!$P$7,""))))))</f>
        <v>0</v>
      </c>
    </row>
    <row r="523" spans="1:20" x14ac:dyDescent="0.2">
      <c r="A523" s="18">
        <v>523</v>
      </c>
      <c r="B523" s="30">
        <v>44997</v>
      </c>
      <c r="C523" s="30">
        <v>45026</v>
      </c>
      <c r="D523" s="21" t="s">
        <v>11</v>
      </c>
      <c r="E523" s="21" t="s">
        <v>20</v>
      </c>
      <c r="F523" s="21" t="s">
        <v>24</v>
      </c>
      <c r="G523" s="21" t="s">
        <v>26</v>
      </c>
      <c r="H523" s="21" t="s">
        <v>29</v>
      </c>
      <c r="I523" s="21" t="s">
        <v>127</v>
      </c>
      <c r="J523" s="21" t="s">
        <v>11</v>
      </c>
      <c r="K523" s="21" t="s">
        <v>43</v>
      </c>
      <c r="L523" s="21" t="s">
        <v>51</v>
      </c>
      <c r="M523" s="21" t="s">
        <v>55</v>
      </c>
      <c r="N523" s="21" t="s">
        <v>58</v>
      </c>
      <c r="O523" s="19">
        <f>IF(ISBLANK(D523),"",IF(D523='טבלת פרמטרים'!$A$9,1,0)+IF(E523='טבלת פרמטרים'!$B$5,2,1)+IF(F523='טבלת פרמטרים'!$C$5,3,IF(F523='טבלת פרמטרים'!$C$4,1,0))+IF(G523='טבלת פרמטרים'!$D$3,2,0)+IF(M523='טבלת פרמטרים'!$J$4,2,IF(M523='טבלת פרמטרים'!$J$3,1,0))+IF(N523='טבלת פרמטרים'!$K$6,3,IF(OR(N523='טבלת פרמטרים'!$K$4,N523='טבלת פרמטרים'!$K$5),2,IF(N523='טבלת פרמטרים'!$K$3,1,0))))</f>
        <v>5</v>
      </c>
      <c r="Q523" s="20" t="s">
        <v>123</v>
      </c>
      <c r="R523" s="19">
        <f t="shared" si="12"/>
        <v>5</v>
      </c>
      <c r="T523" s="19">
        <f>IF(EXACT(Q523,'טבלת פרמטרים'!$O$2),'טבלת פרמטרים'!$P$2,IF(EXACT(Q523,'טבלת פרמטרים'!$O$3),'טבלת פרמטרים'!$P$3,IF(EXACT(Q523,'טבלת פרמטרים'!$O$4),'טבלת פרמטרים'!$P$4,IF(EXACT(Q523,'טבלת פרמטרים'!$O$5),'טבלת פרמטרים'!$P$5,IF(EXACT(Q523,'טבלת פרמטרים'!$O$6),'טבלת פרמטרים'!$P$6,IF(EXACT(Q523,'טבלת פרמטרים'!$O$7),'טבלת פרמטרים'!$P$7,""))))))</f>
        <v>0</v>
      </c>
    </row>
    <row r="524" spans="1:20" ht="28.5" x14ac:dyDescent="0.2">
      <c r="A524" s="18">
        <v>524</v>
      </c>
      <c r="B524" s="30">
        <v>45005</v>
      </c>
      <c r="C524" s="30">
        <v>45027</v>
      </c>
      <c r="D524" s="21" t="s">
        <v>17</v>
      </c>
      <c r="E524" s="21" t="s">
        <v>22</v>
      </c>
      <c r="F524" s="21" t="s">
        <v>24</v>
      </c>
      <c r="G524" s="21" t="s">
        <v>27</v>
      </c>
      <c r="H524" s="21" t="s">
        <v>30</v>
      </c>
      <c r="I524" s="21" t="s">
        <v>126</v>
      </c>
      <c r="J524" s="21" t="s">
        <v>33</v>
      </c>
      <c r="K524" s="21" t="s">
        <v>44</v>
      </c>
      <c r="L524" s="21" t="s">
        <v>51</v>
      </c>
      <c r="M524" s="21" t="s">
        <v>55</v>
      </c>
      <c r="N524" s="21" t="s">
        <v>58</v>
      </c>
      <c r="O524" s="19">
        <f>IF(ISBLANK(D524),"",IF(D524='טבלת פרמטרים'!$A$9,1,0)+IF(E524='טבלת פרמטרים'!$B$5,2,1)+IF(F524='טבלת פרמטרים'!$C$5,3,IF(F524='טבלת פרמטרים'!$C$4,1,0))+IF(G524='טבלת פרמטרים'!$D$3,2,0)+IF(M524='טבלת פרמטרים'!$J$4,2,IF(M524='טבלת פרמטרים'!$J$3,1,0))+IF(N524='טבלת פרמטרים'!$K$6,3,IF(OR(N524='טבלת פרמטרים'!$K$4,N524='טבלת פרמטרים'!$K$5),2,IF(N524='טבלת פרמטרים'!$K$3,1,0))))</f>
        <v>9</v>
      </c>
      <c r="Q524" s="20" t="s">
        <v>330</v>
      </c>
      <c r="R524" s="19">
        <f t="shared" si="12"/>
        <v>13</v>
      </c>
      <c r="T524" s="19">
        <f>IF(EXACT(Q524,'טבלת פרמטרים'!$O$2),'טבלת פרמטרים'!$P$2,IF(EXACT(Q524,'טבלת פרמטרים'!$O$3),'טבלת פרמטרים'!$P$3,IF(EXACT(Q524,'טבלת פרמטרים'!$O$4),'טבלת פרמטרים'!$P$4,IF(EXACT(Q524,'טבלת פרמטרים'!$O$5),'טבלת פרמטרים'!$P$5,IF(EXACT(Q524,'טבלת פרמטרים'!$O$6),'טבלת פרמטרים'!$P$6,IF(EXACT(Q524,'טבלת פרמטרים'!$O$7),'טבלת פרמטרים'!$P$7,""))))))</f>
        <v>4</v>
      </c>
    </row>
    <row r="525" spans="1:20" x14ac:dyDescent="0.2">
      <c r="A525" s="18">
        <v>525</v>
      </c>
      <c r="B525" s="30">
        <v>44979</v>
      </c>
      <c r="C525" s="30">
        <v>45030</v>
      </c>
      <c r="D525" s="21" t="s">
        <v>11</v>
      </c>
      <c r="E525" s="21" t="s">
        <v>20</v>
      </c>
      <c r="F525" s="21" t="s">
        <v>24</v>
      </c>
      <c r="G525" s="21" t="s">
        <v>26</v>
      </c>
      <c r="H525" s="21" t="s">
        <v>29</v>
      </c>
      <c r="I525" s="21" t="s">
        <v>126</v>
      </c>
      <c r="J525" s="21" t="s">
        <v>11</v>
      </c>
      <c r="K525" s="21" t="s">
        <v>43</v>
      </c>
      <c r="L525" s="21" t="s">
        <v>51</v>
      </c>
      <c r="M525" s="21" t="s">
        <v>55</v>
      </c>
      <c r="N525" s="21" t="s">
        <v>58</v>
      </c>
      <c r="O525" s="19">
        <f>IF(ISBLANK(D525),"",IF(D525='טבלת פרמטרים'!$A$9,1,0)+IF(E525='טבלת פרמטרים'!$B$5,2,1)+IF(F525='טבלת פרמטרים'!$C$5,3,IF(F525='טבלת פרמטרים'!$C$4,1,0))+IF(G525='טבלת פרמטרים'!$D$3,2,0)+IF(M525='טבלת פרמטרים'!$J$4,2,IF(M525='טבלת פרמטרים'!$J$3,1,0))+IF(N525='טבלת פרמטרים'!$K$6,3,IF(OR(N525='טבלת פרמטרים'!$K$4,N525='טבלת פרמטרים'!$K$5),2,IF(N525='טבלת פרמטרים'!$K$3,1,0))))</f>
        <v>5</v>
      </c>
      <c r="Q525" s="20" t="s">
        <v>123</v>
      </c>
      <c r="R525" s="19">
        <f t="shared" si="12"/>
        <v>5</v>
      </c>
      <c r="T525" s="19">
        <f>IF(EXACT(Q525,'טבלת פרמטרים'!$O$2),'טבלת פרמטרים'!$P$2,IF(EXACT(Q525,'טבלת פרמטרים'!$O$3),'טבלת פרמטרים'!$P$3,IF(EXACT(Q525,'טבלת פרמטרים'!$O$4),'טבלת פרמטרים'!$P$4,IF(EXACT(Q525,'טבלת פרמטרים'!$O$5),'טבלת פרמטרים'!$P$5,IF(EXACT(Q525,'טבלת פרמטרים'!$O$6),'טבלת פרמטרים'!$P$6,IF(EXACT(Q525,'טבלת פרמטרים'!$O$7),'טבלת פרמטרים'!$P$7,""))))))</f>
        <v>0</v>
      </c>
    </row>
    <row r="526" spans="1:20" x14ac:dyDescent="0.2">
      <c r="A526" s="18">
        <v>526</v>
      </c>
      <c r="B526" s="30">
        <v>45032</v>
      </c>
      <c r="C526" s="30">
        <v>45032</v>
      </c>
      <c r="D526" s="21" t="s">
        <v>16</v>
      </c>
      <c r="E526" s="21" t="s">
        <v>111</v>
      </c>
      <c r="F526" s="21" t="s">
        <v>23</v>
      </c>
      <c r="G526" s="21" t="s">
        <v>26</v>
      </c>
      <c r="H526" s="21" t="s">
        <v>30</v>
      </c>
      <c r="I526" s="21" t="s">
        <v>126</v>
      </c>
      <c r="J526" s="21" t="s">
        <v>34</v>
      </c>
      <c r="K526" s="21" t="s">
        <v>149</v>
      </c>
      <c r="L526" s="21" t="s">
        <v>50</v>
      </c>
      <c r="M526" s="21" t="s">
        <v>54</v>
      </c>
      <c r="N526" s="21" t="s">
        <v>58</v>
      </c>
      <c r="O526" s="19">
        <f>IF(ISBLANK(D526),"",IF(D526='טבלת פרמטרים'!$A$9,1,0)+IF(E526='טבלת פרמטרים'!$B$5,2,1)+IF(F526='טבלת פרמטרים'!$C$5,3,IF(F526='טבלת פרמטרים'!$C$4,1,0))+IF(G526='טבלת פרמטרים'!$D$3,2,0)+IF(M526='טבלת פרמטרים'!$J$4,2,IF(M526='טבלת פרמטרים'!$J$3,1,0))+IF(N526='טבלת פרמטרים'!$K$6,3,IF(OR(N526='טבלת פרמטרים'!$K$4,N526='טבלת פרמטרים'!$K$5),2,IF(N526='טבלת פרמטרים'!$K$3,1,0))))</f>
        <v>3</v>
      </c>
      <c r="Q526" s="20" t="s">
        <v>123</v>
      </c>
      <c r="R526" s="19">
        <f t="shared" si="12"/>
        <v>3</v>
      </c>
      <c r="T526" s="19">
        <f>IF(EXACT(Q526,'טבלת פרמטרים'!$O$2),'טבלת פרמטרים'!$P$2,IF(EXACT(Q526,'טבלת פרמטרים'!$O$3),'טבלת פרמטרים'!$P$3,IF(EXACT(Q526,'טבלת פרמטרים'!$O$4),'טבלת פרמטרים'!$P$4,IF(EXACT(Q526,'טבלת פרמטרים'!$O$5),'טבלת פרמטרים'!$P$5,IF(EXACT(Q526,'טבלת פרמטרים'!$O$6),'טבלת פרמטרים'!$P$6,IF(EXACT(Q526,'טבלת פרמטרים'!$O$7),'טבלת פרמטרים'!$P$7,""))))))</f>
        <v>0</v>
      </c>
    </row>
    <row r="527" spans="1:20" x14ac:dyDescent="0.2">
      <c r="A527" s="18">
        <v>527</v>
      </c>
      <c r="B527" s="30">
        <v>45039</v>
      </c>
      <c r="C527" s="30">
        <v>45039</v>
      </c>
      <c r="D527" s="21" t="s">
        <v>10</v>
      </c>
      <c r="E527" s="21" t="s">
        <v>20</v>
      </c>
      <c r="F527" s="21" t="s">
        <v>23</v>
      </c>
      <c r="G527" s="21" t="s">
        <v>26</v>
      </c>
      <c r="H527" s="21" t="s">
        <v>29</v>
      </c>
      <c r="J527" s="21" t="s">
        <v>42</v>
      </c>
      <c r="K527" s="21" t="s">
        <v>43</v>
      </c>
      <c r="L527" s="21" t="s">
        <v>51</v>
      </c>
      <c r="M527" s="21" t="s">
        <v>54</v>
      </c>
      <c r="N527" s="21" t="s">
        <v>58</v>
      </c>
      <c r="O527" s="19">
        <f>IF(ISBLANK(D527),"",IF(D527='טבלת פרמטרים'!$A$9,1,0)+IF(E527='טבלת פרמטרים'!$B$5,2,1)+IF(F527='טבלת פרמטרים'!$C$5,3,IF(F527='טבלת פרמטרים'!$C$4,1,0))+IF(G527='טבלת פרמטרים'!$D$3,2,0)+IF(M527='טבלת פרמטרים'!$J$4,2,IF(M527='טבלת פרמטרים'!$J$3,1,0))+IF(N527='טבלת פרמטרים'!$K$6,3,IF(OR(N527='טבלת פרמטרים'!$K$4,N527='טבלת פרמטרים'!$K$5),2,IF(N527='טבלת פרמטרים'!$K$3,1,0))))</f>
        <v>3</v>
      </c>
      <c r="Q527" s="20" t="s">
        <v>123</v>
      </c>
      <c r="R527" s="19">
        <f t="shared" si="12"/>
        <v>3</v>
      </c>
      <c r="T527" s="19">
        <f>IF(EXACT(Q527,'טבלת פרמטרים'!$O$2),'טבלת פרמטרים'!$P$2,IF(EXACT(Q527,'טבלת פרמטרים'!$O$3),'טבלת פרמטרים'!$P$3,IF(EXACT(Q527,'טבלת פרמטרים'!$O$4),'טבלת פרמטרים'!$P$4,IF(EXACT(Q527,'טבלת פרמטרים'!$O$5),'טבלת פרמטרים'!$P$5,IF(EXACT(Q527,'טבלת פרמטרים'!$O$6),'טבלת פרמטרים'!$P$6,IF(EXACT(Q527,'טבלת פרמטרים'!$O$7),'טבלת פרמטרים'!$P$7,""))))))</f>
        <v>0</v>
      </c>
    </row>
    <row r="528" spans="1:20" x14ac:dyDescent="0.2">
      <c r="A528" s="18">
        <v>528</v>
      </c>
      <c r="C528" s="30">
        <v>45046</v>
      </c>
      <c r="D528" s="21" t="s">
        <v>14</v>
      </c>
      <c r="E528" s="21" t="s">
        <v>20</v>
      </c>
      <c r="F528" s="21" t="s">
        <v>23</v>
      </c>
      <c r="G528" s="21" t="s">
        <v>26</v>
      </c>
      <c r="H528" s="21" t="s">
        <v>29</v>
      </c>
      <c r="I528" s="21" t="s">
        <v>126</v>
      </c>
      <c r="J528" s="21" t="s">
        <v>35</v>
      </c>
      <c r="K528" s="21" t="s">
        <v>45</v>
      </c>
      <c r="L528" s="21" t="s">
        <v>51</v>
      </c>
      <c r="M528" s="21" t="s">
        <v>54</v>
      </c>
      <c r="N528" s="21" t="s">
        <v>58</v>
      </c>
      <c r="O528" s="19">
        <f>IF(ISBLANK(D528),"",IF(D528='טבלת פרמטרים'!$A$9,1,0)+IF(E528='טבלת פרמטרים'!$B$5,2,1)+IF(F528='טבלת פרמטרים'!$C$5,3,IF(F528='טבלת פרמטרים'!$C$4,1,0))+IF(G528='טבלת פרמטרים'!$D$3,2,0)+IF(M528='טבלת פרמטרים'!$J$4,2,IF(M528='טבלת פרמטרים'!$J$3,1,0))+IF(N528='טבלת פרמטרים'!$K$6,3,IF(OR(N528='טבלת פרמטרים'!$K$4,N528='טבלת פרמטרים'!$K$5),2,IF(N528='טבלת פרמטרים'!$K$3,1,0))))</f>
        <v>3</v>
      </c>
      <c r="Q528" s="20" t="s">
        <v>123</v>
      </c>
      <c r="R528" s="19">
        <f t="shared" si="12"/>
        <v>3</v>
      </c>
      <c r="T528" s="19">
        <f>IF(EXACT(Q528,'טבלת פרמטרים'!$O$2),'טבלת פרמטרים'!$P$2,IF(EXACT(Q528,'טבלת פרמטרים'!$O$3),'טבלת פרמטרים'!$P$3,IF(EXACT(Q528,'טבלת פרמטרים'!$O$4),'טבלת פרמטרים'!$P$4,IF(EXACT(Q528,'טבלת פרמטרים'!$O$5),'טבלת פרמטרים'!$P$5,IF(EXACT(Q528,'טבלת פרמטרים'!$O$6),'טבלת פרמטרים'!$P$6,IF(EXACT(Q528,'טבלת פרמטרים'!$O$7),'טבלת פרמטרים'!$P$7,""))))))</f>
        <v>0</v>
      </c>
    </row>
    <row r="529" spans="1:20" x14ac:dyDescent="0.2">
      <c r="A529" s="18">
        <v>529</v>
      </c>
      <c r="C529" s="30">
        <v>45046</v>
      </c>
      <c r="D529" s="21" t="s">
        <v>14</v>
      </c>
      <c r="E529" s="21" t="s">
        <v>20</v>
      </c>
      <c r="F529" s="21" t="s">
        <v>23</v>
      </c>
      <c r="G529" s="21" t="s">
        <v>26</v>
      </c>
      <c r="H529" s="21" t="s">
        <v>29</v>
      </c>
      <c r="I529" s="21" t="s">
        <v>126</v>
      </c>
      <c r="J529" s="21" t="s">
        <v>35</v>
      </c>
      <c r="K529" s="21" t="s">
        <v>44</v>
      </c>
      <c r="L529" s="21" t="s">
        <v>51</v>
      </c>
      <c r="M529" s="21" t="s">
        <v>54</v>
      </c>
      <c r="N529" s="21" t="s">
        <v>58</v>
      </c>
      <c r="O529" s="19">
        <f>IF(ISBLANK(D529),"",IF(D529='טבלת פרמטרים'!$A$9,1,0)+IF(E529='טבלת פרמטרים'!$B$5,2,1)+IF(F529='טבלת פרמטרים'!$C$5,3,IF(F529='טבלת פרמטרים'!$C$4,1,0))+IF(G529='טבלת פרמטרים'!$D$3,2,0)+IF(M529='טבלת פרמטרים'!$J$4,2,IF(M529='טבלת פרמטרים'!$J$3,1,0))+IF(N529='טבלת פרמטרים'!$K$6,3,IF(OR(N529='טבלת פרמטרים'!$K$4,N529='טבלת פרמטרים'!$K$5),2,IF(N529='טבלת פרמטרים'!$K$3,1,0))))</f>
        <v>3</v>
      </c>
      <c r="Q529" s="20" t="s">
        <v>123</v>
      </c>
      <c r="R529" s="19">
        <f t="shared" si="12"/>
        <v>3</v>
      </c>
      <c r="T529" s="19">
        <f>IF(EXACT(Q529,'טבלת פרמטרים'!$O$2),'טבלת פרמטרים'!$P$2,IF(EXACT(Q529,'טבלת פרמטרים'!$O$3),'טבלת פרמטרים'!$P$3,IF(EXACT(Q529,'טבלת פרמטרים'!$O$4),'טבלת פרמטרים'!$P$4,IF(EXACT(Q529,'טבלת פרמטרים'!$O$5),'טבלת פרמטרים'!$P$5,IF(EXACT(Q529,'טבלת פרמטרים'!$O$6),'טבלת פרמטרים'!$P$6,IF(EXACT(Q529,'טבלת פרמטרים'!$O$7),'טבלת פרמטרים'!$P$7,""))))))</f>
        <v>0</v>
      </c>
    </row>
    <row r="530" spans="1:20" x14ac:dyDescent="0.2">
      <c r="A530" s="18">
        <v>530</v>
      </c>
      <c r="B530" s="30">
        <v>45067</v>
      </c>
      <c r="C530" s="30">
        <v>45068</v>
      </c>
      <c r="D530" s="21" t="s">
        <v>17</v>
      </c>
      <c r="E530" s="21" t="s">
        <v>21</v>
      </c>
      <c r="F530" s="21" t="s">
        <v>23</v>
      </c>
      <c r="G530" s="21" t="s">
        <v>26</v>
      </c>
      <c r="H530" s="21" t="s">
        <v>32</v>
      </c>
      <c r="I530" s="21" t="s">
        <v>126</v>
      </c>
      <c r="J530" s="21" t="s">
        <v>35</v>
      </c>
      <c r="K530" s="21" t="s">
        <v>48</v>
      </c>
      <c r="L530" s="21" t="s">
        <v>49</v>
      </c>
      <c r="M530" s="21" t="s">
        <v>55</v>
      </c>
      <c r="N530" s="21" t="s">
        <v>59</v>
      </c>
      <c r="O530" s="19">
        <f>IF(ISBLANK(D530),"",IF(D530='טבלת פרמטרים'!$A$9,1,0)+IF(E530='טבלת פרמטרים'!$B$5,2,1)+IF(F530='טבלת פרמטרים'!$C$5,3,IF(F530='טבלת פרמטרים'!$C$4,1,0))+IF(G530='טבלת פרמטרים'!$D$3,2,0)+IF(M530='טבלת פרמטרים'!$J$4,2,IF(M530='טבלת פרמטרים'!$J$3,1,0))+IF(N530='טבלת פרמטרים'!$K$6,3,IF(OR(N530='טבלת פרמטרים'!$K$4,N530='טבלת פרמטרים'!$K$5),2,IF(N530='טבלת פרמטרים'!$K$3,1,0))))</f>
        <v>6</v>
      </c>
      <c r="Q530" s="20" t="s">
        <v>123</v>
      </c>
      <c r="R530" s="19">
        <f t="shared" si="12"/>
        <v>6</v>
      </c>
      <c r="T530" s="19">
        <f>IF(EXACT(Q530,'טבלת פרמטרים'!$O$2),'טבלת פרמטרים'!$P$2,IF(EXACT(Q530,'טבלת פרמטרים'!$O$3),'טבלת פרמטרים'!$P$3,IF(EXACT(Q530,'טבלת פרמטרים'!$O$4),'טבלת פרמטרים'!$P$4,IF(EXACT(Q530,'טבלת פרמטרים'!$O$5),'טבלת פרמטרים'!$P$5,IF(EXACT(Q530,'טבלת פרמטרים'!$O$6),'טבלת פרמטרים'!$P$6,IF(EXACT(Q530,'טבלת פרמטרים'!$O$7),'טבלת פרמטרים'!$P$7,""))))))</f>
        <v>0</v>
      </c>
    </row>
    <row r="531" spans="1:20" x14ac:dyDescent="0.2">
      <c r="A531" s="18">
        <v>531</v>
      </c>
      <c r="B531" s="30">
        <v>45070</v>
      </c>
      <c r="C531" s="30">
        <v>45071</v>
      </c>
      <c r="D531" s="21" t="s">
        <v>10</v>
      </c>
      <c r="E531" s="21" t="s">
        <v>21</v>
      </c>
      <c r="F531" s="21" t="s">
        <v>23</v>
      </c>
      <c r="G531" s="21" t="s">
        <v>26</v>
      </c>
      <c r="H531" s="21" t="s">
        <v>30</v>
      </c>
      <c r="J531" s="21" t="s">
        <v>11</v>
      </c>
      <c r="K531" s="21" t="s">
        <v>45</v>
      </c>
      <c r="L531" s="21" t="s">
        <v>51</v>
      </c>
      <c r="M531" s="21" t="s">
        <v>54</v>
      </c>
      <c r="N531" s="21" t="s">
        <v>58</v>
      </c>
      <c r="O531" s="19">
        <f>IF(ISBLANK(D531),"",IF(D531='טבלת פרמטרים'!$A$9,1,0)+IF(E531='טבלת פרמטרים'!$B$5,2,1)+IF(F531='טבלת פרמטרים'!$C$5,3,IF(F531='טבלת פרמטרים'!$C$4,1,0))+IF(G531='טבלת פרמטרים'!$D$3,2,0)+IF(M531='טבלת פרמטרים'!$J$4,2,IF(M531='טבלת פרמטרים'!$J$3,1,0))+IF(N531='טבלת פרמטרים'!$K$6,3,IF(OR(N531='טבלת פרמטרים'!$K$4,N531='טבלת פרמטרים'!$K$5),2,IF(N531='טבלת פרמטרים'!$K$3,1,0))))</f>
        <v>3</v>
      </c>
      <c r="Q531" s="20" t="s">
        <v>123</v>
      </c>
      <c r="R531" s="19">
        <f t="shared" si="12"/>
        <v>3</v>
      </c>
      <c r="T531" s="19">
        <f>IF(EXACT(Q531,'טבלת פרמטרים'!$O$2),'טבלת פרמטרים'!$P$2,IF(EXACT(Q531,'טבלת פרמטרים'!$O$3),'טבלת פרמטרים'!$P$3,IF(EXACT(Q531,'טבלת פרמטרים'!$O$4),'טבלת פרמטרים'!$P$4,IF(EXACT(Q531,'טבלת פרמטרים'!$O$5),'טבלת פרמטרים'!$P$5,IF(EXACT(Q531,'טבלת פרמטרים'!$O$6),'טבלת פרמטרים'!$P$6,IF(EXACT(Q531,'טבלת פרמטרים'!$O$7),'טבלת פרמטרים'!$P$7,""))))))</f>
        <v>0</v>
      </c>
    </row>
    <row r="532" spans="1:20" x14ac:dyDescent="0.2">
      <c r="A532" s="18">
        <v>532</v>
      </c>
      <c r="B532" s="30">
        <v>45070</v>
      </c>
      <c r="C532" s="30">
        <v>45074</v>
      </c>
      <c r="D532" s="21" t="s">
        <v>16</v>
      </c>
      <c r="E532" s="21" t="s">
        <v>22</v>
      </c>
      <c r="F532" s="21" t="s">
        <v>24</v>
      </c>
      <c r="G532" s="21" t="s">
        <v>26</v>
      </c>
      <c r="H532" s="21" t="s">
        <v>32</v>
      </c>
      <c r="I532" s="21" t="s">
        <v>127</v>
      </c>
      <c r="J532" s="21" t="s">
        <v>41</v>
      </c>
      <c r="K532" s="21" t="s">
        <v>46</v>
      </c>
      <c r="L532" s="21" t="s">
        <v>50</v>
      </c>
      <c r="M532" s="21" t="s">
        <v>54</v>
      </c>
      <c r="N532" s="21" t="s">
        <v>112</v>
      </c>
      <c r="O532" s="19">
        <f>IF(ISBLANK(D532),"",IF(D532='טבלת פרמטרים'!$A$9,1,0)+IF(E532='טבלת פרמטרים'!$B$5,2,1)+IF(F532='טבלת פרמטרים'!$C$5,3,IF(F532='טבלת פרמטרים'!$C$4,1,0))+IF(G532='טבלת פרמטרים'!$D$3,2,0)+IF(M532='טבלת פרמטרים'!$J$4,2,IF(M532='טבלת פרמטרים'!$J$3,1,0))+IF(N532='טבלת פרמטרים'!$K$6,3,IF(OR(N532='טבלת פרמטרים'!$K$4,N532='טבלת פרמטרים'!$K$5),2,IF(N532='טבלת פרמטרים'!$K$3,1,0))))</f>
        <v>6</v>
      </c>
      <c r="Q532" s="20" t="s">
        <v>123</v>
      </c>
      <c r="R532" s="19">
        <f t="shared" si="12"/>
        <v>6</v>
      </c>
      <c r="T532" s="19">
        <f>IF(EXACT(Q532,'טבלת פרמטרים'!$O$2),'טבלת פרמטרים'!$P$2,IF(EXACT(Q532,'טבלת פרמטרים'!$O$3),'טבלת פרמטרים'!$P$3,IF(EXACT(Q532,'טבלת פרמטרים'!$O$4),'טבלת פרמטרים'!$P$4,IF(EXACT(Q532,'טבלת פרמטרים'!$O$5),'טבלת פרמטרים'!$P$5,IF(EXACT(Q532,'טבלת פרמטרים'!$O$6),'טבלת פרמטרים'!$P$6,IF(EXACT(Q532,'טבלת פרמטרים'!$O$7),'טבלת פרמטרים'!$P$7,""))))))</f>
        <v>0</v>
      </c>
    </row>
    <row r="533" spans="1:20" x14ac:dyDescent="0.2">
      <c r="A533" s="18">
        <v>533</v>
      </c>
      <c r="B533" s="30">
        <v>45074</v>
      </c>
      <c r="C533" s="30">
        <v>45075</v>
      </c>
      <c r="D533" s="21" t="s">
        <v>11</v>
      </c>
      <c r="E533" s="21" t="s">
        <v>21</v>
      </c>
      <c r="F533" s="21" t="s">
        <v>23</v>
      </c>
      <c r="G533" s="21" t="s">
        <v>26</v>
      </c>
      <c r="H533" s="21" t="s">
        <v>31</v>
      </c>
      <c r="I533" s="21" t="s">
        <v>127</v>
      </c>
      <c r="J533" s="21" t="s">
        <v>11</v>
      </c>
      <c r="K533" s="21" t="s">
        <v>44</v>
      </c>
      <c r="L533" s="21" t="s">
        <v>51</v>
      </c>
      <c r="M533" s="21" t="s">
        <v>55</v>
      </c>
      <c r="N533" s="21" t="s">
        <v>59</v>
      </c>
      <c r="O533" s="19">
        <f>IF(ISBLANK(D533),"",IF(D533='טבלת פרמטרים'!$A$9,1,0)+IF(E533='טבלת פרמטרים'!$B$5,2,1)+IF(F533='טבלת פרמטרים'!$C$5,3,IF(F533='טבלת פרמטרים'!$C$4,1,0))+IF(G533='טבלת פרמטרים'!$D$3,2,0)+IF(M533='טבלת פרמטרים'!$J$4,2,IF(M533='טבלת פרמטרים'!$J$3,1,0))+IF(N533='טבלת פרמטרים'!$K$6,3,IF(OR(N533='טבלת פרמטרים'!$K$4,N533='טבלת פרמטרים'!$K$5),2,IF(N533='טבלת פרמטרים'!$K$3,1,0))))</f>
        <v>5</v>
      </c>
      <c r="Q533" s="20" t="s">
        <v>123</v>
      </c>
      <c r="R533" s="19">
        <f t="shared" si="12"/>
        <v>5</v>
      </c>
      <c r="T533" s="19">
        <f>IF(EXACT(Q533,'טבלת פרמטרים'!$O$2),'טבלת פרמטרים'!$P$2,IF(EXACT(Q533,'טבלת פרמטרים'!$O$3),'טבלת פרמטרים'!$P$3,IF(EXACT(Q533,'טבלת פרמטרים'!$O$4),'טבלת פרמטרים'!$P$4,IF(EXACT(Q533,'טבלת פרמטרים'!$O$5),'טבלת פרמטרים'!$P$5,IF(EXACT(Q533,'טבלת פרמטרים'!$O$6),'טבלת פרמטרים'!$P$6,IF(EXACT(Q533,'טבלת פרמטרים'!$O$7),'טבלת פרמטרים'!$P$7,""))))))</f>
        <v>0</v>
      </c>
    </row>
    <row r="534" spans="1:20" ht="28.5" x14ac:dyDescent="0.2">
      <c r="A534" s="18">
        <v>534</v>
      </c>
      <c r="B534" s="30">
        <v>45033</v>
      </c>
      <c r="C534" s="30">
        <v>45078</v>
      </c>
      <c r="D534" s="21" t="s">
        <v>17</v>
      </c>
      <c r="E534" s="21" t="s">
        <v>22</v>
      </c>
      <c r="F534" s="21" t="s">
        <v>24</v>
      </c>
      <c r="G534" s="21" t="s">
        <v>27</v>
      </c>
      <c r="H534" s="21" t="s">
        <v>29</v>
      </c>
      <c r="J534" s="21" t="s">
        <v>35</v>
      </c>
      <c r="K534" s="21" t="s">
        <v>44</v>
      </c>
      <c r="L534" s="21" t="s">
        <v>51</v>
      </c>
      <c r="M534" s="21" t="s">
        <v>54</v>
      </c>
      <c r="N534" s="21" t="s">
        <v>59</v>
      </c>
      <c r="O534" s="19">
        <f>IF(ISBLANK(D534),"",IF(D534='טבלת פרמטרים'!$A$9,1,0)+IF(E534='טבלת פרמטרים'!$B$5,2,1)+IF(F534='טבלת פרמטרים'!$C$5,3,IF(F534='טבלת פרמטרים'!$C$4,1,0))+IF(G534='טבלת פרמטרים'!$D$3,2,0)+IF(M534='טבלת פרמטרים'!$J$4,2,IF(M534='טבלת פרמטרים'!$J$3,1,0))+IF(N534='טבלת פרמטרים'!$K$6,3,IF(OR(N534='טבלת פרמטרים'!$K$4,N534='טבלת פרמטרים'!$K$5),2,IF(N534='טבלת פרמטרים'!$K$3,1,0))))</f>
        <v>9</v>
      </c>
      <c r="Q534" s="20" t="s">
        <v>370</v>
      </c>
      <c r="R534" s="19">
        <f t="shared" si="12"/>
        <v>19</v>
      </c>
      <c r="T534" s="19">
        <f>IF(EXACT(Q534,'טבלת פרמטרים'!$O$2),'טבלת פרמטרים'!$P$2,IF(EXACT(Q534,'טבלת פרמטרים'!$O$3),'טבלת פרמטרים'!$P$3,IF(EXACT(Q534,'טבלת פרמטרים'!$O$4),'טבלת פרמטרים'!$P$4,IF(EXACT(Q534,'טבלת פרמטרים'!$O$5),'טבלת פרמטרים'!$P$5,IF(EXACT(Q534,'טבלת פרמטרים'!$O$6),'טבלת פרמטרים'!$P$6,IF(EXACT(Q534,'טבלת פרמטרים'!$O$7),'טבלת פרמטרים'!$P$7,""))))))</f>
        <v>10</v>
      </c>
    </row>
    <row r="535" spans="1:20" x14ac:dyDescent="0.2">
      <c r="A535" s="18">
        <v>535</v>
      </c>
      <c r="B535" s="30">
        <v>45085</v>
      </c>
      <c r="C535" s="30">
        <v>45085</v>
      </c>
      <c r="D535" s="21" t="s">
        <v>17</v>
      </c>
      <c r="E535" s="21" t="s">
        <v>21</v>
      </c>
      <c r="F535" s="21" t="s">
        <v>23</v>
      </c>
      <c r="G535" s="21" t="s">
        <v>26</v>
      </c>
      <c r="H535" s="21" t="s">
        <v>29</v>
      </c>
      <c r="I535" s="21" t="s">
        <v>126</v>
      </c>
      <c r="J535" s="21" t="s">
        <v>33</v>
      </c>
      <c r="K535" s="21" t="s">
        <v>906</v>
      </c>
      <c r="L535" s="21" t="s">
        <v>50</v>
      </c>
      <c r="M535" s="21" t="s">
        <v>55</v>
      </c>
      <c r="N535" s="21" t="s">
        <v>58</v>
      </c>
      <c r="O535" s="19">
        <f>IF(ISBLANK(D535),"",IF(D535='טבלת פרמטרים'!$A$9,1,0)+IF(E535='טבלת פרמטרים'!$B$5,2,1)+IF(F535='טבלת פרמטרים'!$C$5,3,IF(F535='טבלת פרמטרים'!$C$4,1,0))+IF(G535='טבלת פרמטרים'!$D$3,2,0)+IF(M535='טבלת פרמטרים'!$J$4,2,IF(M535='טבלת פרמטרים'!$J$3,1,0))+IF(N535='טבלת פרמטרים'!$K$6,3,IF(OR(N535='טבלת פרמטרים'!$K$4,N535='טבלת פרמטרים'!$K$5),2,IF(N535='טבלת פרמטרים'!$K$3,1,0))))</f>
        <v>5</v>
      </c>
      <c r="Q535" s="20" t="s">
        <v>123</v>
      </c>
      <c r="R535" s="19">
        <f t="shared" si="12"/>
        <v>5</v>
      </c>
      <c r="T535" s="19">
        <f>IF(EXACT(Q535,'טבלת פרמטרים'!$O$2),'טבלת פרמטרים'!$P$2,IF(EXACT(Q535,'טבלת פרמטרים'!$O$3),'טבלת פרמטרים'!$P$3,IF(EXACT(Q535,'טבלת פרמטרים'!$O$4),'טבלת פרמטרים'!$P$4,IF(EXACT(Q535,'טבלת פרמטרים'!$O$5),'טבלת פרמטרים'!$P$5,IF(EXACT(Q535,'טבלת פרמטרים'!$O$6),'טבלת פרמטרים'!$P$6,IF(EXACT(Q535,'טבלת פרמטרים'!$O$7),'טבלת פרמטרים'!$P$7,""))))))</f>
        <v>0</v>
      </c>
    </row>
    <row r="536" spans="1:20" x14ac:dyDescent="0.2">
      <c r="A536" s="18">
        <v>536</v>
      </c>
      <c r="B536" s="30">
        <v>45082</v>
      </c>
      <c r="C536" s="30">
        <v>45085</v>
      </c>
      <c r="D536" s="21" t="s">
        <v>19</v>
      </c>
      <c r="E536" s="21" t="s">
        <v>111</v>
      </c>
      <c r="F536" s="21" t="s">
        <v>23</v>
      </c>
      <c r="G536" s="21" t="s">
        <v>26</v>
      </c>
      <c r="H536" s="21" t="s">
        <v>31</v>
      </c>
      <c r="I536" s="21" t="s">
        <v>126</v>
      </c>
      <c r="J536" s="21" t="s">
        <v>39</v>
      </c>
      <c r="K536" s="21" t="s">
        <v>39</v>
      </c>
      <c r="L536" s="21" t="s">
        <v>63</v>
      </c>
      <c r="M536" s="21" t="s">
        <v>55</v>
      </c>
      <c r="N536" s="21" t="s">
        <v>59</v>
      </c>
      <c r="O536" s="19">
        <f>IF(ISBLANK(D536),"",IF(D536='טבלת פרמטרים'!$A$9,1,0)+IF(E536='טבלת פרמטרים'!$B$5,2,1)+IF(F536='טבלת פרמטרים'!$C$5,3,IF(F536='טבלת פרמטרים'!$C$4,1,0))+IF(G536='טבלת פרמטרים'!$D$3,2,0)+IF(M536='טבלת פרמטרים'!$J$4,2,IF(M536='טבלת פרמטרים'!$J$3,1,0))+IF(N536='טבלת פרמטרים'!$K$6,3,IF(OR(N536='טבלת פרמטרים'!$K$4,N536='טבלת פרמטרים'!$K$5),2,IF(N536='טבלת פרמטרים'!$K$3,1,0))))</f>
        <v>5</v>
      </c>
      <c r="Q536" s="20" t="s">
        <v>123</v>
      </c>
      <c r="R536" s="19">
        <f t="shared" si="12"/>
        <v>5</v>
      </c>
      <c r="T536" s="19">
        <f>IF(EXACT(Q536,'טבלת פרמטרים'!$O$2),'טבלת פרמטרים'!$P$2,IF(EXACT(Q536,'טבלת פרמטרים'!$O$3),'טבלת פרמטרים'!$P$3,IF(EXACT(Q536,'טבלת פרמטרים'!$O$4),'טבלת פרמטרים'!$P$4,IF(EXACT(Q536,'טבלת פרמטרים'!$O$5),'טבלת פרמטרים'!$P$5,IF(EXACT(Q536,'טבלת פרמטרים'!$O$6),'טבלת פרמטרים'!$P$6,IF(EXACT(Q536,'טבלת פרמטרים'!$O$7),'טבלת פרמטרים'!$P$7,""))))))</f>
        <v>0</v>
      </c>
    </row>
    <row r="537" spans="1:20" x14ac:dyDescent="0.2">
      <c r="A537" s="18">
        <v>537</v>
      </c>
      <c r="B537" s="30">
        <v>45063</v>
      </c>
      <c r="C537" s="30">
        <v>45088</v>
      </c>
      <c r="D537" s="21" t="s">
        <v>10</v>
      </c>
      <c r="E537" s="21" t="s">
        <v>20</v>
      </c>
      <c r="F537" s="21" t="s">
        <v>23</v>
      </c>
      <c r="G537" s="21" t="s">
        <v>26</v>
      </c>
      <c r="H537" s="21" t="s">
        <v>29</v>
      </c>
      <c r="I537" s="21" t="s">
        <v>126</v>
      </c>
      <c r="J537" s="21" t="s">
        <v>42</v>
      </c>
      <c r="K537" s="21" t="s">
        <v>43</v>
      </c>
      <c r="L537" s="21" t="s">
        <v>51</v>
      </c>
      <c r="M537" s="21" t="s">
        <v>55</v>
      </c>
      <c r="N537" s="21" t="s">
        <v>57</v>
      </c>
      <c r="O537" s="19">
        <f>IF(ISBLANK(D537),"",IF(D537='טבלת פרמטרים'!$A$9,1,0)+IF(E537='טבלת פרמטרים'!$B$5,2,1)+IF(F537='טבלת פרמטרים'!$C$5,3,IF(F537='טבלת פרמטרים'!$C$4,1,0))+IF(G537='טבלת פרמטרים'!$D$3,2,0)+IF(M537='טבלת פרמטרים'!$J$4,2,IF(M537='טבלת פרמטרים'!$J$3,1,0))+IF(N537='טבלת פרמטרים'!$K$6,3,IF(OR(N537='טבלת פרמטרים'!$K$4,N537='טבלת פרמטרים'!$K$5),2,IF(N537='טבלת פרמטרים'!$K$3,1,0))))</f>
        <v>3</v>
      </c>
      <c r="Q537" s="20" t="s">
        <v>123</v>
      </c>
      <c r="R537" s="19">
        <f t="shared" si="12"/>
        <v>3</v>
      </c>
      <c r="T537" s="19">
        <f>IF(EXACT(Q537,'טבלת פרמטרים'!$O$2),'טבלת פרמטרים'!$P$2,IF(EXACT(Q537,'טבלת פרמטרים'!$O$3),'טבלת פרמטרים'!$P$3,IF(EXACT(Q537,'טבלת פרמטרים'!$O$4),'טבלת פרמטרים'!$P$4,IF(EXACT(Q537,'טבלת פרמטרים'!$O$5),'טבלת פרמטרים'!$P$5,IF(EXACT(Q537,'טבלת פרמטרים'!$O$6),'טבלת פרמטרים'!$P$6,IF(EXACT(Q537,'טבלת פרמטרים'!$O$7),'טבלת פרמטרים'!$P$7,""))))))</f>
        <v>0</v>
      </c>
    </row>
    <row r="538" spans="1:20" x14ac:dyDescent="0.2">
      <c r="A538" s="18">
        <v>538</v>
      </c>
      <c r="B538" s="30">
        <v>45092</v>
      </c>
      <c r="C538" s="30">
        <v>45092</v>
      </c>
      <c r="D538" s="21" t="s">
        <v>11</v>
      </c>
      <c r="E538" s="21" t="s">
        <v>111</v>
      </c>
      <c r="F538" s="21" t="s">
        <v>23</v>
      </c>
      <c r="G538" s="21" t="s">
        <v>26</v>
      </c>
      <c r="H538" s="21" t="s">
        <v>31</v>
      </c>
      <c r="I538" s="21" t="s">
        <v>126</v>
      </c>
      <c r="J538" s="21" t="s">
        <v>11</v>
      </c>
      <c r="L538" s="21" t="s">
        <v>51</v>
      </c>
      <c r="M538" s="21" t="s">
        <v>55</v>
      </c>
      <c r="N538" s="21" t="s">
        <v>112</v>
      </c>
      <c r="O538" s="19">
        <f>IF(ISBLANK(D538),"",IF(D538='טבלת פרמטרים'!$A$9,1,0)+IF(E538='טבלת פרמטרים'!$B$5,2,1)+IF(F538='טבלת פרמטרים'!$C$5,3,IF(F538='טבלת פרמטרים'!$C$4,1,0))+IF(G538='טבלת פרמטרים'!$D$3,2,0)+IF(M538='טבלת פרמטרים'!$J$4,2,IF(M538='טבלת פרמטרים'!$J$3,1,0))+IF(N538='טבלת פרמטרים'!$K$6,3,IF(OR(N538='טבלת פרמטרים'!$K$4,N538='טבלת פרמטרים'!$K$5),2,IF(N538='טבלת פרמטרים'!$K$3,1,0))))</f>
        <v>5</v>
      </c>
      <c r="Q538" s="20" t="s">
        <v>123</v>
      </c>
      <c r="R538" s="19">
        <f t="shared" si="12"/>
        <v>5</v>
      </c>
      <c r="T538" s="19">
        <f>IF(EXACT(Q538,'טבלת פרמטרים'!$O$2),'טבלת פרמטרים'!$P$2,IF(EXACT(Q538,'טבלת פרמטרים'!$O$3),'טבלת פרמטרים'!$P$3,IF(EXACT(Q538,'טבלת פרמטרים'!$O$4),'טבלת פרמטרים'!$P$4,IF(EXACT(Q538,'טבלת פרמטרים'!$O$5),'טבלת פרמטרים'!$P$5,IF(EXACT(Q538,'טבלת פרמטרים'!$O$6),'טבלת פרמטרים'!$P$6,IF(EXACT(Q538,'טבלת פרמטרים'!$O$7),'טבלת פרמטרים'!$P$7,""))))))</f>
        <v>0</v>
      </c>
    </row>
    <row r="539" spans="1:20" x14ac:dyDescent="0.2">
      <c r="A539" s="18">
        <v>539</v>
      </c>
      <c r="B539" s="30">
        <v>45092</v>
      </c>
      <c r="C539" s="30">
        <v>45092</v>
      </c>
      <c r="D539" s="21" t="s">
        <v>14</v>
      </c>
      <c r="E539" s="21" t="s">
        <v>111</v>
      </c>
      <c r="F539" s="21" t="s">
        <v>23</v>
      </c>
      <c r="G539" s="21" t="s">
        <v>26</v>
      </c>
      <c r="H539" s="21" t="s">
        <v>31</v>
      </c>
      <c r="K539" s="21" t="s">
        <v>44</v>
      </c>
      <c r="L539" s="21" t="s">
        <v>50</v>
      </c>
      <c r="M539" s="21" t="s">
        <v>55</v>
      </c>
      <c r="N539" s="21" t="s">
        <v>59</v>
      </c>
      <c r="O539" s="19">
        <f>IF(ISBLANK(D539),"",IF(D539='טבלת פרמטרים'!$A$9,1,0)+IF(E539='טבלת פרמטרים'!$B$5,2,1)+IF(F539='טבלת פרמטרים'!$C$5,3,IF(F539='טבלת פרמטרים'!$C$4,1,0))+IF(G539='טבלת פרמטרים'!$D$3,2,0)+IF(M539='טבלת פרמטרים'!$J$4,2,IF(M539='טבלת פרמטרים'!$J$3,1,0))+IF(N539='טבלת פרמטרים'!$K$6,3,IF(OR(N539='טבלת פרמטרים'!$K$4,N539='טבלת פרמטרים'!$K$5),2,IF(N539='טבלת פרמטרים'!$K$3,1,0))))</f>
        <v>5</v>
      </c>
      <c r="Q539" s="20" t="s">
        <v>123</v>
      </c>
      <c r="R539" s="19">
        <f t="shared" si="12"/>
        <v>5</v>
      </c>
      <c r="T539" s="19">
        <f>IF(EXACT(Q539,'טבלת פרמטרים'!$O$2),'טבלת פרמטרים'!$P$2,IF(EXACT(Q539,'טבלת פרמטרים'!$O$3),'טבלת פרמטרים'!$P$3,IF(EXACT(Q539,'טבלת פרמטרים'!$O$4),'טבלת פרמטרים'!$P$4,IF(EXACT(Q539,'טבלת פרמטרים'!$O$5),'טבלת פרמטרים'!$P$5,IF(EXACT(Q539,'טבלת פרמטרים'!$O$6),'טבלת פרמטרים'!$P$6,IF(EXACT(Q539,'טבלת פרמטרים'!$O$7),'טבלת פרמטרים'!$P$7,""))))))</f>
        <v>0</v>
      </c>
    </row>
    <row r="540" spans="1:20" x14ac:dyDescent="0.2">
      <c r="A540" s="18">
        <v>540</v>
      </c>
      <c r="B540" s="30">
        <v>45085</v>
      </c>
      <c r="C540" s="30">
        <v>45095</v>
      </c>
      <c r="D540" s="21" t="s">
        <v>16</v>
      </c>
      <c r="E540" s="21" t="s">
        <v>111</v>
      </c>
      <c r="F540" s="21" t="s">
        <v>23</v>
      </c>
      <c r="G540" s="21" t="s">
        <v>26</v>
      </c>
      <c r="H540" s="21" t="s">
        <v>30</v>
      </c>
      <c r="I540" s="21" t="s">
        <v>126</v>
      </c>
      <c r="J540" s="21" t="s">
        <v>33</v>
      </c>
      <c r="K540" s="21" t="s">
        <v>45</v>
      </c>
      <c r="L540" s="21" t="s">
        <v>51</v>
      </c>
      <c r="M540" s="21" t="s">
        <v>53</v>
      </c>
      <c r="N540" s="21" t="s">
        <v>58</v>
      </c>
      <c r="O540" s="19">
        <f>IF(ISBLANK(D540),"",IF(D540='טבלת פרמטרים'!$A$9,1,0)+IF(E540='טבלת פרמטרים'!$B$5,2,1)+IF(F540='טבלת פרמטרים'!$C$5,3,IF(F540='טבלת פרמטרים'!$C$4,1,0))+IF(G540='טבלת פרמטרים'!$D$3,2,0)+IF(M540='טבלת פרמטרים'!$J$4,2,IF(M540='טבלת פרמטרים'!$J$3,1,0))+IF(N540='טבלת פרמטרים'!$K$6,3,IF(OR(N540='טבלת פרמטרים'!$K$4,N540='טבלת פרמטרים'!$K$5),2,IF(N540='טבלת פרמטרים'!$K$3,1,0))))</f>
        <v>2</v>
      </c>
      <c r="Q540" s="20" t="s">
        <v>123</v>
      </c>
      <c r="R540" s="19">
        <f t="shared" si="12"/>
        <v>2</v>
      </c>
      <c r="T540" s="19">
        <f>IF(EXACT(Q540,'טבלת פרמטרים'!$O$2),'טבלת פרמטרים'!$P$2,IF(EXACT(Q540,'טבלת פרמטרים'!$O$3),'טבלת פרמטרים'!$P$3,IF(EXACT(Q540,'טבלת פרמטרים'!$O$4),'טבלת פרמטרים'!$P$4,IF(EXACT(Q540,'טבלת פרמטרים'!$O$5),'טבלת פרמטרים'!$P$5,IF(EXACT(Q540,'טבלת פרמטרים'!$O$6),'טבלת פרמטרים'!$P$6,IF(EXACT(Q540,'טבלת פרמטרים'!$O$7),'טבלת פרמטרים'!$P$7,""))))))</f>
        <v>0</v>
      </c>
    </row>
    <row r="541" spans="1:20" x14ac:dyDescent="0.2">
      <c r="A541" s="18">
        <v>541</v>
      </c>
      <c r="B541" s="30">
        <v>45095</v>
      </c>
      <c r="C541" s="30">
        <v>45095</v>
      </c>
      <c r="D541" s="21" t="s">
        <v>16</v>
      </c>
      <c r="E541" s="21" t="s">
        <v>21</v>
      </c>
      <c r="F541" s="21" t="s">
        <v>23</v>
      </c>
      <c r="G541" s="21" t="s">
        <v>26</v>
      </c>
      <c r="H541" s="21" t="s">
        <v>31</v>
      </c>
      <c r="I541" s="21" t="s">
        <v>126</v>
      </c>
      <c r="J541" s="21" t="s">
        <v>33</v>
      </c>
      <c r="K541" s="21" t="s">
        <v>44</v>
      </c>
      <c r="L541" s="21" t="s">
        <v>51</v>
      </c>
      <c r="M541" s="21" t="s">
        <v>53</v>
      </c>
      <c r="N541" s="21" t="s">
        <v>58</v>
      </c>
      <c r="O541" s="19">
        <f>IF(ISBLANK(D541),"",IF(D541='טבלת פרמטרים'!$A$9,1,0)+IF(E541='טבלת פרמטרים'!$B$5,2,1)+IF(F541='טבלת פרמטרים'!$C$5,3,IF(F541='טבלת פרמטרים'!$C$4,1,0))+IF(G541='טבלת פרמטרים'!$D$3,2,0)+IF(M541='טבלת פרמטרים'!$J$4,2,IF(M541='טבלת פרמטרים'!$J$3,1,0))+IF(N541='טבלת פרמטרים'!$K$6,3,IF(OR(N541='טבלת פרמטרים'!$K$4,N541='טבלת פרמטרים'!$K$5),2,IF(N541='טבלת פרמטרים'!$K$3,1,0))))</f>
        <v>2</v>
      </c>
      <c r="Q541" s="20" t="s">
        <v>123</v>
      </c>
      <c r="R541" s="19">
        <f t="shared" si="12"/>
        <v>2</v>
      </c>
      <c r="T541" s="19">
        <f>IF(EXACT(Q541,'טבלת פרמטרים'!$O$2),'טבלת פרמטרים'!$P$2,IF(EXACT(Q541,'טבלת פרמטרים'!$O$3),'טבלת פרמטרים'!$P$3,IF(EXACT(Q541,'טבלת פרמטרים'!$O$4),'טבלת פרמטרים'!$P$4,IF(EXACT(Q541,'טבלת פרמטרים'!$O$5),'טבלת פרמטרים'!$P$5,IF(EXACT(Q541,'טבלת פרמטרים'!$O$6),'טבלת פרמטרים'!$P$6,IF(EXACT(Q541,'טבלת פרמטרים'!$O$7),'טבלת פרמטרים'!$P$7,""))))))</f>
        <v>0</v>
      </c>
    </row>
    <row r="542" spans="1:20" x14ac:dyDescent="0.2">
      <c r="A542" s="18">
        <v>542</v>
      </c>
      <c r="C542" s="30">
        <v>45097</v>
      </c>
      <c r="D542" s="21" t="s">
        <v>10</v>
      </c>
      <c r="E542" s="21" t="s">
        <v>20</v>
      </c>
      <c r="F542" s="21" t="s">
        <v>23</v>
      </c>
      <c r="G542" s="21" t="s">
        <v>26</v>
      </c>
      <c r="H542" s="21" t="s">
        <v>29</v>
      </c>
      <c r="J542" s="21" t="s">
        <v>42</v>
      </c>
      <c r="K542" s="21" t="s">
        <v>43</v>
      </c>
      <c r="L542" s="21" t="s">
        <v>49</v>
      </c>
      <c r="M542" s="21" t="s">
        <v>54</v>
      </c>
      <c r="N542" s="21" t="s">
        <v>61</v>
      </c>
      <c r="O542" s="19">
        <f>IF(ISBLANK(D542),"",IF(D542='טבלת פרמטרים'!$A$9,1,0)+IF(E542='טבלת פרמטרים'!$B$5,2,1)+IF(F542='טבלת פרמטרים'!$C$5,3,IF(F542='טבלת פרמטרים'!$C$4,1,0))+IF(G542='טבלת פרמטרים'!$D$3,2,0)+IF(M542='טבלת פרמטרים'!$J$4,2,IF(M542='טבלת פרמטרים'!$J$3,1,0))+IF(N542='טבלת פרמטרים'!$K$6,3,IF(OR(N542='טבלת פרמטרים'!$K$4,N542='טבלת פרמטרים'!$K$5),2,IF(N542='טבלת פרמטרים'!$K$3,1,0))))</f>
        <v>5</v>
      </c>
      <c r="Q542" s="20" t="s">
        <v>123</v>
      </c>
      <c r="R542" s="19">
        <f t="shared" si="12"/>
        <v>5</v>
      </c>
      <c r="T542" s="19">
        <f>IF(EXACT(Q542,'טבלת פרמטרים'!$O$2),'טבלת פרמטרים'!$P$2,IF(EXACT(Q542,'טבלת פרמטרים'!$O$3),'טבלת פרמטרים'!$P$3,IF(EXACT(Q542,'טבלת פרמטרים'!$O$4),'טבלת פרמטרים'!$P$4,IF(EXACT(Q542,'טבלת פרמטרים'!$O$5),'טבלת פרמטרים'!$P$5,IF(EXACT(Q542,'טבלת פרמטרים'!$O$6),'טבלת פרמטרים'!$P$6,IF(EXACT(Q542,'טבלת פרמטרים'!$O$7),'טבלת פרמטרים'!$P$7,""))))))</f>
        <v>0</v>
      </c>
    </row>
    <row r="543" spans="1:20" x14ac:dyDescent="0.2">
      <c r="A543" s="18">
        <v>543</v>
      </c>
      <c r="B543" s="30">
        <v>45099</v>
      </c>
      <c r="C543" s="30">
        <v>45099</v>
      </c>
      <c r="D543" s="21" t="s">
        <v>11</v>
      </c>
      <c r="E543" s="21" t="s">
        <v>20</v>
      </c>
      <c r="F543" s="21" t="s">
        <v>23</v>
      </c>
      <c r="G543" s="21" t="s">
        <v>26</v>
      </c>
      <c r="H543" s="21" t="s">
        <v>30</v>
      </c>
      <c r="I543" s="21" t="s">
        <v>126</v>
      </c>
      <c r="J543" s="21" t="s">
        <v>11</v>
      </c>
      <c r="K543" s="21" t="s">
        <v>45</v>
      </c>
      <c r="L543" s="21" t="s">
        <v>51</v>
      </c>
      <c r="M543" s="21" t="s">
        <v>53</v>
      </c>
      <c r="N543" s="21" t="s">
        <v>58</v>
      </c>
      <c r="O543" s="19">
        <f>IF(ISBLANK(D543),"",IF(D543='טבלת פרמטרים'!$A$9,1,0)+IF(E543='טבלת פרמטרים'!$B$5,2,1)+IF(F543='טבלת פרמטרים'!$C$5,3,IF(F543='טבלת פרמטרים'!$C$4,1,0))+IF(G543='טבלת פרמטרים'!$D$3,2,0)+IF(M543='טבלת פרמטרים'!$J$4,2,IF(M543='טבלת פרמטרים'!$J$3,1,0))+IF(N543='טבלת פרמטרים'!$K$6,3,IF(OR(N543='טבלת פרמטרים'!$K$4,N543='טבלת פרמטרים'!$K$5),2,IF(N543='טבלת פרמטרים'!$K$3,1,0))))</f>
        <v>2</v>
      </c>
      <c r="Q543" s="20" t="s">
        <v>123</v>
      </c>
      <c r="R543" s="19">
        <f t="shared" si="12"/>
        <v>2</v>
      </c>
      <c r="T543" s="19">
        <f>IF(EXACT(Q543,'טבלת פרמטרים'!$O$2),'טבלת פרמטרים'!$P$2,IF(EXACT(Q543,'טבלת פרמטרים'!$O$3),'טבלת פרמטרים'!$P$3,IF(EXACT(Q543,'טבלת פרמטרים'!$O$4),'טבלת פרמטרים'!$P$4,IF(EXACT(Q543,'טבלת פרמטרים'!$O$5),'טבלת פרמטרים'!$P$5,IF(EXACT(Q543,'טבלת פרמטרים'!$O$6),'טבלת פרמטרים'!$P$6,IF(EXACT(Q543,'טבלת פרמטרים'!$O$7),'טבלת פרמטרים'!$P$7,""))))))</f>
        <v>0</v>
      </c>
    </row>
    <row r="544" spans="1:20" x14ac:dyDescent="0.2">
      <c r="A544" s="18">
        <v>544</v>
      </c>
      <c r="C544" s="30">
        <v>45105</v>
      </c>
      <c r="D544" s="21" t="s">
        <v>17</v>
      </c>
      <c r="E544" s="21" t="s">
        <v>22</v>
      </c>
      <c r="F544" s="21" t="s">
        <v>24</v>
      </c>
      <c r="G544" s="21" t="s">
        <v>27</v>
      </c>
      <c r="H544" s="21" t="s">
        <v>30</v>
      </c>
      <c r="K544" s="21" t="s">
        <v>44</v>
      </c>
      <c r="L544" s="21" t="s">
        <v>51</v>
      </c>
      <c r="M544" s="21" t="s">
        <v>53</v>
      </c>
      <c r="N544" s="21" t="s">
        <v>61</v>
      </c>
      <c r="O544" s="19">
        <f>IF(ISBLANK(D544),"",IF(D544='טבלת פרמטרים'!$A$9,1,0)+IF(E544='טבלת פרמטרים'!$B$5,2,1)+IF(F544='טבלת פרמטרים'!$C$5,3,IF(F544='טבלת פרמטרים'!$C$4,1,0))+IF(G544='טבלת פרמטרים'!$D$3,2,0)+IF(M544='טבלת פרמטרים'!$J$4,2,IF(M544='טבלת פרמטרים'!$J$3,1,0))+IF(N544='טבלת פרמטרים'!$K$6,3,IF(OR(N544='טבלת פרמטרים'!$K$4,N544='טבלת פרמטרים'!$K$5),2,IF(N544='טבלת פרמטרים'!$K$3,1,0))))</f>
        <v>9</v>
      </c>
      <c r="R544" s="19">
        <f t="shared" si="12"/>
        <v>9</v>
      </c>
      <c r="T544" s="19" t="str">
        <f>IF(EXACT(Q544,'טבלת פרמטרים'!$O$2),'טבלת פרמטרים'!$P$2,IF(EXACT(Q544,'טבלת פרמטרים'!$O$3),'טבלת פרמטרים'!$P$3,IF(EXACT(Q544,'טבלת פרמטרים'!$O$4),'טבלת פרמטרים'!$P$4,IF(EXACT(Q544,'טבלת פרמטרים'!$O$5),'טבלת פרמטרים'!$P$5,IF(EXACT(Q544,'טבלת פרמטרים'!$O$6),'טבלת פרמטרים'!$P$6,IF(EXACT(Q544,'טבלת פרמטרים'!$O$7),'טבלת פרמטרים'!$P$7,""))))))</f>
        <v/>
      </c>
    </row>
    <row r="545" spans="1:20" x14ac:dyDescent="0.2">
      <c r="A545" s="18">
        <v>545</v>
      </c>
      <c r="C545" s="30">
        <v>45106</v>
      </c>
      <c r="D545" s="21" t="s">
        <v>16</v>
      </c>
      <c r="E545" s="21" t="s">
        <v>21</v>
      </c>
      <c r="F545" s="21" t="s">
        <v>23</v>
      </c>
      <c r="G545" s="21" t="s">
        <v>26</v>
      </c>
      <c r="H545" s="21" t="s">
        <v>29</v>
      </c>
      <c r="I545" s="21" t="s">
        <v>127</v>
      </c>
      <c r="J545" s="21" t="s">
        <v>35</v>
      </c>
      <c r="K545" s="21" t="s">
        <v>43</v>
      </c>
      <c r="L545" s="21" t="s">
        <v>51</v>
      </c>
      <c r="M545" s="21" t="s">
        <v>55</v>
      </c>
      <c r="N545" s="21" t="s">
        <v>112</v>
      </c>
      <c r="O545" s="19">
        <f>IF(ISBLANK(D545),"",IF(D545='טבלת פרמטרים'!$A$9,1,0)+IF(E545='טבלת פרמטרים'!$B$5,2,1)+IF(F545='טבלת פרמטרים'!$C$5,3,IF(F545='טבלת פרמטרים'!$C$4,1,0))+IF(G545='טבלת פרמטרים'!$D$3,2,0)+IF(M545='טבלת פרמטרים'!$J$4,2,IF(M545='טבלת פרמטרים'!$J$3,1,0))+IF(N545='טבלת פרמטרים'!$K$6,3,IF(OR(N545='טבלת פרמטרים'!$K$4,N545='טבלת פרמטרים'!$K$5),2,IF(N545='טבלת פרמטרים'!$K$3,1,0))))</f>
        <v>5</v>
      </c>
      <c r="Q545" s="20" t="s">
        <v>123</v>
      </c>
      <c r="R545" s="19">
        <f t="shared" si="12"/>
        <v>5</v>
      </c>
      <c r="T545" s="19">
        <f>IF(EXACT(Q545,'טבלת פרמטרים'!$O$2),'טבלת פרמטרים'!$P$2,IF(EXACT(Q545,'טבלת פרמטרים'!$O$3),'טבלת פרמטרים'!$P$3,IF(EXACT(Q545,'טבלת פרמטרים'!$O$4),'טבלת פרמטרים'!$P$4,IF(EXACT(Q545,'טבלת פרמטרים'!$O$5),'טבלת פרמטרים'!$P$5,IF(EXACT(Q545,'טבלת פרמטרים'!$O$6),'טבלת פרמטרים'!$P$6,IF(EXACT(Q545,'טבלת פרמטרים'!$O$7),'טבלת פרמטרים'!$P$7,""))))))</f>
        <v>0</v>
      </c>
    </row>
    <row r="546" spans="1:20" x14ac:dyDescent="0.2">
      <c r="A546" s="18">
        <v>546</v>
      </c>
      <c r="C546" s="30">
        <v>45106</v>
      </c>
      <c r="D546" s="21" t="s">
        <v>17</v>
      </c>
      <c r="E546" s="21" t="s">
        <v>21</v>
      </c>
      <c r="F546" s="21" t="s">
        <v>23</v>
      </c>
      <c r="G546" s="21" t="s">
        <v>27</v>
      </c>
      <c r="H546" s="21" t="s">
        <v>30</v>
      </c>
      <c r="I546" s="21" t="s">
        <v>127</v>
      </c>
      <c r="J546" s="21" t="s">
        <v>35</v>
      </c>
      <c r="K546" s="21" t="s">
        <v>43</v>
      </c>
      <c r="L546" s="21" t="s">
        <v>51</v>
      </c>
      <c r="M546" s="21" t="s">
        <v>54</v>
      </c>
      <c r="N546" s="21" t="s">
        <v>112</v>
      </c>
      <c r="O546" s="19">
        <f>IF(ISBLANK(D546),"",IF(D546='טבלת פרמטרים'!$A$9,1,0)+IF(E546='טבלת פרמטרים'!$B$5,2,1)+IF(F546='טבלת פרמטרים'!$C$5,3,IF(F546='טבלת פרמטרים'!$C$4,1,0))+IF(G546='טבלת פרמטרים'!$D$3,2,0)+IF(M546='טבלת פרמטרים'!$J$4,2,IF(M546='טבלת פרמטרים'!$J$3,1,0))+IF(N546='טבלת פרמטרים'!$K$6,3,IF(OR(N546='טבלת פרמטרים'!$K$4,N546='טבלת פרמטרים'!$K$5),2,IF(N546='טבלת פרמטרים'!$K$3,1,0))))</f>
        <v>7</v>
      </c>
      <c r="Q546" s="20" t="s">
        <v>123</v>
      </c>
      <c r="R546" s="19">
        <f t="shared" si="12"/>
        <v>7</v>
      </c>
      <c r="T546" s="19">
        <f>IF(EXACT(Q546,'טבלת פרמטרים'!$O$2),'טבלת פרמטרים'!$P$2,IF(EXACT(Q546,'טבלת פרמטרים'!$O$3),'טבלת פרמטרים'!$P$3,IF(EXACT(Q546,'טבלת פרמטרים'!$O$4),'טבלת פרמטרים'!$P$4,IF(EXACT(Q546,'טבלת פרמטרים'!$O$5),'טבלת פרמטרים'!$P$5,IF(EXACT(Q546,'טבלת פרמטרים'!$O$6),'טבלת פרמטרים'!$P$6,IF(EXACT(Q546,'טבלת פרמטרים'!$O$7),'טבלת פרמטרים'!$P$7,""))))))</f>
        <v>0</v>
      </c>
    </row>
    <row r="547" spans="1:20" x14ac:dyDescent="0.2">
      <c r="A547" s="18">
        <v>547</v>
      </c>
      <c r="C547" s="30">
        <v>45113</v>
      </c>
      <c r="D547" s="21" t="s">
        <v>10</v>
      </c>
      <c r="E547" s="21" t="s">
        <v>20</v>
      </c>
      <c r="F547" s="21" t="s">
        <v>23</v>
      </c>
      <c r="G547" s="21" t="s">
        <v>26</v>
      </c>
      <c r="H547" s="21" t="s">
        <v>29</v>
      </c>
      <c r="J547" s="21" t="s">
        <v>42</v>
      </c>
      <c r="M547" s="21" t="s">
        <v>54</v>
      </c>
      <c r="N547" s="21" t="s">
        <v>59</v>
      </c>
      <c r="O547" s="19">
        <f>IF(ISBLANK(D547),"",IF(D547='טבלת פרמטרים'!$A$9,1,0)+IF(E547='טבלת פרמטרים'!$B$5,2,1)+IF(F547='טבלת פרמטרים'!$C$5,3,IF(F547='טבלת פרמטרים'!$C$4,1,0))+IF(G547='טבלת פרמטרים'!$D$3,2,0)+IF(M547='טבלת פרמטרים'!$J$4,2,IF(M547='טבלת פרמטרים'!$J$3,1,0))+IF(N547='טבלת פרמטרים'!$K$6,3,IF(OR(N547='טבלת פרמטרים'!$K$4,N547='טבלת פרמטרים'!$K$5),2,IF(N547='טבלת פרמטרים'!$K$3,1,0))))</f>
        <v>4</v>
      </c>
      <c r="Q547" s="20" t="s">
        <v>123</v>
      </c>
      <c r="R547" s="19">
        <f t="shared" si="12"/>
        <v>4</v>
      </c>
      <c r="T547" s="19">
        <f>IF(EXACT(Q547,'טבלת פרמטרים'!$O$2),'טבלת פרמטרים'!$P$2,IF(EXACT(Q547,'טבלת פרמטרים'!$O$3),'טבלת פרמטרים'!$P$3,IF(EXACT(Q547,'טבלת פרמטרים'!$O$4),'טבלת פרמטרים'!$P$4,IF(EXACT(Q547,'טבלת פרמטרים'!$O$5),'טבלת פרמטרים'!$P$5,IF(EXACT(Q547,'טבלת פרמטרים'!$O$6),'טבלת פרמטרים'!$P$6,IF(EXACT(Q547,'טבלת פרמטרים'!$O$7),'טבלת פרמטרים'!$P$7,""))))))</f>
        <v>0</v>
      </c>
    </row>
    <row r="548" spans="1:20" x14ac:dyDescent="0.2">
      <c r="A548" s="18">
        <v>548</v>
      </c>
      <c r="C548" s="30">
        <v>45113</v>
      </c>
      <c r="D548" s="21" t="s">
        <v>10</v>
      </c>
      <c r="E548" s="21" t="s">
        <v>20</v>
      </c>
      <c r="F548" s="21" t="s">
        <v>23</v>
      </c>
      <c r="G548" s="21" t="s">
        <v>26</v>
      </c>
      <c r="H548" s="21" t="s">
        <v>29</v>
      </c>
      <c r="J548" s="21" t="s">
        <v>42</v>
      </c>
      <c r="M548" s="21" t="s">
        <v>54</v>
      </c>
      <c r="N548" s="21" t="s">
        <v>59</v>
      </c>
      <c r="O548" s="19">
        <f>IF(ISBLANK(D548),"",IF(D548='טבלת פרמטרים'!$A$9,1,0)+IF(E548='טבלת פרמטרים'!$B$5,2,1)+IF(F548='טבלת פרמטרים'!$C$5,3,IF(F548='טבלת פרמטרים'!$C$4,1,0))+IF(G548='טבלת פרמטרים'!$D$3,2,0)+IF(M548='טבלת פרמטרים'!$J$4,2,IF(M548='טבלת פרמטרים'!$J$3,1,0))+IF(N548='טבלת פרמטרים'!$K$6,3,IF(OR(N548='טבלת פרמטרים'!$K$4,N548='טבלת פרמטרים'!$K$5),2,IF(N548='טבלת פרמטרים'!$K$3,1,0))))</f>
        <v>4</v>
      </c>
      <c r="Q548" s="20" t="s">
        <v>123</v>
      </c>
      <c r="R548" s="19">
        <f t="shared" si="12"/>
        <v>4</v>
      </c>
      <c r="T548" s="19">
        <f>IF(EXACT(Q548,'טבלת פרמטרים'!$O$2),'טבלת פרמטרים'!$P$2,IF(EXACT(Q548,'טבלת פרמטרים'!$O$3),'טבלת פרמטרים'!$P$3,IF(EXACT(Q548,'טבלת פרמטרים'!$O$4),'טבלת פרמטרים'!$P$4,IF(EXACT(Q548,'טבלת פרמטרים'!$O$5),'טבלת פרמטרים'!$P$5,IF(EXACT(Q548,'טבלת פרמטרים'!$O$6),'טבלת פרמטרים'!$P$6,IF(EXACT(Q548,'טבלת פרמטרים'!$O$7),'טבלת פרמטרים'!$P$7,""))))))</f>
        <v>0</v>
      </c>
    </row>
    <row r="549" spans="1:20" x14ac:dyDescent="0.2">
      <c r="A549" s="18">
        <v>549</v>
      </c>
      <c r="C549" s="30">
        <v>45117</v>
      </c>
      <c r="D549" s="21" t="s">
        <v>10</v>
      </c>
      <c r="E549" s="21" t="s">
        <v>21</v>
      </c>
      <c r="F549" s="21" t="s">
        <v>23</v>
      </c>
      <c r="G549" s="21" t="s">
        <v>26</v>
      </c>
      <c r="H549" s="21" t="s">
        <v>28</v>
      </c>
      <c r="I549" s="21" t="s">
        <v>127</v>
      </c>
      <c r="J549" s="21" t="s">
        <v>63</v>
      </c>
      <c r="K549" s="21" t="s">
        <v>43</v>
      </c>
      <c r="L549" s="21" t="s">
        <v>49</v>
      </c>
      <c r="M549" s="21" t="s">
        <v>54</v>
      </c>
      <c r="N549" s="21" t="s">
        <v>58</v>
      </c>
      <c r="O549" s="19">
        <f>IF(ISBLANK(D549),"",IF(D549='טבלת פרמטרים'!$A$9,1,0)+IF(E549='טבלת פרמטרים'!$B$5,2,1)+IF(F549='טבלת פרמטרים'!$C$5,3,IF(F549='טבלת פרמטרים'!$C$4,1,0))+IF(G549='טבלת פרמטרים'!$D$3,2,0)+IF(M549='טבלת פרמטרים'!$J$4,2,IF(M549='טבלת פרמטרים'!$J$3,1,0))+IF(N549='טבלת פרמטרים'!$K$6,3,IF(OR(N549='טבלת פרמטרים'!$K$4,N549='טבלת פרמטרים'!$K$5),2,IF(N549='טבלת פרמטרים'!$K$3,1,0))))</f>
        <v>3</v>
      </c>
      <c r="Q549" s="20" t="s">
        <v>123</v>
      </c>
      <c r="R549" s="19">
        <f t="shared" si="12"/>
        <v>3</v>
      </c>
      <c r="T549" s="19">
        <f>IF(EXACT(Q549,'טבלת פרמטרים'!$O$2),'טבלת פרמטרים'!$P$2,IF(EXACT(Q549,'טבלת פרמטרים'!$O$3),'טבלת פרמטרים'!$P$3,IF(EXACT(Q549,'טבלת פרמטרים'!$O$4),'טבלת פרמטרים'!$P$4,IF(EXACT(Q549,'טבלת פרמטרים'!$O$5),'טבלת פרמטרים'!$P$5,IF(EXACT(Q549,'טבלת פרמטרים'!$O$6),'טבלת פרמטרים'!$P$6,IF(EXACT(Q549,'טבלת פרמטרים'!$O$7),'טבלת פרמטרים'!$P$7,""))))))</f>
        <v>0</v>
      </c>
    </row>
    <row r="550" spans="1:20" x14ac:dyDescent="0.2">
      <c r="A550" s="18">
        <v>550</v>
      </c>
      <c r="C550" s="30">
        <v>45117</v>
      </c>
      <c r="D550" s="21" t="s">
        <v>16</v>
      </c>
      <c r="E550" s="21" t="s">
        <v>20</v>
      </c>
      <c r="F550" s="21" t="s">
        <v>23</v>
      </c>
      <c r="G550" s="21" t="s">
        <v>26</v>
      </c>
      <c r="H550" s="21" t="s">
        <v>30</v>
      </c>
      <c r="I550" s="21" t="s">
        <v>127</v>
      </c>
      <c r="J550" s="21" t="s">
        <v>40</v>
      </c>
      <c r="K550" s="21" t="s">
        <v>44</v>
      </c>
      <c r="L550" s="21" t="s">
        <v>63</v>
      </c>
      <c r="M550" s="21" t="s">
        <v>54</v>
      </c>
      <c r="N550" s="21" t="s">
        <v>58</v>
      </c>
      <c r="O550" s="19">
        <f>IF(ISBLANK(D550),"",IF(D550='טבלת פרמטרים'!$A$9,1,0)+IF(E550='טבלת פרמטרים'!$B$5,2,1)+IF(F550='טבלת פרמטרים'!$C$5,3,IF(F550='טבלת פרמטרים'!$C$4,1,0))+IF(G550='טבלת פרמטרים'!$D$3,2,0)+IF(M550='טבלת פרמטרים'!$J$4,2,IF(M550='טבלת פרמטרים'!$J$3,1,0))+IF(N550='טבלת פרמטרים'!$K$6,3,IF(OR(N550='טבלת פרמטרים'!$K$4,N550='טבלת פרמטרים'!$K$5),2,IF(N550='טבלת פרמטרים'!$K$3,1,0))))</f>
        <v>3</v>
      </c>
      <c r="Q550" s="20" t="s">
        <v>123</v>
      </c>
      <c r="R550" s="19">
        <f t="shared" si="12"/>
        <v>3</v>
      </c>
      <c r="T550" s="19">
        <f>IF(EXACT(Q550,'טבלת פרמטרים'!$O$2),'טבלת פרמטרים'!$P$2,IF(EXACT(Q550,'טבלת פרמטרים'!$O$3),'טבלת פרמטרים'!$P$3,IF(EXACT(Q550,'טבלת פרמטרים'!$O$4),'טבלת פרמטרים'!$P$4,IF(EXACT(Q550,'טבלת פרמטרים'!$O$5),'טבלת פרמטרים'!$P$5,IF(EXACT(Q550,'טבלת פרמטרים'!$O$6),'טבלת פרמטרים'!$P$6,IF(EXACT(Q550,'טבלת פרמטרים'!$O$7),'טבלת פרמטרים'!$P$7,""))))))</f>
        <v>0</v>
      </c>
    </row>
    <row r="551" spans="1:20" x14ac:dyDescent="0.2">
      <c r="A551" s="18">
        <v>551</v>
      </c>
      <c r="C551" s="30">
        <v>45123</v>
      </c>
      <c r="D551" s="21" t="s">
        <v>14</v>
      </c>
      <c r="E551" s="21" t="s">
        <v>111</v>
      </c>
      <c r="F551" s="21" t="s">
        <v>23</v>
      </c>
      <c r="G551" s="21" t="s">
        <v>26</v>
      </c>
      <c r="H551" s="21" t="s">
        <v>29</v>
      </c>
      <c r="I551" s="21" t="s">
        <v>126</v>
      </c>
      <c r="J551" s="21" t="s">
        <v>35</v>
      </c>
      <c r="K551" s="21" t="s">
        <v>43</v>
      </c>
      <c r="L551" s="21" t="s">
        <v>51</v>
      </c>
      <c r="M551" s="21" t="s">
        <v>54</v>
      </c>
      <c r="N551" s="21" t="s">
        <v>58</v>
      </c>
      <c r="O551" s="19">
        <f>IF(ISBLANK(D551),"",IF(D551='טבלת פרמטרים'!$A$9,1,0)+IF(E551='טבלת פרמטרים'!$B$5,2,1)+IF(F551='טבלת פרמטרים'!$C$5,3,IF(F551='טבלת פרמטרים'!$C$4,1,0))+IF(G551='טבלת פרמטרים'!$D$3,2,0)+IF(M551='טבלת פרמטרים'!$J$4,2,IF(M551='טבלת פרמטרים'!$J$3,1,0))+IF(N551='טבלת פרמטרים'!$K$6,3,IF(OR(N551='טבלת פרמטרים'!$K$4,N551='טבלת פרמטרים'!$K$5),2,IF(N551='טבלת פרמטרים'!$K$3,1,0))))</f>
        <v>3</v>
      </c>
      <c r="Q551" s="20" t="s">
        <v>123</v>
      </c>
      <c r="R551" s="19">
        <f t="shared" si="12"/>
        <v>3</v>
      </c>
      <c r="T551" s="19">
        <f>IF(EXACT(Q551,'טבלת פרמטרים'!$O$2),'טבלת פרמטרים'!$P$2,IF(EXACT(Q551,'טבלת פרמטרים'!$O$3),'טבלת פרמטרים'!$P$3,IF(EXACT(Q551,'טבלת פרמטרים'!$O$4),'טבלת פרמטרים'!$P$4,IF(EXACT(Q551,'טבלת פרמטרים'!$O$5),'טבלת פרמטרים'!$P$5,IF(EXACT(Q551,'טבלת פרמטרים'!$O$6),'טבלת פרמטרים'!$P$6,IF(EXACT(Q551,'טבלת פרמטרים'!$O$7),'טבלת פרמטרים'!$P$7,""))))))</f>
        <v>0</v>
      </c>
    </row>
    <row r="552" spans="1:20" x14ac:dyDescent="0.2">
      <c r="A552" s="18">
        <v>552</v>
      </c>
      <c r="C552" s="30">
        <v>45124</v>
      </c>
      <c r="D552" s="21" t="s">
        <v>16</v>
      </c>
      <c r="E552" s="21" t="s">
        <v>20</v>
      </c>
      <c r="F552" s="21" t="s">
        <v>23</v>
      </c>
      <c r="G552" s="21" t="s">
        <v>26</v>
      </c>
      <c r="H552" s="21" t="s">
        <v>31</v>
      </c>
      <c r="I552" s="21" t="s">
        <v>126</v>
      </c>
      <c r="J552" s="21" t="s">
        <v>35</v>
      </c>
      <c r="K552" s="21" t="s">
        <v>43</v>
      </c>
      <c r="L552" s="21" t="s">
        <v>49</v>
      </c>
      <c r="M552" s="21" t="s">
        <v>55</v>
      </c>
      <c r="N552" s="21" t="s">
        <v>112</v>
      </c>
      <c r="O552" s="19">
        <f>IF(ISBLANK(D552),"",IF(D552='טבלת פרמטרים'!$A$9,1,0)+IF(E552='טבלת פרמטרים'!$B$5,2,1)+IF(F552='טבלת פרמטרים'!$C$5,3,IF(F552='טבלת פרמטרים'!$C$4,1,0))+IF(G552='טבלת פרמטרים'!$D$3,2,0)+IF(M552='טבלת פרמטרים'!$J$4,2,IF(M552='טבלת פרמטרים'!$J$3,1,0))+IF(N552='טבלת פרמטרים'!$K$6,3,IF(OR(N552='טבלת פרמטרים'!$K$4,N552='טבלת פרמטרים'!$K$5),2,IF(N552='טבלת פרמטרים'!$K$3,1,0))))</f>
        <v>5</v>
      </c>
      <c r="Q552" s="20" t="s">
        <v>123</v>
      </c>
      <c r="R552" s="19">
        <f t="shared" si="12"/>
        <v>5</v>
      </c>
      <c r="T552" s="19">
        <f>IF(EXACT(Q552,'טבלת פרמטרים'!$O$2),'טבלת פרמטרים'!$P$2,IF(EXACT(Q552,'טבלת פרמטרים'!$O$3),'טבלת פרמטרים'!$P$3,IF(EXACT(Q552,'טבלת פרמטרים'!$O$4),'טבלת פרמטרים'!$P$4,IF(EXACT(Q552,'טבלת פרמטרים'!$O$5),'טבלת פרמטרים'!$P$5,IF(EXACT(Q552,'טבלת פרמטרים'!$O$6),'טבלת פרמטרים'!$P$6,IF(EXACT(Q552,'טבלת פרמטרים'!$O$7),'טבלת פרמטרים'!$P$7,""))))))</f>
        <v>0</v>
      </c>
    </row>
    <row r="553" spans="1:20" x14ac:dyDescent="0.2">
      <c r="A553" s="18">
        <v>553</v>
      </c>
      <c r="C553" s="30">
        <v>45127</v>
      </c>
      <c r="D553" s="21" t="s">
        <v>10</v>
      </c>
      <c r="E553" s="21" t="s">
        <v>20</v>
      </c>
      <c r="F553" s="21" t="s">
        <v>23</v>
      </c>
      <c r="G553" s="21" t="s">
        <v>26</v>
      </c>
      <c r="H553" s="21" t="s">
        <v>29</v>
      </c>
      <c r="I553" s="21" t="s">
        <v>126</v>
      </c>
      <c r="J553" s="21" t="s">
        <v>42</v>
      </c>
      <c r="K553" s="21" t="s">
        <v>43</v>
      </c>
      <c r="L553" s="21" t="s">
        <v>49</v>
      </c>
      <c r="M553" s="21" t="s">
        <v>54</v>
      </c>
      <c r="N553" s="21" t="s">
        <v>59</v>
      </c>
      <c r="O553" s="19">
        <f>IF(ISBLANK(D553),"",IF(D553='טבלת פרמטרים'!$A$9,1,0)+IF(E553='טבלת פרמטרים'!$B$5,2,1)+IF(F553='טבלת פרמטרים'!$C$5,3,IF(F553='טבלת פרמטרים'!$C$4,1,0))+IF(G553='טבלת פרמטרים'!$D$3,2,0)+IF(M553='טבלת פרמטרים'!$J$4,2,IF(M553='טבלת פרמטרים'!$J$3,1,0))+IF(N553='טבלת פרמטרים'!$K$6,3,IF(OR(N553='טבלת פרמטרים'!$K$4,N553='טבלת פרמטרים'!$K$5),2,IF(N553='טבלת פרמטרים'!$K$3,1,0))))</f>
        <v>4</v>
      </c>
      <c r="Q553" s="20" t="s">
        <v>123</v>
      </c>
      <c r="R553" s="19">
        <f t="shared" si="12"/>
        <v>4</v>
      </c>
      <c r="T553" s="19">
        <f>IF(EXACT(Q553,'טבלת פרמטרים'!$O$2),'טבלת פרמטרים'!$P$2,IF(EXACT(Q553,'טבלת פרמטרים'!$O$3),'טבלת פרמטרים'!$P$3,IF(EXACT(Q553,'טבלת פרמטרים'!$O$4),'טבלת פרמטרים'!$P$4,IF(EXACT(Q553,'טבלת פרמטרים'!$O$5),'טבלת פרמטרים'!$P$5,IF(EXACT(Q553,'טבלת פרמטרים'!$O$6),'טבלת פרמטרים'!$P$6,IF(EXACT(Q553,'טבלת פרמטרים'!$O$7),'טבלת פרמטרים'!$P$7,""))))))</f>
        <v>0</v>
      </c>
    </row>
    <row r="554" spans="1:20" x14ac:dyDescent="0.2">
      <c r="A554" s="18">
        <v>554</v>
      </c>
      <c r="C554" s="30">
        <v>45125</v>
      </c>
      <c r="D554" s="21" t="s">
        <v>10</v>
      </c>
      <c r="E554" s="21" t="s">
        <v>20</v>
      </c>
      <c r="F554" s="21" t="s">
        <v>23</v>
      </c>
      <c r="G554" s="21" t="s">
        <v>26</v>
      </c>
      <c r="H554" s="21" t="s">
        <v>29</v>
      </c>
      <c r="J554" s="21" t="s">
        <v>42</v>
      </c>
      <c r="K554" s="21" t="s">
        <v>44</v>
      </c>
      <c r="L554" s="21" t="s">
        <v>51</v>
      </c>
      <c r="M554" s="21" t="s">
        <v>54</v>
      </c>
      <c r="N554" s="21" t="s">
        <v>59</v>
      </c>
      <c r="O554" s="19">
        <f>IF(ISBLANK(D554),"",IF(D554='טבלת פרמטרים'!$A$9,1,0)+IF(E554='טבלת פרמטרים'!$B$5,2,1)+IF(F554='טבלת פרמטרים'!$C$5,3,IF(F554='טבלת פרמטרים'!$C$4,1,0))+IF(G554='טבלת פרמטרים'!$D$3,2,0)+IF(M554='טבלת פרמטרים'!$J$4,2,IF(M554='טבלת פרמטרים'!$J$3,1,0))+IF(N554='טבלת פרמטרים'!$K$6,3,IF(OR(N554='טבלת פרמטרים'!$K$4,N554='טבלת פרמטרים'!$K$5),2,IF(N554='טבלת פרמטרים'!$K$3,1,0))))</f>
        <v>4</v>
      </c>
      <c r="Q554" s="20" t="s">
        <v>123</v>
      </c>
      <c r="R554" s="19">
        <f t="shared" si="12"/>
        <v>4</v>
      </c>
      <c r="T554" s="19">
        <f>IF(EXACT(Q554,'טבלת פרמטרים'!$O$2),'טבלת פרמטרים'!$P$2,IF(EXACT(Q554,'טבלת פרמטרים'!$O$3),'טבלת פרמטרים'!$P$3,IF(EXACT(Q554,'טבלת פרמטרים'!$O$4),'טבלת פרמטרים'!$P$4,IF(EXACT(Q554,'טבלת פרמטרים'!$O$5),'טבלת פרמטרים'!$P$5,IF(EXACT(Q554,'טבלת פרמטרים'!$O$6),'טבלת פרמטרים'!$P$6,IF(EXACT(Q554,'טבלת פרמטרים'!$O$7),'טבלת פרמטרים'!$P$7,""))))))</f>
        <v>0</v>
      </c>
    </row>
    <row r="555" spans="1:20" x14ac:dyDescent="0.2">
      <c r="A555" s="18">
        <v>555</v>
      </c>
      <c r="C555" s="30">
        <v>45126</v>
      </c>
      <c r="D555" s="21" t="s">
        <v>10</v>
      </c>
      <c r="E555" s="21" t="s">
        <v>20</v>
      </c>
      <c r="F555" s="21" t="s">
        <v>23</v>
      </c>
      <c r="G555" s="21" t="s">
        <v>26</v>
      </c>
      <c r="H555" s="21" t="s">
        <v>28</v>
      </c>
      <c r="J555" s="21" t="s">
        <v>41</v>
      </c>
      <c r="K555" s="21" t="s">
        <v>43</v>
      </c>
      <c r="L555" s="21" t="s">
        <v>51</v>
      </c>
      <c r="M555" s="21" t="s">
        <v>53</v>
      </c>
      <c r="N555" s="21" t="s">
        <v>58</v>
      </c>
      <c r="O555" s="19">
        <f>IF(ISBLANK(D555),"",IF(D555='טבלת פרמטרים'!$A$9,1,0)+IF(E555='טבלת פרמטרים'!$B$5,2,1)+IF(F555='טבלת פרמטרים'!$C$5,3,IF(F555='טבלת פרמטרים'!$C$4,1,0))+IF(G555='טבלת פרמטרים'!$D$3,2,0)+IF(M555='טבלת פרמטרים'!$J$4,2,IF(M555='טבלת פרמטרים'!$J$3,1,0))+IF(N555='טבלת פרמטרים'!$K$6,3,IF(OR(N555='טבלת פרמטרים'!$K$4,N555='טבלת פרמטרים'!$K$5),2,IF(N555='טבלת פרמטרים'!$K$3,1,0))))</f>
        <v>2</v>
      </c>
      <c r="Q555" s="20" t="s">
        <v>123</v>
      </c>
      <c r="R555" s="19">
        <f t="shared" si="12"/>
        <v>2</v>
      </c>
      <c r="T555" s="19">
        <f>IF(EXACT(Q555,'טבלת פרמטרים'!$O$2),'טבלת פרמטרים'!$P$2,IF(EXACT(Q555,'טבלת פרמטרים'!$O$3),'טבלת פרמטרים'!$P$3,IF(EXACT(Q555,'טבלת פרמטרים'!$O$4),'טבלת פרמטרים'!$P$4,IF(EXACT(Q555,'טבלת פרמטרים'!$O$5),'טבלת פרמטרים'!$P$5,IF(EXACT(Q555,'טבלת פרמטרים'!$O$6),'טבלת פרמטרים'!$P$6,IF(EXACT(Q555,'טבלת פרמטרים'!$O$7),'טבלת פרמטרים'!$P$7,""))))))</f>
        <v>0</v>
      </c>
    </row>
    <row r="556" spans="1:20" x14ac:dyDescent="0.2">
      <c r="A556" s="18">
        <v>556</v>
      </c>
      <c r="C556" s="30">
        <v>45152</v>
      </c>
      <c r="D556" s="21" t="s">
        <v>10</v>
      </c>
      <c r="E556" s="21" t="s">
        <v>20</v>
      </c>
      <c r="F556" s="21" t="s">
        <v>23</v>
      </c>
      <c r="G556" s="21" t="s">
        <v>27</v>
      </c>
      <c r="H556" s="21" t="s">
        <v>30</v>
      </c>
      <c r="J556" s="21" t="s">
        <v>42</v>
      </c>
      <c r="L556" s="21" t="s">
        <v>51</v>
      </c>
      <c r="M556" s="21" t="s">
        <v>54</v>
      </c>
      <c r="N556" s="21" t="s">
        <v>59</v>
      </c>
      <c r="O556" s="19">
        <f>IF(ISBLANK(D556),"",IF(D556='טבלת פרמטרים'!$A$9,1,0)+IF(E556='טבלת פרמטרים'!$B$5,2,1)+IF(F556='טבלת פרמטרים'!$C$5,3,IF(F556='טבלת פרמטרים'!$C$4,1,0))+IF(G556='טבלת פרמטרים'!$D$3,2,0)+IF(M556='טבלת פרמטרים'!$J$4,2,IF(M556='טבלת פרמטרים'!$J$3,1,0))+IF(N556='טבלת פרמטרים'!$K$6,3,IF(OR(N556='טבלת פרמטרים'!$K$4,N556='טבלת פרמטרים'!$K$5),2,IF(N556='טבלת פרמטרים'!$K$3,1,0))))</f>
        <v>6</v>
      </c>
      <c r="Q556" s="20" t="s">
        <v>123</v>
      </c>
      <c r="R556" s="19">
        <f t="shared" si="12"/>
        <v>6</v>
      </c>
      <c r="T556" s="19">
        <f>IF(EXACT(Q556,'טבלת פרמטרים'!$O$2),'טבלת פרמטרים'!$P$2,IF(EXACT(Q556,'טבלת פרמטרים'!$O$3),'טבלת פרמטרים'!$P$3,IF(EXACT(Q556,'טבלת פרמטרים'!$O$4),'טבלת פרמטרים'!$P$4,IF(EXACT(Q556,'טבלת פרמטרים'!$O$5),'טבלת פרמטרים'!$P$5,IF(EXACT(Q556,'טבלת פרמטרים'!$O$6),'טבלת פרמטרים'!$P$6,IF(EXACT(Q556,'טבלת פרמטרים'!$O$7),'טבלת פרמטרים'!$P$7,""))))))</f>
        <v>0</v>
      </c>
    </row>
    <row r="557" spans="1:20" x14ac:dyDescent="0.2">
      <c r="A557" s="18">
        <v>557</v>
      </c>
      <c r="C557" s="30">
        <v>45152</v>
      </c>
      <c r="D557" s="21" t="s">
        <v>17</v>
      </c>
      <c r="E557" s="21" t="s">
        <v>20</v>
      </c>
      <c r="F557" s="21" t="s">
        <v>23</v>
      </c>
      <c r="G557" s="21" t="s">
        <v>26</v>
      </c>
      <c r="H557" s="21" t="s">
        <v>30</v>
      </c>
      <c r="J557" s="21" t="s">
        <v>42</v>
      </c>
      <c r="L557" s="21" t="s">
        <v>51</v>
      </c>
      <c r="M557" s="21" t="s">
        <v>54</v>
      </c>
      <c r="N557" s="21" t="s">
        <v>59</v>
      </c>
      <c r="O557" s="19">
        <f>IF(ISBLANK(D557),"",IF(D557='טבלת פרמטרים'!$A$9,1,0)+IF(E557='טבלת פרמטרים'!$B$5,2,1)+IF(F557='טבלת פרמטרים'!$C$5,3,IF(F557='טבלת פרמטרים'!$C$4,1,0))+IF(G557='טבלת פרמטרים'!$D$3,2,0)+IF(M557='טבלת פרמטרים'!$J$4,2,IF(M557='טבלת פרמטרים'!$J$3,1,0))+IF(N557='טבלת פרמטרים'!$K$6,3,IF(OR(N557='טבלת פרמטרים'!$K$4,N557='טבלת פרמטרים'!$K$5),2,IF(N557='טבלת פרמטרים'!$K$3,1,0))))</f>
        <v>5</v>
      </c>
      <c r="Q557" s="20" t="s">
        <v>123</v>
      </c>
      <c r="R557" s="19">
        <f t="shared" si="12"/>
        <v>5</v>
      </c>
      <c r="T557" s="19">
        <f>IF(EXACT(Q557,'טבלת פרמטרים'!$O$2),'טבלת פרמטרים'!$P$2,IF(EXACT(Q557,'טבלת פרמטרים'!$O$3),'טבלת פרמטרים'!$P$3,IF(EXACT(Q557,'טבלת פרמטרים'!$O$4),'טבלת פרמטרים'!$P$4,IF(EXACT(Q557,'טבלת פרמטרים'!$O$5),'טבלת פרמטרים'!$P$5,IF(EXACT(Q557,'טבלת פרמטרים'!$O$6),'טבלת פרמטרים'!$P$6,IF(EXACT(Q557,'טבלת פרמטרים'!$O$7),'טבלת פרמטרים'!$P$7,""))))))</f>
        <v>0</v>
      </c>
    </row>
    <row r="558" spans="1:20" x14ac:dyDescent="0.2">
      <c r="A558" s="18">
        <v>558</v>
      </c>
      <c r="C558" s="30">
        <v>45138</v>
      </c>
      <c r="D558" s="21" t="s">
        <v>11</v>
      </c>
      <c r="E558" s="21" t="s">
        <v>20</v>
      </c>
      <c r="F558" s="21" t="s">
        <v>23</v>
      </c>
      <c r="G558" s="21" t="s">
        <v>26</v>
      </c>
      <c r="H558" s="21" t="s">
        <v>31</v>
      </c>
      <c r="I558" s="21" t="s">
        <v>127</v>
      </c>
      <c r="J558" s="21" t="s">
        <v>11</v>
      </c>
      <c r="K558" s="21" t="s">
        <v>46</v>
      </c>
      <c r="L558" s="21" t="s">
        <v>51</v>
      </c>
      <c r="M558" s="21" t="s">
        <v>54</v>
      </c>
      <c r="N558" s="21" t="s">
        <v>58</v>
      </c>
      <c r="O558" s="19">
        <f>IF(ISBLANK(D558),"",IF(D558='טבלת פרמטרים'!$A$9,1,0)+IF(E558='טבלת פרמטרים'!$B$5,2,1)+IF(F558='טבלת פרמטרים'!$C$5,3,IF(F558='טבלת פרמטרים'!$C$4,1,0))+IF(G558='טבלת פרמטרים'!$D$3,2,0)+IF(M558='טבלת פרמטרים'!$J$4,2,IF(M558='טבלת פרמטרים'!$J$3,1,0))+IF(N558='טבלת פרמטרים'!$K$6,3,IF(OR(N558='טבלת פרמטרים'!$K$4,N558='טבלת פרמטרים'!$K$5),2,IF(N558='טבלת פרמטרים'!$K$3,1,0))))</f>
        <v>3</v>
      </c>
      <c r="Q558" s="20" t="s">
        <v>123</v>
      </c>
      <c r="R558" s="19">
        <f t="shared" si="12"/>
        <v>3</v>
      </c>
      <c r="T558" s="19">
        <f>IF(EXACT(Q558,'טבלת פרמטרים'!$O$2),'טבלת פרמטרים'!$P$2,IF(EXACT(Q558,'טבלת פרמטרים'!$O$3),'טבלת פרמטרים'!$P$3,IF(EXACT(Q558,'טבלת פרמטרים'!$O$4),'טבלת פרמטרים'!$P$4,IF(EXACT(Q558,'טבלת פרמטרים'!$O$5),'טבלת פרמטרים'!$P$5,IF(EXACT(Q558,'טבלת פרמטרים'!$O$6),'טבלת פרמטרים'!$P$6,IF(EXACT(Q558,'טבלת פרמטרים'!$O$7),'טבלת פרמטרים'!$P$7,""))))))</f>
        <v>0</v>
      </c>
    </row>
    <row r="559" spans="1:20" x14ac:dyDescent="0.2">
      <c r="A559" s="18">
        <v>559</v>
      </c>
      <c r="C559" s="30">
        <v>45138</v>
      </c>
      <c r="D559" s="21" t="s">
        <v>16</v>
      </c>
      <c r="E559" s="21" t="s">
        <v>20</v>
      </c>
      <c r="F559" s="21" t="s">
        <v>23</v>
      </c>
      <c r="G559" s="21" t="s">
        <v>26</v>
      </c>
      <c r="H559" s="21" t="s">
        <v>31</v>
      </c>
      <c r="I559" s="21" t="s">
        <v>126</v>
      </c>
      <c r="J559" s="21" t="s">
        <v>33</v>
      </c>
      <c r="K559" s="21" t="s">
        <v>44</v>
      </c>
      <c r="L559" s="21" t="s">
        <v>51</v>
      </c>
      <c r="M559" s="21" t="s">
        <v>55</v>
      </c>
      <c r="N559" s="21" t="s">
        <v>58</v>
      </c>
      <c r="O559" s="19">
        <f>IF(ISBLANK(D559),"",IF(D559='טבלת פרמטרים'!$A$9,1,0)+IF(E559='טבלת פרמטרים'!$B$5,2,1)+IF(F559='טבלת פרמטרים'!$C$5,3,IF(F559='טבלת פרמטרים'!$C$4,1,0))+IF(G559='טבלת פרמטרים'!$D$3,2,0)+IF(M559='טבלת פרמטרים'!$J$4,2,IF(M559='טבלת פרמטרים'!$J$3,1,0))+IF(N559='טבלת פרמטרים'!$K$6,3,IF(OR(N559='טבלת פרמטרים'!$K$4,N559='טבלת פרמטרים'!$K$5),2,IF(N559='טבלת פרמטרים'!$K$3,1,0))))</f>
        <v>4</v>
      </c>
      <c r="Q559" s="20" t="s">
        <v>123</v>
      </c>
      <c r="R559" s="19">
        <f t="shared" si="12"/>
        <v>4</v>
      </c>
      <c r="T559" s="19">
        <f>IF(EXACT(Q559,'טבלת פרמטרים'!$O$2),'טבלת פרמטרים'!$P$2,IF(EXACT(Q559,'טבלת פרמטרים'!$O$3),'טבלת פרמטרים'!$P$3,IF(EXACT(Q559,'טבלת פרמטרים'!$O$4),'טבלת פרמטרים'!$P$4,IF(EXACT(Q559,'טבלת פרמטרים'!$O$5),'טבלת פרמטרים'!$P$5,IF(EXACT(Q559,'טבלת פרמטרים'!$O$6),'טבלת פרמטרים'!$P$6,IF(EXACT(Q559,'טבלת פרמטרים'!$O$7),'טבלת פרמטרים'!$P$7,""))))))</f>
        <v>0</v>
      </c>
    </row>
    <row r="560" spans="1:20" x14ac:dyDescent="0.2">
      <c r="A560" s="18">
        <v>560</v>
      </c>
      <c r="C560" s="30">
        <v>45138</v>
      </c>
      <c r="D560" s="21" t="s">
        <v>10</v>
      </c>
      <c r="E560" s="21" t="s">
        <v>111</v>
      </c>
      <c r="F560" s="21" t="s">
        <v>23</v>
      </c>
      <c r="G560" s="21" t="s">
        <v>26</v>
      </c>
      <c r="H560" s="21" t="s">
        <v>31</v>
      </c>
      <c r="I560" s="21" t="s">
        <v>126</v>
      </c>
      <c r="M560" s="21" t="s">
        <v>53</v>
      </c>
      <c r="N560" s="21" t="s">
        <v>57</v>
      </c>
      <c r="O560" s="19">
        <f>IF(ISBLANK(D560),"",IF(D560='טבלת פרמטרים'!$A$9,1,0)+IF(E560='טבלת פרמטרים'!$B$5,2,1)+IF(F560='טבלת פרמטרים'!$C$5,3,IF(F560='טבלת פרמטרים'!$C$4,1,0))+IF(G560='טבלת פרמטרים'!$D$3,2,0)+IF(M560='טבלת פרמטרים'!$J$4,2,IF(M560='טבלת פרמטרים'!$J$3,1,0))+IF(N560='טבלת פרמטרים'!$K$6,3,IF(OR(N560='טבלת פרמטרים'!$K$4,N560='טבלת פרמטרים'!$K$5),2,IF(N560='טבלת פרמטרים'!$K$3,1,0))))</f>
        <v>1</v>
      </c>
      <c r="Q560" s="20" t="s">
        <v>123</v>
      </c>
      <c r="R560" s="19">
        <f t="shared" si="12"/>
        <v>1</v>
      </c>
      <c r="T560" s="19">
        <f>IF(EXACT(Q560,'טבלת פרמטרים'!$O$2),'טבלת פרמטרים'!$P$2,IF(EXACT(Q560,'טבלת פרמטרים'!$O$3),'טבלת פרמטרים'!$P$3,IF(EXACT(Q560,'טבלת פרמטרים'!$O$4),'טבלת פרמטרים'!$P$4,IF(EXACT(Q560,'טבלת פרמטרים'!$O$5),'טבלת פרמטרים'!$P$5,IF(EXACT(Q560,'טבלת פרמטרים'!$O$6),'טבלת פרמטרים'!$P$6,IF(EXACT(Q560,'טבלת פרמטרים'!$O$7),'טבלת פרמטרים'!$P$7,""))))))</f>
        <v>0</v>
      </c>
    </row>
    <row r="561" spans="1:20" x14ac:dyDescent="0.2">
      <c r="A561" s="18">
        <v>561</v>
      </c>
      <c r="C561" s="30">
        <v>45139</v>
      </c>
      <c r="D561" s="21" t="s">
        <v>17</v>
      </c>
      <c r="E561" s="21" t="s">
        <v>22</v>
      </c>
      <c r="F561" s="21" t="s">
        <v>24</v>
      </c>
      <c r="G561" s="21" t="s">
        <v>27</v>
      </c>
      <c r="H561" s="21" t="s">
        <v>30</v>
      </c>
      <c r="I561" s="21" t="s">
        <v>126</v>
      </c>
      <c r="J561" s="21" t="s">
        <v>33</v>
      </c>
      <c r="K561" s="21" t="s">
        <v>906</v>
      </c>
      <c r="M561" s="21" t="s">
        <v>55</v>
      </c>
      <c r="N561" s="21" t="s">
        <v>58</v>
      </c>
      <c r="O561" s="19">
        <f>IF(ISBLANK(D561),"",IF(D561='טבלת פרמטרים'!$A$9,1,0)+IF(E561='טבלת פרמטרים'!$B$5,2,1)+IF(F561='טבלת פרמטרים'!$C$5,3,IF(F561='טבלת פרמטרים'!$C$4,1,0))+IF(G561='טבלת פרמטרים'!$D$3,2,0)+IF(M561='טבלת פרמטרים'!$J$4,2,IF(M561='טבלת פרמטרים'!$J$3,1,0))+IF(N561='טבלת פרמטרים'!$K$6,3,IF(OR(N561='טבלת פרמטרים'!$K$4,N561='טבלת פרמטרים'!$K$5),2,IF(N561='טבלת פרמטרים'!$K$3,1,0))))</f>
        <v>9</v>
      </c>
      <c r="Q561" s="20" t="s">
        <v>123</v>
      </c>
      <c r="R561" s="19">
        <f t="shared" si="12"/>
        <v>9</v>
      </c>
      <c r="T561" s="19">
        <f>IF(EXACT(Q561,'טבלת פרמטרים'!$O$2),'טבלת פרמטרים'!$P$2,IF(EXACT(Q561,'טבלת פרמטרים'!$O$3),'טבלת פרמטרים'!$P$3,IF(EXACT(Q561,'טבלת פרמטרים'!$O$4),'טבלת פרמטרים'!$P$4,IF(EXACT(Q561,'טבלת פרמטרים'!$O$5),'טבלת פרמטרים'!$P$5,IF(EXACT(Q561,'טבלת פרמטרים'!$O$6),'טבלת פרמטרים'!$P$6,IF(EXACT(Q561,'טבלת פרמטרים'!$O$7),'טבלת פרמטרים'!$P$7,""))))))</f>
        <v>0</v>
      </c>
    </row>
    <row r="562" spans="1:20" x14ac:dyDescent="0.2">
      <c r="A562" s="18">
        <v>562</v>
      </c>
      <c r="R562" s="19">
        <f t="shared" ref="R562:R623" si="13">IF(ISNUMBER(T562),T562+O562,O562)</f>
        <v>0</v>
      </c>
      <c r="T562" s="19" t="str">
        <f>IF(EXACT(Q562,'טבלת פרמטרים'!$O$2),'טבלת פרמטרים'!$P$2,IF(EXACT(Q562,'טבלת פרמטרים'!$O$3),'טבלת פרמטרים'!$P$3,IF(EXACT(Q562,'טבלת פרמטרים'!$O$4),'טבלת פרמטרים'!$P$4,IF(EXACT(Q562,'טבלת פרמטרים'!$O$5),'טבלת פרמטרים'!$P$5,IF(EXACT(Q562,'טבלת פרמטרים'!$O$6),'טבלת פרמטרים'!$P$6,IF(EXACT(Q562,'טבלת פרמטרים'!$O$7),'טבלת פרמטרים'!$P$7,""))))))</f>
        <v/>
      </c>
    </row>
    <row r="563" spans="1:20" ht="28.5" x14ac:dyDescent="0.2">
      <c r="A563" s="18">
        <v>563</v>
      </c>
      <c r="B563" s="30">
        <v>45132</v>
      </c>
      <c r="C563" s="30">
        <v>45148</v>
      </c>
      <c r="D563" s="21" t="s">
        <v>17</v>
      </c>
      <c r="E563" s="21" t="s">
        <v>22</v>
      </c>
      <c r="F563" s="21" t="s">
        <v>24</v>
      </c>
      <c r="G563" s="21" t="s">
        <v>27</v>
      </c>
      <c r="H563" s="21" t="s">
        <v>29</v>
      </c>
      <c r="J563" s="21" t="s">
        <v>33</v>
      </c>
      <c r="K563" s="21" t="s">
        <v>44</v>
      </c>
      <c r="L563" s="21" t="s">
        <v>51</v>
      </c>
      <c r="M563" s="21" t="s">
        <v>54</v>
      </c>
      <c r="N563" s="21" t="s">
        <v>58</v>
      </c>
      <c r="O563" s="19">
        <f>IF(ISBLANK(D563),"",IF(D563='טבלת פרמטרים'!$A$9,1,0)+IF(E563='טבלת פרמטרים'!$B$5,2,1)+IF(F563='טבלת פרמטרים'!$C$5,3,IF(F563='טבלת פרמטרים'!$C$4,1,0))+IF(G563='טבלת פרמטרים'!$D$3,2,0)+IF(M563='טבלת פרמטרים'!$J$4,2,IF(M563='טבלת פרמטרים'!$J$3,1,0))+IF(N563='טבלת פרמטרים'!$K$6,3,IF(OR(N563='טבלת פרמטרים'!$K$4,N563='טבלת פרמטרים'!$K$5),2,IF(N563='טבלת פרמטרים'!$K$3,1,0))))</f>
        <v>8</v>
      </c>
      <c r="Q563" s="20" t="s">
        <v>329</v>
      </c>
      <c r="R563" s="19">
        <f t="shared" si="13"/>
        <v>9</v>
      </c>
      <c r="T563" s="19">
        <f>IF(EXACT(Q563,'טבלת פרמטרים'!$O$2),'טבלת פרמטרים'!$P$2,IF(EXACT(Q563,'טבלת פרמטרים'!$O$3),'טבלת פרמטרים'!$P$3,IF(EXACT(Q563,'טבלת פרמטרים'!$O$4),'טבלת פרמטרים'!$P$4,IF(EXACT(Q563,'טבלת פרמטרים'!$O$5),'טבלת פרמטרים'!$P$5,IF(EXACT(Q563,'טבלת פרמטרים'!$O$6),'טבלת פרמטרים'!$P$6,IF(EXACT(Q563,'טבלת פרמטרים'!$O$7),'טבלת פרמטרים'!$P$7,""))))))</f>
        <v>1</v>
      </c>
    </row>
    <row r="564" spans="1:20" x14ac:dyDescent="0.2">
      <c r="A564" s="18">
        <v>564</v>
      </c>
      <c r="B564" s="30">
        <v>45130</v>
      </c>
      <c r="C564" s="30">
        <v>45130</v>
      </c>
      <c r="D564" s="21" t="s">
        <v>17</v>
      </c>
      <c r="E564" s="21" t="s">
        <v>21</v>
      </c>
      <c r="F564" s="21" t="s">
        <v>23</v>
      </c>
      <c r="G564" s="21" t="s">
        <v>26</v>
      </c>
      <c r="H564" s="21" t="s">
        <v>29</v>
      </c>
      <c r="I564" s="21" t="s">
        <v>126</v>
      </c>
      <c r="J564" s="21" t="s">
        <v>35</v>
      </c>
      <c r="K564" s="21" t="s">
        <v>43</v>
      </c>
      <c r="L564" s="21" t="s">
        <v>51</v>
      </c>
      <c r="M564" s="21" t="s">
        <v>54</v>
      </c>
      <c r="N564" s="21" t="s">
        <v>58</v>
      </c>
      <c r="O564" s="19">
        <f>IF(ISBLANK(D564),"",IF(D564='טבלת פרמטרים'!$A$9,1,0)+IF(E564='טבלת פרמטרים'!$B$5,2,1)+IF(F564='טבלת פרמטרים'!$C$5,3,IF(F564='טבלת פרמטרים'!$C$4,1,0))+IF(G564='טבלת פרמטרים'!$D$3,2,0)+IF(M564='טבלת פרמטרים'!$J$4,2,IF(M564='טבלת פרמטרים'!$J$3,1,0))+IF(N564='טבלת פרמטרים'!$K$6,3,IF(OR(N564='טבלת פרמטרים'!$K$4,N564='טבלת פרמטרים'!$K$5),2,IF(N564='טבלת פרמטרים'!$K$3,1,0))))</f>
        <v>4</v>
      </c>
      <c r="Q564" s="20" t="s">
        <v>123</v>
      </c>
      <c r="R564" s="19">
        <f t="shared" si="13"/>
        <v>4</v>
      </c>
      <c r="T564" s="19">
        <f>IF(EXACT(Q564,'טבלת פרמטרים'!$O$2),'טבלת פרמטרים'!$P$2,IF(EXACT(Q564,'טבלת פרמטרים'!$O$3),'טבלת פרמטרים'!$P$3,IF(EXACT(Q564,'טבלת פרמטרים'!$O$4),'טבלת פרמטרים'!$P$4,IF(EXACT(Q564,'טבלת פרמטרים'!$O$5),'טבלת פרמטרים'!$P$5,IF(EXACT(Q564,'טבלת פרמטרים'!$O$6),'טבלת פרמטרים'!$P$6,IF(EXACT(Q564,'טבלת פרמטרים'!$O$7),'טבלת פרמטרים'!$P$7,""))))))</f>
        <v>0</v>
      </c>
    </row>
    <row r="565" spans="1:20" x14ac:dyDescent="0.2">
      <c r="A565" s="18">
        <v>565</v>
      </c>
      <c r="B565" s="30">
        <v>45117</v>
      </c>
      <c r="C565" s="30">
        <v>45132</v>
      </c>
      <c r="D565" s="21" t="s">
        <v>16</v>
      </c>
      <c r="E565" s="21" t="s">
        <v>111</v>
      </c>
      <c r="F565" s="21" t="s">
        <v>23</v>
      </c>
      <c r="G565" s="21" t="s">
        <v>26</v>
      </c>
      <c r="H565" s="21" t="s">
        <v>29</v>
      </c>
      <c r="I565" s="21" t="s">
        <v>126</v>
      </c>
      <c r="J565" s="21" t="s">
        <v>33</v>
      </c>
      <c r="K565" s="21" t="s">
        <v>45</v>
      </c>
      <c r="L565" s="21" t="s">
        <v>51</v>
      </c>
      <c r="M565" s="21" t="s">
        <v>53</v>
      </c>
      <c r="N565" s="21" t="s">
        <v>58</v>
      </c>
      <c r="O565" s="19">
        <f>IF(ISBLANK(D565),"",IF(D565='טבלת פרמטרים'!$A$9,1,0)+IF(E565='טבלת פרמטרים'!$B$5,2,1)+IF(F565='טבלת פרמטרים'!$C$5,3,IF(F565='טבלת פרמטרים'!$C$4,1,0))+IF(G565='טבלת פרמטרים'!$D$3,2,0)+IF(M565='טבלת פרמטרים'!$J$4,2,IF(M565='טבלת פרמטרים'!$J$3,1,0))+IF(N565='טבלת פרמטרים'!$K$6,3,IF(OR(N565='טבלת פרמטרים'!$K$4,N565='טבלת פרמטרים'!$K$5),2,IF(N565='טבלת פרמטרים'!$K$3,1,0))))</f>
        <v>2</v>
      </c>
      <c r="Q565" s="20" t="s">
        <v>123</v>
      </c>
      <c r="R565" s="19">
        <f t="shared" si="13"/>
        <v>2</v>
      </c>
      <c r="T565" s="19">
        <f>IF(EXACT(Q565,'טבלת פרמטרים'!$O$2),'טבלת פרמטרים'!$P$2,IF(EXACT(Q565,'טבלת פרמטרים'!$O$3),'טבלת פרמטרים'!$P$3,IF(EXACT(Q565,'טבלת פרמטרים'!$O$4),'טבלת פרמטרים'!$P$4,IF(EXACT(Q565,'טבלת פרמטרים'!$O$5),'טבלת פרמטרים'!$P$5,IF(EXACT(Q565,'טבלת פרמטרים'!$O$6),'טבלת פרמטרים'!$P$6,IF(EXACT(Q565,'טבלת פרמטרים'!$O$7),'טבלת פרמטרים'!$P$7,""))))))</f>
        <v>0</v>
      </c>
    </row>
    <row r="566" spans="1:20" x14ac:dyDescent="0.2">
      <c r="A566" s="18">
        <v>566</v>
      </c>
      <c r="C566" s="30">
        <v>45133</v>
      </c>
      <c r="D566" s="21" t="s">
        <v>14</v>
      </c>
      <c r="E566" s="21" t="s">
        <v>111</v>
      </c>
      <c r="F566" s="21" t="s">
        <v>23</v>
      </c>
      <c r="G566" s="21" t="s">
        <v>26</v>
      </c>
      <c r="H566" s="21" t="s">
        <v>29</v>
      </c>
      <c r="I566" s="21" t="s">
        <v>126</v>
      </c>
      <c r="J566" s="21" t="s">
        <v>33</v>
      </c>
      <c r="K566" s="21" t="s">
        <v>45</v>
      </c>
      <c r="L566" s="21" t="s">
        <v>51</v>
      </c>
      <c r="M566" s="21" t="s">
        <v>54</v>
      </c>
      <c r="N566" s="21" t="s">
        <v>58</v>
      </c>
      <c r="O566" s="19">
        <f>IF(ISBLANK(D566),"",IF(D566='טבלת פרמטרים'!$A$9,1,0)+IF(E566='טבלת פרמטרים'!$B$5,2,1)+IF(F566='טבלת פרמטרים'!$C$5,3,IF(F566='טבלת פרמטרים'!$C$4,1,0))+IF(G566='טבלת פרמטרים'!$D$3,2,0)+IF(M566='טבלת פרמטרים'!$J$4,2,IF(M566='טבלת פרמטרים'!$J$3,1,0))+IF(N566='טבלת פרמטרים'!$K$6,3,IF(OR(N566='טבלת פרמטרים'!$K$4,N566='טבלת פרמטרים'!$K$5),2,IF(N566='טבלת פרמטרים'!$K$3,1,0))))</f>
        <v>3</v>
      </c>
      <c r="Q566" s="20" t="s">
        <v>123</v>
      </c>
      <c r="R566" s="19">
        <f t="shared" si="13"/>
        <v>3</v>
      </c>
      <c r="T566" s="19">
        <f>IF(EXACT(Q566,'טבלת פרמטרים'!$O$2),'טבלת פרמטרים'!$P$2,IF(EXACT(Q566,'טבלת פרמטרים'!$O$3),'טבלת פרמטרים'!$P$3,IF(EXACT(Q566,'טבלת פרמטרים'!$O$4),'טבלת פרמטרים'!$P$4,IF(EXACT(Q566,'טבלת פרמטרים'!$O$5),'טבלת פרמטרים'!$P$5,IF(EXACT(Q566,'טבלת פרמטרים'!$O$6),'טבלת פרמטרים'!$P$6,IF(EXACT(Q566,'טבלת פרמטרים'!$O$7),'טבלת פרמטרים'!$P$7,""))))))</f>
        <v>0</v>
      </c>
    </row>
    <row r="567" spans="1:20" x14ac:dyDescent="0.2">
      <c r="A567" s="18">
        <v>567</v>
      </c>
      <c r="C567" s="30">
        <v>45133</v>
      </c>
      <c r="D567" s="21" t="s">
        <v>17</v>
      </c>
      <c r="E567" s="21" t="s">
        <v>111</v>
      </c>
      <c r="F567" s="21" t="s">
        <v>23</v>
      </c>
      <c r="G567" s="21" t="s">
        <v>26</v>
      </c>
      <c r="H567" s="21" t="s">
        <v>19</v>
      </c>
      <c r="I567" s="21" t="s">
        <v>127</v>
      </c>
      <c r="J567" s="21" t="s">
        <v>35</v>
      </c>
      <c r="K567" s="21" t="s">
        <v>43</v>
      </c>
      <c r="L567" s="21" t="s">
        <v>51</v>
      </c>
      <c r="M567" s="21" t="s">
        <v>55</v>
      </c>
      <c r="N567" s="21" t="s">
        <v>58</v>
      </c>
      <c r="O567" s="19">
        <f>IF(ISBLANK(D567),"",IF(D567='טבלת פרמטרים'!$A$9,1,0)+IF(E567='טבלת פרמטרים'!$B$5,2,1)+IF(F567='טבלת פרמטרים'!$C$5,3,IF(F567='טבלת פרמטרים'!$C$4,1,0))+IF(G567='טבלת פרמטרים'!$D$3,2,0)+IF(M567='טבלת פרמטרים'!$J$4,2,IF(M567='טבלת פרמטרים'!$J$3,1,0))+IF(N567='טבלת פרמטרים'!$K$6,3,IF(OR(N567='טבלת פרמטרים'!$K$4,N567='טבלת פרמטרים'!$K$5),2,IF(N567='טבלת פרמטרים'!$K$3,1,0))))</f>
        <v>5</v>
      </c>
      <c r="Q567" s="20" t="s">
        <v>123</v>
      </c>
      <c r="R567" s="19">
        <f t="shared" si="13"/>
        <v>5</v>
      </c>
      <c r="T567" s="19">
        <f>IF(EXACT(Q567,'טבלת פרמטרים'!$O$2),'טבלת פרמטרים'!$P$2,IF(EXACT(Q567,'טבלת פרמטרים'!$O$3),'טבלת פרמטרים'!$P$3,IF(EXACT(Q567,'טבלת פרמטרים'!$O$4),'טבלת פרמטרים'!$P$4,IF(EXACT(Q567,'טבלת פרמטרים'!$O$5),'טבלת פרמטרים'!$P$5,IF(EXACT(Q567,'טבלת פרמטרים'!$O$6),'טבלת פרמטרים'!$P$6,IF(EXACT(Q567,'טבלת פרמטרים'!$O$7),'טבלת פרמטרים'!$P$7,""))))))</f>
        <v>0</v>
      </c>
    </row>
    <row r="568" spans="1:20" x14ac:dyDescent="0.2">
      <c r="A568" s="18">
        <v>568</v>
      </c>
      <c r="B568" s="30">
        <v>45083</v>
      </c>
      <c r="C568" s="30">
        <v>45134</v>
      </c>
      <c r="D568" s="21" t="s">
        <v>10</v>
      </c>
      <c r="E568" s="21" t="s">
        <v>20</v>
      </c>
      <c r="F568" s="21" t="s">
        <v>23</v>
      </c>
      <c r="G568" s="21" t="s">
        <v>26</v>
      </c>
      <c r="H568" s="21" t="s">
        <v>31</v>
      </c>
      <c r="K568" s="21" t="s">
        <v>45</v>
      </c>
      <c r="L568" s="21" t="s">
        <v>51</v>
      </c>
      <c r="M568" s="21" t="s">
        <v>54</v>
      </c>
      <c r="N568" s="21" t="s">
        <v>58</v>
      </c>
      <c r="O568" s="19">
        <f>IF(ISBLANK(D568),"",IF(D568='טבלת פרמטרים'!$A$9,1,0)+IF(E568='טבלת פרמטרים'!$B$5,2,1)+IF(F568='טבלת פרמטרים'!$C$5,3,IF(F568='טבלת פרמטרים'!$C$4,1,0))+IF(G568='טבלת פרמטרים'!$D$3,2,0)+IF(M568='טבלת פרמטרים'!$J$4,2,IF(M568='טבלת פרמטרים'!$J$3,1,0))+IF(N568='טבלת פרמטרים'!$K$6,3,IF(OR(N568='טבלת פרמטרים'!$K$4,N568='טבלת פרמטרים'!$K$5),2,IF(N568='טבלת פרמטרים'!$K$3,1,0))))</f>
        <v>3</v>
      </c>
      <c r="Q568" s="20" t="s">
        <v>123</v>
      </c>
      <c r="R568" s="19">
        <f t="shared" si="13"/>
        <v>3</v>
      </c>
      <c r="T568" s="19">
        <f>IF(EXACT(Q568,'טבלת פרמטרים'!$O$2),'טבלת פרמטרים'!$P$2,IF(EXACT(Q568,'טבלת פרמטרים'!$O$3),'טבלת פרמטרים'!$P$3,IF(EXACT(Q568,'טבלת פרמטרים'!$O$4),'טבלת פרמטרים'!$P$4,IF(EXACT(Q568,'טבלת פרמטרים'!$O$5),'טבלת פרמטרים'!$P$5,IF(EXACT(Q568,'טבלת פרמטרים'!$O$6),'טבלת פרמטרים'!$P$6,IF(EXACT(Q568,'טבלת פרמטרים'!$O$7),'טבלת פרמטרים'!$P$7,""))))))</f>
        <v>0</v>
      </c>
    </row>
    <row r="569" spans="1:20" x14ac:dyDescent="0.2">
      <c r="A569" s="18">
        <v>569</v>
      </c>
      <c r="C569" s="30">
        <v>45153</v>
      </c>
      <c r="D569" s="21" t="s">
        <v>17</v>
      </c>
      <c r="E569" s="21" t="s">
        <v>111</v>
      </c>
      <c r="F569" s="21" t="s">
        <v>23</v>
      </c>
      <c r="G569" s="21" t="s">
        <v>26</v>
      </c>
      <c r="H569" s="21" t="s">
        <v>32</v>
      </c>
      <c r="I569" s="21" t="s">
        <v>126</v>
      </c>
      <c r="J569" s="21" t="s">
        <v>35</v>
      </c>
      <c r="K569" s="21" t="s">
        <v>43</v>
      </c>
      <c r="L569" s="21" t="s">
        <v>51</v>
      </c>
      <c r="M569" s="21" t="s">
        <v>53</v>
      </c>
      <c r="N569" s="21" t="s">
        <v>58</v>
      </c>
      <c r="O569" s="19">
        <f>IF(ISBLANK(D569),"",IF(D569='טבלת פרמטרים'!$A$9,1,0)+IF(E569='טבלת פרמטרים'!$B$5,2,1)+IF(F569='טבלת פרמטרים'!$C$5,3,IF(F569='טבלת פרמטרים'!$C$4,1,0))+IF(G569='טבלת פרמטרים'!$D$3,2,0)+IF(M569='טבלת פרמטרים'!$J$4,2,IF(M569='טבלת פרמטרים'!$J$3,1,0))+IF(N569='טבלת פרמטרים'!$K$6,3,IF(OR(N569='טבלת פרמטרים'!$K$4,N569='טבלת פרמטרים'!$K$5),2,IF(N569='טבלת פרמטרים'!$K$3,1,0))))</f>
        <v>3</v>
      </c>
      <c r="Q569" s="20" t="s">
        <v>123</v>
      </c>
      <c r="R569" s="19">
        <f t="shared" si="13"/>
        <v>3</v>
      </c>
      <c r="T569" s="19">
        <f>IF(EXACT(Q569,'טבלת פרמטרים'!$O$2),'טבלת פרמטרים'!$P$2,IF(EXACT(Q569,'טבלת פרמטרים'!$O$3),'טבלת פרמטרים'!$P$3,IF(EXACT(Q569,'טבלת פרמטרים'!$O$4),'טבלת פרמטרים'!$P$4,IF(EXACT(Q569,'טבלת פרמטרים'!$O$5),'טבלת פרמטרים'!$P$5,IF(EXACT(Q569,'טבלת פרמטרים'!$O$6),'טבלת פרמטרים'!$P$6,IF(EXACT(Q569,'טבלת פרמטרים'!$O$7),'טבלת פרמטרים'!$P$7,""))))))</f>
        <v>0</v>
      </c>
    </row>
    <row r="570" spans="1:20" x14ac:dyDescent="0.2">
      <c r="A570" s="18">
        <v>570</v>
      </c>
      <c r="C570" s="30">
        <v>45165</v>
      </c>
      <c r="D570" s="21" t="s">
        <v>14</v>
      </c>
      <c r="E570" s="21" t="s">
        <v>20</v>
      </c>
      <c r="F570" s="21" t="s">
        <v>23</v>
      </c>
      <c r="G570" s="21" t="s">
        <v>26</v>
      </c>
      <c r="H570" s="21" t="s">
        <v>29</v>
      </c>
      <c r="I570" s="21" t="s">
        <v>126</v>
      </c>
      <c r="J570" s="21" t="s">
        <v>35</v>
      </c>
      <c r="K570" s="21" t="s">
        <v>44</v>
      </c>
      <c r="L570" s="21" t="s">
        <v>49</v>
      </c>
      <c r="M570" s="21" t="s">
        <v>54</v>
      </c>
      <c r="N570" s="21" t="s">
        <v>58</v>
      </c>
      <c r="O570" s="19">
        <f>IF(ISBLANK(D570),"",IF(D570='טבלת פרמטרים'!$A$9,1,0)+IF(E570='טבלת פרמטרים'!$B$5,2,1)+IF(F570='טבלת פרמטרים'!$C$5,3,IF(F570='טבלת פרמטרים'!$C$4,1,0))+IF(G570='טבלת פרמטרים'!$D$3,2,0)+IF(M570='טבלת פרמטרים'!$J$4,2,IF(M570='טבלת פרמטרים'!$J$3,1,0))+IF(N570='טבלת פרמטרים'!$K$6,3,IF(OR(N570='טבלת פרמטרים'!$K$4,N570='טבלת פרמטרים'!$K$5),2,IF(N570='טבלת פרמטרים'!$K$3,1,0))))</f>
        <v>3</v>
      </c>
      <c r="Q570" s="20" t="s">
        <v>123</v>
      </c>
      <c r="R570" s="19">
        <f t="shared" si="13"/>
        <v>3</v>
      </c>
      <c r="T570" s="19">
        <f>IF(EXACT(Q570,'טבלת פרמטרים'!$O$2),'טבלת פרמטרים'!$P$2,IF(EXACT(Q570,'טבלת פרמטרים'!$O$3),'טבלת פרמטרים'!$P$3,IF(EXACT(Q570,'טבלת פרמטרים'!$O$4),'טבלת פרמטרים'!$P$4,IF(EXACT(Q570,'טבלת פרמטרים'!$O$5),'טבלת פרמטרים'!$P$5,IF(EXACT(Q570,'טבלת פרמטרים'!$O$6),'טבלת פרמטרים'!$P$6,IF(EXACT(Q570,'טבלת פרמטרים'!$O$7),'טבלת פרמטרים'!$P$7,""))))))</f>
        <v>0</v>
      </c>
    </row>
    <row r="571" spans="1:20" x14ac:dyDescent="0.2">
      <c r="A571" s="18">
        <v>571</v>
      </c>
      <c r="C571" s="30">
        <v>45174</v>
      </c>
      <c r="D571" s="21" t="s">
        <v>10</v>
      </c>
      <c r="E571" s="21" t="s">
        <v>111</v>
      </c>
      <c r="F571" s="21" t="s">
        <v>23</v>
      </c>
      <c r="G571" s="21" t="s">
        <v>26</v>
      </c>
      <c r="H571" s="21" t="s">
        <v>32</v>
      </c>
      <c r="J571" s="21" t="s">
        <v>42</v>
      </c>
      <c r="K571" s="21" t="s">
        <v>45</v>
      </c>
      <c r="L571" s="21" t="s">
        <v>51</v>
      </c>
      <c r="M571" s="21" t="s">
        <v>53</v>
      </c>
      <c r="N571" s="21" t="s">
        <v>59</v>
      </c>
      <c r="O571" s="19">
        <f>IF(ISBLANK(D571),"",IF(D571='טבלת פרמטרים'!$A$9,1,0)+IF(E571='טבלת פרמטרים'!$B$5,2,1)+IF(F571='טבלת פרמטרים'!$C$5,3,IF(F571='טבלת פרמטרים'!$C$4,1,0))+IF(G571='טבלת פרמטרים'!$D$3,2,0)+IF(M571='טבלת פרמטרים'!$J$4,2,IF(M571='טבלת פרמטרים'!$J$3,1,0))+IF(N571='טבלת פרמטרים'!$K$6,3,IF(OR(N571='טבלת פרמטרים'!$K$4,N571='טבלת פרמטרים'!$K$5),2,IF(N571='טבלת פרמטרים'!$K$3,1,0))))</f>
        <v>3</v>
      </c>
      <c r="Q571" s="20" t="s">
        <v>123</v>
      </c>
      <c r="R571" s="19">
        <f t="shared" si="13"/>
        <v>3</v>
      </c>
      <c r="T571" s="19">
        <f>IF(EXACT(Q571,'טבלת פרמטרים'!$O$2),'טבלת פרמטרים'!$P$2,IF(EXACT(Q571,'טבלת פרמטרים'!$O$3),'טבלת פרמטרים'!$P$3,IF(EXACT(Q571,'טבלת פרמטרים'!$O$4),'טבלת פרמטרים'!$P$4,IF(EXACT(Q571,'טבלת פרמטרים'!$O$5),'טבלת פרמטרים'!$P$5,IF(EXACT(Q571,'טבלת פרמטרים'!$O$6),'טבלת פרמטרים'!$P$6,IF(EXACT(Q571,'טבלת פרמטרים'!$O$7),'טבלת פרמטרים'!$P$7,""))))))</f>
        <v>0</v>
      </c>
    </row>
    <row r="572" spans="1:20" x14ac:dyDescent="0.2">
      <c r="A572" s="18">
        <v>572</v>
      </c>
      <c r="B572" s="30">
        <v>45174</v>
      </c>
      <c r="C572" s="30">
        <v>45181</v>
      </c>
      <c r="D572" s="21" t="s">
        <v>10</v>
      </c>
      <c r="E572" s="21" t="s">
        <v>111</v>
      </c>
      <c r="F572" s="21" t="s">
        <v>23</v>
      </c>
      <c r="G572" s="21" t="s">
        <v>26</v>
      </c>
      <c r="H572" s="21" t="s">
        <v>30</v>
      </c>
      <c r="I572" s="21" t="s">
        <v>126</v>
      </c>
      <c r="J572" s="21" t="s">
        <v>11</v>
      </c>
      <c r="K572" s="21" t="s">
        <v>45</v>
      </c>
      <c r="L572" s="21" t="s">
        <v>51</v>
      </c>
      <c r="M572" s="21" t="s">
        <v>55</v>
      </c>
      <c r="N572" s="21" t="s">
        <v>59</v>
      </c>
      <c r="O572" s="19">
        <f>IF(ISBLANK(D572),"",IF(D572='טבלת פרמטרים'!$A$9,1,0)+IF(E572='טבלת פרמטרים'!$B$5,2,1)+IF(F572='טבלת פרמטרים'!$C$5,3,IF(F572='טבלת פרמטרים'!$C$4,1,0))+IF(G572='טבלת פרמטרים'!$D$3,2,0)+IF(M572='טבלת פרמטרים'!$J$4,2,IF(M572='טבלת פרמטרים'!$J$3,1,0))+IF(N572='טבלת פרמטרים'!$K$6,3,IF(OR(N572='טבלת פרמטרים'!$K$4,N572='טבלת פרמטרים'!$K$5),2,IF(N572='טבלת פרמטרים'!$K$3,1,0))))</f>
        <v>5</v>
      </c>
      <c r="Q572" s="20" t="s">
        <v>123</v>
      </c>
      <c r="R572" s="19">
        <f t="shared" si="13"/>
        <v>5</v>
      </c>
      <c r="T572" s="19">
        <f>IF(EXACT(Q572,'טבלת פרמטרים'!$O$2),'טבלת פרמטרים'!$P$2,IF(EXACT(Q572,'טבלת פרמטרים'!$O$3),'טבלת פרמטרים'!$P$3,IF(EXACT(Q572,'טבלת פרמטרים'!$O$4),'טבלת פרמטרים'!$P$4,IF(EXACT(Q572,'טבלת פרמטרים'!$O$5),'טבלת פרמטרים'!$P$5,IF(EXACT(Q572,'טבלת פרמטרים'!$O$6),'טבלת פרמטרים'!$P$6,IF(EXACT(Q572,'טבלת פרמטרים'!$O$7),'טבלת פרמטרים'!$P$7,""))))))</f>
        <v>0</v>
      </c>
    </row>
    <row r="573" spans="1:20" x14ac:dyDescent="0.2">
      <c r="A573" s="18">
        <v>573</v>
      </c>
      <c r="C573" s="30">
        <v>45204</v>
      </c>
      <c r="D573" s="21" t="s">
        <v>19</v>
      </c>
      <c r="E573" s="21" t="s">
        <v>20</v>
      </c>
      <c r="H573" s="21" t="s">
        <v>31</v>
      </c>
      <c r="J573" s="21" t="s">
        <v>63</v>
      </c>
      <c r="N573" s="21" t="s">
        <v>59</v>
      </c>
      <c r="O573" s="19">
        <f>IF(ISBLANK(D573),"",IF(D573='טבלת פרמטרים'!$A$9,1,0)+IF(E573='טבלת פרמטרים'!$B$5,2,1)+IF(F573='טבלת פרמטרים'!$C$5,3,IF(F573='טבלת פרמטרים'!$C$4,1,0))+IF(G573='טבלת פרמטרים'!$D$3,2,0)+IF(M573='טבלת פרמטרים'!$J$4,2,IF(M573='טבלת פרמטרים'!$J$3,1,0))+IF(N573='טבלת פרמטרים'!$K$6,3,IF(OR(N573='טבלת פרמטרים'!$K$4,N573='טבלת פרמטרים'!$K$5),2,IF(N573='טבלת פרמטרים'!$K$3,1,0))))</f>
        <v>3</v>
      </c>
      <c r="Q573" s="20" t="s">
        <v>123</v>
      </c>
      <c r="R573" s="19">
        <f t="shared" si="13"/>
        <v>3</v>
      </c>
      <c r="T573" s="19">
        <f>IF(EXACT(Q573,'טבלת פרמטרים'!$O$2),'טבלת פרמטרים'!$P$2,IF(EXACT(Q573,'טבלת פרמטרים'!$O$3),'טבלת פרמטרים'!$P$3,IF(EXACT(Q573,'טבלת פרמטרים'!$O$4),'טבלת פרמטרים'!$P$4,IF(EXACT(Q573,'טבלת פרמטרים'!$O$5),'טבלת פרמטרים'!$P$5,IF(EXACT(Q573,'טבלת פרמטרים'!$O$6),'טבלת פרמטרים'!$P$6,IF(EXACT(Q573,'טבלת פרמטרים'!$O$7),'טבלת פרמטרים'!$P$7,""))))))</f>
        <v>0</v>
      </c>
    </row>
    <row r="574" spans="1:20" x14ac:dyDescent="0.2">
      <c r="A574" s="18">
        <v>574</v>
      </c>
      <c r="C574" s="30">
        <v>45196</v>
      </c>
      <c r="D574" s="21" t="s">
        <v>17</v>
      </c>
      <c r="E574" s="21" t="s">
        <v>20</v>
      </c>
      <c r="F574" s="21" t="s">
        <v>23</v>
      </c>
      <c r="G574" s="21" t="s">
        <v>26</v>
      </c>
      <c r="H574" s="21" t="s">
        <v>31</v>
      </c>
      <c r="I574" s="21" t="s">
        <v>126</v>
      </c>
      <c r="J574" s="21" t="s">
        <v>35</v>
      </c>
      <c r="K574" s="21" t="s">
        <v>44</v>
      </c>
      <c r="L574" s="21" t="s">
        <v>51</v>
      </c>
      <c r="M574" s="21" t="s">
        <v>55</v>
      </c>
      <c r="N574" s="21" t="s">
        <v>58</v>
      </c>
      <c r="O574" s="19">
        <f>IF(ISBLANK(D574),"",IF(D574='טבלת פרמטרים'!$A$9,1,0)+IF(E574='טבלת פרמטרים'!$B$5,2,1)+IF(F574='טבלת פרמטרים'!$C$5,3,IF(F574='טבלת פרמטרים'!$C$4,1,0))+IF(G574='טבלת פרמטרים'!$D$3,2,0)+IF(M574='טבלת פרמטרים'!$J$4,2,IF(M574='טבלת פרמטרים'!$J$3,1,0))+IF(N574='טבלת פרמטרים'!$K$6,3,IF(OR(N574='טבלת פרמטרים'!$K$4,N574='טבלת פרמטרים'!$K$5),2,IF(N574='טבלת פרמטרים'!$K$3,1,0))))</f>
        <v>5</v>
      </c>
      <c r="Q574" s="20" t="s">
        <v>123</v>
      </c>
      <c r="R574" s="19">
        <f t="shared" si="13"/>
        <v>5</v>
      </c>
      <c r="T574" s="19">
        <f>IF(EXACT(Q574,'טבלת פרמטרים'!$O$2),'טבלת פרמטרים'!$P$2,IF(EXACT(Q574,'טבלת פרמטרים'!$O$3),'טבלת פרמטרים'!$P$3,IF(EXACT(Q574,'טבלת פרמטרים'!$O$4),'טבלת פרמטרים'!$P$4,IF(EXACT(Q574,'טבלת פרמטרים'!$O$5),'טבלת פרמטרים'!$P$5,IF(EXACT(Q574,'טבלת פרמטרים'!$O$6),'טבלת פרמטרים'!$P$6,IF(EXACT(Q574,'טבלת פרמטרים'!$O$7),'טבלת פרמטרים'!$P$7,""))))))</f>
        <v>0</v>
      </c>
    </row>
    <row r="575" spans="1:20" x14ac:dyDescent="0.2">
      <c r="A575" s="18">
        <v>575</v>
      </c>
      <c r="C575" s="30">
        <v>45216</v>
      </c>
      <c r="D575" s="21" t="s">
        <v>10</v>
      </c>
      <c r="E575" s="21" t="s">
        <v>20</v>
      </c>
      <c r="F575" s="21" t="s">
        <v>23</v>
      </c>
      <c r="G575" s="21" t="s">
        <v>26</v>
      </c>
      <c r="H575" s="21" t="s">
        <v>31</v>
      </c>
      <c r="I575" s="21" t="s">
        <v>126</v>
      </c>
      <c r="J575" s="21" t="s">
        <v>11</v>
      </c>
      <c r="N575" s="21" t="s">
        <v>58</v>
      </c>
      <c r="O575" s="19">
        <f>IF(ISBLANK(D575),"",IF(D575='טבלת פרמטרים'!$A$9,1,0)+IF(E575='טבלת פרמטרים'!$B$5,2,1)+IF(F575='טבלת פרמטרים'!$C$5,3,IF(F575='טבלת פרמטרים'!$C$4,1,0))+IF(G575='טבלת פרמטרים'!$D$3,2,0)+IF(M575='טבלת פרמטרים'!$J$4,2,IF(M575='טבלת פרמטרים'!$J$3,1,0))+IF(N575='טבלת פרמטרים'!$K$6,3,IF(OR(N575='טבלת פרמטרים'!$K$4,N575='טבלת פרמטרים'!$K$5),2,IF(N575='טבלת פרמטרים'!$K$3,1,0))))</f>
        <v>2</v>
      </c>
      <c r="Q575" s="20" t="s">
        <v>123</v>
      </c>
      <c r="R575" s="19">
        <f t="shared" si="13"/>
        <v>2</v>
      </c>
      <c r="T575" s="19">
        <f>IF(EXACT(Q575,'טבלת פרמטרים'!$O$2),'טבלת פרמטרים'!$P$2,IF(EXACT(Q575,'טבלת פרמטרים'!$O$3),'טבלת פרמטרים'!$P$3,IF(EXACT(Q575,'טבלת פרמטרים'!$O$4),'טבלת פרמטרים'!$P$4,IF(EXACT(Q575,'טבלת פרמטרים'!$O$5),'טבלת פרמטרים'!$P$5,IF(EXACT(Q575,'טבלת פרמטרים'!$O$6),'טבלת פרמטרים'!$P$6,IF(EXACT(Q575,'טבלת פרמטרים'!$O$7),'טבלת פרמטרים'!$P$7,""))))))</f>
        <v>0</v>
      </c>
    </row>
    <row r="576" spans="1:20" x14ac:dyDescent="0.2">
      <c r="A576" s="18">
        <v>576</v>
      </c>
      <c r="B576" s="30">
        <v>45221</v>
      </c>
      <c r="C576" s="30">
        <v>45229</v>
      </c>
      <c r="D576" s="21" t="s">
        <v>11</v>
      </c>
      <c r="E576" s="21" t="s">
        <v>20</v>
      </c>
      <c r="F576" s="21" t="s">
        <v>23</v>
      </c>
      <c r="G576" s="21" t="s">
        <v>26</v>
      </c>
      <c r="H576" s="21" t="s">
        <v>32</v>
      </c>
      <c r="I576" s="21" t="s">
        <v>126</v>
      </c>
      <c r="J576" s="21" t="s">
        <v>11</v>
      </c>
      <c r="L576" s="21" t="s">
        <v>51</v>
      </c>
      <c r="M576" s="21" t="s">
        <v>55</v>
      </c>
      <c r="N576" s="21" t="s">
        <v>58</v>
      </c>
      <c r="O576" s="19">
        <f>IF(ISBLANK(D576),"",IF(D576='טבלת פרמטרים'!$A$9,1,0)+IF(E576='טבלת פרמטרים'!$B$5,2,1)+IF(F576='טבלת פרמטרים'!$C$5,3,IF(F576='טבלת פרמטרים'!$C$4,1,0))+IF(G576='טבלת פרמטרים'!$D$3,2,0)+IF(M576='טבלת פרמטרים'!$J$4,2,IF(M576='טבלת פרמטרים'!$J$3,1,0))+IF(N576='טבלת פרמטרים'!$K$6,3,IF(OR(N576='טבלת פרמטרים'!$K$4,N576='טבלת פרמטרים'!$K$5),2,IF(N576='טבלת פרמטרים'!$K$3,1,0))))</f>
        <v>4</v>
      </c>
      <c r="Q576" s="20" t="s">
        <v>123</v>
      </c>
      <c r="R576" s="19">
        <f t="shared" si="13"/>
        <v>4</v>
      </c>
      <c r="T576" s="19">
        <f>IF(EXACT(Q576,'טבלת פרמטרים'!$O$2),'טבלת פרמטרים'!$P$2,IF(EXACT(Q576,'טבלת פרמטרים'!$O$3),'טבלת פרמטרים'!$P$3,IF(EXACT(Q576,'טבלת פרמטרים'!$O$4),'טבלת פרמטרים'!$P$4,IF(EXACT(Q576,'טבלת פרמטרים'!$O$5),'טבלת פרמטרים'!$P$5,IF(EXACT(Q576,'טבלת פרמטרים'!$O$6),'טבלת פרמטרים'!$P$6,IF(EXACT(Q576,'טבלת פרמטרים'!$O$7),'טבלת פרמטרים'!$P$7,""))))))</f>
        <v>0</v>
      </c>
    </row>
    <row r="577" spans="1:20" x14ac:dyDescent="0.2">
      <c r="A577" s="18">
        <v>577</v>
      </c>
      <c r="B577" s="30">
        <v>45190</v>
      </c>
      <c r="C577" s="30">
        <v>45230</v>
      </c>
      <c r="D577" s="21" t="s">
        <v>10</v>
      </c>
      <c r="E577" s="21" t="s">
        <v>21</v>
      </c>
      <c r="F577" s="21" t="s">
        <v>23</v>
      </c>
      <c r="G577" s="21" t="s">
        <v>26</v>
      </c>
      <c r="H577" s="21" t="s">
        <v>30</v>
      </c>
      <c r="K577" s="21" t="s">
        <v>43</v>
      </c>
      <c r="L577" s="21" t="s">
        <v>49</v>
      </c>
      <c r="M577" s="21" t="s">
        <v>54</v>
      </c>
      <c r="N577" s="21" t="s">
        <v>58</v>
      </c>
      <c r="O577" s="19">
        <f>IF(ISBLANK(D577),"",IF(D577='טבלת פרמטרים'!$A$9,1,0)+IF(E577='טבלת פרמטרים'!$B$5,2,1)+IF(F577='טבלת פרמטרים'!$C$5,3,IF(F577='טבלת פרמטרים'!$C$4,1,0))+IF(G577='טבלת פרמטרים'!$D$3,2,0)+IF(M577='טבלת פרמטרים'!$J$4,2,IF(M577='טבלת פרמטרים'!$J$3,1,0))+IF(N577='טבלת פרמטרים'!$K$6,3,IF(OR(N577='טבלת פרמטרים'!$K$4,N577='טבלת פרמטרים'!$K$5),2,IF(N577='טבלת פרמטרים'!$K$3,1,0))))</f>
        <v>3</v>
      </c>
      <c r="Q577" s="20" t="s">
        <v>123</v>
      </c>
      <c r="R577" s="19">
        <f t="shared" si="13"/>
        <v>3</v>
      </c>
      <c r="T577" s="19">
        <f>IF(EXACT(Q577,'טבלת פרמטרים'!$O$2),'טבלת פרמטרים'!$P$2,IF(EXACT(Q577,'טבלת פרמטרים'!$O$3),'טבלת פרמטרים'!$P$3,IF(EXACT(Q577,'טבלת פרמטרים'!$O$4),'טבלת פרמטרים'!$P$4,IF(EXACT(Q577,'טבלת פרמטרים'!$O$5),'טבלת פרמטרים'!$P$5,IF(EXACT(Q577,'טבלת פרמטרים'!$O$6),'טבלת פרמטרים'!$P$6,IF(EXACT(Q577,'טבלת פרמטרים'!$O$7),'טבלת פרמטרים'!$P$7,""))))))</f>
        <v>0</v>
      </c>
    </row>
    <row r="578" spans="1:20" x14ac:dyDescent="0.2">
      <c r="A578" s="18">
        <v>578</v>
      </c>
      <c r="B578" s="30" t="s">
        <v>1368</v>
      </c>
      <c r="C578" s="30">
        <v>45235</v>
      </c>
      <c r="D578" s="21" t="s">
        <v>17</v>
      </c>
      <c r="E578" s="21" t="s">
        <v>22</v>
      </c>
      <c r="F578" s="21" t="s">
        <v>24</v>
      </c>
      <c r="G578" s="21" t="s">
        <v>27</v>
      </c>
      <c r="I578" s="21" t="s">
        <v>127</v>
      </c>
      <c r="J578" s="21" t="s">
        <v>40</v>
      </c>
      <c r="K578" s="21" t="s">
        <v>44</v>
      </c>
      <c r="L578" s="21" t="s">
        <v>51</v>
      </c>
      <c r="M578" s="21" t="s">
        <v>55</v>
      </c>
      <c r="N578" s="21" t="s">
        <v>59</v>
      </c>
      <c r="O578" s="19">
        <f>IF(ISBLANK(D578),"",IF(D578='טבלת פרמטרים'!$A$9,1,0)+IF(E578='טבלת פרמטרים'!$B$5,2,1)+IF(F578='טבלת פרמטרים'!$C$5,3,IF(F578='טבלת פרמטרים'!$C$4,1,0))+IF(G578='טבלת פרמטרים'!$D$3,2,0)+IF(M578='טבלת פרמטרים'!$J$4,2,IF(M578='טבלת פרמטרים'!$J$3,1,0))+IF(N578='טבלת פרמטרים'!$K$6,3,IF(OR(N578='טבלת פרמטרים'!$K$4,N578='טבלת פרמטרים'!$K$5),2,IF(N578='טבלת פרמטרים'!$K$3,1,0))))</f>
        <v>10</v>
      </c>
      <c r="Q578" s="20" t="s">
        <v>123</v>
      </c>
      <c r="R578" s="19">
        <f t="shared" si="13"/>
        <v>10</v>
      </c>
      <c r="T578" s="19">
        <f>IF(EXACT(Q578,'טבלת פרמטרים'!$O$2),'טבלת פרמטרים'!$P$2,IF(EXACT(Q578,'טבלת פרמטרים'!$O$3),'טבלת פרמטרים'!$P$3,IF(EXACT(Q578,'טבלת פרמטרים'!$O$4),'טבלת פרמטרים'!$P$4,IF(EXACT(Q578,'טבלת פרמטרים'!$O$5),'טבלת פרמטרים'!$P$5,IF(EXACT(Q578,'טבלת פרמטרים'!$O$6),'טבלת פרמטרים'!$P$6,IF(EXACT(Q578,'טבלת פרמטרים'!$O$7),'טבלת פרמטרים'!$P$7,""))))))</f>
        <v>0</v>
      </c>
    </row>
    <row r="579" spans="1:20" x14ac:dyDescent="0.2">
      <c r="A579" s="18">
        <v>579</v>
      </c>
      <c r="C579" s="30">
        <v>45237</v>
      </c>
      <c r="D579" s="21" t="s">
        <v>10</v>
      </c>
      <c r="E579" s="21" t="s">
        <v>111</v>
      </c>
      <c r="F579" s="21" t="s">
        <v>23</v>
      </c>
      <c r="G579" s="21" t="s">
        <v>26</v>
      </c>
      <c r="H579" s="21" t="s">
        <v>30</v>
      </c>
      <c r="J579" s="21" t="s">
        <v>42</v>
      </c>
      <c r="L579" s="21" t="s">
        <v>51</v>
      </c>
      <c r="M579" s="21" t="s">
        <v>54</v>
      </c>
      <c r="N579" s="21" t="s">
        <v>58</v>
      </c>
      <c r="O579" s="19">
        <f>IF(ISBLANK(D579),"",IF(D579='טבלת פרמטרים'!$A$9,1,0)+IF(E579='טבלת פרמטרים'!$B$5,2,1)+IF(F579='טבלת פרמטרים'!$C$5,3,IF(F579='טבלת פרמטרים'!$C$4,1,0))+IF(G579='טבלת פרמטרים'!$D$3,2,0)+IF(M579='טבלת פרמטרים'!$J$4,2,IF(M579='טבלת פרמטרים'!$J$3,1,0))+IF(N579='טבלת פרמטרים'!$K$6,3,IF(OR(N579='טבלת פרמטרים'!$K$4,N579='טבלת פרמטרים'!$K$5),2,IF(N579='טבלת פרמטרים'!$K$3,1,0))))</f>
        <v>3</v>
      </c>
      <c r="Q579" s="20" t="s">
        <v>123</v>
      </c>
      <c r="R579" s="19">
        <f t="shared" si="13"/>
        <v>3</v>
      </c>
      <c r="T579" s="19">
        <f>IF(EXACT(Q579,'טבלת פרמטרים'!$O$2),'טבלת פרמטרים'!$P$2,IF(EXACT(Q579,'טבלת פרמטרים'!$O$3),'טבלת פרמטרים'!$P$3,IF(EXACT(Q579,'טבלת פרמטרים'!$O$4),'טבלת פרמטרים'!$P$4,IF(EXACT(Q579,'טבלת פרמטרים'!$O$5),'טבלת פרמטרים'!$P$5,IF(EXACT(Q579,'טבלת פרמטרים'!$O$6),'טבלת פרמטרים'!$P$6,IF(EXACT(Q579,'טבלת פרמטרים'!$O$7),'טבלת פרמטרים'!$P$7,""))))))</f>
        <v>0</v>
      </c>
    </row>
    <row r="580" spans="1:20" x14ac:dyDescent="0.2">
      <c r="A580" s="18">
        <v>580</v>
      </c>
      <c r="B580" s="30">
        <v>45225</v>
      </c>
      <c r="C580" s="30">
        <v>45232</v>
      </c>
      <c r="D580" s="21" t="s">
        <v>10</v>
      </c>
      <c r="E580" s="21" t="s">
        <v>20</v>
      </c>
      <c r="F580" s="21" t="s">
        <v>23</v>
      </c>
      <c r="G580" s="21" t="s">
        <v>26</v>
      </c>
      <c r="H580" s="21" t="s">
        <v>29</v>
      </c>
      <c r="I580" s="21" t="s">
        <v>126</v>
      </c>
      <c r="J580" s="21" t="s">
        <v>41</v>
      </c>
      <c r="L580" s="21" t="s">
        <v>51</v>
      </c>
      <c r="M580" s="21" t="s">
        <v>53</v>
      </c>
      <c r="N580" s="21" t="s">
        <v>58</v>
      </c>
      <c r="O580" s="19">
        <f>IF(ISBLANK(D580),"",IF(D580='טבלת פרמטרים'!$A$9,1,0)+IF(E580='טבלת פרמטרים'!$B$5,2,1)+IF(F580='טבלת פרמטרים'!$C$5,3,IF(F580='טבלת פרמטרים'!$C$4,1,0))+IF(G580='טבלת פרמטרים'!$D$3,2,0)+IF(M580='טבלת פרמטרים'!$J$4,2,IF(M580='טבלת פרמטרים'!$J$3,1,0))+IF(N580='טבלת פרמטרים'!$K$6,3,IF(OR(N580='טבלת פרמטרים'!$K$4,N580='טבלת פרמטרים'!$K$5),2,IF(N580='טבלת פרמטרים'!$K$3,1,0))))</f>
        <v>2</v>
      </c>
      <c r="Q580" s="20" t="s">
        <v>123</v>
      </c>
      <c r="R580" s="19">
        <f t="shared" si="13"/>
        <v>2</v>
      </c>
      <c r="T580" s="19">
        <f>IF(EXACT(Q580,'טבלת פרמטרים'!$O$2),'טבלת פרמטרים'!$P$2,IF(EXACT(Q580,'טבלת פרמטרים'!$O$3),'טבלת פרמטרים'!$P$3,IF(EXACT(Q580,'טבלת פרמטרים'!$O$4),'טבלת פרמטרים'!$P$4,IF(EXACT(Q580,'טבלת פרמטרים'!$O$5),'טבלת פרמטרים'!$P$5,IF(EXACT(Q580,'טבלת פרמטרים'!$O$6),'טבלת פרמטרים'!$P$6,IF(EXACT(Q580,'טבלת פרמטרים'!$O$7),'טבלת פרמטרים'!$P$7,""))))))</f>
        <v>0</v>
      </c>
    </row>
    <row r="581" spans="1:20" x14ac:dyDescent="0.2">
      <c r="A581" s="18">
        <v>581</v>
      </c>
      <c r="C581" s="30">
        <v>45246</v>
      </c>
      <c r="D581" s="21" t="s">
        <v>17</v>
      </c>
      <c r="E581" s="21" t="s">
        <v>21</v>
      </c>
      <c r="F581" s="21" t="s">
        <v>23</v>
      </c>
      <c r="G581" s="21" t="s">
        <v>26</v>
      </c>
      <c r="H581" s="21" t="s">
        <v>30</v>
      </c>
      <c r="I581" s="21" t="s">
        <v>126</v>
      </c>
      <c r="J581" s="21" t="s">
        <v>33</v>
      </c>
      <c r="K581" s="21" t="s">
        <v>45</v>
      </c>
      <c r="L581" s="21" t="s">
        <v>51</v>
      </c>
      <c r="M581" s="21" t="s">
        <v>54</v>
      </c>
      <c r="N581" s="21" t="s">
        <v>59</v>
      </c>
      <c r="O581" s="19">
        <f>IF(ISBLANK(D581),"",IF(D581='טבלת פרמטרים'!$A$9,1,0)+IF(E581='טבלת פרמטרים'!$B$5,2,1)+IF(F581='טבלת פרמטרים'!$C$5,3,IF(F581='טבלת פרמטרים'!$C$4,1,0))+IF(G581='טבלת פרמטרים'!$D$3,2,0)+IF(M581='טבלת פרמטרים'!$J$4,2,IF(M581='טבלת פרמטרים'!$J$3,1,0))+IF(N581='טבלת פרמטרים'!$K$6,3,IF(OR(N581='טבלת פרמטרים'!$K$4,N581='טבלת פרמטרים'!$K$5),2,IF(N581='טבלת פרמטרים'!$K$3,1,0))))</f>
        <v>5</v>
      </c>
      <c r="Q581" s="20" t="s">
        <v>123</v>
      </c>
      <c r="R581" s="19">
        <f t="shared" si="13"/>
        <v>5</v>
      </c>
      <c r="T581" s="19">
        <f>IF(EXACT(Q581,'טבלת פרמטרים'!$O$2),'טבלת פרמטרים'!$P$2,IF(EXACT(Q581,'טבלת פרמטרים'!$O$3),'טבלת פרמטרים'!$P$3,IF(EXACT(Q581,'טבלת פרמטרים'!$O$4),'טבלת פרמטרים'!$P$4,IF(EXACT(Q581,'טבלת פרמטרים'!$O$5),'טבלת פרמטרים'!$P$5,IF(EXACT(Q581,'טבלת פרמטרים'!$O$6),'טבלת פרמטרים'!$P$6,IF(EXACT(Q581,'טבלת פרמטרים'!$O$7),'טבלת פרמטרים'!$P$7,""))))))</f>
        <v>0</v>
      </c>
    </row>
    <row r="582" spans="1:20" x14ac:dyDescent="0.2">
      <c r="A582" s="18">
        <v>582</v>
      </c>
      <c r="B582" s="30">
        <v>45215</v>
      </c>
      <c r="C582" s="30">
        <v>45252</v>
      </c>
      <c r="D582" s="21" t="s">
        <v>18</v>
      </c>
      <c r="E582" s="21" t="s">
        <v>20</v>
      </c>
      <c r="F582" s="21" t="s">
        <v>23</v>
      </c>
      <c r="G582" s="21" t="s">
        <v>26</v>
      </c>
      <c r="H582" s="21" t="s">
        <v>30</v>
      </c>
      <c r="I582" s="21" t="s">
        <v>127</v>
      </c>
      <c r="J582" s="21" t="s">
        <v>40</v>
      </c>
      <c r="K582" s="21" t="s">
        <v>43</v>
      </c>
      <c r="L582" s="21" t="s">
        <v>51</v>
      </c>
      <c r="M582" s="21" t="s">
        <v>54</v>
      </c>
      <c r="N582" s="21" t="s">
        <v>59</v>
      </c>
      <c r="O582" s="19">
        <f>IF(ISBLANK(D582),"",IF(D582='טבלת פרמטרים'!$A$9,1,0)+IF(E582='טבלת פרמטרים'!$B$5,2,1)+IF(F582='טבלת פרמטרים'!$C$5,3,IF(F582='טבלת פרמטרים'!$C$4,1,0))+IF(G582='טבלת פרמטרים'!$D$3,2,0)+IF(M582='טבלת פרמטרים'!$J$4,2,IF(M582='טבלת פרמטרים'!$J$3,1,0))+IF(N582='טבלת פרמטרים'!$K$6,3,IF(OR(N582='טבלת פרמטרים'!$K$4,N582='טבלת פרמטרים'!$K$5),2,IF(N582='טבלת פרמטרים'!$K$3,1,0))))</f>
        <v>4</v>
      </c>
      <c r="Q582" s="20" t="s">
        <v>123</v>
      </c>
      <c r="R582" s="19">
        <f t="shared" si="13"/>
        <v>4</v>
      </c>
      <c r="T582" s="19">
        <f>IF(EXACT(Q582,'טבלת פרמטרים'!$O$2),'טבלת פרמטרים'!$P$2,IF(EXACT(Q582,'טבלת פרמטרים'!$O$3),'טבלת פרמטרים'!$P$3,IF(EXACT(Q582,'טבלת פרמטרים'!$O$4),'טבלת פרמטרים'!$P$4,IF(EXACT(Q582,'טבלת פרמטרים'!$O$5),'טבלת פרמטרים'!$P$5,IF(EXACT(Q582,'טבלת פרמטרים'!$O$6),'טבלת פרמטרים'!$P$6,IF(EXACT(Q582,'טבלת פרמטרים'!$O$7),'טבלת פרמטרים'!$P$7,""))))))</f>
        <v>0</v>
      </c>
    </row>
    <row r="583" spans="1:20" x14ac:dyDescent="0.2">
      <c r="A583" s="18">
        <v>583</v>
      </c>
      <c r="C583" s="30">
        <v>45252</v>
      </c>
      <c r="D583" s="21" t="s">
        <v>10</v>
      </c>
      <c r="E583" s="21" t="s">
        <v>20</v>
      </c>
      <c r="F583" s="21" t="s">
        <v>23</v>
      </c>
      <c r="G583" s="21" t="s">
        <v>26</v>
      </c>
      <c r="H583" s="21" t="s">
        <v>31</v>
      </c>
      <c r="I583" s="21" t="s">
        <v>127</v>
      </c>
      <c r="K583" s="21" t="s">
        <v>46</v>
      </c>
      <c r="L583" s="21" t="s">
        <v>50</v>
      </c>
      <c r="M583" s="21" t="s">
        <v>54</v>
      </c>
      <c r="N583" s="21" t="s">
        <v>59</v>
      </c>
      <c r="O583" s="19">
        <f>IF(ISBLANK(D583),"",IF(D583='טבלת פרמטרים'!$A$9,1,0)+IF(E583='טבלת פרמטרים'!$B$5,2,1)+IF(F583='טבלת פרמטרים'!$C$5,3,IF(F583='טבלת פרמטרים'!$C$4,1,0))+IF(G583='טבלת פרמטרים'!$D$3,2,0)+IF(M583='טבלת פרמטרים'!$J$4,2,IF(M583='טבלת פרמטרים'!$J$3,1,0))+IF(N583='טבלת פרמטרים'!$K$6,3,IF(OR(N583='טבלת פרמטרים'!$K$4,N583='טבלת פרמטרים'!$K$5),2,IF(N583='טבלת פרמטרים'!$K$3,1,0))))</f>
        <v>4</v>
      </c>
      <c r="Q583" s="20" t="s">
        <v>123</v>
      </c>
      <c r="R583" s="19">
        <f t="shared" si="13"/>
        <v>4</v>
      </c>
      <c r="T583" s="19">
        <f>IF(EXACT(Q583,'טבלת פרמטרים'!$O$2),'טבלת פרמטרים'!$P$2,IF(EXACT(Q583,'טבלת פרמטרים'!$O$3),'טבלת פרמטרים'!$P$3,IF(EXACT(Q583,'טבלת פרמטרים'!$O$4),'טבלת פרמטרים'!$P$4,IF(EXACT(Q583,'טבלת פרמטרים'!$O$5),'טבלת פרמטרים'!$P$5,IF(EXACT(Q583,'טבלת פרמטרים'!$O$6),'טבלת פרמטרים'!$P$6,IF(EXACT(Q583,'טבלת פרמטרים'!$O$7),'טבלת פרמטרים'!$P$7,""))))))</f>
        <v>0</v>
      </c>
    </row>
    <row r="584" spans="1:20" x14ac:dyDescent="0.2">
      <c r="A584" s="18">
        <v>584</v>
      </c>
      <c r="B584" s="30">
        <v>45258</v>
      </c>
      <c r="C584" s="30">
        <v>45258</v>
      </c>
      <c r="D584" s="21" t="s">
        <v>14</v>
      </c>
      <c r="E584" s="21" t="s">
        <v>21</v>
      </c>
      <c r="F584" s="21" t="s">
        <v>23</v>
      </c>
      <c r="G584" s="21" t="s">
        <v>27</v>
      </c>
      <c r="H584" s="21" t="s">
        <v>30</v>
      </c>
      <c r="I584" s="21" t="s">
        <v>126</v>
      </c>
      <c r="J584" s="21" t="s">
        <v>35</v>
      </c>
      <c r="K584" s="21" t="s">
        <v>44</v>
      </c>
      <c r="L584" s="21" t="s">
        <v>51</v>
      </c>
      <c r="M584" s="21" t="s">
        <v>54</v>
      </c>
      <c r="N584" s="21" t="s">
        <v>59</v>
      </c>
      <c r="O584" s="19">
        <f>IF(ISBLANK(D584),"",IF(D584='טבלת פרמטרים'!$A$9,1,0)+IF(E584='טבלת פרמטרים'!$B$5,2,1)+IF(F584='טבלת פרמטרים'!$C$5,3,IF(F584='טבלת פרמטרים'!$C$4,1,0))+IF(G584='טבלת פרמטרים'!$D$3,2,0)+IF(M584='טבלת פרמטרים'!$J$4,2,IF(M584='טבלת פרמטרים'!$J$3,1,0))+IF(N584='טבלת פרמטרים'!$K$6,3,IF(OR(N584='טבלת פרמטרים'!$K$4,N584='טבלת פרמטרים'!$K$5),2,IF(N584='טבלת פרמטרים'!$K$3,1,0))))</f>
        <v>6</v>
      </c>
      <c r="Q584" s="20" t="s">
        <v>123</v>
      </c>
      <c r="R584" s="19">
        <f t="shared" si="13"/>
        <v>6</v>
      </c>
      <c r="T584" s="19">
        <f>IF(EXACT(Q584,'טבלת פרמטרים'!$O$2),'טבלת פרמטרים'!$P$2,IF(EXACT(Q584,'טבלת פרמטרים'!$O$3),'טבלת פרמטרים'!$P$3,IF(EXACT(Q584,'טבלת פרמטרים'!$O$4),'טבלת פרמטרים'!$P$4,IF(EXACT(Q584,'טבלת פרמטרים'!$O$5),'טבלת פרמטרים'!$P$5,IF(EXACT(Q584,'טבלת פרמטרים'!$O$6),'טבלת פרמטרים'!$P$6,IF(EXACT(Q584,'טבלת פרמטרים'!$O$7),'טבלת פרמטרים'!$P$7,""))))))</f>
        <v>0</v>
      </c>
    </row>
    <row r="585" spans="1:20" x14ac:dyDescent="0.2">
      <c r="A585" s="18">
        <v>585</v>
      </c>
      <c r="C585" s="30">
        <v>45266</v>
      </c>
      <c r="D585" s="21" t="s">
        <v>10</v>
      </c>
      <c r="E585" s="21" t="s">
        <v>111</v>
      </c>
      <c r="F585" s="21" t="s">
        <v>23</v>
      </c>
      <c r="G585" s="21" t="s">
        <v>26</v>
      </c>
      <c r="H585" s="21" t="s">
        <v>30</v>
      </c>
      <c r="L585" s="21" t="s">
        <v>51</v>
      </c>
      <c r="M585" s="21" t="s">
        <v>53</v>
      </c>
      <c r="N585" s="21" t="s">
        <v>58</v>
      </c>
      <c r="O585" s="19">
        <f>IF(ISBLANK(D585),"",IF(D585='טבלת פרמטרים'!$A$9,1,0)+IF(E585='טבלת פרמטרים'!$B$5,2,1)+IF(F585='טבלת פרמטרים'!$C$5,3,IF(F585='טבלת פרמטרים'!$C$4,1,0))+IF(G585='טבלת פרמטרים'!$D$3,2,0)+IF(M585='טבלת פרמטרים'!$J$4,2,IF(M585='טבלת פרמטרים'!$J$3,1,0))+IF(N585='טבלת פרמטרים'!$K$6,3,IF(OR(N585='טבלת פרמטרים'!$K$4,N585='טבלת פרמטרים'!$K$5),2,IF(N585='טבלת פרמטרים'!$K$3,1,0))))</f>
        <v>2</v>
      </c>
      <c r="Q585" s="20" t="s">
        <v>123</v>
      </c>
      <c r="R585" s="19">
        <f t="shared" si="13"/>
        <v>2</v>
      </c>
      <c r="T585" s="19">
        <f>IF(EXACT(Q585,'טבלת פרמטרים'!$O$2),'טבלת פרמטרים'!$P$2,IF(EXACT(Q585,'טבלת פרמטרים'!$O$3),'טבלת פרמטרים'!$P$3,IF(EXACT(Q585,'טבלת פרמטרים'!$O$4),'טבלת פרמטרים'!$P$4,IF(EXACT(Q585,'טבלת פרמטרים'!$O$5),'טבלת פרמטרים'!$P$5,IF(EXACT(Q585,'טבלת פרמטרים'!$O$6),'טבלת פרמטרים'!$P$6,IF(EXACT(Q585,'טבלת פרמטרים'!$O$7),'טבלת פרמטרים'!$P$7,""))))))</f>
        <v>0</v>
      </c>
    </row>
    <row r="586" spans="1:20" x14ac:dyDescent="0.2">
      <c r="A586" s="18">
        <v>586</v>
      </c>
      <c r="C586" s="30">
        <v>45272</v>
      </c>
      <c r="D586" s="21" t="s">
        <v>10</v>
      </c>
      <c r="E586" s="21" t="s">
        <v>20</v>
      </c>
      <c r="F586" s="21" t="s">
        <v>23</v>
      </c>
      <c r="G586" s="21" t="s">
        <v>26</v>
      </c>
      <c r="H586" s="21" t="s">
        <v>31</v>
      </c>
      <c r="J586" s="21" t="s">
        <v>42</v>
      </c>
      <c r="K586" s="21" t="s">
        <v>44</v>
      </c>
      <c r="L586" s="21" t="s">
        <v>51</v>
      </c>
      <c r="M586" s="21" t="s">
        <v>54</v>
      </c>
      <c r="N586" s="21" t="s">
        <v>57</v>
      </c>
      <c r="O586" s="19">
        <f>IF(ISBLANK(D586),"",IF(D586='טבלת פרמטרים'!$A$9,1,0)+IF(E586='טבלת פרמטרים'!$B$5,2,1)+IF(F586='טבלת פרמטרים'!$C$5,3,IF(F586='טבלת פרמטרים'!$C$4,1,0))+IF(G586='טבלת פרמטרים'!$D$3,2,0)+IF(M586='טבלת פרמטרים'!$J$4,2,IF(M586='טבלת פרמטרים'!$J$3,1,0))+IF(N586='טבלת פרמטרים'!$K$6,3,IF(OR(N586='טבלת פרמטרים'!$K$4,N586='טבלת פרמטרים'!$K$5),2,IF(N586='טבלת פרמטרים'!$K$3,1,0))))</f>
        <v>2</v>
      </c>
      <c r="Q586" s="20" t="s">
        <v>123</v>
      </c>
      <c r="R586" s="19">
        <f t="shared" si="13"/>
        <v>2</v>
      </c>
      <c r="T586" s="19">
        <f>IF(EXACT(Q586,'טבלת פרמטרים'!$O$2),'טבלת פרמטרים'!$P$2,IF(EXACT(Q586,'טבלת פרמטרים'!$O$3),'טבלת פרמטרים'!$P$3,IF(EXACT(Q586,'טבלת פרמטרים'!$O$4),'טבלת פרמטרים'!$P$4,IF(EXACT(Q586,'טבלת פרמטרים'!$O$5),'טבלת פרמטרים'!$P$5,IF(EXACT(Q586,'טבלת פרמטרים'!$O$6),'טבלת פרמטרים'!$P$6,IF(EXACT(Q586,'טבלת פרמטרים'!$O$7),'טבלת פרמטרים'!$P$7,""))))))</f>
        <v>0</v>
      </c>
    </row>
    <row r="587" spans="1:20" x14ac:dyDescent="0.2">
      <c r="A587" s="18">
        <v>587</v>
      </c>
      <c r="B587" s="30">
        <v>45299</v>
      </c>
      <c r="C587" s="30">
        <v>45299</v>
      </c>
      <c r="D587" s="21" t="s">
        <v>17</v>
      </c>
      <c r="E587" s="21" t="s">
        <v>111</v>
      </c>
      <c r="F587" s="21" t="s">
        <v>23</v>
      </c>
      <c r="G587" s="21" t="s">
        <v>26</v>
      </c>
      <c r="H587" s="21" t="s">
        <v>29</v>
      </c>
      <c r="I587" s="21" t="s">
        <v>126</v>
      </c>
      <c r="J587" s="21" t="s">
        <v>33</v>
      </c>
      <c r="K587" s="21" t="s">
        <v>906</v>
      </c>
      <c r="L587" s="21" t="s">
        <v>51</v>
      </c>
      <c r="M587" s="21" t="s">
        <v>53</v>
      </c>
      <c r="N587" s="21" t="s">
        <v>58</v>
      </c>
      <c r="O587" s="19">
        <f>IF(ISBLANK(D587),"",IF(D587='טבלת פרמטרים'!$A$9,1,0)+IF(E587='טבלת פרמטרים'!$B$5,2,1)+IF(F587='טבלת פרמטרים'!$C$5,3,IF(F587='טבלת פרמטרים'!$C$4,1,0))+IF(G587='טבלת פרמטרים'!$D$3,2,0)+IF(M587='טבלת פרמטרים'!$J$4,2,IF(M587='טבלת פרמטרים'!$J$3,1,0))+IF(N587='טבלת פרמטרים'!$K$6,3,IF(OR(N587='טבלת פרמטרים'!$K$4,N587='טבלת פרמטרים'!$K$5),2,IF(N587='טבלת פרמטרים'!$K$3,1,0))))</f>
        <v>3</v>
      </c>
      <c r="Q587" s="20" t="s">
        <v>123</v>
      </c>
      <c r="R587" s="19">
        <f t="shared" si="13"/>
        <v>3</v>
      </c>
      <c r="T587" s="19">
        <f>IF(EXACT(Q587,'טבלת פרמטרים'!$O$2),'טבלת פרמטרים'!$P$2,IF(EXACT(Q587,'טבלת פרמטרים'!$O$3),'טבלת פרמטרים'!$P$3,IF(EXACT(Q587,'טבלת פרמטרים'!$O$4),'טבלת פרמטרים'!$P$4,IF(EXACT(Q587,'טבלת פרמטרים'!$O$5),'טבלת פרמטרים'!$P$5,IF(EXACT(Q587,'טבלת פרמטרים'!$O$6),'טבלת פרמטרים'!$P$6,IF(EXACT(Q587,'טבלת פרמטרים'!$O$7),'טבלת פרמטרים'!$P$7,""))))))</f>
        <v>0</v>
      </c>
    </row>
    <row r="588" spans="1:20" x14ac:dyDescent="0.2">
      <c r="A588" s="18">
        <v>588</v>
      </c>
      <c r="C588" s="30">
        <v>45323</v>
      </c>
      <c r="D588" s="21" t="s">
        <v>10</v>
      </c>
      <c r="E588" s="21" t="s">
        <v>111</v>
      </c>
      <c r="F588" s="21" t="s">
        <v>23</v>
      </c>
      <c r="G588" s="21" t="s">
        <v>26</v>
      </c>
      <c r="H588" s="21" t="s">
        <v>32</v>
      </c>
      <c r="M588" s="21" t="s">
        <v>53</v>
      </c>
      <c r="N588" s="21" t="s">
        <v>59</v>
      </c>
      <c r="O588" s="19">
        <f>IF(ISBLANK(D588),"",IF(D588='טבלת פרמטרים'!$A$9,1,0)+IF(E588='טבלת פרמטרים'!$B$5,2,1)+IF(F588='טבלת פרמטרים'!$C$5,3,IF(F588='טבלת פרמטרים'!$C$4,1,0))+IF(G588='טבלת פרמטרים'!$D$3,2,0)+IF(M588='טבלת פרמטרים'!$J$4,2,IF(M588='טבלת פרמטרים'!$J$3,1,0))+IF(N588='טבלת פרמטרים'!$K$6,3,IF(OR(N588='טבלת פרמטרים'!$K$4,N588='טבלת פרמטרים'!$K$5),2,IF(N588='טבלת פרמטרים'!$K$3,1,0))))</f>
        <v>3</v>
      </c>
      <c r="Q588" s="20" t="s">
        <v>123</v>
      </c>
      <c r="R588" s="19">
        <f t="shared" si="13"/>
        <v>3</v>
      </c>
      <c r="T588" s="19">
        <f>IF(EXACT(Q588,'טבלת פרמטרים'!$O$2),'טבלת פרמטרים'!$P$2,IF(EXACT(Q588,'טבלת פרמטרים'!$O$3),'טבלת פרמטרים'!$P$3,IF(EXACT(Q588,'טבלת פרמטרים'!$O$4),'טבלת פרמטרים'!$P$4,IF(EXACT(Q588,'טבלת פרמטרים'!$O$5),'טבלת פרמטרים'!$P$5,IF(EXACT(Q588,'טבלת פרמטרים'!$O$6),'טבלת פרמטרים'!$P$6,IF(EXACT(Q588,'טבלת פרמטרים'!$O$7),'טבלת פרמטרים'!$P$7,""))))))</f>
        <v>0</v>
      </c>
    </row>
    <row r="589" spans="1:20" x14ac:dyDescent="0.2">
      <c r="A589" s="18">
        <v>589</v>
      </c>
      <c r="C589" s="30">
        <v>45330</v>
      </c>
      <c r="D589" s="21" t="s">
        <v>10</v>
      </c>
      <c r="E589" s="21" t="s">
        <v>111</v>
      </c>
      <c r="F589" s="21" t="s">
        <v>23</v>
      </c>
      <c r="G589" s="21" t="s">
        <v>26</v>
      </c>
      <c r="H589" s="21" t="s">
        <v>32</v>
      </c>
      <c r="M589" s="21" t="s">
        <v>53</v>
      </c>
      <c r="N589" s="21" t="s">
        <v>59</v>
      </c>
      <c r="O589" s="19">
        <f>IF(ISBLANK(D589),"",IF(D589='טבלת פרמטרים'!$A$9,1,0)+IF(E589='טבלת פרמטרים'!$B$5,2,1)+IF(F589='טבלת פרמטרים'!$C$5,3,IF(F589='טבלת פרמטרים'!$C$4,1,0))+IF(G589='טבלת פרמטרים'!$D$3,2,0)+IF(M589='טבלת פרמטרים'!$J$4,2,IF(M589='טבלת פרמטרים'!$J$3,1,0))+IF(N589='טבלת פרמטרים'!$K$6,3,IF(OR(N589='טבלת פרמטרים'!$K$4,N589='טבלת פרמטרים'!$K$5),2,IF(N589='טבלת פרמטרים'!$K$3,1,0))))</f>
        <v>3</v>
      </c>
      <c r="Q589" s="20" t="s">
        <v>123</v>
      </c>
      <c r="R589" s="19">
        <f t="shared" si="13"/>
        <v>3</v>
      </c>
      <c r="T589" s="19">
        <f>IF(EXACT(Q589,'טבלת פרמטרים'!$O$2),'טבלת פרמטרים'!$P$2,IF(EXACT(Q589,'טבלת פרמטרים'!$O$3),'טבלת פרמטרים'!$P$3,IF(EXACT(Q589,'טבלת פרמטרים'!$O$4),'טבלת פרמטרים'!$P$4,IF(EXACT(Q589,'טבלת פרמטרים'!$O$5),'טבלת פרמטרים'!$P$5,IF(EXACT(Q589,'טבלת פרמטרים'!$O$6),'טבלת פרמטרים'!$P$6,IF(EXACT(Q589,'טבלת פרמטרים'!$O$7),'טבלת פרמטרים'!$P$7,""))))))</f>
        <v>0</v>
      </c>
    </row>
    <row r="590" spans="1:20" x14ac:dyDescent="0.2">
      <c r="A590" s="18">
        <v>590</v>
      </c>
      <c r="C590" s="30">
        <v>45342</v>
      </c>
      <c r="D590" s="21" t="s">
        <v>10</v>
      </c>
      <c r="E590" s="21" t="s">
        <v>20</v>
      </c>
      <c r="F590" s="21" t="s">
        <v>23</v>
      </c>
      <c r="G590" s="21" t="s">
        <v>26</v>
      </c>
      <c r="H590" s="21" t="s">
        <v>30</v>
      </c>
      <c r="J590" s="21" t="s">
        <v>42</v>
      </c>
      <c r="K590" s="21" t="s">
        <v>44</v>
      </c>
      <c r="L590" s="21" t="s">
        <v>51</v>
      </c>
      <c r="M590" s="21" t="s">
        <v>53</v>
      </c>
      <c r="N590" s="21" t="s">
        <v>58</v>
      </c>
      <c r="O590" s="19">
        <f>IF(ISBLANK(D590),"",IF(D590='טבלת פרמטרים'!$A$9,1,0)+IF(E590='טבלת פרמטרים'!$B$5,2,1)+IF(F590='טבלת פרמטרים'!$C$5,3,IF(F590='טבלת פרמטרים'!$C$4,1,0))+IF(G590='טבלת פרמטרים'!$D$3,2,0)+IF(M590='טבלת פרמטרים'!$J$4,2,IF(M590='טבלת פרמטרים'!$J$3,1,0))+IF(N590='טבלת פרמטרים'!$K$6,3,IF(OR(N590='טבלת פרמטרים'!$K$4,N590='טבלת פרמטרים'!$K$5),2,IF(N590='טבלת פרמטרים'!$K$3,1,0))))</f>
        <v>2</v>
      </c>
      <c r="Q590" s="20" t="s">
        <v>123</v>
      </c>
      <c r="R590" s="19">
        <f t="shared" si="13"/>
        <v>2</v>
      </c>
      <c r="T590" s="19">
        <f>IF(EXACT(Q590,'טבלת פרמטרים'!$O$2),'טבלת פרמטרים'!$P$2,IF(EXACT(Q590,'טבלת פרמטרים'!$O$3),'טבלת פרמטרים'!$P$3,IF(EXACT(Q590,'טבלת פרמטרים'!$O$4),'טבלת פרמטרים'!$P$4,IF(EXACT(Q590,'טבלת פרמטרים'!$O$5),'טבלת פרמטרים'!$P$5,IF(EXACT(Q590,'טבלת פרמטרים'!$O$6),'טבלת פרמטרים'!$P$6,IF(EXACT(Q590,'טבלת פרמטרים'!$O$7),'טבלת פרמטרים'!$P$7,""))))))</f>
        <v>0</v>
      </c>
    </row>
    <row r="591" spans="1:20" x14ac:dyDescent="0.2">
      <c r="A591" s="18">
        <v>591</v>
      </c>
      <c r="B591" s="30">
        <v>45319</v>
      </c>
      <c r="C591" s="30">
        <v>45342</v>
      </c>
      <c r="D591" s="21" t="s">
        <v>11</v>
      </c>
      <c r="E591" s="21" t="s">
        <v>20</v>
      </c>
      <c r="F591" s="21" t="s">
        <v>23</v>
      </c>
      <c r="G591" s="21" t="s">
        <v>26</v>
      </c>
      <c r="H591" s="21" t="s">
        <v>30</v>
      </c>
      <c r="J591" s="21" t="s">
        <v>42</v>
      </c>
      <c r="K591" s="21" t="s">
        <v>43</v>
      </c>
      <c r="L591" s="21" t="s">
        <v>51</v>
      </c>
      <c r="M591" s="21" t="s">
        <v>53</v>
      </c>
      <c r="N591" s="21" t="s">
        <v>58</v>
      </c>
      <c r="O591" s="19">
        <f>IF(ISBLANK(D591),"",IF(D591='טבלת פרמטרים'!$A$9,1,0)+IF(E591='טבלת פרמטרים'!$B$5,2,1)+IF(F591='טבלת פרמטרים'!$C$5,3,IF(F591='טבלת פרמטרים'!$C$4,1,0))+IF(G591='טבלת פרמטרים'!$D$3,2,0)+IF(M591='טבלת פרמטרים'!$J$4,2,IF(M591='טבלת פרמטרים'!$J$3,1,0))+IF(N591='טבלת פרמטרים'!$K$6,3,IF(OR(N591='טבלת פרמטרים'!$K$4,N591='טבלת פרמטרים'!$K$5),2,IF(N591='טבלת פרמטרים'!$K$3,1,0))))</f>
        <v>2</v>
      </c>
      <c r="Q591" s="20" t="s">
        <v>123</v>
      </c>
      <c r="R591" s="19">
        <f t="shared" si="13"/>
        <v>2</v>
      </c>
      <c r="T591" s="19">
        <f>IF(EXACT(Q591,'טבלת פרמטרים'!$O$2),'טבלת פרמטרים'!$P$2,IF(EXACT(Q591,'טבלת פרמטרים'!$O$3),'טבלת פרמטרים'!$P$3,IF(EXACT(Q591,'טבלת פרמטרים'!$O$4),'טבלת פרמטרים'!$P$4,IF(EXACT(Q591,'טבלת פרמטרים'!$O$5),'טבלת פרמטרים'!$P$5,IF(EXACT(Q591,'טבלת פרמטרים'!$O$6),'טבלת פרמטרים'!$P$6,IF(EXACT(Q591,'טבלת פרמטרים'!$O$7),'טבלת פרמטרים'!$P$7,""))))))</f>
        <v>0</v>
      </c>
    </row>
    <row r="592" spans="1:20" x14ac:dyDescent="0.2">
      <c r="A592" s="18">
        <v>592</v>
      </c>
      <c r="B592" s="30">
        <v>45326</v>
      </c>
      <c r="C592" s="30">
        <v>45347</v>
      </c>
      <c r="D592" s="21" t="s">
        <v>10</v>
      </c>
      <c r="E592" s="21" t="s">
        <v>111</v>
      </c>
      <c r="F592" s="21" t="s">
        <v>23</v>
      </c>
      <c r="G592" s="21" t="s">
        <v>26</v>
      </c>
      <c r="H592" s="21" t="s">
        <v>30</v>
      </c>
      <c r="K592" s="21" t="s">
        <v>46</v>
      </c>
      <c r="L592" s="21" t="s">
        <v>50</v>
      </c>
      <c r="M592" s="21" t="s">
        <v>54</v>
      </c>
      <c r="N592" s="21" t="s">
        <v>58</v>
      </c>
      <c r="O592" s="19">
        <f>IF(ISBLANK(D592),"",IF(D592='טבלת פרמטרים'!$A$9,1,0)+IF(E592='טבלת פרמטרים'!$B$5,2,1)+IF(F592='טבלת פרמטרים'!$C$5,3,IF(F592='טבלת פרמטרים'!$C$4,1,0))+IF(G592='טבלת פרמטרים'!$D$3,2,0)+IF(M592='טבלת פרמטרים'!$J$4,2,IF(M592='טבלת פרמטרים'!$J$3,1,0))+IF(N592='טבלת פרמטרים'!$K$6,3,IF(OR(N592='טבלת פרמטרים'!$K$4,N592='טבלת פרמטרים'!$K$5),2,IF(N592='טבלת פרמטרים'!$K$3,1,0))))</f>
        <v>3</v>
      </c>
      <c r="Q592" s="20" t="s">
        <v>123</v>
      </c>
      <c r="R592" s="19">
        <f t="shared" si="13"/>
        <v>3</v>
      </c>
      <c r="T592" s="19">
        <f>IF(EXACT(Q592,'טבלת פרמטרים'!$O$2),'טבלת פרמטרים'!$P$2,IF(EXACT(Q592,'טבלת פרמטרים'!$O$3),'טבלת פרמטרים'!$P$3,IF(EXACT(Q592,'טבלת פרמטרים'!$O$4),'טבלת פרמטרים'!$P$4,IF(EXACT(Q592,'טבלת פרמטרים'!$O$5),'טבלת פרמטרים'!$P$5,IF(EXACT(Q592,'טבלת פרמטרים'!$O$6),'טבלת פרמטרים'!$P$6,IF(EXACT(Q592,'טבלת פרמטרים'!$O$7),'טבלת פרמטרים'!$P$7,""))))))</f>
        <v>0</v>
      </c>
    </row>
    <row r="593" spans="1:20" x14ac:dyDescent="0.2">
      <c r="A593" s="18">
        <v>593</v>
      </c>
      <c r="B593" s="30">
        <v>45348</v>
      </c>
      <c r="C593" s="30">
        <v>45351</v>
      </c>
      <c r="D593" s="21" t="s">
        <v>10</v>
      </c>
      <c r="E593" s="21" t="s">
        <v>21</v>
      </c>
      <c r="F593" s="21" t="s">
        <v>23</v>
      </c>
      <c r="G593" s="21" t="s">
        <v>26</v>
      </c>
      <c r="H593" s="21" t="s">
        <v>31</v>
      </c>
      <c r="I593" s="21" t="s">
        <v>126</v>
      </c>
      <c r="J593" s="21" t="s">
        <v>11</v>
      </c>
      <c r="L593" s="21" t="s">
        <v>49</v>
      </c>
      <c r="M593" s="21" t="s">
        <v>54</v>
      </c>
      <c r="N593" s="21" t="s">
        <v>112</v>
      </c>
      <c r="O593" s="19">
        <f>IF(ISBLANK(D593),"",IF(D593='טבלת פרמטרים'!$A$9,1,0)+IF(E593='טבלת פרמטרים'!$B$5,2,1)+IF(F593='טבלת פרמטרים'!$C$5,3,IF(F593='טבלת פרמטרים'!$C$4,1,0))+IF(G593='טבלת פרמטרים'!$D$3,2,0)+IF(M593='טבלת פרמטרים'!$J$4,2,IF(M593='טבלת פרמטרים'!$J$3,1,0))+IF(N593='טבלת פרמטרים'!$K$6,3,IF(OR(N593='טבלת פרמטרים'!$K$4,N593='טבלת פרמטרים'!$K$5),2,IF(N593='טבלת פרמטרים'!$K$3,1,0))))</f>
        <v>4</v>
      </c>
      <c r="Q593" s="20" t="s">
        <v>123</v>
      </c>
      <c r="R593" s="19">
        <f t="shared" si="13"/>
        <v>4</v>
      </c>
      <c r="T593" s="19">
        <f>IF(EXACT(Q593,'טבלת פרמטרים'!$O$2),'טבלת פרמטרים'!$P$2,IF(EXACT(Q593,'טבלת פרמטרים'!$O$3),'טבלת פרמטרים'!$P$3,IF(EXACT(Q593,'טבלת פרמטרים'!$O$4),'טבלת פרמטרים'!$P$4,IF(EXACT(Q593,'טבלת פרמטרים'!$O$5),'טבלת פרמטרים'!$P$5,IF(EXACT(Q593,'טבלת פרמטרים'!$O$6),'טבלת פרמטרים'!$P$6,IF(EXACT(Q593,'טבלת פרמטרים'!$O$7),'טבלת פרמטרים'!$P$7,""))))))</f>
        <v>0</v>
      </c>
    </row>
    <row r="594" spans="1:20" x14ac:dyDescent="0.2">
      <c r="A594" s="18">
        <v>594</v>
      </c>
      <c r="B594" s="30">
        <v>45348</v>
      </c>
      <c r="C594" s="30">
        <v>45348</v>
      </c>
      <c r="D594" s="21" t="s">
        <v>17</v>
      </c>
      <c r="E594" s="21" t="s">
        <v>21</v>
      </c>
      <c r="F594" s="21" t="s">
        <v>23</v>
      </c>
      <c r="G594" s="21" t="s">
        <v>26</v>
      </c>
      <c r="H594" s="21" t="s">
        <v>29</v>
      </c>
      <c r="J594" s="21" t="s">
        <v>41</v>
      </c>
      <c r="N594" s="21" t="s">
        <v>112</v>
      </c>
      <c r="O594" s="19">
        <f>IF(ISBLANK(D594),"",IF(D594='טבלת פרמטרים'!$A$9,1,0)+IF(E594='טבלת פרמטרים'!$B$5,2,1)+IF(F594='טבלת פרמטרים'!$C$5,3,IF(F594='טבלת פרמטרים'!$C$4,1,0))+IF(G594='טבלת פרמטרים'!$D$3,2,0)+IF(M594='טבלת פרמטרים'!$J$4,2,IF(M594='טבלת פרמטרים'!$J$3,1,0))+IF(N594='טבלת פרמטרים'!$K$6,3,IF(OR(N594='טבלת פרמטרים'!$K$4,N594='טבלת פרמטרים'!$K$5),2,IF(N594='טבלת פרמטרים'!$K$3,1,0))))</f>
        <v>4</v>
      </c>
      <c r="Q594" s="20" t="s">
        <v>123</v>
      </c>
      <c r="R594" s="19">
        <f t="shared" si="13"/>
        <v>4</v>
      </c>
      <c r="T594" s="19">
        <f>IF(EXACT(Q594,'טבלת פרמטרים'!$O$2),'טבלת פרמטרים'!$P$2,IF(EXACT(Q594,'טבלת פרמטרים'!$O$3),'טבלת פרמטרים'!$P$3,IF(EXACT(Q594,'טבלת פרמטרים'!$O$4),'טבלת פרמטרים'!$P$4,IF(EXACT(Q594,'טבלת פרמטרים'!$O$5),'טבלת פרמטרים'!$P$5,IF(EXACT(Q594,'טבלת פרמטרים'!$O$6),'טבלת פרמטרים'!$P$6,IF(EXACT(Q594,'טבלת פרמטרים'!$O$7),'טבלת פרמטרים'!$P$7,""))))))</f>
        <v>0</v>
      </c>
    </row>
    <row r="595" spans="1:20" x14ac:dyDescent="0.2">
      <c r="A595" s="18">
        <v>595</v>
      </c>
      <c r="B595" s="30">
        <v>45347</v>
      </c>
      <c r="C595" s="30">
        <v>45355</v>
      </c>
      <c r="D595" s="21" t="s">
        <v>19</v>
      </c>
      <c r="E595" s="21" t="s">
        <v>111</v>
      </c>
      <c r="F595" s="21" t="s">
        <v>23</v>
      </c>
      <c r="G595" s="21" t="s">
        <v>26</v>
      </c>
      <c r="H595" s="21" t="s">
        <v>29</v>
      </c>
      <c r="J595" s="21" t="s">
        <v>40</v>
      </c>
      <c r="N595" s="21" t="s">
        <v>59</v>
      </c>
      <c r="O595" s="19">
        <f>IF(ISBLANK(D595),"",IF(D595='טבלת פרמטרים'!$A$9,1,0)+IF(E595='טבלת פרמטרים'!$B$5,2,1)+IF(F595='טבלת פרמטרים'!$C$5,3,IF(F595='טבלת פרמטרים'!$C$4,1,0))+IF(G595='טבלת פרמטרים'!$D$3,2,0)+IF(M595='טבלת פרמטרים'!$J$4,2,IF(M595='טבלת פרמטרים'!$J$3,1,0))+IF(N595='טבלת פרמטרים'!$K$6,3,IF(OR(N595='טבלת פרמטרים'!$K$4,N595='טבלת פרמטרים'!$K$5),2,IF(N595='טבלת פרמטרים'!$K$3,1,0))))</f>
        <v>3</v>
      </c>
      <c r="Q595" s="20" t="s">
        <v>123</v>
      </c>
      <c r="R595" s="19">
        <f t="shared" si="13"/>
        <v>3</v>
      </c>
      <c r="T595" s="19">
        <f>IF(EXACT(Q595,'טבלת פרמטרים'!$O$2),'טבלת פרמטרים'!$P$2,IF(EXACT(Q595,'טבלת פרמטרים'!$O$3),'טבלת פרמטרים'!$P$3,IF(EXACT(Q595,'טבלת פרמטרים'!$O$4),'טבלת פרמטרים'!$P$4,IF(EXACT(Q595,'טבלת פרמטרים'!$O$5),'טבלת פרמטרים'!$P$5,IF(EXACT(Q595,'טבלת פרמטרים'!$O$6),'טבלת פרמטרים'!$P$6,IF(EXACT(Q595,'טבלת פרמטרים'!$O$7),'טבלת פרמטרים'!$P$7,""))))))</f>
        <v>0</v>
      </c>
    </row>
    <row r="596" spans="1:20" x14ac:dyDescent="0.2">
      <c r="A596" s="18">
        <v>596</v>
      </c>
      <c r="C596" s="30">
        <v>45356</v>
      </c>
      <c r="D596" s="21" t="s">
        <v>17</v>
      </c>
      <c r="E596" s="21" t="s">
        <v>21</v>
      </c>
      <c r="F596" s="21" t="s">
        <v>23</v>
      </c>
      <c r="G596" s="21" t="s">
        <v>26</v>
      </c>
      <c r="H596" s="21" t="s">
        <v>29</v>
      </c>
      <c r="J596" s="21" t="s">
        <v>41</v>
      </c>
      <c r="N596" s="21" t="s">
        <v>59</v>
      </c>
      <c r="O596" s="19">
        <f>IF(ISBLANK(D596),"",IF(D596='טבלת פרמטרים'!$A$9,1,0)+IF(E596='טבלת פרמטרים'!$B$5,2,1)+IF(F596='טבלת פרמטרים'!$C$5,3,IF(F596='טבלת פרמטרים'!$C$4,1,0))+IF(G596='טבלת פרמטרים'!$D$3,2,0)+IF(M596='טבלת פרמטרים'!$J$4,2,IF(M596='טבלת פרמטרים'!$J$3,1,0))+IF(N596='טבלת פרמטרים'!$K$6,3,IF(OR(N596='טבלת פרמטרים'!$K$4,N596='טבלת פרמטרים'!$K$5),2,IF(N596='טבלת פרמטרים'!$K$3,1,0))))</f>
        <v>4</v>
      </c>
      <c r="Q596" s="20" t="s">
        <v>123</v>
      </c>
      <c r="R596" s="19">
        <f t="shared" si="13"/>
        <v>4</v>
      </c>
      <c r="T596" s="19">
        <f>IF(EXACT(Q596,'טבלת פרמטרים'!$O$2),'טבלת פרמטרים'!$P$2,IF(EXACT(Q596,'טבלת פרמטרים'!$O$3),'טבלת פרמטרים'!$P$3,IF(EXACT(Q596,'טבלת פרמטרים'!$O$4),'טבלת פרמטרים'!$P$4,IF(EXACT(Q596,'טבלת פרמטרים'!$O$5),'טבלת פרמטרים'!$P$5,IF(EXACT(Q596,'טבלת פרמטרים'!$O$6),'טבלת פרמטרים'!$P$6,IF(EXACT(Q596,'טבלת פרמטרים'!$O$7),'טבלת פרמטרים'!$P$7,""))))))</f>
        <v>0</v>
      </c>
    </row>
    <row r="597" spans="1:20" x14ac:dyDescent="0.2">
      <c r="A597" s="18">
        <v>597</v>
      </c>
      <c r="C597" s="30">
        <v>45356</v>
      </c>
      <c r="D597" s="21" t="s">
        <v>17</v>
      </c>
      <c r="E597" s="21" t="s">
        <v>21</v>
      </c>
      <c r="F597" s="21" t="s">
        <v>23</v>
      </c>
      <c r="G597" s="21" t="s">
        <v>26</v>
      </c>
      <c r="H597" s="21" t="s">
        <v>29</v>
      </c>
      <c r="J597" s="21" t="s">
        <v>41</v>
      </c>
      <c r="N597" s="21" t="s">
        <v>59</v>
      </c>
      <c r="O597" s="19">
        <f>IF(ISBLANK(D597),"",IF(D597='טבלת פרמטרים'!$A$9,1,0)+IF(E597='טבלת פרמטרים'!$B$5,2,1)+IF(F597='טבלת פרמטרים'!$C$5,3,IF(F597='טבלת פרמטרים'!$C$4,1,0))+IF(G597='טבלת פרמטרים'!$D$3,2,0)+IF(M597='טבלת פרמטרים'!$J$4,2,IF(M597='טבלת פרמטרים'!$J$3,1,0))+IF(N597='טבלת פרמטרים'!$K$6,3,IF(OR(N597='טבלת פרמטרים'!$K$4,N597='טבלת פרמטרים'!$K$5),2,IF(N597='טבלת פרמטרים'!$K$3,1,0))))</f>
        <v>4</v>
      </c>
      <c r="Q597" s="20" t="s">
        <v>123</v>
      </c>
      <c r="R597" s="19">
        <f t="shared" si="13"/>
        <v>4</v>
      </c>
      <c r="T597" s="19">
        <f>IF(EXACT(Q597,'טבלת פרמטרים'!$O$2),'טבלת פרמטרים'!$P$2,IF(EXACT(Q597,'טבלת פרמטרים'!$O$3),'טבלת פרמטרים'!$P$3,IF(EXACT(Q597,'טבלת פרמטרים'!$O$4),'טבלת פרמטרים'!$P$4,IF(EXACT(Q597,'טבלת פרמטרים'!$O$5),'טבלת פרמטרים'!$P$5,IF(EXACT(Q597,'טבלת פרמטרים'!$O$6),'טבלת פרמטרים'!$P$6,IF(EXACT(Q597,'טבלת פרמטרים'!$O$7),'טבלת פרמטרים'!$P$7,""))))))</f>
        <v>0</v>
      </c>
    </row>
    <row r="598" spans="1:20" x14ac:dyDescent="0.2">
      <c r="A598" s="18">
        <v>598</v>
      </c>
      <c r="B598" s="30">
        <v>45356</v>
      </c>
      <c r="C598" s="30">
        <v>45357</v>
      </c>
      <c r="D598" s="21" t="s">
        <v>14</v>
      </c>
      <c r="E598" s="21" t="s">
        <v>111</v>
      </c>
      <c r="F598" s="21" t="s">
        <v>23</v>
      </c>
      <c r="G598" s="21" t="s">
        <v>26</v>
      </c>
      <c r="H598" s="21" t="s">
        <v>31</v>
      </c>
      <c r="M598" s="21" t="s">
        <v>55</v>
      </c>
      <c r="N598" s="21" t="s">
        <v>112</v>
      </c>
      <c r="O598" s="19">
        <f>IF(ISBLANK(D598),"",IF(D598='טבלת פרמטרים'!$A$9,1,0)+IF(E598='טבלת פרמטרים'!$B$5,2,1)+IF(F598='טבלת פרמטרים'!$C$5,3,IF(F598='טבלת פרמטרים'!$C$4,1,0))+IF(G598='טבלת פרמטרים'!$D$3,2,0)+IF(M598='טבלת פרמטרים'!$J$4,2,IF(M598='טבלת פרמטרים'!$J$3,1,0))+IF(N598='טבלת פרמטרים'!$K$6,3,IF(OR(N598='טבלת פרמטרים'!$K$4,N598='טבלת פרמטרים'!$K$5),2,IF(N598='טבלת פרמטרים'!$K$3,1,0))))</f>
        <v>5</v>
      </c>
      <c r="Q598" s="20" t="s">
        <v>123</v>
      </c>
      <c r="R598" s="19">
        <f t="shared" si="13"/>
        <v>5</v>
      </c>
      <c r="T598" s="19">
        <f>IF(EXACT(Q598,'טבלת פרמטרים'!$O$2),'טבלת פרמטרים'!$P$2,IF(EXACT(Q598,'טבלת פרמטרים'!$O$3),'טבלת פרמטרים'!$P$3,IF(EXACT(Q598,'טבלת פרמטרים'!$O$4),'טבלת פרמטרים'!$P$4,IF(EXACT(Q598,'טבלת פרמטרים'!$O$5),'טבלת פרמטרים'!$P$5,IF(EXACT(Q598,'טבלת פרמטרים'!$O$6),'טבלת פרמטרים'!$P$6,IF(EXACT(Q598,'טבלת פרמטרים'!$O$7),'טבלת פרמטרים'!$P$7,""))))))</f>
        <v>0</v>
      </c>
    </row>
    <row r="599" spans="1:20" x14ac:dyDescent="0.2">
      <c r="A599" s="18">
        <v>599</v>
      </c>
      <c r="C599" s="30">
        <v>45363</v>
      </c>
      <c r="D599" s="21" t="s">
        <v>10</v>
      </c>
      <c r="E599" s="21" t="s">
        <v>20</v>
      </c>
      <c r="F599" s="21" t="s">
        <v>23</v>
      </c>
      <c r="G599" s="21" t="s">
        <v>26</v>
      </c>
      <c r="H599" s="21" t="s">
        <v>31</v>
      </c>
      <c r="J599" s="21" t="s">
        <v>41</v>
      </c>
      <c r="K599" s="21" t="s">
        <v>45</v>
      </c>
      <c r="L599" s="21" t="s">
        <v>51</v>
      </c>
      <c r="M599" s="21" t="s">
        <v>54</v>
      </c>
      <c r="N599" s="21" t="s">
        <v>112</v>
      </c>
      <c r="O599" s="19">
        <f>IF(ISBLANK(D599),"",IF(D599='טבלת פרמטרים'!$A$9,1,0)+IF(E599='טבלת פרמטרים'!$B$5,2,1)+IF(F599='טבלת פרמטרים'!$C$5,3,IF(F599='טבלת פרמטרים'!$C$4,1,0))+IF(G599='טבלת פרמטרים'!$D$3,2,0)+IF(M599='טבלת פרמטרים'!$J$4,2,IF(M599='טבלת פרמטרים'!$J$3,1,0))+IF(N599='טבלת פרמטרים'!$K$6,3,IF(OR(N599='טבלת פרמטרים'!$K$4,N599='טבלת פרמטרים'!$K$5),2,IF(N599='טבלת פרמטרים'!$K$3,1,0))))</f>
        <v>4</v>
      </c>
      <c r="Q599" s="20" t="s">
        <v>123</v>
      </c>
      <c r="R599" s="19">
        <f t="shared" si="13"/>
        <v>4</v>
      </c>
      <c r="T599" s="19">
        <f>IF(EXACT(Q599,'טבלת פרמטרים'!$O$2),'טבלת פרמטרים'!$P$2,IF(EXACT(Q599,'טבלת פרמטרים'!$O$3),'טבלת פרמטרים'!$P$3,IF(EXACT(Q599,'טבלת פרמטרים'!$O$4),'טבלת פרמטרים'!$P$4,IF(EXACT(Q599,'טבלת פרמטרים'!$O$5),'טבלת פרמטרים'!$P$5,IF(EXACT(Q599,'טבלת פרמטרים'!$O$6),'טבלת פרמטרים'!$P$6,IF(EXACT(Q599,'טבלת פרמטרים'!$O$7),'טבלת פרמטרים'!$P$7,""))))))</f>
        <v>0</v>
      </c>
    </row>
    <row r="600" spans="1:20" x14ac:dyDescent="0.2">
      <c r="A600" s="18">
        <v>600</v>
      </c>
      <c r="C600" s="30">
        <v>45364</v>
      </c>
      <c r="D600" s="21" t="s">
        <v>17</v>
      </c>
      <c r="E600" s="21" t="s">
        <v>21</v>
      </c>
      <c r="F600" s="21" t="s">
        <v>23</v>
      </c>
      <c r="G600" s="21" t="s">
        <v>26</v>
      </c>
      <c r="H600" s="21" t="s">
        <v>29</v>
      </c>
      <c r="I600" s="21" t="s">
        <v>127</v>
      </c>
      <c r="J600" s="21" t="s">
        <v>35</v>
      </c>
      <c r="K600" s="21" t="s">
        <v>44</v>
      </c>
      <c r="L600" s="21" t="s">
        <v>51</v>
      </c>
      <c r="M600" s="21" t="s">
        <v>53</v>
      </c>
      <c r="N600" s="21" t="s">
        <v>58</v>
      </c>
      <c r="O600" s="19">
        <f>IF(ISBLANK(D600),"",IF(D600='טבלת פרמטרים'!$A$9,1,0)+IF(E600='טבלת פרמטרים'!$B$5,2,1)+IF(F600='טבלת פרמטרים'!$C$5,3,IF(F600='טבלת פרמטרים'!$C$4,1,0))+IF(G600='טבלת פרמטרים'!$D$3,2,0)+IF(M600='טבלת פרמטרים'!$J$4,2,IF(M600='טבלת פרמטרים'!$J$3,1,0))+IF(N600='טבלת פרמטרים'!$K$6,3,IF(OR(N600='טבלת פרמטרים'!$K$4,N600='טבלת פרמטרים'!$K$5),2,IF(N600='טבלת פרמטרים'!$K$3,1,0))))</f>
        <v>3</v>
      </c>
      <c r="Q600" s="20" t="s">
        <v>123</v>
      </c>
      <c r="R600" s="19">
        <f t="shared" si="13"/>
        <v>3</v>
      </c>
      <c r="T600" s="19">
        <f>IF(EXACT(Q600,'טבלת פרמטרים'!$O$2),'טבלת פרמטרים'!$P$2,IF(EXACT(Q600,'טבלת פרמטרים'!$O$3),'טבלת פרמטרים'!$P$3,IF(EXACT(Q600,'טבלת פרמטרים'!$O$4),'טבלת פרמטרים'!$P$4,IF(EXACT(Q600,'טבלת פרמטרים'!$O$5),'טבלת פרמטרים'!$P$5,IF(EXACT(Q600,'טבלת פרמטרים'!$O$6),'טבלת פרמטרים'!$P$6,IF(EXACT(Q600,'טבלת פרמטרים'!$O$7),'טבלת פרמטרים'!$P$7,""))))))</f>
        <v>0</v>
      </c>
    </row>
    <row r="601" spans="1:20" x14ac:dyDescent="0.2">
      <c r="A601" s="18">
        <v>601</v>
      </c>
      <c r="C601" s="30">
        <v>45372</v>
      </c>
      <c r="D601" s="21" t="s">
        <v>11</v>
      </c>
      <c r="E601" s="21" t="s">
        <v>111</v>
      </c>
      <c r="F601" s="21" t="s">
        <v>23</v>
      </c>
      <c r="G601" s="21" t="s">
        <v>26</v>
      </c>
      <c r="H601" s="21" t="s">
        <v>31</v>
      </c>
      <c r="J601" s="21" t="s">
        <v>11</v>
      </c>
      <c r="L601" s="21" t="s">
        <v>51</v>
      </c>
      <c r="M601" s="21" t="s">
        <v>54</v>
      </c>
      <c r="N601" s="21" t="s">
        <v>57</v>
      </c>
      <c r="O601" s="19">
        <f>IF(ISBLANK(D601),"",IF(D601='טבלת פרמטרים'!$A$9,1,0)+IF(E601='טבלת פרמטרים'!$B$5,2,1)+IF(F601='טבלת פרמטרים'!$C$5,3,IF(F601='טבלת פרמטרים'!$C$4,1,0))+IF(G601='טבלת פרמטרים'!$D$3,2,0)+IF(M601='טבלת פרמטרים'!$J$4,2,IF(M601='טבלת פרמטרים'!$J$3,1,0))+IF(N601='טבלת פרמטרים'!$K$6,3,IF(OR(N601='טבלת פרמטרים'!$K$4,N601='טבלת פרמטרים'!$K$5),2,IF(N601='טבלת פרמטרים'!$K$3,1,0))))</f>
        <v>2</v>
      </c>
      <c r="Q601" s="20" t="s">
        <v>123</v>
      </c>
      <c r="R601" s="19">
        <f t="shared" si="13"/>
        <v>2</v>
      </c>
      <c r="T601" s="19">
        <f>IF(EXACT(Q601,'טבלת פרמטרים'!$O$2),'טבלת פרמטרים'!$P$2,IF(EXACT(Q601,'טבלת פרמטרים'!$O$3),'טבלת פרמטרים'!$P$3,IF(EXACT(Q601,'טבלת פרמטרים'!$O$4),'טבלת פרמטרים'!$P$4,IF(EXACT(Q601,'טבלת פרמטרים'!$O$5),'טבלת פרמטרים'!$P$5,IF(EXACT(Q601,'טבלת פרמטרים'!$O$6),'טבלת פרמטרים'!$P$6,IF(EXACT(Q601,'טבלת פרמטרים'!$O$7),'טבלת פרמטרים'!$P$7,""))))))</f>
        <v>0</v>
      </c>
    </row>
    <row r="602" spans="1:20" x14ac:dyDescent="0.2">
      <c r="A602" s="18">
        <v>602</v>
      </c>
      <c r="C602" s="30">
        <v>45375</v>
      </c>
      <c r="D602" s="21" t="s">
        <v>17</v>
      </c>
      <c r="E602" s="21" t="s">
        <v>20</v>
      </c>
      <c r="F602" s="21" t="s">
        <v>23</v>
      </c>
      <c r="G602" s="21" t="s">
        <v>26</v>
      </c>
      <c r="H602" s="21" t="s">
        <v>30</v>
      </c>
      <c r="I602" s="21" t="s">
        <v>126</v>
      </c>
      <c r="J602" s="21" t="s">
        <v>33</v>
      </c>
      <c r="K602" s="21" t="s">
        <v>906</v>
      </c>
      <c r="M602" s="21" t="s">
        <v>54</v>
      </c>
      <c r="N602" s="21" t="s">
        <v>58</v>
      </c>
      <c r="O602" s="19">
        <f>IF(ISBLANK(D602),"",IF(D602='טבלת פרמטרים'!$A$9,1,0)+IF(E602='טבלת פרמטרים'!$B$5,2,1)+IF(F602='טבלת פרמטרים'!$C$5,3,IF(F602='טבלת פרמטרים'!$C$4,1,0))+IF(G602='טבלת פרמטרים'!$D$3,2,0)+IF(M602='טבלת פרמטרים'!$J$4,2,IF(M602='טבלת פרמטרים'!$J$3,1,0))+IF(N602='טבלת פרמטרים'!$K$6,3,IF(OR(N602='טבלת פרמטרים'!$K$4,N602='טבלת פרמטרים'!$K$5),2,IF(N602='טבלת פרמטרים'!$K$3,1,0))))</f>
        <v>4</v>
      </c>
      <c r="Q602" s="20" t="s">
        <v>123</v>
      </c>
      <c r="R602" s="19">
        <f t="shared" si="13"/>
        <v>4</v>
      </c>
      <c r="T602" s="19">
        <f>IF(EXACT(Q602,'טבלת פרמטרים'!$O$2),'טבלת פרמטרים'!$P$2,IF(EXACT(Q602,'טבלת פרמטרים'!$O$3),'טבלת פרמטרים'!$P$3,IF(EXACT(Q602,'טבלת פרמטרים'!$O$4),'טבלת פרמטרים'!$P$4,IF(EXACT(Q602,'טבלת פרמטרים'!$O$5),'טבלת פרמטרים'!$P$5,IF(EXACT(Q602,'טבלת פרמטרים'!$O$6),'טבלת פרמטרים'!$P$6,IF(EXACT(Q602,'טבלת פרמטרים'!$O$7),'טבלת פרמטרים'!$P$7,""))))))</f>
        <v>0</v>
      </c>
    </row>
    <row r="603" spans="1:20" x14ac:dyDescent="0.2">
      <c r="A603" s="18">
        <v>603</v>
      </c>
      <c r="C603" s="30">
        <v>45384</v>
      </c>
      <c r="D603" s="21" t="s">
        <v>10</v>
      </c>
      <c r="E603" s="21" t="s">
        <v>20</v>
      </c>
      <c r="F603" s="21" t="s">
        <v>23</v>
      </c>
      <c r="G603" s="21" t="s">
        <v>26</v>
      </c>
      <c r="H603" s="21" t="s">
        <v>31</v>
      </c>
      <c r="J603" s="21" t="s">
        <v>11</v>
      </c>
      <c r="K603" s="21" t="s">
        <v>44</v>
      </c>
      <c r="M603" s="21" t="s">
        <v>54</v>
      </c>
      <c r="N603" s="21" t="s">
        <v>59</v>
      </c>
      <c r="O603" s="19">
        <f>IF(ISBLANK(D603),"",IF(D603='טבלת פרמטרים'!$A$9,1,0)+IF(E603='טבלת פרמטרים'!$B$5,2,1)+IF(F603='טבלת פרמטרים'!$C$5,3,IF(F603='טבלת פרמטרים'!$C$4,1,0))+IF(G603='טבלת פרמטרים'!$D$3,2,0)+IF(M603='טבלת פרמטרים'!$J$4,2,IF(M603='טבלת פרמטרים'!$J$3,1,0))+IF(N603='טבלת פרמטרים'!$K$6,3,IF(OR(N603='טבלת פרמטרים'!$K$4,N603='טבלת פרמטרים'!$K$5),2,IF(N603='טבלת פרמטרים'!$K$3,1,0))))</f>
        <v>4</v>
      </c>
      <c r="Q603" s="20" t="s">
        <v>123</v>
      </c>
      <c r="R603" s="19">
        <f t="shared" si="13"/>
        <v>4</v>
      </c>
      <c r="T603" s="19">
        <f>IF(EXACT(Q603,'טבלת פרמטרים'!$O$2),'טבלת פרמטרים'!$P$2,IF(EXACT(Q603,'טבלת פרמטרים'!$O$3),'טבלת פרמטרים'!$P$3,IF(EXACT(Q603,'טבלת פרמטרים'!$O$4),'טבלת פרמטרים'!$P$4,IF(EXACT(Q603,'טבלת פרמטרים'!$O$5),'טבלת פרמטרים'!$P$5,IF(EXACT(Q603,'טבלת פרמטרים'!$O$6),'טבלת פרמטרים'!$P$6,IF(EXACT(Q603,'טבלת פרמטרים'!$O$7),'טבלת פרמטרים'!$P$7,""))))))</f>
        <v>0</v>
      </c>
    </row>
    <row r="604" spans="1:20" ht="28.5" x14ac:dyDescent="0.2">
      <c r="A604" s="18">
        <v>604</v>
      </c>
      <c r="C604" s="30">
        <v>45384</v>
      </c>
      <c r="D604" s="21" t="s">
        <v>17</v>
      </c>
      <c r="E604" s="21" t="s">
        <v>22</v>
      </c>
      <c r="F604" s="21" t="s">
        <v>24</v>
      </c>
      <c r="G604" s="21" t="s">
        <v>27</v>
      </c>
      <c r="H604" s="21" t="s">
        <v>30</v>
      </c>
      <c r="J604" s="21" t="s">
        <v>35</v>
      </c>
      <c r="K604" s="21" t="s">
        <v>43</v>
      </c>
      <c r="L604" s="21" t="s">
        <v>51</v>
      </c>
      <c r="M604" s="21" t="s">
        <v>55</v>
      </c>
      <c r="N604" s="21" t="s">
        <v>112</v>
      </c>
      <c r="O604" s="19">
        <f>IF(ISBLANK(D604),"",IF(D604='טבלת פרמטרים'!$A$9,1,0)+IF(E604='טבלת פרמטרים'!$B$5,2,1)+IF(F604='טבלת פרמטרים'!$C$5,3,IF(F604='טבלת פרמטרים'!$C$4,1,0))+IF(G604='טבלת פרמטרים'!$D$3,2,0)+IF(M604='טבלת פרמטרים'!$J$4,2,IF(M604='טבלת פרמטרים'!$J$3,1,0))+IF(N604='טבלת פרמטרים'!$K$6,3,IF(OR(N604='טבלת פרמטרים'!$K$4,N604='טבלת פרמטרים'!$K$5),2,IF(N604='טבלת פרמטרים'!$K$3,1,0))))</f>
        <v>10</v>
      </c>
      <c r="Q604" s="20" t="s">
        <v>332</v>
      </c>
      <c r="R604" s="19">
        <f t="shared" si="13"/>
        <v>18</v>
      </c>
      <c r="T604" s="19">
        <f>IF(EXACT(Q604,'טבלת פרמטרים'!$O$2),'טבלת פרמטרים'!$P$2,IF(EXACT(Q604,'טבלת פרמטרים'!$O$3),'טבלת פרמטרים'!$P$3,IF(EXACT(Q604,'טבלת פרמטרים'!$O$4),'טבלת פרמטרים'!$P$4,IF(EXACT(Q604,'טבלת פרמטרים'!$O$5),'טבלת פרמטרים'!$P$5,IF(EXACT(Q604,'טבלת פרמטרים'!$O$6),'טבלת פרמטרים'!$P$6,IF(EXACT(Q604,'טבלת פרמטרים'!$O$7),'טבלת פרמטרים'!$P$7,""))))))</f>
        <v>8</v>
      </c>
    </row>
    <row r="605" spans="1:20" x14ac:dyDescent="0.2">
      <c r="A605" s="18">
        <v>605</v>
      </c>
      <c r="B605" s="30">
        <v>45382</v>
      </c>
      <c r="C605" s="30">
        <v>45383</v>
      </c>
      <c r="D605" s="21" t="s">
        <v>17</v>
      </c>
      <c r="E605" s="21" t="s">
        <v>20</v>
      </c>
      <c r="F605" s="21" t="s">
        <v>23</v>
      </c>
      <c r="G605" s="21" t="s">
        <v>26</v>
      </c>
      <c r="H605" s="21" t="s">
        <v>30</v>
      </c>
      <c r="M605" s="21" t="s">
        <v>54</v>
      </c>
      <c r="N605" s="21" t="s">
        <v>112</v>
      </c>
      <c r="O605" s="19">
        <f>IF(ISBLANK(D605),"",IF(D605='טבלת פרמטרים'!$A$9,1,0)+IF(E605='טבלת פרמטרים'!$B$5,2,1)+IF(F605='טבלת פרמטרים'!$C$5,3,IF(F605='טבלת פרמטרים'!$C$4,1,0))+IF(G605='טבלת פרמטרים'!$D$3,2,0)+IF(M605='טבלת פרמטרים'!$J$4,2,IF(M605='טבלת פרמטרים'!$J$3,1,0))+IF(N605='טבלת פרמטרים'!$K$6,3,IF(OR(N605='טבלת פרמטרים'!$K$4,N605='טבלת פרמטרים'!$K$5),2,IF(N605='טבלת פרמטרים'!$K$3,1,0))))</f>
        <v>5</v>
      </c>
      <c r="Q605" s="20" t="s">
        <v>123</v>
      </c>
      <c r="R605" s="19">
        <f t="shared" si="13"/>
        <v>5</v>
      </c>
      <c r="T605" s="19">
        <f>IF(EXACT(Q605,'טבלת פרמטרים'!$O$2),'טבלת פרמטרים'!$P$2,IF(EXACT(Q605,'טבלת פרמטרים'!$O$3),'טבלת פרמטרים'!$P$3,IF(EXACT(Q605,'טבלת פרמטרים'!$O$4),'טבלת פרמטרים'!$P$4,IF(EXACT(Q605,'טבלת פרמטרים'!$O$5),'טבלת פרמטרים'!$P$5,IF(EXACT(Q605,'טבלת פרמטרים'!$O$6),'טבלת פרמטרים'!$P$6,IF(EXACT(Q605,'טבלת פרמטרים'!$O$7),'טבלת פרמטרים'!$P$7,""))))))</f>
        <v>0</v>
      </c>
    </row>
    <row r="606" spans="1:20" x14ac:dyDescent="0.2">
      <c r="A606" s="18">
        <v>606</v>
      </c>
      <c r="B606" s="30">
        <v>45382</v>
      </c>
      <c r="C606" s="30">
        <v>45383</v>
      </c>
      <c r="D606" s="21" t="s">
        <v>17</v>
      </c>
      <c r="E606" s="21" t="s">
        <v>20</v>
      </c>
      <c r="F606" s="21" t="s">
        <v>23</v>
      </c>
      <c r="G606" s="21" t="s">
        <v>26</v>
      </c>
      <c r="H606" s="21" t="s">
        <v>30</v>
      </c>
      <c r="M606" s="21" t="s">
        <v>55</v>
      </c>
      <c r="N606" s="21" t="s">
        <v>112</v>
      </c>
      <c r="O606" s="19">
        <f>IF(ISBLANK(D606),"",IF(D606='טבלת פרמטרים'!$A$9,1,0)+IF(E606='טבלת פרמטרים'!$B$5,2,1)+IF(F606='טבלת פרמטרים'!$C$5,3,IF(F606='טבלת פרמטרים'!$C$4,1,0))+IF(G606='טבלת פרמטרים'!$D$3,2,0)+IF(M606='טבלת פרמטרים'!$J$4,2,IF(M606='טבלת פרמטרים'!$J$3,1,0))+IF(N606='טבלת פרמטרים'!$K$6,3,IF(OR(N606='טבלת פרמטרים'!$K$4,N606='טבלת פרמטרים'!$K$5),2,IF(N606='טבלת פרמטרים'!$K$3,1,0))))</f>
        <v>6</v>
      </c>
      <c r="Q606" s="20" t="s">
        <v>123</v>
      </c>
      <c r="R606" s="19">
        <f t="shared" si="13"/>
        <v>6</v>
      </c>
      <c r="T606" s="19">
        <f>IF(EXACT(Q606,'טבלת פרמטרים'!$O$2),'טבלת פרמטרים'!$P$2,IF(EXACT(Q606,'טבלת פרמטרים'!$O$3),'טבלת פרמטרים'!$P$3,IF(EXACT(Q606,'טבלת פרמטרים'!$O$4),'טבלת פרמטרים'!$P$4,IF(EXACT(Q606,'טבלת פרמטרים'!$O$5),'טבלת פרמטרים'!$P$5,IF(EXACT(Q606,'טבלת פרמטרים'!$O$6),'טבלת פרמטרים'!$P$6,IF(EXACT(Q606,'טבלת פרמטרים'!$O$7),'טבלת פרמטרים'!$P$7,""))))))</f>
        <v>0</v>
      </c>
    </row>
    <row r="607" spans="1:20" x14ac:dyDescent="0.2">
      <c r="A607" s="18">
        <v>607</v>
      </c>
      <c r="C607" s="30">
        <v>45382</v>
      </c>
      <c r="D607" s="21" t="s">
        <v>17</v>
      </c>
      <c r="E607" s="21" t="s">
        <v>20</v>
      </c>
      <c r="F607" s="21" t="s">
        <v>23</v>
      </c>
      <c r="G607" s="21" t="s">
        <v>26</v>
      </c>
      <c r="H607" s="21" t="s">
        <v>31</v>
      </c>
      <c r="I607" s="21" t="s">
        <v>127</v>
      </c>
      <c r="J607" s="21" t="s">
        <v>35</v>
      </c>
      <c r="K607" s="21" t="s">
        <v>43</v>
      </c>
      <c r="L607" s="21" t="s">
        <v>51</v>
      </c>
      <c r="M607" s="21" t="s">
        <v>54</v>
      </c>
      <c r="N607" s="21" t="s">
        <v>59</v>
      </c>
      <c r="O607" s="19">
        <f>IF(ISBLANK(D607),"",IF(D607='טבלת פרמטרים'!$A$9,1,0)+IF(E607='טבלת פרמטרים'!$B$5,2,1)+IF(F607='טבלת פרמטרים'!$C$5,3,IF(F607='טבלת פרמטרים'!$C$4,1,0))+IF(G607='טבלת פרמטרים'!$D$3,2,0)+IF(M607='טבלת פרמטרים'!$J$4,2,IF(M607='טבלת פרמטרים'!$J$3,1,0))+IF(N607='טבלת פרמטרים'!$K$6,3,IF(OR(N607='טבלת פרמטרים'!$K$4,N607='טבלת פרמטרים'!$K$5),2,IF(N607='טבלת פרמטרים'!$K$3,1,0))))</f>
        <v>5</v>
      </c>
      <c r="Q607" s="20" t="s">
        <v>123</v>
      </c>
      <c r="R607" s="19">
        <f t="shared" si="13"/>
        <v>5</v>
      </c>
      <c r="T607" s="19">
        <f>IF(EXACT(Q607,'טבלת פרמטרים'!$O$2),'טבלת פרמטרים'!$P$2,IF(EXACT(Q607,'טבלת פרמטרים'!$O$3),'טבלת פרמטרים'!$P$3,IF(EXACT(Q607,'טבלת פרמטרים'!$O$4),'טבלת פרמטרים'!$P$4,IF(EXACT(Q607,'טבלת פרמטרים'!$O$5),'טבלת פרמטרים'!$P$5,IF(EXACT(Q607,'טבלת פרמטרים'!$O$6),'טבלת פרמטרים'!$P$6,IF(EXACT(Q607,'טבלת פרמטרים'!$O$7),'טבלת פרמטרים'!$P$7,""))))))</f>
        <v>0</v>
      </c>
    </row>
    <row r="608" spans="1:20" x14ac:dyDescent="0.2">
      <c r="A608" s="18">
        <v>608</v>
      </c>
      <c r="C608" s="30">
        <v>45400</v>
      </c>
      <c r="D608" s="21" t="s">
        <v>11</v>
      </c>
      <c r="E608" s="21" t="s">
        <v>111</v>
      </c>
      <c r="F608" s="21" t="s">
        <v>23</v>
      </c>
      <c r="G608" s="21" t="s">
        <v>26</v>
      </c>
      <c r="H608" s="21" t="s">
        <v>29</v>
      </c>
      <c r="I608" s="21" t="s">
        <v>127</v>
      </c>
      <c r="J608" s="21" t="s">
        <v>11</v>
      </c>
      <c r="M608" s="21" t="s">
        <v>54</v>
      </c>
      <c r="N608" s="21" t="s">
        <v>57</v>
      </c>
      <c r="O608" s="19">
        <f>IF(ISBLANK(D608),"",IF(D608='טבלת פרמטרים'!$A$9,1,0)+IF(E608='טבלת פרמטרים'!$B$5,2,1)+IF(F608='טבלת פרמטרים'!$C$5,3,IF(F608='טבלת פרמטרים'!$C$4,1,0))+IF(G608='טבלת פרמטרים'!$D$3,2,0)+IF(M608='טבלת פרמטרים'!$J$4,2,IF(M608='טבלת פרמטרים'!$J$3,1,0))+IF(N608='טבלת פרמטרים'!$K$6,3,IF(OR(N608='טבלת פרמטרים'!$K$4,N608='טבלת פרמטרים'!$K$5),2,IF(N608='טבלת פרמטרים'!$K$3,1,0))))</f>
        <v>2</v>
      </c>
      <c r="Q608" s="20" t="s">
        <v>123</v>
      </c>
      <c r="R608" s="19">
        <f t="shared" si="13"/>
        <v>2</v>
      </c>
      <c r="T608" s="19">
        <f>IF(EXACT(Q608,'טבלת פרמטרים'!$O$2),'טבלת פרמטרים'!$P$2,IF(EXACT(Q608,'טבלת פרמטרים'!$O$3),'טבלת פרמטרים'!$P$3,IF(EXACT(Q608,'טבלת פרמטרים'!$O$4),'טבלת פרמטרים'!$P$4,IF(EXACT(Q608,'טבלת פרמטרים'!$O$5),'טבלת פרמטרים'!$P$5,IF(EXACT(Q608,'טבלת פרמטרים'!$O$6),'טבלת פרמטרים'!$P$6,IF(EXACT(Q608,'טבלת פרמטרים'!$O$7),'טבלת פרמטרים'!$P$7,""))))))</f>
        <v>0</v>
      </c>
    </row>
    <row r="609" spans="1:20" x14ac:dyDescent="0.2">
      <c r="A609" s="18">
        <v>609</v>
      </c>
      <c r="C609" s="30">
        <v>45406</v>
      </c>
      <c r="D609" s="21" t="s">
        <v>17</v>
      </c>
      <c r="E609" s="21" t="s">
        <v>21</v>
      </c>
      <c r="F609" s="21" t="s">
        <v>23</v>
      </c>
      <c r="G609" s="21" t="s">
        <v>26</v>
      </c>
      <c r="H609" s="21" t="s">
        <v>32</v>
      </c>
      <c r="K609" s="21" t="s">
        <v>46</v>
      </c>
      <c r="M609" s="21" t="s">
        <v>53</v>
      </c>
      <c r="N609" s="21" t="s">
        <v>59</v>
      </c>
      <c r="O609" s="19">
        <f>IF(ISBLANK(D609),"",IF(D609='טבלת פרמטרים'!$A$9,1,0)+IF(E609='טבלת פרמטרים'!$B$5,2,1)+IF(F609='טבלת פרמטרים'!$C$5,3,IF(F609='טבלת פרמטרים'!$C$4,1,0))+IF(G609='טבלת פרמטרים'!$D$3,2,0)+IF(M609='טבלת פרמטרים'!$J$4,2,IF(M609='טבלת פרמטרים'!$J$3,1,0))+IF(N609='טבלת פרמטרים'!$K$6,3,IF(OR(N609='טבלת פרמטרים'!$K$4,N609='טבלת פרמטרים'!$K$5),2,IF(N609='טבלת פרמטרים'!$K$3,1,0))))</f>
        <v>4</v>
      </c>
      <c r="Q609" s="20" t="s">
        <v>123</v>
      </c>
      <c r="R609" s="19">
        <f t="shared" si="13"/>
        <v>4</v>
      </c>
      <c r="T609" s="19">
        <f>IF(EXACT(Q609,'טבלת פרמטרים'!$O$2),'טבלת פרמטרים'!$P$2,IF(EXACT(Q609,'טבלת פרמטרים'!$O$3),'טבלת פרמטרים'!$P$3,IF(EXACT(Q609,'טבלת פרמטרים'!$O$4),'טבלת פרמטרים'!$P$4,IF(EXACT(Q609,'טבלת פרמטרים'!$O$5),'טבלת פרמטרים'!$P$5,IF(EXACT(Q609,'טבלת פרמטרים'!$O$6),'טבלת פרמטרים'!$P$6,IF(EXACT(Q609,'טבלת פרמטרים'!$O$7),'טבלת פרמטרים'!$P$7,""))))))</f>
        <v>0</v>
      </c>
    </row>
    <row r="610" spans="1:20" x14ac:dyDescent="0.2">
      <c r="A610" s="18">
        <v>610</v>
      </c>
      <c r="C610" s="30">
        <v>45407</v>
      </c>
      <c r="D610" s="21" t="s">
        <v>16</v>
      </c>
      <c r="E610" s="21" t="s">
        <v>111</v>
      </c>
      <c r="F610" s="21" t="s">
        <v>23</v>
      </c>
      <c r="G610" s="21" t="s">
        <v>26</v>
      </c>
      <c r="H610" s="21" t="s">
        <v>30</v>
      </c>
      <c r="K610" s="21" t="s">
        <v>46</v>
      </c>
      <c r="M610" s="21" t="s">
        <v>54</v>
      </c>
      <c r="N610" s="21" t="s">
        <v>59</v>
      </c>
      <c r="O610" s="19">
        <f>IF(ISBLANK(D610),"",IF(D610='טבלת פרמטרים'!$A$9,1,0)+IF(E610='טבלת פרמטרים'!$B$5,2,1)+IF(F610='טבלת פרמטרים'!$C$5,3,IF(F610='טבלת פרמטרים'!$C$4,1,0))+IF(G610='טבלת פרמטרים'!$D$3,2,0)+IF(M610='טבלת פרמטרים'!$J$4,2,IF(M610='טבלת פרמטרים'!$J$3,1,0))+IF(N610='טבלת פרמטרים'!$K$6,3,IF(OR(N610='טבלת פרמטרים'!$K$4,N610='טבלת פרמטרים'!$K$5),2,IF(N610='טבלת פרמטרים'!$K$3,1,0))))</f>
        <v>4</v>
      </c>
      <c r="Q610" s="20" t="s">
        <v>123</v>
      </c>
      <c r="R610" s="19">
        <f t="shared" si="13"/>
        <v>4</v>
      </c>
      <c r="T610" s="19">
        <f>IF(EXACT(Q610,'טבלת פרמטרים'!$O$2),'טבלת פרמטרים'!$P$2,IF(EXACT(Q610,'טבלת פרמטרים'!$O$3),'טבלת פרמטרים'!$P$3,IF(EXACT(Q610,'טבלת פרמטרים'!$O$4),'טבלת פרמטרים'!$P$4,IF(EXACT(Q610,'טבלת פרמטרים'!$O$5),'טבלת פרמטרים'!$P$5,IF(EXACT(Q610,'טבלת פרמטרים'!$O$6),'טבלת פרמטרים'!$P$6,IF(EXACT(Q610,'טבלת פרמטרים'!$O$7),'טבלת פרמטרים'!$P$7,""))))))</f>
        <v>0</v>
      </c>
    </row>
    <row r="611" spans="1:20" x14ac:dyDescent="0.2">
      <c r="A611" s="18">
        <v>611</v>
      </c>
      <c r="B611" s="30">
        <v>45399</v>
      </c>
      <c r="C611" s="30">
        <v>45403</v>
      </c>
      <c r="D611" s="21" t="s">
        <v>16</v>
      </c>
      <c r="E611" s="21" t="s">
        <v>111</v>
      </c>
      <c r="F611" s="21" t="s">
        <v>23</v>
      </c>
      <c r="G611" s="21" t="s">
        <v>26</v>
      </c>
      <c r="H611" s="21" t="s">
        <v>29</v>
      </c>
      <c r="I611" s="21" t="s">
        <v>126</v>
      </c>
      <c r="J611" s="21" t="s">
        <v>35</v>
      </c>
      <c r="N611" s="21" t="s">
        <v>58</v>
      </c>
      <c r="O611" s="19">
        <f>IF(ISBLANK(D611),"",IF(D611='טבלת פרמטרים'!$A$9,1,0)+IF(E611='טבלת פרמטרים'!$B$5,2,1)+IF(F611='טבלת פרמטרים'!$C$5,3,IF(F611='טבלת פרמטרים'!$C$4,1,0))+IF(G611='טבלת פרמטרים'!$D$3,2,0)+IF(M611='טבלת פרמטרים'!$J$4,2,IF(M611='טבלת פרמטרים'!$J$3,1,0))+IF(N611='טבלת פרמטרים'!$K$6,3,IF(OR(N611='טבלת פרמטרים'!$K$4,N611='טבלת פרמטרים'!$K$5),2,IF(N611='טבלת פרמטרים'!$K$3,1,0))))</f>
        <v>2</v>
      </c>
      <c r="Q611" s="20" t="s">
        <v>123</v>
      </c>
      <c r="R611" s="19">
        <f t="shared" si="13"/>
        <v>2</v>
      </c>
      <c r="T611" s="19">
        <f>IF(EXACT(Q611,'טבלת פרמטרים'!$O$2),'טבלת פרמטרים'!$P$2,IF(EXACT(Q611,'טבלת פרמטרים'!$O$3),'טבלת פרמטרים'!$P$3,IF(EXACT(Q611,'טבלת פרמטרים'!$O$4),'טבלת פרמטרים'!$P$4,IF(EXACT(Q611,'טבלת פרמטרים'!$O$5),'טבלת פרמטרים'!$P$5,IF(EXACT(Q611,'טבלת פרמטרים'!$O$6),'טבלת פרמטרים'!$P$6,IF(EXACT(Q611,'טבלת פרמטרים'!$O$7),'טבלת פרמטרים'!$P$7,""))))))</f>
        <v>0</v>
      </c>
    </row>
    <row r="612" spans="1:20" x14ac:dyDescent="0.2">
      <c r="A612" s="18">
        <v>612</v>
      </c>
      <c r="C612" s="30">
        <v>45404</v>
      </c>
      <c r="D612" s="21" t="s">
        <v>14</v>
      </c>
      <c r="E612" s="21" t="s">
        <v>111</v>
      </c>
      <c r="F612" s="21" t="s">
        <v>23</v>
      </c>
      <c r="G612" s="21" t="s">
        <v>26</v>
      </c>
      <c r="H612" s="21" t="s">
        <v>29</v>
      </c>
      <c r="I612" s="21" t="s">
        <v>126</v>
      </c>
      <c r="J612" s="21" t="s">
        <v>35</v>
      </c>
      <c r="N612" s="21" t="s">
        <v>58</v>
      </c>
      <c r="O612" s="19">
        <f>IF(ISBLANK(D612),"",IF(D612='טבלת פרמטרים'!$A$9,1,0)+IF(E612='טבלת פרמטרים'!$B$5,2,1)+IF(F612='טבלת פרמטרים'!$C$5,3,IF(F612='טבלת פרמטרים'!$C$4,1,0))+IF(G612='טבלת פרמטרים'!$D$3,2,0)+IF(M612='טבלת פרמטרים'!$J$4,2,IF(M612='טבלת פרמטרים'!$J$3,1,0))+IF(N612='טבלת פרמטרים'!$K$6,3,IF(OR(N612='טבלת פרמטרים'!$K$4,N612='טבלת פרמטרים'!$K$5),2,IF(N612='טבלת פרמטרים'!$K$3,1,0))))</f>
        <v>2</v>
      </c>
      <c r="Q612" s="20" t="s">
        <v>123</v>
      </c>
      <c r="R612" s="19">
        <f t="shared" si="13"/>
        <v>2</v>
      </c>
      <c r="T612" s="19">
        <f>IF(EXACT(Q612,'טבלת פרמטרים'!$O$2),'טבלת פרמטרים'!$P$2,IF(EXACT(Q612,'טבלת פרמטרים'!$O$3),'טבלת פרמטרים'!$P$3,IF(EXACT(Q612,'טבלת פרמטרים'!$O$4),'טבלת פרמטרים'!$P$4,IF(EXACT(Q612,'טבלת פרמטרים'!$O$5),'טבלת פרמטרים'!$P$5,IF(EXACT(Q612,'טבלת פרמטרים'!$O$6),'טבלת פרמטרים'!$P$6,IF(EXACT(Q612,'טבלת פרמטרים'!$O$7),'טבלת פרמטרים'!$P$7,""))))))</f>
        <v>0</v>
      </c>
    </row>
    <row r="613" spans="1:20" x14ac:dyDescent="0.2">
      <c r="A613" s="18">
        <v>613</v>
      </c>
      <c r="C613" s="30">
        <v>45412</v>
      </c>
      <c r="D613" s="21" t="s">
        <v>10</v>
      </c>
      <c r="E613" s="21" t="s">
        <v>20</v>
      </c>
      <c r="F613" s="21" t="s">
        <v>23</v>
      </c>
      <c r="G613" s="21" t="s">
        <v>26</v>
      </c>
      <c r="H613" s="21" t="s">
        <v>30</v>
      </c>
      <c r="J613" s="21" t="s">
        <v>11</v>
      </c>
      <c r="L613" s="21" t="s">
        <v>51</v>
      </c>
      <c r="M613" s="21" t="s">
        <v>54</v>
      </c>
      <c r="N613" s="21" t="s">
        <v>58</v>
      </c>
      <c r="O613" s="19">
        <f>IF(ISBLANK(D613),"",IF(D613='טבלת פרמטרים'!$A$9,1,0)+IF(E613='טבלת פרמטרים'!$B$5,2,1)+IF(F613='טבלת פרמטרים'!$C$5,3,IF(F613='טבלת פרמטרים'!$C$4,1,0))+IF(G613='טבלת פרמטרים'!$D$3,2,0)+IF(M613='טבלת פרמטרים'!$J$4,2,IF(M613='טבלת פרמטרים'!$J$3,1,0))+IF(N613='טבלת פרמטרים'!$K$6,3,IF(OR(N613='טבלת פרמטרים'!$K$4,N613='טבלת פרמטרים'!$K$5),2,IF(N613='טבלת פרמטרים'!$K$3,1,0))))</f>
        <v>3</v>
      </c>
      <c r="Q613" s="20" t="s">
        <v>123</v>
      </c>
      <c r="R613" s="19">
        <f t="shared" si="13"/>
        <v>3</v>
      </c>
      <c r="T613" s="19">
        <f>IF(EXACT(Q613,'טבלת פרמטרים'!$O$2),'טבלת פרמטרים'!$P$2,IF(EXACT(Q613,'טבלת פרמטרים'!$O$3),'טבלת פרמטרים'!$P$3,IF(EXACT(Q613,'טבלת פרמטרים'!$O$4),'טבלת פרמטרים'!$P$4,IF(EXACT(Q613,'טבלת פרמטרים'!$O$5),'טבלת פרמטרים'!$P$5,IF(EXACT(Q613,'טבלת פרמטרים'!$O$6),'טבלת פרמטרים'!$P$6,IF(EXACT(Q613,'טבלת פרמטרים'!$O$7),'טבלת פרמטרים'!$P$7,""))))))</f>
        <v>0</v>
      </c>
    </row>
    <row r="614" spans="1:20" ht="28.5" x14ac:dyDescent="0.2">
      <c r="A614" s="18">
        <v>614</v>
      </c>
      <c r="B614" s="30">
        <v>45413</v>
      </c>
      <c r="C614" s="30">
        <v>45414</v>
      </c>
      <c r="D614" s="21" t="s">
        <v>17</v>
      </c>
      <c r="E614" s="21" t="s">
        <v>22</v>
      </c>
      <c r="F614" s="21" t="s">
        <v>24</v>
      </c>
      <c r="G614" s="21" t="s">
        <v>26</v>
      </c>
      <c r="H614" s="21" t="s">
        <v>29</v>
      </c>
      <c r="I614" s="21" t="s">
        <v>126</v>
      </c>
      <c r="J614" s="21" t="s">
        <v>36</v>
      </c>
      <c r="K614" s="21" t="s">
        <v>36</v>
      </c>
      <c r="L614" s="21" t="s">
        <v>50</v>
      </c>
      <c r="M614" s="21" t="s">
        <v>53</v>
      </c>
      <c r="N614" s="21" t="s">
        <v>59</v>
      </c>
      <c r="O614" s="19">
        <f>IF(ISBLANK(D614),"",IF(D614='טבלת פרמטרים'!$A$9,1,0)+IF(E614='טבלת פרמטרים'!$B$5,2,1)+IF(F614='טבלת פרמטרים'!$C$5,3,IF(F614='טבלת פרמטרים'!$C$4,1,0))+IF(G614='טבלת פרמטרים'!$D$3,2,0)+IF(M614='טבלת פרמטרים'!$J$4,2,IF(M614='טבלת פרמטרים'!$J$3,1,0))+IF(N614='טבלת פרמטרים'!$K$6,3,IF(OR(N614='טבלת פרמטרים'!$K$4,N614='טבלת פרמטרים'!$K$5),2,IF(N614='טבלת פרמטרים'!$K$3,1,0))))</f>
        <v>6</v>
      </c>
      <c r="Q614" s="20" t="s">
        <v>370</v>
      </c>
      <c r="R614" s="19">
        <f t="shared" si="13"/>
        <v>16</v>
      </c>
      <c r="T614" s="19">
        <f>IF(EXACT(Q614,'טבלת פרמטרים'!$O$2),'טבלת פרמטרים'!$P$2,IF(EXACT(Q614,'טבלת פרמטרים'!$O$3),'טבלת פרמטרים'!$P$3,IF(EXACT(Q614,'טבלת פרמטרים'!$O$4),'טבלת פרמטרים'!$P$4,IF(EXACT(Q614,'טבלת פרמטרים'!$O$5),'טבלת פרמטרים'!$P$5,IF(EXACT(Q614,'טבלת פרמטרים'!$O$6),'טבלת פרמטרים'!$P$6,IF(EXACT(Q614,'טבלת פרמטרים'!$O$7),'טבלת פרמטרים'!$P$7,""))))))</f>
        <v>10</v>
      </c>
    </row>
    <row r="615" spans="1:20" x14ac:dyDescent="0.2">
      <c r="A615" s="18">
        <v>615</v>
      </c>
      <c r="B615" s="30">
        <v>45400</v>
      </c>
      <c r="C615" s="30">
        <v>45418</v>
      </c>
      <c r="D615" s="21" t="s">
        <v>13</v>
      </c>
      <c r="E615" s="21" t="s">
        <v>20</v>
      </c>
      <c r="F615" s="21" t="s">
        <v>23</v>
      </c>
      <c r="G615" s="21" t="s">
        <v>26</v>
      </c>
      <c r="H615" s="21" t="s">
        <v>32</v>
      </c>
      <c r="K615" s="21" t="s">
        <v>43</v>
      </c>
      <c r="L615" s="21" t="s">
        <v>51</v>
      </c>
      <c r="M615" s="21" t="s">
        <v>54</v>
      </c>
      <c r="N615" s="21" t="s">
        <v>58</v>
      </c>
      <c r="O615" s="19">
        <f>IF(ISBLANK(D615),"",IF(D615='טבלת פרמטרים'!$A$9,1,0)+IF(E615='טבלת פרמטרים'!$B$5,2,1)+IF(F615='טבלת פרמטרים'!$C$5,3,IF(F615='טבלת פרמטרים'!$C$4,1,0))+IF(G615='טבלת פרמטרים'!$D$3,2,0)+IF(M615='טבלת פרמטרים'!$J$4,2,IF(M615='טבלת פרמטרים'!$J$3,1,0))+IF(N615='טבלת פרמטרים'!$K$6,3,IF(OR(N615='טבלת פרמטרים'!$K$4,N615='טבלת פרמטרים'!$K$5),2,IF(N615='טבלת פרמטרים'!$K$3,1,0))))</f>
        <v>3</v>
      </c>
      <c r="Q615" s="20" t="s">
        <v>123</v>
      </c>
      <c r="R615" s="19">
        <f t="shared" si="13"/>
        <v>3</v>
      </c>
      <c r="T615" s="19">
        <f>IF(EXACT(Q615,'טבלת פרמטרים'!$O$2),'טבלת פרמטרים'!$P$2,IF(EXACT(Q615,'טבלת פרמטרים'!$O$3),'טבלת פרמטרים'!$P$3,IF(EXACT(Q615,'טבלת פרמטרים'!$O$4),'טבלת פרמטרים'!$P$4,IF(EXACT(Q615,'טבלת פרמטרים'!$O$5),'טבלת פרמטרים'!$P$5,IF(EXACT(Q615,'טבלת פרמטרים'!$O$6),'טבלת פרמטרים'!$P$6,IF(EXACT(Q615,'טבלת פרמטרים'!$O$7),'טבלת פרמטרים'!$P$7,""))))))</f>
        <v>0</v>
      </c>
    </row>
    <row r="616" spans="1:20" x14ac:dyDescent="0.2">
      <c r="A616" s="18">
        <v>616</v>
      </c>
      <c r="B616" s="30">
        <v>45418</v>
      </c>
      <c r="C616" s="30">
        <v>45419</v>
      </c>
      <c r="D616" s="21" t="s">
        <v>17</v>
      </c>
      <c r="E616" s="21" t="s">
        <v>21</v>
      </c>
      <c r="F616" s="21" t="s">
        <v>23</v>
      </c>
      <c r="G616" s="21" t="s">
        <v>26</v>
      </c>
      <c r="H616" s="21" t="s">
        <v>29</v>
      </c>
      <c r="J616" s="21" t="s">
        <v>35</v>
      </c>
      <c r="K616" s="21" t="s">
        <v>43</v>
      </c>
      <c r="L616" s="21" t="s">
        <v>51</v>
      </c>
      <c r="M616" s="21" t="s">
        <v>53</v>
      </c>
      <c r="N616" s="21" t="s">
        <v>58</v>
      </c>
      <c r="O616" s="19">
        <f>IF(ISBLANK(D616),"",IF(D616='טבלת פרמטרים'!$A$9,1,0)+IF(E616='טבלת פרמטרים'!$B$5,2,1)+IF(F616='טבלת פרמטרים'!$C$5,3,IF(F616='טבלת פרמטרים'!$C$4,1,0))+IF(G616='טבלת פרמטרים'!$D$3,2,0)+IF(M616='טבלת פרמטרים'!$J$4,2,IF(M616='טבלת פרמטרים'!$J$3,1,0))+IF(N616='טבלת פרמטרים'!$K$6,3,IF(OR(N616='טבלת פרמטרים'!$K$4,N616='טבלת פרמטרים'!$K$5),2,IF(N616='טבלת פרמטרים'!$K$3,1,0))))</f>
        <v>3</v>
      </c>
      <c r="Q616" s="20" t="s">
        <v>123</v>
      </c>
      <c r="R616" s="19">
        <f t="shared" si="13"/>
        <v>3</v>
      </c>
      <c r="T616" s="19">
        <f>IF(EXACT(Q616,'טבלת פרמטרים'!$O$2),'טבלת פרמטרים'!$P$2,IF(EXACT(Q616,'טבלת פרמטרים'!$O$3),'טבלת פרמטרים'!$P$3,IF(EXACT(Q616,'טבלת פרמטרים'!$O$4),'טבלת פרמטרים'!$P$4,IF(EXACT(Q616,'טבלת פרמטרים'!$O$5),'טבלת פרמטרים'!$P$5,IF(EXACT(Q616,'טבלת פרמטרים'!$O$6),'טבלת פרמטרים'!$P$6,IF(EXACT(Q616,'טבלת פרמטרים'!$O$7),'טבלת פרמטרים'!$P$7,""))))))</f>
        <v>0</v>
      </c>
    </row>
    <row r="617" spans="1:20" x14ac:dyDescent="0.2">
      <c r="A617" s="18">
        <v>617</v>
      </c>
      <c r="C617" s="30">
        <v>45419</v>
      </c>
      <c r="D617" s="21" t="s">
        <v>13</v>
      </c>
      <c r="E617" s="21" t="s">
        <v>20</v>
      </c>
      <c r="F617" s="21" t="s">
        <v>23</v>
      </c>
      <c r="G617" s="21" t="s">
        <v>26</v>
      </c>
      <c r="H617" s="21" t="s">
        <v>31</v>
      </c>
      <c r="K617" s="21" t="s">
        <v>43</v>
      </c>
      <c r="L617" s="21" t="s">
        <v>51</v>
      </c>
      <c r="M617" s="21" t="s">
        <v>53</v>
      </c>
      <c r="N617" s="21" t="s">
        <v>58</v>
      </c>
      <c r="O617" s="19">
        <f>IF(ISBLANK(D617),"",IF(D617='טבלת פרמטרים'!$A$9,1,0)+IF(E617='טבלת פרמטרים'!$B$5,2,1)+IF(F617='טבלת פרמטרים'!$C$5,3,IF(F617='טבלת פרמטרים'!$C$4,1,0))+IF(G617='טבלת פרמטרים'!$D$3,2,0)+IF(M617='טבלת פרמטרים'!$J$4,2,IF(M617='טבלת פרמטרים'!$J$3,1,0))+IF(N617='טבלת פרמטרים'!$K$6,3,IF(OR(N617='טבלת פרמטרים'!$K$4,N617='טבלת פרמטרים'!$K$5),2,IF(N617='טבלת פרמטרים'!$K$3,1,0))))</f>
        <v>2</v>
      </c>
      <c r="Q617" s="20" t="s">
        <v>123</v>
      </c>
      <c r="R617" s="19">
        <f t="shared" si="13"/>
        <v>2</v>
      </c>
      <c r="T617" s="19">
        <f>IF(EXACT(Q617,'טבלת פרמטרים'!$O$2),'טבלת פרמטרים'!$P$2,IF(EXACT(Q617,'טבלת פרמטרים'!$O$3),'טבלת פרמטרים'!$P$3,IF(EXACT(Q617,'טבלת פרמטרים'!$O$4),'טבלת פרמטרים'!$P$4,IF(EXACT(Q617,'טבלת פרמטרים'!$O$5),'טבלת פרמטרים'!$P$5,IF(EXACT(Q617,'טבלת פרמטרים'!$O$6),'טבלת פרמטרים'!$P$6,IF(EXACT(Q617,'טבלת פרמטרים'!$O$7),'טבלת פרמטרים'!$P$7,""))))))</f>
        <v>0</v>
      </c>
    </row>
    <row r="618" spans="1:20" x14ac:dyDescent="0.2">
      <c r="A618" s="18">
        <v>618</v>
      </c>
      <c r="B618" s="30">
        <v>45425</v>
      </c>
      <c r="C618" s="30">
        <v>45425</v>
      </c>
      <c r="D618" s="21" t="s">
        <v>15</v>
      </c>
      <c r="E618" s="21" t="s">
        <v>20</v>
      </c>
      <c r="F618" s="21" t="s">
        <v>23</v>
      </c>
      <c r="G618" s="21" t="s">
        <v>26</v>
      </c>
      <c r="H618" s="21" t="s">
        <v>30</v>
      </c>
      <c r="K618" s="21" t="s">
        <v>45</v>
      </c>
      <c r="L618" s="21" t="s">
        <v>51</v>
      </c>
      <c r="M618" s="21" t="s">
        <v>53</v>
      </c>
      <c r="N618" s="21" t="s">
        <v>58</v>
      </c>
      <c r="O618" s="19">
        <f>IF(ISBLANK(D618),"",IF(D618='טבלת פרמטרים'!$A$9,1,0)+IF(E618='טבלת פרמטרים'!$B$5,2,1)+IF(F618='טבלת פרמטרים'!$C$5,3,IF(F618='טבלת פרמטרים'!$C$4,1,0))+IF(G618='טבלת פרמטרים'!$D$3,2,0)+IF(M618='טבלת פרמטרים'!$J$4,2,IF(M618='טבלת פרמטרים'!$J$3,1,0))+IF(N618='טבלת פרמטרים'!$K$6,3,IF(OR(N618='טבלת פרמטרים'!$K$4,N618='טבלת פרמטרים'!$K$5),2,IF(N618='טבלת פרמטרים'!$K$3,1,0))))</f>
        <v>2</v>
      </c>
      <c r="Q618" s="20" t="s">
        <v>123</v>
      </c>
      <c r="R618" s="19">
        <f t="shared" si="13"/>
        <v>2</v>
      </c>
      <c r="T618" s="19">
        <f>IF(EXACT(Q618,'טבלת פרמטרים'!$O$2),'טבלת פרמטרים'!$P$2,IF(EXACT(Q618,'טבלת פרמטרים'!$O$3),'טבלת פרמטרים'!$P$3,IF(EXACT(Q618,'טבלת פרמטרים'!$O$4),'טבלת פרמטרים'!$P$4,IF(EXACT(Q618,'טבלת פרמטרים'!$O$5),'טבלת פרמטרים'!$P$5,IF(EXACT(Q618,'טבלת פרמטרים'!$O$6),'טבלת פרמטרים'!$P$6,IF(EXACT(Q618,'טבלת פרמטרים'!$O$7),'טבלת פרמטרים'!$P$7,""))))))</f>
        <v>0</v>
      </c>
    </row>
    <row r="619" spans="1:20" x14ac:dyDescent="0.2">
      <c r="A619" s="18">
        <v>619</v>
      </c>
      <c r="B619" s="30">
        <v>45427</v>
      </c>
      <c r="C619" s="30">
        <v>45431</v>
      </c>
      <c r="D619" s="21" t="s">
        <v>13</v>
      </c>
      <c r="E619" s="21" t="s">
        <v>111</v>
      </c>
      <c r="F619" s="21" t="s">
        <v>23</v>
      </c>
      <c r="G619" s="21" t="s">
        <v>26</v>
      </c>
      <c r="H619" s="21" t="s">
        <v>29</v>
      </c>
      <c r="M619" s="21" t="s">
        <v>53</v>
      </c>
      <c r="N619" s="21" t="s">
        <v>58</v>
      </c>
      <c r="O619" s="19">
        <f>IF(ISBLANK(D619),"",IF(D619='טבלת פרמטרים'!$A$9,1,0)+IF(E619='טבלת פרמטרים'!$B$5,2,1)+IF(F619='טבלת פרמטרים'!$C$5,3,IF(F619='טבלת פרמטרים'!$C$4,1,0))+IF(G619='טבלת פרמטרים'!$D$3,2,0)+IF(M619='טבלת פרמטרים'!$J$4,2,IF(M619='טבלת פרמטרים'!$J$3,1,0))+IF(N619='טבלת פרמטרים'!$K$6,3,IF(OR(N619='טבלת פרמטרים'!$K$4,N619='טבלת פרמטרים'!$K$5),2,IF(N619='טבלת פרמטרים'!$K$3,1,0))))</f>
        <v>2</v>
      </c>
      <c r="Q619" s="20" t="s">
        <v>123</v>
      </c>
      <c r="R619" s="19">
        <f t="shared" si="13"/>
        <v>2</v>
      </c>
      <c r="T619" s="19">
        <f>IF(EXACT(Q619,'טבלת פרמטרים'!$O$2),'טבלת פרמטרים'!$P$2,IF(EXACT(Q619,'טבלת פרמטרים'!$O$3),'טבלת פרמטרים'!$P$3,IF(EXACT(Q619,'טבלת פרמטרים'!$O$4),'טבלת פרמטרים'!$P$4,IF(EXACT(Q619,'טבלת פרמטרים'!$O$5),'טבלת פרמטרים'!$P$5,IF(EXACT(Q619,'טבלת פרמטרים'!$O$6),'טבלת פרמטרים'!$P$6,IF(EXACT(Q619,'טבלת פרמטרים'!$O$7),'טבלת פרמטרים'!$P$7,""))))))</f>
        <v>0</v>
      </c>
    </row>
    <row r="620" spans="1:20" x14ac:dyDescent="0.2">
      <c r="A620" s="18">
        <v>620</v>
      </c>
      <c r="B620" s="30">
        <v>45427</v>
      </c>
      <c r="C620" s="30">
        <v>45431</v>
      </c>
      <c r="D620" s="21" t="s">
        <v>11</v>
      </c>
      <c r="E620" s="21" t="s">
        <v>111</v>
      </c>
      <c r="F620" s="21" t="s">
        <v>23</v>
      </c>
      <c r="G620" s="21" t="s">
        <v>26</v>
      </c>
      <c r="H620" s="21" t="s">
        <v>29</v>
      </c>
      <c r="M620" s="21" t="s">
        <v>54</v>
      </c>
      <c r="N620" s="21" t="s">
        <v>58</v>
      </c>
      <c r="O620" s="19">
        <f>IF(ISBLANK(D620),"",IF(D620='טבלת פרמטרים'!$A$9,1,0)+IF(E620='טבלת פרמטרים'!$B$5,2,1)+IF(F620='טבלת פרמטרים'!$C$5,3,IF(F620='טבלת פרמטרים'!$C$4,1,0))+IF(G620='טבלת פרמטרים'!$D$3,2,0)+IF(M620='טבלת פרמטרים'!$J$4,2,IF(M620='טבלת פרמטרים'!$J$3,1,0))+IF(N620='טבלת פרמטרים'!$K$6,3,IF(OR(N620='טבלת פרמטרים'!$K$4,N620='טבלת פרמטרים'!$K$5),2,IF(N620='טבלת פרמטרים'!$K$3,1,0))))</f>
        <v>3</v>
      </c>
      <c r="Q620" s="20" t="s">
        <v>123</v>
      </c>
      <c r="R620" s="19">
        <f t="shared" si="13"/>
        <v>3</v>
      </c>
      <c r="T620" s="19">
        <f>IF(EXACT(Q620,'טבלת פרמטרים'!$O$2),'טבלת פרמטרים'!$P$2,IF(EXACT(Q620,'טבלת פרמטרים'!$O$3),'טבלת פרמטרים'!$P$3,IF(EXACT(Q620,'טבלת פרמטרים'!$O$4),'טבלת פרמטרים'!$P$4,IF(EXACT(Q620,'טבלת פרמטרים'!$O$5),'טבלת פרמטרים'!$P$5,IF(EXACT(Q620,'טבלת פרמטרים'!$O$6),'טבלת פרמטרים'!$P$6,IF(EXACT(Q620,'טבלת פרמטרים'!$O$7),'טבלת פרמטרים'!$P$7,""))))))</f>
        <v>0</v>
      </c>
    </row>
    <row r="621" spans="1:20" x14ac:dyDescent="0.2">
      <c r="A621" s="18">
        <v>621</v>
      </c>
      <c r="C621" s="30">
        <v>45431</v>
      </c>
      <c r="D621" s="21" t="s">
        <v>11</v>
      </c>
      <c r="E621" s="21" t="s">
        <v>111</v>
      </c>
      <c r="F621" s="21" t="s">
        <v>23</v>
      </c>
      <c r="G621" s="21" t="s">
        <v>26</v>
      </c>
      <c r="H621" s="21" t="s">
        <v>29</v>
      </c>
      <c r="K621" s="21" t="s">
        <v>43</v>
      </c>
      <c r="L621" s="21" t="s">
        <v>51</v>
      </c>
      <c r="M621" s="21" t="s">
        <v>54</v>
      </c>
      <c r="N621" s="21" t="s">
        <v>58</v>
      </c>
      <c r="O621" s="19">
        <f>IF(ISBLANK(D621),"",IF(D621='טבלת פרמטרים'!$A$9,1,0)+IF(E621='טבלת פרמטרים'!$B$5,2,1)+IF(F621='טבלת פרמטרים'!$C$5,3,IF(F621='טבלת פרמטרים'!$C$4,1,0))+IF(G621='טבלת פרמטרים'!$D$3,2,0)+IF(M621='טבלת פרמטרים'!$J$4,2,IF(M621='טבלת פרמטרים'!$J$3,1,0))+IF(N621='טבלת פרמטרים'!$K$6,3,IF(OR(N621='טבלת פרמטרים'!$K$4,N621='טבלת פרמטרים'!$K$5),2,IF(N621='טבלת פרמטרים'!$K$3,1,0))))</f>
        <v>3</v>
      </c>
      <c r="Q621" s="20" t="s">
        <v>123</v>
      </c>
      <c r="R621" s="19">
        <f t="shared" si="13"/>
        <v>3</v>
      </c>
      <c r="T621" s="19">
        <f>IF(EXACT(Q621,'טבלת פרמטרים'!$O$2),'טבלת פרמטרים'!$P$2,IF(EXACT(Q621,'טבלת פרמטרים'!$O$3),'טבלת פרמטרים'!$P$3,IF(EXACT(Q621,'טבלת פרמטרים'!$O$4),'טבלת פרמטרים'!$P$4,IF(EXACT(Q621,'טבלת פרמטרים'!$O$5),'טבלת פרמטרים'!$P$5,IF(EXACT(Q621,'טבלת פרמטרים'!$O$6),'טבלת פרמטרים'!$P$6,IF(EXACT(Q621,'טבלת פרמטרים'!$O$7),'טבלת פרמטרים'!$P$7,""))))))</f>
        <v>0</v>
      </c>
    </row>
    <row r="622" spans="1:20" x14ac:dyDescent="0.2">
      <c r="A622" s="18">
        <v>622</v>
      </c>
      <c r="C622" s="30">
        <v>45435</v>
      </c>
      <c r="D622" s="21" t="s">
        <v>10</v>
      </c>
      <c r="E622" s="21" t="s">
        <v>111</v>
      </c>
      <c r="F622" s="21" t="s">
        <v>23</v>
      </c>
      <c r="G622" s="21" t="s">
        <v>26</v>
      </c>
      <c r="H622" s="21" t="s">
        <v>30</v>
      </c>
      <c r="M622" s="21" t="s">
        <v>54</v>
      </c>
      <c r="N622" s="21" t="s">
        <v>58</v>
      </c>
      <c r="O622" s="19">
        <f>IF(ISBLANK(D622),"",IF(D622='טבלת פרמטרים'!$A$9,1,0)+IF(E622='טבלת פרמטרים'!$B$5,2,1)+IF(F622='טבלת פרמטרים'!$C$5,3,IF(F622='טבלת פרמטרים'!$C$4,1,0))+IF(G622='טבלת פרמטרים'!$D$3,2,0)+IF(M622='טבלת פרמטרים'!$J$4,2,IF(M622='טבלת פרמטרים'!$J$3,1,0))+IF(N622='טבלת פרמטרים'!$K$6,3,IF(OR(N622='טבלת פרמטרים'!$K$4,N622='טבלת פרמטרים'!$K$5),2,IF(N622='טבלת פרמטרים'!$K$3,1,0))))</f>
        <v>3</v>
      </c>
      <c r="Q622" s="20" t="s">
        <v>123</v>
      </c>
      <c r="R622" s="19">
        <f t="shared" si="13"/>
        <v>3</v>
      </c>
      <c r="T622" s="19">
        <f>IF(EXACT(Q622,'טבלת פרמטרים'!$O$2),'טבלת פרמטרים'!$P$2,IF(EXACT(Q622,'טבלת פרמטרים'!$O$3),'טבלת פרמטרים'!$P$3,IF(EXACT(Q622,'טבלת פרמטרים'!$O$4),'טבלת פרמטרים'!$P$4,IF(EXACT(Q622,'טבלת פרמטרים'!$O$5),'טבלת פרמטרים'!$P$5,IF(EXACT(Q622,'טבלת פרמטרים'!$O$6),'טבלת פרמטרים'!$P$6,IF(EXACT(Q622,'טבלת פרמטרים'!$O$7),'טבלת פרמטרים'!$P$7,""))))))</f>
        <v>0</v>
      </c>
    </row>
    <row r="623" spans="1:20" x14ac:dyDescent="0.2">
      <c r="A623" s="18">
        <v>623</v>
      </c>
      <c r="C623" s="30">
        <v>45438</v>
      </c>
      <c r="D623" s="21" t="s">
        <v>13</v>
      </c>
      <c r="E623" s="21" t="s">
        <v>20</v>
      </c>
      <c r="F623" s="21" t="s">
        <v>23</v>
      </c>
      <c r="G623" s="21" t="s">
        <v>26</v>
      </c>
      <c r="H623" s="21" t="s">
        <v>31</v>
      </c>
      <c r="J623" s="21" t="s">
        <v>33</v>
      </c>
      <c r="K623" s="21" t="s">
        <v>46</v>
      </c>
      <c r="L623" s="21" t="s">
        <v>50</v>
      </c>
      <c r="M623" s="21" t="s">
        <v>54</v>
      </c>
      <c r="N623" s="21" t="s">
        <v>58</v>
      </c>
      <c r="O623" s="19">
        <f>IF(ISBLANK(D623),"",IF(D623='טבלת פרמטרים'!$A$9,1,0)+IF(E623='טבלת פרמטרים'!$B$5,2,1)+IF(F623='טבלת פרמטרים'!$C$5,3,IF(F623='טבלת פרמטרים'!$C$4,1,0))+IF(G623='טבלת פרמטרים'!$D$3,2,0)+IF(M623='טבלת פרמטרים'!$J$4,2,IF(M623='טבלת פרמטרים'!$J$3,1,0))+IF(N623='טבלת פרמטרים'!$K$6,3,IF(OR(N623='טבלת פרמטרים'!$K$4,N623='טבלת פרמטרים'!$K$5),2,IF(N623='טבלת פרמטרים'!$K$3,1,0))))</f>
        <v>3</v>
      </c>
      <c r="Q623" s="20" t="s">
        <v>123</v>
      </c>
      <c r="R623" s="19">
        <f t="shared" si="13"/>
        <v>3</v>
      </c>
      <c r="T623" s="19">
        <f>IF(EXACT(Q623,'טבלת פרמטרים'!$O$2),'טבלת פרמטרים'!$P$2,IF(EXACT(Q623,'טבלת פרמטרים'!$O$3),'טבלת פרמטרים'!$P$3,IF(EXACT(Q623,'טבלת פרמטרים'!$O$4),'טבלת פרמטרים'!$P$4,IF(EXACT(Q623,'טבלת פרמטרים'!$O$5),'טבלת פרמטרים'!$P$5,IF(EXACT(Q623,'טבלת פרמטרים'!$O$6),'טבלת פרמטרים'!$P$6,IF(EXACT(Q623,'טבלת פרמטרים'!$O$7),'טבלת פרמטרים'!$P$7,""))))))</f>
        <v>0</v>
      </c>
    </row>
    <row r="624" spans="1:20" x14ac:dyDescent="0.2">
      <c r="A624" s="18">
        <v>624</v>
      </c>
      <c r="B624" s="30">
        <v>45438</v>
      </c>
      <c r="C624" s="30">
        <v>45439</v>
      </c>
      <c r="D624" s="21" t="s">
        <v>16</v>
      </c>
      <c r="E624" s="21" t="s">
        <v>21</v>
      </c>
      <c r="F624" s="21" t="s">
        <v>23</v>
      </c>
      <c r="G624" s="21" t="s">
        <v>27</v>
      </c>
      <c r="H624" s="21" t="s">
        <v>30</v>
      </c>
      <c r="K624" s="21" t="s">
        <v>906</v>
      </c>
      <c r="L624" s="21" t="s">
        <v>50</v>
      </c>
      <c r="M624" s="21" t="s">
        <v>55</v>
      </c>
      <c r="N624" s="21" t="s">
        <v>59</v>
      </c>
      <c r="O624" s="19">
        <f>IF(ISBLANK(D624),"",IF(D624='טבלת פרמטרים'!$A$9,1,0)+IF(E624='טבלת פרמטרים'!$B$5,2,1)+IF(F624='טבלת פרמטרים'!$C$5,3,IF(F624='טבלת פרמטרים'!$C$4,1,0))+IF(G624='טבלת פרמטרים'!$D$3,2,0)+IF(M624='טבלת פרמטרים'!$J$4,2,IF(M624='טבלת פרמטרים'!$J$3,1,0))+IF(N624='טבלת פרמטרים'!$K$6,3,IF(OR(N624='טבלת פרמטרים'!$K$4,N624='טבלת פרמטרים'!$K$5),2,IF(N624='טבלת פרמטרים'!$K$3,1,0))))</f>
        <v>7</v>
      </c>
      <c r="Q624" s="20" t="s">
        <v>123</v>
      </c>
      <c r="R624" s="19">
        <f t="shared" ref="R624:R687" si="14">IF(ISNUMBER(T624),T624+O624,O624)</f>
        <v>7</v>
      </c>
      <c r="T624" s="19">
        <f>IF(EXACT(Q624,'טבלת פרמטרים'!$O$2),'טבלת פרמטרים'!$P$2,IF(EXACT(Q624,'טבלת פרמטרים'!$O$3),'טבלת פרמטרים'!$P$3,IF(EXACT(Q624,'טבלת פרמטרים'!$O$4),'טבלת פרמטרים'!$P$4,IF(EXACT(Q624,'טבלת פרמטרים'!$O$5),'טבלת פרמטרים'!$P$5,IF(EXACT(Q624,'טבלת פרמטרים'!$O$6),'טבלת פרמטרים'!$P$6,IF(EXACT(Q624,'טבלת פרמטרים'!$O$7),'טבלת פרמטרים'!$P$7,""))))))</f>
        <v>0</v>
      </c>
    </row>
    <row r="625" spans="1:20" x14ac:dyDescent="0.2">
      <c r="A625" s="18">
        <v>625</v>
      </c>
      <c r="C625" s="30">
        <v>45439</v>
      </c>
      <c r="D625" s="21" t="s">
        <v>18</v>
      </c>
      <c r="E625" s="21" t="s">
        <v>20</v>
      </c>
      <c r="F625" s="21" t="s">
        <v>23</v>
      </c>
      <c r="G625" s="21" t="s">
        <v>26</v>
      </c>
      <c r="H625" s="21" t="s">
        <v>30</v>
      </c>
      <c r="K625" s="21" t="s">
        <v>43</v>
      </c>
      <c r="L625" s="21" t="s">
        <v>51</v>
      </c>
      <c r="M625" s="21" t="s">
        <v>54</v>
      </c>
      <c r="N625" s="21" t="s">
        <v>59</v>
      </c>
      <c r="O625" s="19">
        <f>IF(ISBLANK(D625),"",IF(D625='טבלת פרמטרים'!$A$9,1,0)+IF(E625='טבלת פרמטרים'!$B$5,2,1)+IF(F625='טבלת פרמטרים'!$C$5,3,IF(F625='טבלת פרמטרים'!$C$4,1,0))+IF(G625='טבלת פרמטרים'!$D$3,2,0)+IF(M625='טבלת פרמטרים'!$J$4,2,IF(M625='טבלת פרמטרים'!$J$3,1,0))+IF(N625='טבלת פרמטרים'!$K$6,3,IF(OR(N625='טבלת פרמטרים'!$K$4,N625='טבלת פרמטרים'!$K$5),2,IF(N625='טבלת פרמטרים'!$K$3,1,0))))</f>
        <v>4</v>
      </c>
      <c r="Q625" s="20" t="s">
        <v>123</v>
      </c>
      <c r="R625" s="19">
        <f t="shared" si="14"/>
        <v>4</v>
      </c>
      <c r="T625" s="19">
        <f>IF(EXACT(Q625,'טבלת פרמטרים'!$O$2),'טבלת פרמטרים'!$P$2,IF(EXACT(Q625,'טבלת פרמטרים'!$O$3),'טבלת פרמטרים'!$P$3,IF(EXACT(Q625,'טבלת פרמטרים'!$O$4),'טבלת פרמטרים'!$P$4,IF(EXACT(Q625,'טבלת פרמטרים'!$O$5),'טבלת פרמטרים'!$P$5,IF(EXACT(Q625,'טבלת פרמטרים'!$O$6),'טבלת פרמטרים'!$P$6,IF(EXACT(Q625,'טבלת פרמטרים'!$O$7),'טבלת פרמטרים'!$P$7,""))))))</f>
        <v>0</v>
      </c>
    </row>
    <row r="626" spans="1:20" x14ac:dyDescent="0.2">
      <c r="A626" s="18">
        <v>626</v>
      </c>
      <c r="B626" s="30">
        <v>45419</v>
      </c>
      <c r="C626" s="30">
        <v>45440</v>
      </c>
      <c r="D626" s="21" t="s">
        <v>18</v>
      </c>
      <c r="E626" s="21" t="s">
        <v>20</v>
      </c>
      <c r="F626" s="21" t="s">
        <v>23</v>
      </c>
      <c r="G626" s="21" t="s">
        <v>26</v>
      </c>
      <c r="H626" s="21" t="s">
        <v>30</v>
      </c>
      <c r="I626" s="21" t="s">
        <v>126</v>
      </c>
      <c r="K626" s="21" t="s">
        <v>44</v>
      </c>
      <c r="L626" s="21" t="s">
        <v>51</v>
      </c>
      <c r="M626" s="21" t="s">
        <v>54</v>
      </c>
      <c r="N626" s="21" t="s">
        <v>59</v>
      </c>
      <c r="O626" s="19">
        <f>IF(ISBLANK(D626),"",IF(D626='טבלת פרמטרים'!$A$9,1,0)+IF(E626='טבלת פרמטרים'!$B$5,2,1)+IF(F626='טבלת פרמטרים'!$C$5,3,IF(F626='טבלת פרמטרים'!$C$4,1,0))+IF(G626='טבלת פרמטרים'!$D$3,2,0)+IF(M626='טבלת פרמטרים'!$J$4,2,IF(M626='טבלת פרמטרים'!$J$3,1,0))+IF(N626='טבלת פרמטרים'!$K$6,3,IF(OR(N626='טבלת פרמטרים'!$K$4,N626='טבלת פרמטרים'!$K$5),2,IF(N626='טבלת פרמטרים'!$K$3,1,0))))</f>
        <v>4</v>
      </c>
      <c r="Q626" s="20" t="s">
        <v>123</v>
      </c>
      <c r="R626" s="19">
        <f t="shared" si="14"/>
        <v>4</v>
      </c>
      <c r="T626" s="19">
        <f>IF(EXACT(Q626,'טבלת פרמטרים'!$O$2),'טבלת פרמטרים'!$P$2,IF(EXACT(Q626,'טבלת פרמטרים'!$O$3),'טבלת פרמטרים'!$P$3,IF(EXACT(Q626,'טבלת פרמטרים'!$O$4),'טבלת פרמטרים'!$P$4,IF(EXACT(Q626,'טבלת פרמטרים'!$O$5),'טבלת פרמטרים'!$P$5,IF(EXACT(Q626,'טבלת פרמטרים'!$O$6),'טבלת פרמטרים'!$P$6,IF(EXACT(Q626,'טבלת פרמטרים'!$O$7),'טבלת פרמטרים'!$P$7,""))))))</f>
        <v>0</v>
      </c>
    </row>
    <row r="627" spans="1:20" x14ac:dyDescent="0.2">
      <c r="A627" s="18">
        <v>627</v>
      </c>
      <c r="C627" s="30">
        <v>45448</v>
      </c>
      <c r="D627" s="21" t="s">
        <v>13</v>
      </c>
      <c r="E627" s="21" t="s">
        <v>111</v>
      </c>
      <c r="F627" s="21" t="s">
        <v>23</v>
      </c>
      <c r="G627" s="21" t="s">
        <v>26</v>
      </c>
      <c r="H627" s="21" t="s">
        <v>30</v>
      </c>
      <c r="M627" s="21" t="s">
        <v>54</v>
      </c>
      <c r="N627" s="21" t="s">
        <v>58</v>
      </c>
      <c r="O627" s="19">
        <f>IF(ISBLANK(D627),"",IF(D627='טבלת פרמטרים'!$A$9,1,0)+IF(E627='טבלת פרמטרים'!$B$5,2,1)+IF(F627='טבלת פרמטרים'!$C$5,3,IF(F627='טבלת פרמטרים'!$C$4,1,0))+IF(G627='טבלת פרמטרים'!$D$3,2,0)+IF(M627='טבלת פרמטרים'!$J$4,2,IF(M627='טבלת פרמטרים'!$J$3,1,0))+IF(N627='טבלת פרמטרים'!$K$6,3,IF(OR(N627='טבלת פרמטרים'!$K$4,N627='טבלת פרמטרים'!$K$5),2,IF(N627='טבלת פרמטרים'!$K$3,1,0))))</f>
        <v>3</v>
      </c>
      <c r="Q627" s="20" t="s">
        <v>123</v>
      </c>
      <c r="R627" s="19">
        <f t="shared" si="14"/>
        <v>3</v>
      </c>
      <c r="T627" s="19">
        <f>IF(EXACT(Q627,'טבלת פרמטרים'!$O$2),'טבלת פרמטרים'!$P$2,IF(EXACT(Q627,'טבלת פרמטרים'!$O$3),'טבלת פרמטרים'!$P$3,IF(EXACT(Q627,'טבלת פרמטרים'!$O$4),'טבלת פרמטרים'!$P$4,IF(EXACT(Q627,'טבלת פרמטרים'!$O$5),'טבלת פרמטרים'!$P$5,IF(EXACT(Q627,'טבלת פרמטרים'!$O$6),'טבלת פרמטרים'!$P$6,IF(EXACT(Q627,'טבלת פרמטרים'!$O$7),'טבלת פרמטרים'!$P$7,""))))))</f>
        <v>0</v>
      </c>
    </row>
    <row r="628" spans="1:20" x14ac:dyDescent="0.2">
      <c r="A628" s="18">
        <v>628</v>
      </c>
      <c r="C628" s="30">
        <v>45445</v>
      </c>
      <c r="D628" s="21" t="s">
        <v>14</v>
      </c>
      <c r="E628" s="21" t="s">
        <v>20</v>
      </c>
      <c r="F628" s="21" t="s">
        <v>23</v>
      </c>
      <c r="G628" s="21" t="s">
        <v>26</v>
      </c>
      <c r="H628" s="21" t="s">
        <v>32</v>
      </c>
      <c r="I628" s="21" t="s">
        <v>126</v>
      </c>
      <c r="J628" s="21" t="s">
        <v>35</v>
      </c>
      <c r="K628" s="21" t="s">
        <v>43</v>
      </c>
      <c r="L628" s="21" t="s">
        <v>51</v>
      </c>
      <c r="M628" s="21" t="s">
        <v>54</v>
      </c>
      <c r="N628" s="21" t="s">
        <v>59</v>
      </c>
      <c r="O628" s="19">
        <f>IF(ISBLANK(D628),"",IF(D628='טבלת פרמטרים'!$A$9,1,0)+IF(E628='טבלת פרמטרים'!$B$5,2,1)+IF(F628='טבלת פרמטרים'!$C$5,3,IF(F628='טבלת פרמטרים'!$C$4,1,0))+IF(G628='טבלת פרמטרים'!$D$3,2,0)+IF(M628='טבלת פרמטרים'!$J$4,2,IF(M628='טבלת פרמטרים'!$J$3,1,0))+IF(N628='טבלת פרמטרים'!$K$6,3,IF(OR(N628='טבלת פרמטרים'!$K$4,N628='טבלת פרמטרים'!$K$5),2,IF(N628='טבלת פרמטרים'!$K$3,1,0))))</f>
        <v>4</v>
      </c>
      <c r="Q628" s="20" t="s">
        <v>123</v>
      </c>
      <c r="R628" s="19">
        <f t="shared" si="14"/>
        <v>4</v>
      </c>
      <c r="T628" s="19">
        <f>IF(EXACT(Q628,'טבלת פרמטרים'!$O$2),'טבלת פרמטרים'!$P$2,IF(EXACT(Q628,'טבלת פרמטרים'!$O$3),'טבלת פרמטרים'!$P$3,IF(EXACT(Q628,'טבלת פרמטרים'!$O$4),'טבלת פרמטרים'!$P$4,IF(EXACT(Q628,'טבלת פרמטרים'!$O$5),'טבלת פרמטרים'!$P$5,IF(EXACT(Q628,'טבלת פרמטרים'!$O$6),'טבלת פרמטרים'!$P$6,IF(EXACT(Q628,'טבלת פרמטרים'!$O$7),'טבלת פרמטרים'!$P$7,""))))))</f>
        <v>0</v>
      </c>
    </row>
    <row r="629" spans="1:20" x14ac:dyDescent="0.2">
      <c r="A629" s="18">
        <v>629</v>
      </c>
      <c r="C629" s="30">
        <v>45473</v>
      </c>
      <c r="D629" s="21" t="s">
        <v>10</v>
      </c>
      <c r="E629" s="21" t="s">
        <v>111</v>
      </c>
      <c r="F629" s="21" t="s">
        <v>23</v>
      </c>
      <c r="G629" s="21" t="s">
        <v>26</v>
      </c>
      <c r="H629" s="21" t="s">
        <v>30</v>
      </c>
      <c r="M629" s="21" t="s">
        <v>54</v>
      </c>
      <c r="N629" s="21" t="s">
        <v>61</v>
      </c>
      <c r="O629" s="19">
        <f>IF(ISBLANK(D629),"",IF(D629='טבלת פרמטרים'!$A$9,1,0)+IF(E629='טבלת פרמטרים'!$B$5,2,1)+IF(F629='טבלת פרמטרים'!$C$5,3,IF(F629='טבלת פרמטרים'!$C$4,1,0))+IF(G629='טבלת פרמטרים'!$D$3,2,0)+IF(M629='טבלת פרמטרים'!$J$4,2,IF(M629='טבלת פרמטרים'!$J$3,1,0))+IF(N629='טבלת פרמטרים'!$K$6,3,IF(OR(N629='טבלת פרמטרים'!$K$4,N629='טבלת פרמטרים'!$K$5),2,IF(N629='טבלת פרמטרים'!$K$3,1,0))))</f>
        <v>5</v>
      </c>
      <c r="Q629" s="20" t="s">
        <v>123</v>
      </c>
      <c r="R629" s="19">
        <f t="shared" si="14"/>
        <v>5</v>
      </c>
      <c r="T629" s="19">
        <f>IF(EXACT(Q629,'טבלת פרמטרים'!$O$2),'טבלת פרמטרים'!$P$2,IF(EXACT(Q629,'טבלת פרמטרים'!$O$3),'טבלת פרמטרים'!$P$3,IF(EXACT(Q629,'טבלת פרמטרים'!$O$4),'טבלת פרמטרים'!$P$4,IF(EXACT(Q629,'טבלת פרמטרים'!$O$5),'טבלת פרמטרים'!$P$5,IF(EXACT(Q629,'טבלת פרמטרים'!$O$6),'טבלת פרמטרים'!$P$6,IF(EXACT(Q629,'טבלת פרמטרים'!$O$7),'טבלת פרמטרים'!$P$7,""))))))</f>
        <v>0</v>
      </c>
    </row>
    <row r="630" spans="1:20" x14ac:dyDescent="0.2">
      <c r="A630" s="18">
        <v>630</v>
      </c>
      <c r="C630" s="30">
        <v>45474</v>
      </c>
      <c r="D630" s="21" t="s">
        <v>10</v>
      </c>
      <c r="E630" s="21" t="s">
        <v>20</v>
      </c>
      <c r="F630" s="21" t="s">
        <v>23</v>
      </c>
      <c r="G630" s="21" t="s">
        <v>27</v>
      </c>
      <c r="H630" s="21" t="s">
        <v>19</v>
      </c>
      <c r="J630" s="21" t="s">
        <v>41</v>
      </c>
      <c r="M630" s="21" t="s">
        <v>54</v>
      </c>
      <c r="N630" s="21" t="s">
        <v>112</v>
      </c>
      <c r="O630" s="19">
        <f>IF(ISBLANK(D630),"",IF(D630='טבלת פרמטרים'!$A$9,1,0)+IF(E630='טבלת פרמטרים'!$B$5,2,1)+IF(F630='טבלת פרמטרים'!$C$5,3,IF(F630='טבלת פרמטרים'!$C$4,1,0))+IF(G630='טבלת פרמטרים'!$D$3,2,0)+IF(M630='טבלת פרמטרים'!$J$4,2,IF(M630='טבלת פרמטרים'!$J$3,1,0))+IF(N630='טבלת פרמטרים'!$K$6,3,IF(OR(N630='טבלת פרמטרים'!$K$4,N630='טבלת פרמטרים'!$K$5),2,IF(N630='טבלת פרמטרים'!$K$3,1,0))))</f>
        <v>6</v>
      </c>
      <c r="Q630" s="20" t="s">
        <v>123</v>
      </c>
      <c r="R630" s="19">
        <f t="shared" si="14"/>
        <v>6</v>
      </c>
      <c r="T630" s="19">
        <f>IF(EXACT(Q630,'טבלת פרמטרים'!$O$2),'טבלת פרמטרים'!$P$2,IF(EXACT(Q630,'טבלת פרמטרים'!$O$3),'טבלת פרמטרים'!$P$3,IF(EXACT(Q630,'טבלת פרמטרים'!$O$4),'טבלת פרמטרים'!$P$4,IF(EXACT(Q630,'טבלת פרמטרים'!$O$5),'טבלת פרמטרים'!$P$5,IF(EXACT(Q630,'טבלת פרמטרים'!$O$6),'טבלת פרמטרים'!$P$6,IF(EXACT(Q630,'טבלת פרמטרים'!$O$7),'טבלת פרמטרים'!$P$7,""))))))</f>
        <v>0</v>
      </c>
    </row>
    <row r="631" spans="1:20" x14ac:dyDescent="0.2">
      <c r="A631" s="18">
        <v>631</v>
      </c>
      <c r="B631" s="30">
        <v>45469</v>
      </c>
      <c r="C631" s="30">
        <v>45469</v>
      </c>
      <c r="D631" s="21" t="s">
        <v>16</v>
      </c>
      <c r="E631" s="21" t="s">
        <v>111</v>
      </c>
      <c r="F631" s="21" t="s">
        <v>23</v>
      </c>
      <c r="G631" s="21" t="s">
        <v>26</v>
      </c>
      <c r="H631" s="21" t="s">
        <v>19</v>
      </c>
      <c r="I631" s="21" t="s">
        <v>126</v>
      </c>
      <c r="J631" s="21" t="s">
        <v>35</v>
      </c>
      <c r="L631" s="21" t="s">
        <v>51</v>
      </c>
      <c r="M631" s="21" t="s">
        <v>55</v>
      </c>
      <c r="N631" s="21" t="s">
        <v>57</v>
      </c>
      <c r="O631" s="19">
        <f>IF(ISBLANK(D631),"",IF(D631='טבלת פרמטרים'!$A$9,1,0)+IF(E631='טבלת פרמטרים'!$B$5,2,1)+IF(F631='טבלת פרמטרים'!$C$5,3,IF(F631='טבלת פרמטרים'!$C$4,1,0))+IF(G631='טבלת פרמטרים'!$D$3,2,0)+IF(M631='טבלת פרמטרים'!$J$4,2,IF(M631='טבלת פרמטרים'!$J$3,1,0))+IF(N631='טבלת פרמטרים'!$K$6,3,IF(OR(N631='טבלת פרמטרים'!$K$4,N631='טבלת פרמטרים'!$K$5),2,IF(N631='טבלת פרמטרים'!$K$3,1,0))))</f>
        <v>3</v>
      </c>
      <c r="Q631" s="20" t="s">
        <v>123</v>
      </c>
      <c r="R631" s="19">
        <f t="shared" si="14"/>
        <v>3</v>
      </c>
      <c r="T631" s="19">
        <f>IF(EXACT(Q631,'טבלת פרמטרים'!$O$2),'טבלת פרמטרים'!$P$2,IF(EXACT(Q631,'טבלת פרמטרים'!$O$3),'טבלת פרמטרים'!$P$3,IF(EXACT(Q631,'טבלת פרמטרים'!$O$4),'טבלת פרמטרים'!$P$4,IF(EXACT(Q631,'טבלת פרמטרים'!$O$5),'טבלת פרמטרים'!$P$5,IF(EXACT(Q631,'טבלת פרמטרים'!$O$6),'טבלת פרמטרים'!$P$6,IF(EXACT(Q631,'טבלת פרמטרים'!$O$7),'טבלת פרמטרים'!$P$7,""))))))</f>
        <v>0</v>
      </c>
    </row>
    <row r="632" spans="1:20" x14ac:dyDescent="0.2">
      <c r="A632" s="18">
        <v>632</v>
      </c>
      <c r="C632" s="30">
        <v>45469</v>
      </c>
      <c r="D632" s="21" t="s">
        <v>17</v>
      </c>
      <c r="E632" s="21" t="s">
        <v>21</v>
      </c>
      <c r="F632" s="21" t="s">
        <v>23</v>
      </c>
      <c r="G632" s="21" t="s">
        <v>26</v>
      </c>
      <c r="H632" s="21" t="s">
        <v>32</v>
      </c>
      <c r="J632" s="21" t="s">
        <v>33</v>
      </c>
      <c r="K632" s="21" t="s">
        <v>46</v>
      </c>
      <c r="L632" s="21" t="s">
        <v>50</v>
      </c>
      <c r="M632" s="21" t="s">
        <v>54</v>
      </c>
      <c r="N632" s="21" t="s">
        <v>59</v>
      </c>
      <c r="O632" s="19">
        <f>IF(ISBLANK(D632),"",IF(D632='טבלת פרמטרים'!$A$9,1,0)+IF(E632='טבלת פרמטרים'!$B$5,2,1)+IF(F632='טבלת פרמטרים'!$C$5,3,IF(F632='טבלת פרמטרים'!$C$4,1,0))+IF(G632='טבלת פרמטרים'!$D$3,2,0)+IF(M632='טבלת פרמטרים'!$J$4,2,IF(M632='טבלת פרמטרים'!$J$3,1,0))+IF(N632='טבלת פרמטרים'!$K$6,3,IF(OR(N632='טבלת פרמטרים'!$K$4,N632='טבלת פרמטרים'!$K$5),2,IF(N632='טבלת פרמטרים'!$K$3,1,0))))</f>
        <v>5</v>
      </c>
      <c r="Q632" s="20" t="s">
        <v>123</v>
      </c>
      <c r="R632" s="19">
        <f t="shared" si="14"/>
        <v>5</v>
      </c>
      <c r="T632" s="19">
        <f>IF(EXACT(Q632,'טבלת פרמטרים'!$O$2),'טבלת פרמטרים'!$P$2,IF(EXACT(Q632,'טבלת פרמטרים'!$O$3),'טבלת פרמטרים'!$P$3,IF(EXACT(Q632,'טבלת פרמטרים'!$O$4),'טבלת פרמטרים'!$P$4,IF(EXACT(Q632,'טבלת פרמטרים'!$O$5),'טבלת פרמטרים'!$P$5,IF(EXACT(Q632,'טבלת פרמטרים'!$O$6),'טבלת פרמטרים'!$P$6,IF(EXACT(Q632,'טבלת פרמטרים'!$O$7),'טבלת פרמטרים'!$P$7,""))))))</f>
        <v>0</v>
      </c>
    </row>
    <row r="633" spans="1:20" x14ac:dyDescent="0.2">
      <c r="A633" s="18">
        <v>633</v>
      </c>
      <c r="B633" s="30">
        <v>45481</v>
      </c>
      <c r="C633" s="30">
        <v>45481</v>
      </c>
      <c r="D633" s="21" t="s">
        <v>10</v>
      </c>
      <c r="E633" s="21" t="s">
        <v>111</v>
      </c>
      <c r="F633" s="21" t="s">
        <v>23</v>
      </c>
      <c r="G633" s="21" t="s">
        <v>26</v>
      </c>
      <c r="H633" s="21" t="s">
        <v>30</v>
      </c>
      <c r="K633" s="21" t="s">
        <v>48</v>
      </c>
      <c r="L633" s="21" t="s">
        <v>49</v>
      </c>
      <c r="M633" s="21" t="s">
        <v>53</v>
      </c>
      <c r="N633" s="21" t="s">
        <v>61</v>
      </c>
      <c r="O633" s="19">
        <f>IF(ISBLANK(D633),"",IF(D633='טבלת פרמטרים'!$A$9,1,0)+IF(E633='טבלת פרמטרים'!$B$5,2,1)+IF(F633='טבלת פרמטרים'!$C$5,3,IF(F633='טבלת פרמטרים'!$C$4,1,0))+IF(G633='טבלת פרמטרים'!$D$3,2,0)+IF(M633='טבלת פרמטרים'!$J$4,2,IF(M633='טבלת פרמטרים'!$J$3,1,0))+IF(N633='טבלת פרמטרים'!$K$6,3,IF(OR(N633='טבלת פרמטרים'!$K$4,N633='טבלת פרמטרים'!$K$5),2,IF(N633='טבלת פרמטרים'!$K$3,1,0))))</f>
        <v>4</v>
      </c>
      <c r="Q633" s="20" t="s">
        <v>123</v>
      </c>
      <c r="R633" s="19">
        <f t="shared" si="14"/>
        <v>4</v>
      </c>
      <c r="T633" s="19">
        <f>IF(EXACT(Q633,'טבלת פרמטרים'!$O$2),'טבלת פרמטרים'!$P$2,IF(EXACT(Q633,'טבלת פרמטרים'!$O$3),'טבלת פרמטרים'!$P$3,IF(EXACT(Q633,'טבלת פרמטרים'!$O$4),'טבלת פרמטרים'!$P$4,IF(EXACT(Q633,'טבלת פרמטרים'!$O$5),'טבלת פרמטרים'!$P$5,IF(EXACT(Q633,'טבלת פרמטרים'!$O$6),'טבלת פרמטרים'!$P$6,IF(EXACT(Q633,'טבלת פרמטרים'!$O$7),'טבלת פרמטרים'!$P$7,""))))))</f>
        <v>0</v>
      </c>
    </row>
    <row r="634" spans="1:20" x14ac:dyDescent="0.2">
      <c r="A634" s="18">
        <v>634</v>
      </c>
      <c r="C634" s="30">
        <v>45482</v>
      </c>
      <c r="D634" s="21" t="s">
        <v>16</v>
      </c>
      <c r="E634" s="21" t="s">
        <v>21</v>
      </c>
      <c r="F634" s="21" t="s">
        <v>23</v>
      </c>
      <c r="G634" s="21" t="s">
        <v>26</v>
      </c>
      <c r="H634" s="21" t="s">
        <v>31</v>
      </c>
      <c r="I634" s="21" t="s">
        <v>126</v>
      </c>
      <c r="J634" s="21" t="s">
        <v>33</v>
      </c>
      <c r="K634" s="21" t="s">
        <v>906</v>
      </c>
      <c r="M634" s="21" t="s">
        <v>55</v>
      </c>
      <c r="N634" s="21" t="s">
        <v>58</v>
      </c>
      <c r="O634" s="19">
        <f>IF(ISBLANK(D634),"",IF(D634='טבלת פרמטרים'!$A$9,1,0)+IF(E634='טבלת פרמטרים'!$B$5,2,1)+IF(F634='טבלת פרמטרים'!$C$5,3,IF(F634='טבלת פרמטרים'!$C$4,1,0))+IF(G634='טבלת פרמטרים'!$D$3,2,0)+IF(M634='טבלת פרמטרים'!$J$4,2,IF(M634='טבלת פרמטרים'!$J$3,1,0))+IF(N634='טבלת פרמטרים'!$K$6,3,IF(OR(N634='טבלת פרמטרים'!$K$4,N634='טבלת פרמטרים'!$K$5),2,IF(N634='טבלת פרמטרים'!$K$3,1,0))))</f>
        <v>4</v>
      </c>
      <c r="Q634" s="20" t="s">
        <v>123</v>
      </c>
      <c r="R634" s="19">
        <f t="shared" si="14"/>
        <v>4</v>
      </c>
      <c r="T634" s="19">
        <f>IF(EXACT(Q634,'טבלת פרמטרים'!$O$2),'טבלת פרמטרים'!$P$2,IF(EXACT(Q634,'טבלת פרמטרים'!$O$3),'טבלת פרמטרים'!$P$3,IF(EXACT(Q634,'טבלת פרמטרים'!$O$4),'טבלת פרמטרים'!$P$4,IF(EXACT(Q634,'טבלת פרמטרים'!$O$5),'טבלת פרמטרים'!$P$5,IF(EXACT(Q634,'טבלת פרמטרים'!$O$6),'טבלת פרמטרים'!$P$6,IF(EXACT(Q634,'טבלת פרמטרים'!$O$7),'טבלת פרמטרים'!$P$7,""))))))</f>
        <v>0</v>
      </c>
    </row>
    <row r="635" spans="1:20" x14ac:dyDescent="0.2">
      <c r="A635" s="18">
        <v>635</v>
      </c>
      <c r="C635" s="30">
        <v>45482</v>
      </c>
      <c r="D635" s="21" t="s">
        <v>10</v>
      </c>
      <c r="E635" s="21" t="s">
        <v>111</v>
      </c>
      <c r="F635" s="21" t="s">
        <v>23</v>
      </c>
      <c r="G635" s="21" t="s">
        <v>26</v>
      </c>
      <c r="H635" s="21" t="s">
        <v>32</v>
      </c>
      <c r="N635" s="21" t="s">
        <v>61</v>
      </c>
      <c r="O635" s="19">
        <f>IF(ISBLANK(D635),"",IF(D635='טבלת פרמטרים'!$A$9,1,0)+IF(E635='טבלת פרמטרים'!$B$5,2,1)+IF(F635='טבלת פרמטרים'!$C$5,3,IF(F635='טבלת פרמטרים'!$C$4,1,0))+IF(G635='טבלת פרמטרים'!$D$3,2,0)+IF(M635='טבלת פרמטרים'!$J$4,2,IF(M635='טבלת פרמטרים'!$J$3,1,0))+IF(N635='טבלת פרמטרים'!$K$6,3,IF(OR(N635='טבלת פרמטרים'!$K$4,N635='טבלת פרמטרים'!$K$5),2,IF(N635='טבלת פרמטרים'!$K$3,1,0))))</f>
        <v>4</v>
      </c>
      <c r="Q635" s="20" t="s">
        <v>123</v>
      </c>
      <c r="R635" s="19">
        <f t="shared" si="14"/>
        <v>4</v>
      </c>
      <c r="T635" s="19">
        <f>IF(EXACT(Q635,'טבלת פרמטרים'!$O$2),'טבלת פרמטרים'!$P$2,IF(EXACT(Q635,'טבלת פרמטרים'!$O$3),'טבלת פרמטרים'!$P$3,IF(EXACT(Q635,'טבלת פרמטרים'!$O$4),'טבלת פרמטרים'!$P$4,IF(EXACT(Q635,'טבלת פרמטרים'!$O$5),'טבלת פרמטרים'!$P$5,IF(EXACT(Q635,'טבלת פרמטרים'!$O$6),'טבלת פרמטרים'!$P$6,IF(EXACT(Q635,'טבלת פרמטרים'!$O$7),'טבלת פרמטרים'!$P$7,""))))))</f>
        <v>0</v>
      </c>
    </row>
    <row r="636" spans="1:20" x14ac:dyDescent="0.2">
      <c r="A636" s="18">
        <v>636</v>
      </c>
      <c r="C636" s="30">
        <v>45483</v>
      </c>
      <c r="D636" s="21" t="s">
        <v>10</v>
      </c>
      <c r="E636" s="21" t="s">
        <v>111</v>
      </c>
      <c r="F636" s="21" t="s">
        <v>23</v>
      </c>
      <c r="G636" s="21" t="s">
        <v>26</v>
      </c>
      <c r="H636" s="21" t="s">
        <v>32</v>
      </c>
      <c r="N636" s="21" t="s">
        <v>61</v>
      </c>
      <c r="O636" s="19">
        <f>IF(ISBLANK(D636),"",IF(D636='טבלת פרמטרים'!$A$9,1,0)+IF(E636='טבלת פרמטרים'!$B$5,2,1)+IF(F636='טבלת פרמטרים'!$C$5,3,IF(F636='טבלת פרמטרים'!$C$4,1,0))+IF(G636='טבלת פרמטרים'!$D$3,2,0)+IF(M636='טבלת פרמטרים'!$J$4,2,IF(M636='טבלת פרמטרים'!$J$3,1,0))+IF(N636='טבלת פרמטרים'!$K$6,3,IF(OR(N636='טבלת פרמטרים'!$K$4,N636='טבלת פרמטרים'!$K$5),2,IF(N636='טבלת פרמטרים'!$K$3,1,0))))</f>
        <v>4</v>
      </c>
      <c r="Q636" s="20" t="s">
        <v>123</v>
      </c>
      <c r="R636" s="19">
        <f t="shared" si="14"/>
        <v>4</v>
      </c>
      <c r="T636" s="19">
        <f>IF(EXACT(Q636,'טבלת פרמטרים'!$O$2),'טבלת פרמטרים'!$P$2,IF(EXACT(Q636,'טבלת פרמטרים'!$O$3),'טבלת פרמטרים'!$P$3,IF(EXACT(Q636,'טבלת פרמטרים'!$O$4),'טבלת פרמטרים'!$P$4,IF(EXACT(Q636,'טבלת פרמטרים'!$O$5),'טבלת פרמטרים'!$P$5,IF(EXACT(Q636,'טבלת פרמטרים'!$O$6),'טבלת פרמטרים'!$P$6,IF(EXACT(Q636,'טבלת פרמטרים'!$O$7),'טבלת פרמטרים'!$P$7,""))))))</f>
        <v>0</v>
      </c>
    </row>
    <row r="637" spans="1:20" x14ac:dyDescent="0.2">
      <c r="A637" s="18">
        <v>637</v>
      </c>
      <c r="C637" s="30">
        <v>45484</v>
      </c>
      <c r="D637" s="21" t="s">
        <v>14</v>
      </c>
      <c r="E637" s="21" t="s">
        <v>20</v>
      </c>
      <c r="F637" s="21" t="s">
        <v>23</v>
      </c>
      <c r="G637" s="21" t="s">
        <v>26</v>
      </c>
      <c r="H637" s="21" t="s">
        <v>30</v>
      </c>
      <c r="K637" s="21" t="s">
        <v>46</v>
      </c>
      <c r="L637" s="21" t="s">
        <v>50</v>
      </c>
      <c r="M637" s="21" t="s">
        <v>54</v>
      </c>
      <c r="N637" s="21" t="s">
        <v>59</v>
      </c>
      <c r="O637" s="19">
        <f>IF(ISBLANK(D637),"",IF(D637='טבלת פרמטרים'!$A$9,1,0)+IF(E637='טבלת פרמטרים'!$B$5,2,1)+IF(F637='טבלת פרמטרים'!$C$5,3,IF(F637='טבלת פרמטרים'!$C$4,1,0))+IF(G637='טבלת פרמטרים'!$D$3,2,0)+IF(M637='טבלת פרמטרים'!$J$4,2,IF(M637='טבלת פרמטרים'!$J$3,1,0))+IF(N637='טבלת פרמטרים'!$K$6,3,IF(OR(N637='טבלת פרמטרים'!$K$4,N637='טבלת פרמטרים'!$K$5),2,IF(N637='טבלת פרמטרים'!$K$3,1,0))))</f>
        <v>4</v>
      </c>
      <c r="Q637" s="20" t="s">
        <v>123</v>
      </c>
      <c r="R637" s="19">
        <f t="shared" si="14"/>
        <v>4</v>
      </c>
      <c r="T637" s="19">
        <f>IF(EXACT(Q637,'טבלת פרמטרים'!$O$2),'טבלת פרמטרים'!$P$2,IF(EXACT(Q637,'טבלת פרמטרים'!$O$3),'טבלת פרמטרים'!$P$3,IF(EXACT(Q637,'טבלת פרמטרים'!$O$4),'טבלת פרמטרים'!$P$4,IF(EXACT(Q637,'טבלת פרמטרים'!$O$5),'טבלת פרמטרים'!$P$5,IF(EXACT(Q637,'טבלת פרמטרים'!$O$6),'טבלת פרמטרים'!$P$6,IF(EXACT(Q637,'טבלת פרמטרים'!$O$7),'טבלת פרמטרים'!$P$7,""))))))</f>
        <v>0</v>
      </c>
    </row>
    <row r="638" spans="1:20" x14ac:dyDescent="0.2">
      <c r="A638" s="18">
        <v>638</v>
      </c>
      <c r="C638" s="30">
        <v>45483</v>
      </c>
      <c r="D638" s="21" t="s">
        <v>17</v>
      </c>
      <c r="E638" s="21" t="s">
        <v>21</v>
      </c>
      <c r="F638" s="21" t="s">
        <v>23</v>
      </c>
      <c r="G638" s="21" t="s">
        <v>26</v>
      </c>
      <c r="H638" s="21" t="s">
        <v>29</v>
      </c>
      <c r="I638" s="21" t="s">
        <v>126</v>
      </c>
      <c r="L638" s="21" t="s">
        <v>50</v>
      </c>
      <c r="M638" s="21" t="s">
        <v>55</v>
      </c>
      <c r="N638" s="21" t="s">
        <v>57</v>
      </c>
      <c r="O638" s="19">
        <f>IF(ISBLANK(D638),"",IF(D638='טבלת פרמטרים'!$A$9,1,0)+IF(E638='טבלת פרמטרים'!$B$5,2,1)+IF(F638='טבלת פרמטרים'!$C$5,3,IF(F638='טבלת פרמטרים'!$C$4,1,0))+IF(G638='טבלת פרמטרים'!$D$3,2,0)+IF(M638='טבלת פרמטרים'!$J$4,2,IF(M638='טבלת פרמטרים'!$J$3,1,0))+IF(N638='טבלת פרמטרים'!$K$6,3,IF(OR(N638='טבלת פרמטרים'!$K$4,N638='טבלת פרמטרים'!$K$5),2,IF(N638='טבלת פרמטרים'!$K$3,1,0))))</f>
        <v>4</v>
      </c>
      <c r="Q638" s="20" t="s">
        <v>123</v>
      </c>
      <c r="R638" s="19">
        <f t="shared" si="14"/>
        <v>4</v>
      </c>
      <c r="T638" s="19">
        <f>IF(EXACT(Q638,'טבלת פרמטרים'!$O$2),'טבלת פרמטרים'!$P$2,IF(EXACT(Q638,'טבלת פרמטרים'!$O$3),'טבלת פרמטרים'!$P$3,IF(EXACT(Q638,'טבלת פרמטרים'!$O$4),'טבלת פרמטרים'!$P$4,IF(EXACT(Q638,'טבלת פרמטרים'!$O$5),'טבלת פרמטרים'!$P$5,IF(EXACT(Q638,'טבלת פרמטרים'!$O$6),'טבלת פרמטרים'!$P$6,IF(EXACT(Q638,'טבלת פרמטרים'!$O$7),'טבלת פרמטרים'!$P$7,""))))))</f>
        <v>0</v>
      </c>
    </row>
    <row r="639" spans="1:20" x14ac:dyDescent="0.2">
      <c r="A639" s="18">
        <v>639</v>
      </c>
      <c r="C639" s="30">
        <v>45484</v>
      </c>
      <c r="D639" s="21" t="s">
        <v>10</v>
      </c>
      <c r="E639" s="21" t="s">
        <v>111</v>
      </c>
      <c r="F639" s="21" t="s">
        <v>23</v>
      </c>
      <c r="G639" s="21" t="s">
        <v>26</v>
      </c>
      <c r="H639" s="21" t="s">
        <v>30</v>
      </c>
      <c r="I639" s="21" t="s">
        <v>126</v>
      </c>
      <c r="L639" s="21" t="s">
        <v>51</v>
      </c>
      <c r="M639" s="21" t="s">
        <v>55</v>
      </c>
      <c r="N639" s="21" t="s">
        <v>59</v>
      </c>
      <c r="O639" s="19">
        <f>IF(ISBLANK(D639),"",IF(D639='טבלת פרמטרים'!$A$9,1,0)+IF(E639='טבלת פרמטרים'!$B$5,2,1)+IF(F639='טבלת פרמטרים'!$C$5,3,IF(F639='טבלת פרמטרים'!$C$4,1,0))+IF(G639='טבלת פרמטרים'!$D$3,2,0)+IF(M639='טבלת פרמטרים'!$J$4,2,IF(M639='טבלת פרמטרים'!$J$3,1,0))+IF(N639='טבלת פרמטרים'!$K$6,3,IF(OR(N639='טבלת פרמטרים'!$K$4,N639='טבלת פרמטרים'!$K$5),2,IF(N639='טבלת פרמטרים'!$K$3,1,0))))</f>
        <v>5</v>
      </c>
      <c r="Q639" s="20" t="s">
        <v>123</v>
      </c>
      <c r="R639" s="19">
        <f t="shared" si="14"/>
        <v>5</v>
      </c>
      <c r="T639" s="19">
        <f>IF(EXACT(Q639,'טבלת פרמטרים'!$O$2),'טבלת פרמטרים'!$P$2,IF(EXACT(Q639,'טבלת פרמטרים'!$O$3),'טבלת פרמטרים'!$P$3,IF(EXACT(Q639,'טבלת פרמטרים'!$O$4),'טבלת פרמטרים'!$P$4,IF(EXACT(Q639,'טבלת פרמטרים'!$O$5),'טבלת פרמטרים'!$P$5,IF(EXACT(Q639,'טבלת פרמטרים'!$O$6),'טבלת פרמטרים'!$P$6,IF(EXACT(Q639,'טבלת פרמטרים'!$O$7),'טבלת פרמטרים'!$P$7,""))))))</f>
        <v>0</v>
      </c>
    </row>
    <row r="640" spans="1:20" x14ac:dyDescent="0.2">
      <c r="A640" s="18">
        <v>640</v>
      </c>
      <c r="C640" s="30">
        <v>45484</v>
      </c>
      <c r="D640" s="21" t="s">
        <v>10</v>
      </c>
      <c r="E640" s="21" t="s">
        <v>20</v>
      </c>
      <c r="F640" s="21" t="s">
        <v>23</v>
      </c>
      <c r="G640" s="21" t="s">
        <v>26</v>
      </c>
      <c r="H640" s="21" t="s">
        <v>31</v>
      </c>
      <c r="M640" s="21" t="s">
        <v>54</v>
      </c>
      <c r="N640" s="21" t="s">
        <v>58</v>
      </c>
      <c r="O640" s="19">
        <f>IF(ISBLANK(D640),"",IF(D640='טבלת פרמטרים'!$A$9,1,0)+IF(E640='טבלת פרמטרים'!$B$5,2,1)+IF(F640='טבלת פרמטרים'!$C$5,3,IF(F640='טבלת פרמטרים'!$C$4,1,0))+IF(G640='טבלת פרמטרים'!$D$3,2,0)+IF(M640='טבלת פרמטרים'!$J$4,2,IF(M640='טבלת פרמטרים'!$J$3,1,0))+IF(N640='טבלת פרמטרים'!$K$6,3,IF(OR(N640='טבלת פרמטרים'!$K$4,N640='טבלת פרמטרים'!$K$5),2,IF(N640='טבלת פרמטרים'!$K$3,1,0))))</f>
        <v>3</v>
      </c>
      <c r="Q640" s="20" t="s">
        <v>123</v>
      </c>
      <c r="R640" s="19">
        <f t="shared" si="14"/>
        <v>3</v>
      </c>
      <c r="T640" s="19">
        <f>IF(EXACT(Q640,'טבלת פרמטרים'!$O$2),'טבלת פרמטרים'!$P$2,IF(EXACT(Q640,'טבלת פרמטרים'!$O$3),'טבלת פרמטרים'!$P$3,IF(EXACT(Q640,'טבלת פרמטרים'!$O$4),'טבלת פרמטרים'!$P$4,IF(EXACT(Q640,'טבלת פרמטרים'!$O$5),'טבלת פרמטרים'!$P$5,IF(EXACT(Q640,'טבלת פרמטרים'!$O$6),'טבלת פרמטרים'!$P$6,IF(EXACT(Q640,'טבלת פרמטרים'!$O$7),'טבלת פרמטרים'!$P$7,""))))))</f>
        <v>0</v>
      </c>
    </row>
    <row r="641" spans="1:20" x14ac:dyDescent="0.2">
      <c r="A641" s="18">
        <v>641</v>
      </c>
      <c r="B641" s="30">
        <v>45483</v>
      </c>
      <c r="C641" s="30">
        <v>45484</v>
      </c>
      <c r="D641" s="21" t="s">
        <v>11</v>
      </c>
      <c r="E641" s="21" t="s">
        <v>21</v>
      </c>
      <c r="F641" s="21" t="s">
        <v>23</v>
      </c>
      <c r="G641" s="21" t="s">
        <v>26</v>
      </c>
      <c r="H641" s="21" t="s">
        <v>29</v>
      </c>
      <c r="J641" s="21" t="s">
        <v>11</v>
      </c>
      <c r="N641" s="21" t="s">
        <v>58</v>
      </c>
      <c r="O641" s="19">
        <f>IF(ISBLANK(D641),"",IF(D641='טבלת פרמטרים'!$A$9,1,0)+IF(E641='טבלת פרמטרים'!$B$5,2,1)+IF(F641='טבלת פרמטרים'!$C$5,3,IF(F641='טבלת פרמטרים'!$C$4,1,0))+IF(G641='טבלת פרמטרים'!$D$3,2,0)+IF(M641='טבלת פרמטרים'!$J$4,2,IF(M641='טבלת פרמטרים'!$J$3,1,0))+IF(N641='טבלת פרמטרים'!$K$6,3,IF(OR(N641='טבלת פרמטרים'!$K$4,N641='טבלת פרמטרים'!$K$5),2,IF(N641='טבלת פרמטרים'!$K$3,1,0))))</f>
        <v>2</v>
      </c>
      <c r="Q641" s="20" t="s">
        <v>123</v>
      </c>
      <c r="R641" s="19">
        <f t="shared" si="14"/>
        <v>2</v>
      </c>
      <c r="T641" s="19">
        <f>IF(EXACT(Q641,'טבלת פרמטרים'!$O$2),'טבלת פרמטרים'!$P$2,IF(EXACT(Q641,'טבלת פרמטרים'!$O$3),'טבלת פרמטרים'!$P$3,IF(EXACT(Q641,'טבלת פרמטרים'!$O$4),'טבלת פרמטרים'!$P$4,IF(EXACT(Q641,'טבלת פרמטרים'!$O$5),'טבלת פרמטרים'!$P$5,IF(EXACT(Q641,'טבלת פרמטרים'!$O$6),'טבלת פרמטרים'!$P$6,IF(EXACT(Q641,'טבלת פרמטרים'!$O$7),'טבלת פרמטרים'!$P$7,""))))))</f>
        <v>0</v>
      </c>
    </row>
    <row r="642" spans="1:20" x14ac:dyDescent="0.2">
      <c r="A642" s="18">
        <v>642</v>
      </c>
      <c r="C642" s="30">
        <v>45474</v>
      </c>
      <c r="D642" s="21" t="s">
        <v>16</v>
      </c>
      <c r="E642" s="21" t="s">
        <v>20</v>
      </c>
      <c r="F642" s="21" t="s">
        <v>23</v>
      </c>
      <c r="G642" s="21" t="s">
        <v>26</v>
      </c>
      <c r="H642" s="21" t="s">
        <v>30</v>
      </c>
      <c r="I642" s="21" t="s">
        <v>126</v>
      </c>
      <c r="J642" s="21" t="s">
        <v>33</v>
      </c>
      <c r="K642" s="21" t="s">
        <v>149</v>
      </c>
      <c r="L642" s="21" t="s">
        <v>50</v>
      </c>
      <c r="M642" s="21" t="s">
        <v>54</v>
      </c>
      <c r="N642" s="21" t="s">
        <v>58</v>
      </c>
      <c r="O642" s="19">
        <f>IF(ISBLANK(D642),"",IF(D642='טבלת פרמטרים'!$A$9,1,0)+IF(E642='טבלת פרמטרים'!$B$5,2,1)+IF(F642='טבלת פרמטרים'!$C$5,3,IF(F642='טבלת פרמטרים'!$C$4,1,0))+IF(G642='טבלת פרמטרים'!$D$3,2,0)+IF(M642='טבלת פרמטרים'!$J$4,2,IF(M642='טבלת פרמטרים'!$J$3,1,0))+IF(N642='טבלת פרמטרים'!$K$6,3,IF(OR(N642='טבלת פרמטרים'!$K$4,N642='טבלת פרמטרים'!$K$5),2,IF(N642='טבלת פרמטרים'!$K$3,1,0))))</f>
        <v>3</v>
      </c>
      <c r="Q642" s="20" t="s">
        <v>123</v>
      </c>
      <c r="R642" s="19">
        <f t="shared" si="14"/>
        <v>3</v>
      </c>
      <c r="T642" s="19">
        <f>IF(EXACT(Q642,'טבלת פרמטרים'!$O$2),'טבלת פרמטרים'!$P$2,IF(EXACT(Q642,'טבלת פרמטרים'!$O$3),'טבלת פרמטרים'!$P$3,IF(EXACT(Q642,'טבלת פרמטרים'!$O$4),'טבלת פרמטרים'!$P$4,IF(EXACT(Q642,'טבלת פרמטרים'!$O$5),'טבלת פרמטרים'!$P$5,IF(EXACT(Q642,'טבלת פרמטרים'!$O$6),'טבלת פרמטרים'!$P$6,IF(EXACT(Q642,'טבלת פרמטרים'!$O$7),'טבלת פרמטרים'!$P$7,""))))))</f>
        <v>0</v>
      </c>
    </row>
    <row r="643" spans="1:20" x14ac:dyDescent="0.2">
      <c r="A643" s="18">
        <v>643</v>
      </c>
      <c r="C643" s="30">
        <v>45487</v>
      </c>
      <c r="D643" s="21" t="s">
        <v>11</v>
      </c>
      <c r="E643" s="21" t="s">
        <v>20</v>
      </c>
      <c r="F643" s="21" t="s">
        <v>23</v>
      </c>
      <c r="G643" s="21" t="s">
        <v>26</v>
      </c>
      <c r="H643" s="21" t="s">
        <v>31</v>
      </c>
      <c r="I643" s="21" t="s">
        <v>127</v>
      </c>
      <c r="J643" s="21" t="s">
        <v>11</v>
      </c>
      <c r="K643" s="21" t="s">
        <v>39</v>
      </c>
      <c r="L643" s="21" t="s">
        <v>51</v>
      </c>
      <c r="M643" s="21" t="s">
        <v>55</v>
      </c>
      <c r="N643" s="21" t="s">
        <v>59</v>
      </c>
      <c r="O643" s="19">
        <f>IF(ISBLANK(D643),"",IF(D643='טבלת פרמטרים'!$A$9,1,0)+IF(E643='טבלת פרמטרים'!$B$5,2,1)+IF(F643='טבלת פרמטרים'!$C$5,3,IF(F643='טבלת פרמטרים'!$C$4,1,0))+IF(G643='טבלת פרמטרים'!$D$3,2,0)+IF(M643='טבלת פרמטרים'!$J$4,2,IF(M643='טבלת פרמטרים'!$J$3,1,0))+IF(N643='טבלת פרמטרים'!$K$6,3,IF(OR(N643='טבלת פרמטרים'!$K$4,N643='טבלת פרמטרים'!$K$5),2,IF(N643='טבלת פרמטרים'!$K$3,1,0))))</f>
        <v>5</v>
      </c>
      <c r="Q643" s="20" t="s">
        <v>123</v>
      </c>
      <c r="R643" s="19">
        <f t="shared" si="14"/>
        <v>5</v>
      </c>
      <c r="T643" s="19">
        <f>IF(EXACT(Q643,'טבלת פרמטרים'!$O$2),'טבלת פרמטרים'!$P$2,IF(EXACT(Q643,'טבלת פרמטרים'!$O$3),'טבלת פרמטרים'!$P$3,IF(EXACT(Q643,'טבלת פרמטרים'!$O$4),'טבלת פרמטרים'!$P$4,IF(EXACT(Q643,'טבלת פרמטרים'!$O$5),'טבלת פרמטרים'!$P$5,IF(EXACT(Q643,'טבלת פרמטרים'!$O$6),'טבלת פרמטרים'!$P$6,IF(EXACT(Q643,'טבלת פרמטרים'!$O$7),'טבלת פרמטרים'!$P$7,""))))))</f>
        <v>0</v>
      </c>
    </row>
    <row r="644" spans="1:20" ht="28.5" x14ac:dyDescent="0.2">
      <c r="A644" s="18">
        <v>644</v>
      </c>
      <c r="C644" s="30">
        <v>45488</v>
      </c>
      <c r="D644" s="21" t="s">
        <v>17</v>
      </c>
      <c r="E644" s="21" t="s">
        <v>22</v>
      </c>
      <c r="F644" s="21" t="s">
        <v>24</v>
      </c>
      <c r="G644" s="21" t="s">
        <v>26</v>
      </c>
      <c r="H644" s="21" t="s">
        <v>30</v>
      </c>
      <c r="I644" s="21" t="s">
        <v>126</v>
      </c>
      <c r="J644" s="21" t="s">
        <v>36</v>
      </c>
      <c r="K644" s="21" t="s">
        <v>36</v>
      </c>
      <c r="L644" s="21" t="s">
        <v>50</v>
      </c>
      <c r="M644" s="21" t="s">
        <v>55</v>
      </c>
      <c r="N644" s="21" t="s">
        <v>58</v>
      </c>
      <c r="O644" s="19">
        <f>IF(ISBLANK(D644),"",IF(D644='טבלת פרמטרים'!$A$9,1,0)+IF(E644='טבלת פרמטרים'!$B$5,2,1)+IF(F644='טבלת פרמטרים'!$C$5,3,IF(F644='טבלת פרמטרים'!$C$4,1,0))+IF(G644='טבלת פרמטרים'!$D$3,2,0)+IF(M644='טבלת פרמטרים'!$J$4,2,IF(M644='טבלת פרמטרים'!$J$3,1,0))+IF(N644='טבלת פרמטרים'!$K$6,3,IF(OR(N644='טבלת פרמטרים'!$K$4,N644='טבלת פרמטרים'!$K$5),2,IF(N644='טבלת פרמטרים'!$K$3,1,0))))</f>
        <v>7</v>
      </c>
      <c r="Q644" s="20" t="s">
        <v>329</v>
      </c>
      <c r="R644" s="19">
        <f t="shared" si="14"/>
        <v>8</v>
      </c>
      <c r="T644" s="19">
        <f>IF(EXACT(Q644,'טבלת פרמטרים'!$O$2),'טבלת פרמטרים'!$P$2,IF(EXACT(Q644,'טבלת פרמטרים'!$O$3),'טבלת פרמטרים'!$P$3,IF(EXACT(Q644,'טבלת פרמטרים'!$O$4),'טבלת פרמטרים'!$P$4,IF(EXACT(Q644,'טבלת פרמטרים'!$O$5),'טבלת פרמטרים'!$P$5,IF(EXACT(Q644,'טבלת פרמטרים'!$O$6),'טבלת פרמטרים'!$P$6,IF(EXACT(Q644,'טבלת פרמטרים'!$O$7),'טבלת פרמטרים'!$P$7,""))))))</f>
        <v>1</v>
      </c>
    </row>
    <row r="645" spans="1:20" x14ac:dyDescent="0.2">
      <c r="A645" s="18">
        <v>645</v>
      </c>
      <c r="C645" s="30">
        <v>45488</v>
      </c>
      <c r="D645" s="21" t="s">
        <v>14</v>
      </c>
      <c r="E645" s="21" t="s">
        <v>111</v>
      </c>
      <c r="F645" s="21" t="s">
        <v>23</v>
      </c>
      <c r="G645" s="21" t="s">
        <v>26</v>
      </c>
      <c r="H645" s="21" t="s">
        <v>29</v>
      </c>
      <c r="M645" s="21" t="s">
        <v>54</v>
      </c>
      <c r="N645" s="21" t="s">
        <v>58</v>
      </c>
      <c r="O645" s="19">
        <f>IF(ISBLANK(D645),"",IF(D645='טבלת פרמטרים'!$A$9,1,0)+IF(E645='טבלת פרמטרים'!$B$5,2,1)+IF(F645='טבלת פרמטרים'!$C$5,3,IF(F645='טבלת פרמטרים'!$C$4,1,0))+IF(G645='טבלת פרמטרים'!$D$3,2,0)+IF(M645='טבלת פרמטרים'!$J$4,2,IF(M645='טבלת פרמטרים'!$J$3,1,0))+IF(N645='טבלת פרמטרים'!$K$6,3,IF(OR(N645='טבלת פרמטרים'!$K$4,N645='טבלת פרמטרים'!$K$5),2,IF(N645='טבלת פרמטרים'!$K$3,1,0))))</f>
        <v>3</v>
      </c>
      <c r="Q645" s="20" t="s">
        <v>123</v>
      </c>
      <c r="R645" s="19">
        <f t="shared" si="14"/>
        <v>3</v>
      </c>
      <c r="T645" s="19">
        <f>IF(EXACT(Q645,'טבלת פרמטרים'!$O$2),'טבלת פרמטרים'!$P$2,IF(EXACT(Q645,'טבלת פרמטרים'!$O$3),'טבלת פרמטרים'!$P$3,IF(EXACT(Q645,'טבלת פרמטרים'!$O$4),'טבלת פרמטרים'!$P$4,IF(EXACT(Q645,'טבלת פרמטרים'!$O$5),'טבלת פרמטרים'!$P$5,IF(EXACT(Q645,'טבלת פרמטרים'!$O$6),'טבלת פרמטרים'!$P$6,IF(EXACT(Q645,'טבלת פרמטרים'!$O$7),'טבלת פרמטרים'!$P$7,""))))))</f>
        <v>0</v>
      </c>
    </row>
    <row r="646" spans="1:20" x14ac:dyDescent="0.2">
      <c r="A646" s="18">
        <v>646</v>
      </c>
      <c r="B646" s="30">
        <v>45490</v>
      </c>
      <c r="C646" s="30">
        <v>45490</v>
      </c>
      <c r="D646" s="21" t="s">
        <v>11</v>
      </c>
      <c r="E646" s="21" t="s">
        <v>20</v>
      </c>
      <c r="F646" s="21" t="s">
        <v>23</v>
      </c>
      <c r="G646" s="21" t="s">
        <v>26</v>
      </c>
      <c r="H646" s="21" t="s">
        <v>29</v>
      </c>
      <c r="J646" s="21" t="s">
        <v>11</v>
      </c>
      <c r="N646" s="21" t="s">
        <v>59</v>
      </c>
      <c r="O646" s="19">
        <f>IF(ISBLANK(D646),"",IF(D646='טבלת פרמטרים'!$A$9,1,0)+IF(E646='טבלת פרמטרים'!$B$5,2,1)+IF(F646='טבלת פרמטרים'!$C$5,3,IF(F646='טבלת פרמטרים'!$C$4,1,0))+IF(G646='טבלת פרמטרים'!$D$3,2,0)+IF(M646='טבלת פרמטרים'!$J$4,2,IF(M646='טבלת פרמטרים'!$J$3,1,0))+IF(N646='טבלת פרמטרים'!$K$6,3,IF(OR(N646='טבלת פרמטרים'!$K$4,N646='טבלת פרמטרים'!$K$5),2,IF(N646='טבלת פרמטרים'!$K$3,1,0))))</f>
        <v>3</v>
      </c>
      <c r="Q646" s="20" t="s">
        <v>123</v>
      </c>
      <c r="R646" s="19">
        <f t="shared" si="14"/>
        <v>3</v>
      </c>
      <c r="T646" s="19">
        <f>IF(EXACT(Q646,'טבלת פרמטרים'!$O$2),'טבלת פרמטרים'!$P$2,IF(EXACT(Q646,'טבלת פרמטרים'!$O$3),'טבלת פרמטרים'!$P$3,IF(EXACT(Q646,'טבלת פרמטרים'!$O$4),'טבלת פרמטרים'!$P$4,IF(EXACT(Q646,'טבלת פרמטרים'!$O$5),'טבלת פרמטרים'!$P$5,IF(EXACT(Q646,'טבלת פרמטרים'!$O$6),'טבלת פרמטרים'!$P$6,IF(EXACT(Q646,'טבלת פרמטרים'!$O$7),'טבלת פרמטרים'!$P$7,""))))))</f>
        <v>0</v>
      </c>
    </row>
    <row r="647" spans="1:20" x14ac:dyDescent="0.2">
      <c r="A647" s="18">
        <v>647</v>
      </c>
      <c r="B647" s="30">
        <v>45489</v>
      </c>
      <c r="C647" s="30">
        <v>45490</v>
      </c>
      <c r="D647" s="21" t="s">
        <v>17</v>
      </c>
      <c r="E647" s="21" t="s">
        <v>111</v>
      </c>
      <c r="F647" s="21" t="s">
        <v>23</v>
      </c>
      <c r="G647" s="21" t="s">
        <v>27</v>
      </c>
      <c r="H647" s="21" t="s">
        <v>29</v>
      </c>
      <c r="J647" s="21" t="s">
        <v>35</v>
      </c>
      <c r="K647" s="21" t="s">
        <v>44</v>
      </c>
      <c r="L647" s="21" t="s">
        <v>51</v>
      </c>
      <c r="M647" s="21" t="s">
        <v>55</v>
      </c>
      <c r="N647" s="21" t="s">
        <v>58</v>
      </c>
      <c r="O647" s="19">
        <f>IF(ISBLANK(D647),"",IF(D647='טבלת פרמטרים'!$A$9,1,0)+IF(E647='טבלת פרמטרים'!$B$5,2,1)+IF(F647='טבלת פרמטרים'!$C$5,3,IF(F647='טבלת פרמטרים'!$C$4,1,0))+IF(G647='טבלת פרמטרים'!$D$3,2,0)+IF(M647='טבלת פרמטרים'!$J$4,2,IF(M647='טבלת פרמטרים'!$J$3,1,0))+IF(N647='טבלת פרמטרים'!$K$6,3,IF(OR(N647='טבלת פרמטרים'!$K$4,N647='טבלת פרמטרים'!$K$5),2,IF(N647='טבלת פרמטרים'!$K$3,1,0))))</f>
        <v>7</v>
      </c>
      <c r="Q647" s="20" t="s">
        <v>123</v>
      </c>
      <c r="R647" s="19">
        <f t="shared" si="14"/>
        <v>7</v>
      </c>
      <c r="T647" s="19">
        <f>IF(EXACT(Q647,'טבלת פרמטרים'!$O$2),'טבלת פרמטרים'!$P$2,IF(EXACT(Q647,'טבלת פרמטרים'!$O$3),'טבלת פרמטרים'!$P$3,IF(EXACT(Q647,'טבלת פרמטרים'!$O$4),'טבלת פרמטרים'!$P$4,IF(EXACT(Q647,'טבלת פרמטרים'!$O$5),'טבלת פרמטרים'!$P$5,IF(EXACT(Q647,'טבלת פרמטרים'!$O$6),'טבלת פרמטרים'!$P$6,IF(EXACT(Q647,'טבלת פרמטרים'!$O$7),'טבלת פרמטרים'!$P$7,""))))))</f>
        <v>0</v>
      </c>
    </row>
    <row r="648" spans="1:20" x14ac:dyDescent="0.2">
      <c r="A648" s="18">
        <v>648</v>
      </c>
      <c r="C648" s="30">
        <v>45491</v>
      </c>
      <c r="D648" s="21" t="s">
        <v>10</v>
      </c>
      <c r="E648" s="21" t="s">
        <v>111</v>
      </c>
      <c r="F648" s="21" t="s">
        <v>23</v>
      </c>
      <c r="G648" s="21" t="s">
        <v>26</v>
      </c>
      <c r="H648" s="21" t="s">
        <v>30</v>
      </c>
      <c r="J648" s="21" t="s">
        <v>11</v>
      </c>
      <c r="M648" s="21" t="s">
        <v>54</v>
      </c>
      <c r="N648" s="21" t="s">
        <v>58</v>
      </c>
      <c r="O648" s="19">
        <f>IF(ISBLANK(D648),"",IF(D648='טבלת פרמטרים'!$A$9,1,0)+IF(E648='טבלת פרמטרים'!$B$5,2,1)+IF(F648='טבלת פרמטרים'!$C$5,3,IF(F648='טבלת פרמטרים'!$C$4,1,0))+IF(G648='טבלת פרמטרים'!$D$3,2,0)+IF(M648='טבלת פרמטרים'!$J$4,2,IF(M648='טבלת פרמטרים'!$J$3,1,0))+IF(N648='טבלת פרמטרים'!$K$6,3,IF(OR(N648='טבלת פרמטרים'!$K$4,N648='טבלת פרמטרים'!$K$5),2,IF(N648='טבלת פרמטרים'!$K$3,1,0))))</f>
        <v>3</v>
      </c>
      <c r="Q648" s="20" t="s">
        <v>123</v>
      </c>
      <c r="R648" s="19">
        <f t="shared" si="14"/>
        <v>3</v>
      </c>
      <c r="T648" s="19">
        <f>IF(EXACT(Q648,'טבלת פרמטרים'!$O$2),'טבלת פרמטרים'!$P$2,IF(EXACT(Q648,'טבלת פרמטרים'!$O$3),'טבלת פרמטרים'!$P$3,IF(EXACT(Q648,'טבלת פרמטרים'!$O$4),'טבלת פרמטרים'!$P$4,IF(EXACT(Q648,'טבלת פרמטרים'!$O$5),'טבלת פרמטרים'!$P$5,IF(EXACT(Q648,'טבלת פרמטרים'!$O$6),'טבלת פרמטרים'!$P$6,IF(EXACT(Q648,'טבלת פרמטרים'!$O$7),'טבלת פרמטרים'!$P$7,""))))))</f>
        <v>0</v>
      </c>
    </row>
    <row r="649" spans="1:20" x14ac:dyDescent="0.2">
      <c r="A649" s="18">
        <v>649</v>
      </c>
      <c r="C649" s="30">
        <v>45491</v>
      </c>
      <c r="D649" s="21" t="s">
        <v>10</v>
      </c>
      <c r="E649" s="21" t="s">
        <v>111</v>
      </c>
      <c r="F649" s="21" t="s">
        <v>23</v>
      </c>
      <c r="G649" s="21" t="s">
        <v>26</v>
      </c>
      <c r="H649" s="21" t="s">
        <v>30</v>
      </c>
      <c r="J649" s="21" t="s">
        <v>11</v>
      </c>
      <c r="M649" s="21" t="s">
        <v>54</v>
      </c>
      <c r="N649" s="21" t="s">
        <v>58</v>
      </c>
      <c r="O649" s="19">
        <f>IF(ISBLANK(D649),"",IF(D649='טבלת פרמטרים'!$A$9,1,0)+IF(E649='טבלת פרמטרים'!$B$5,2,1)+IF(F649='טבלת פרמטרים'!$C$5,3,IF(F649='טבלת פרמטרים'!$C$4,1,0))+IF(G649='טבלת פרמטרים'!$D$3,2,0)+IF(M649='טבלת פרמטרים'!$J$4,2,IF(M649='טבלת פרמטרים'!$J$3,1,0))+IF(N649='טבלת פרמטרים'!$K$6,3,IF(OR(N649='טבלת פרמטרים'!$K$4,N649='טבלת פרמטרים'!$K$5),2,IF(N649='טבלת פרמטרים'!$K$3,1,0))))</f>
        <v>3</v>
      </c>
      <c r="Q649" s="20" t="s">
        <v>123</v>
      </c>
      <c r="R649" s="19">
        <f t="shared" si="14"/>
        <v>3</v>
      </c>
      <c r="T649" s="19">
        <f>IF(EXACT(Q649,'טבלת פרמטרים'!$O$2),'טבלת פרמטרים'!$P$2,IF(EXACT(Q649,'טבלת פרמטרים'!$O$3),'טבלת פרמטרים'!$P$3,IF(EXACT(Q649,'טבלת פרמטרים'!$O$4),'טבלת פרמטרים'!$P$4,IF(EXACT(Q649,'טבלת פרמטרים'!$O$5),'טבלת פרמטרים'!$P$5,IF(EXACT(Q649,'טבלת פרמטרים'!$O$6),'טבלת פרמטרים'!$P$6,IF(EXACT(Q649,'טבלת פרמטרים'!$O$7),'טבלת פרמטרים'!$P$7,""))))))</f>
        <v>0</v>
      </c>
    </row>
    <row r="650" spans="1:20" x14ac:dyDescent="0.2">
      <c r="A650" s="18">
        <v>650</v>
      </c>
      <c r="C650" s="30">
        <v>45491</v>
      </c>
      <c r="D650" s="21" t="s">
        <v>11</v>
      </c>
      <c r="E650" s="21" t="s">
        <v>111</v>
      </c>
      <c r="F650" s="21" t="s">
        <v>23</v>
      </c>
      <c r="G650" s="21" t="s">
        <v>26</v>
      </c>
      <c r="H650" s="21" t="s">
        <v>31</v>
      </c>
      <c r="J650" s="21" t="s">
        <v>11</v>
      </c>
      <c r="M650" s="21" t="s">
        <v>55</v>
      </c>
      <c r="N650" s="21" t="s">
        <v>58</v>
      </c>
      <c r="O650" s="19">
        <f>IF(ISBLANK(D650),"",IF(D650='טבלת פרמטרים'!$A$9,1,0)+IF(E650='טבלת פרמטרים'!$B$5,2,1)+IF(F650='טבלת פרמטרים'!$C$5,3,IF(F650='טבלת פרמטרים'!$C$4,1,0))+IF(G650='טבלת פרמטרים'!$D$3,2,0)+IF(M650='טבלת פרמטרים'!$J$4,2,IF(M650='טבלת פרמטרים'!$J$3,1,0))+IF(N650='טבלת פרמטרים'!$K$6,3,IF(OR(N650='טבלת פרמטרים'!$K$4,N650='טבלת פרמטרים'!$K$5),2,IF(N650='טבלת פרמטרים'!$K$3,1,0))))</f>
        <v>4</v>
      </c>
      <c r="Q650" s="20" t="s">
        <v>123</v>
      </c>
      <c r="R650" s="19">
        <f t="shared" si="14"/>
        <v>4</v>
      </c>
      <c r="T650" s="19">
        <f>IF(EXACT(Q650,'טבלת פרמטרים'!$O$2),'טבלת פרמטרים'!$P$2,IF(EXACT(Q650,'טבלת פרמטרים'!$O$3),'טבלת פרמטרים'!$P$3,IF(EXACT(Q650,'טבלת פרמטרים'!$O$4),'טבלת פרמטרים'!$P$4,IF(EXACT(Q650,'טבלת פרמטרים'!$O$5),'טבלת פרמטרים'!$P$5,IF(EXACT(Q650,'טבלת פרמטרים'!$O$6),'טבלת פרמטרים'!$P$6,IF(EXACT(Q650,'טבלת פרמטרים'!$O$7),'טבלת פרמטרים'!$P$7,""))))))</f>
        <v>0</v>
      </c>
    </row>
    <row r="651" spans="1:20" x14ac:dyDescent="0.2">
      <c r="A651" s="18">
        <v>651</v>
      </c>
      <c r="C651" s="30">
        <v>45501</v>
      </c>
      <c r="D651" s="21" t="s">
        <v>12</v>
      </c>
      <c r="E651" s="21" t="s">
        <v>111</v>
      </c>
      <c r="F651" s="21" t="s">
        <v>23</v>
      </c>
      <c r="G651" s="21" t="s">
        <v>26</v>
      </c>
      <c r="H651" s="21" t="s">
        <v>30</v>
      </c>
      <c r="M651" s="21" t="s">
        <v>54</v>
      </c>
      <c r="N651" s="21" t="s">
        <v>58</v>
      </c>
      <c r="O651" s="19">
        <f>IF(ISBLANK(D651),"",IF(D651='טבלת פרמטרים'!$A$9,1,0)+IF(E651='טבלת פרמטרים'!$B$5,2,1)+IF(F651='טבלת פרמטרים'!$C$5,3,IF(F651='טבלת פרמטרים'!$C$4,1,0))+IF(G651='טבלת פרמטרים'!$D$3,2,0)+IF(M651='טבלת פרמטרים'!$J$4,2,IF(M651='טבלת פרמטרים'!$J$3,1,0))+IF(N651='טבלת פרמטרים'!$K$6,3,IF(OR(N651='טבלת פרמטרים'!$K$4,N651='טבלת פרמטרים'!$K$5),2,IF(N651='טבלת פרמטרים'!$K$3,1,0))))</f>
        <v>3</v>
      </c>
      <c r="Q651" s="20" t="s">
        <v>123</v>
      </c>
      <c r="R651" s="19">
        <f t="shared" si="14"/>
        <v>3</v>
      </c>
      <c r="T651" s="19">
        <f>IF(EXACT(Q651,'טבלת פרמטרים'!$O$2),'טבלת פרמטרים'!$P$2,IF(EXACT(Q651,'טבלת פרמטרים'!$O$3),'טבלת פרמטרים'!$P$3,IF(EXACT(Q651,'טבלת פרמטרים'!$O$4),'טבלת פרמטרים'!$P$4,IF(EXACT(Q651,'טבלת פרמטרים'!$O$5),'טבלת פרמטרים'!$P$5,IF(EXACT(Q651,'טבלת פרמטרים'!$O$6),'טבלת פרמטרים'!$P$6,IF(EXACT(Q651,'טבלת פרמטרים'!$O$7),'טבלת פרמטרים'!$P$7,""))))))</f>
        <v>0</v>
      </c>
    </row>
    <row r="652" spans="1:20" x14ac:dyDescent="0.2">
      <c r="A652" s="18">
        <v>652</v>
      </c>
      <c r="C652" s="30">
        <v>45502</v>
      </c>
      <c r="D652" s="21" t="s">
        <v>16</v>
      </c>
      <c r="E652" s="21" t="s">
        <v>111</v>
      </c>
      <c r="F652" s="21" t="s">
        <v>23</v>
      </c>
      <c r="G652" s="21" t="s">
        <v>26</v>
      </c>
      <c r="H652" s="21" t="s">
        <v>31</v>
      </c>
      <c r="I652" s="21" t="s">
        <v>126</v>
      </c>
      <c r="J652" s="21" t="s">
        <v>35</v>
      </c>
      <c r="K652" s="21" t="s">
        <v>149</v>
      </c>
      <c r="M652" s="21" t="s">
        <v>55</v>
      </c>
      <c r="N652" s="21" t="s">
        <v>58</v>
      </c>
      <c r="O652" s="19">
        <f>IF(ISBLANK(D652),"",IF(D652='טבלת פרמטרים'!$A$9,1,0)+IF(E652='טבלת פרמטרים'!$B$5,2,1)+IF(F652='טבלת פרמטרים'!$C$5,3,IF(F652='טבלת פרמטרים'!$C$4,1,0))+IF(G652='טבלת פרמטרים'!$D$3,2,0)+IF(M652='טבלת פרמטרים'!$J$4,2,IF(M652='טבלת פרמטרים'!$J$3,1,0))+IF(N652='טבלת פרמטרים'!$K$6,3,IF(OR(N652='טבלת פרמטרים'!$K$4,N652='טבלת פרמטרים'!$K$5),2,IF(N652='טבלת פרמטרים'!$K$3,1,0))))</f>
        <v>4</v>
      </c>
      <c r="Q652" s="20" t="s">
        <v>123</v>
      </c>
      <c r="R652" s="19">
        <f t="shared" si="14"/>
        <v>4</v>
      </c>
      <c r="T652" s="19">
        <f>IF(EXACT(Q652,'טבלת פרמטרים'!$O$2),'טבלת פרמטרים'!$P$2,IF(EXACT(Q652,'טבלת פרמטרים'!$O$3),'טבלת פרמטרים'!$P$3,IF(EXACT(Q652,'טבלת פרמטרים'!$O$4),'טבלת פרמטרים'!$P$4,IF(EXACT(Q652,'טבלת פרמטרים'!$O$5),'טבלת פרמטרים'!$P$5,IF(EXACT(Q652,'טבלת פרמטרים'!$O$6),'טבלת פרמטרים'!$P$6,IF(EXACT(Q652,'טבלת פרמטרים'!$O$7),'טבלת פרמטרים'!$P$7,""))))))</f>
        <v>0</v>
      </c>
    </row>
    <row r="653" spans="1:20" x14ac:dyDescent="0.2">
      <c r="A653" s="18">
        <v>653</v>
      </c>
      <c r="C653" s="30">
        <v>45502</v>
      </c>
      <c r="D653" s="21" t="s">
        <v>16</v>
      </c>
      <c r="E653" s="21" t="s">
        <v>21</v>
      </c>
      <c r="F653" s="21" t="s">
        <v>23</v>
      </c>
      <c r="G653" s="21" t="s">
        <v>26</v>
      </c>
      <c r="H653" s="21" t="s">
        <v>29</v>
      </c>
      <c r="I653" s="21" t="s">
        <v>126</v>
      </c>
      <c r="J653" s="21" t="s">
        <v>35</v>
      </c>
      <c r="K653" s="21" t="s">
        <v>44</v>
      </c>
      <c r="M653" s="21" t="s">
        <v>54</v>
      </c>
      <c r="N653" s="21" t="s">
        <v>59</v>
      </c>
      <c r="O653" s="19">
        <f>IF(ISBLANK(D653),"",IF(D653='טבלת פרמטרים'!$A$9,1,0)+IF(E653='טבלת פרמטרים'!$B$5,2,1)+IF(F653='טבלת פרמטרים'!$C$5,3,IF(F653='טבלת פרמטרים'!$C$4,1,0))+IF(G653='טבלת פרמטרים'!$D$3,2,0)+IF(M653='טבלת פרמטרים'!$J$4,2,IF(M653='טבלת פרמטרים'!$J$3,1,0))+IF(N653='טבלת פרמטרים'!$K$6,3,IF(OR(N653='טבלת פרמטרים'!$K$4,N653='טבלת פרמטרים'!$K$5),2,IF(N653='טבלת פרמטרים'!$K$3,1,0))))</f>
        <v>4</v>
      </c>
      <c r="Q653" s="20" t="s">
        <v>123</v>
      </c>
      <c r="R653" s="19">
        <f t="shared" si="14"/>
        <v>4</v>
      </c>
      <c r="T653" s="19">
        <f>IF(EXACT(Q653,'טבלת פרמטרים'!$O$2),'טבלת פרמטרים'!$P$2,IF(EXACT(Q653,'טבלת פרמטרים'!$O$3),'טבלת פרמטרים'!$P$3,IF(EXACT(Q653,'טבלת פרמטרים'!$O$4),'טבלת פרמטרים'!$P$4,IF(EXACT(Q653,'טבלת פרמטרים'!$O$5),'טבלת פרמטרים'!$P$5,IF(EXACT(Q653,'טבלת פרמטרים'!$O$6),'טבלת פרמטרים'!$P$6,IF(EXACT(Q653,'טבלת פרמטרים'!$O$7),'טבלת פרמטרים'!$P$7,""))))))</f>
        <v>0</v>
      </c>
    </row>
    <row r="654" spans="1:20" x14ac:dyDescent="0.2">
      <c r="A654" s="18">
        <v>654</v>
      </c>
      <c r="C654" s="30">
        <v>45505</v>
      </c>
      <c r="D654" s="21" t="s">
        <v>13</v>
      </c>
      <c r="E654" s="21" t="s">
        <v>111</v>
      </c>
      <c r="F654" s="21" t="s">
        <v>23</v>
      </c>
      <c r="G654" s="21" t="s">
        <v>26</v>
      </c>
      <c r="H654" s="21" t="s">
        <v>30</v>
      </c>
      <c r="L654" s="21" t="s">
        <v>51</v>
      </c>
      <c r="M654" s="21" t="s">
        <v>54</v>
      </c>
      <c r="N654" s="21" t="s">
        <v>58</v>
      </c>
      <c r="O654" s="19">
        <f>IF(ISBLANK(D654),"",IF(D654='טבלת פרמטרים'!$A$9,1,0)+IF(E654='טבלת פרמטרים'!$B$5,2,1)+IF(F654='טבלת פרמטרים'!$C$5,3,IF(F654='טבלת פרמטרים'!$C$4,1,0))+IF(G654='טבלת פרמטרים'!$D$3,2,0)+IF(M654='טבלת פרמטרים'!$J$4,2,IF(M654='טבלת פרמטרים'!$J$3,1,0))+IF(N654='טבלת פרמטרים'!$K$6,3,IF(OR(N654='טבלת פרמטרים'!$K$4,N654='טבלת פרמטרים'!$K$5),2,IF(N654='טבלת פרמטרים'!$K$3,1,0))))</f>
        <v>3</v>
      </c>
      <c r="Q654" s="20" t="s">
        <v>123</v>
      </c>
      <c r="R654" s="19">
        <f t="shared" si="14"/>
        <v>3</v>
      </c>
      <c r="T654" s="19">
        <f>IF(EXACT(Q654,'טבלת פרמטרים'!$O$2),'טבלת פרמטרים'!$P$2,IF(EXACT(Q654,'טבלת פרמטרים'!$O$3),'טבלת פרמטרים'!$P$3,IF(EXACT(Q654,'טבלת פרמטרים'!$O$4),'טבלת פרמטרים'!$P$4,IF(EXACT(Q654,'טבלת פרמטרים'!$O$5),'טבלת פרמטרים'!$P$5,IF(EXACT(Q654,'טבלת פרמטרים'!$O$6),'טבלת פרמטרים'!$P$6,IF(EXACT(Q654,'טבלת פרמטרים'!$O$7),'טבלת פרמטרים'!$P$7,""))))))</f>
        <v>0</v>
      </c>
    </row>
    <row r="655" spans="1:20" x14ac:dyDescent="0.2">
      <c r="A655" s="18">
        <v>655</v>
      </c>
      <c r="C655" s="30">
        <v>45508</v>
      </c>
      <c r="D655" s="21" t="s">
        <v>11</v>
      </c>
      <c r="E655" s="21" t="s">
        <v>22</v>
      </c>
      <c r="F655" s="21" t="s">
        <v>24</v>
      </c>
      <c r="G655" s="21" t="s">
        <v>26</v>
      </c>
      <c r="H655" s="21" t="s">
        <v>29</v>
      </c>
      <c r="J655" s="21" t="s">
        <v>11</v>
      </c>
      <c r="M655" s="21" t="s">
        <v>54</v>
      </c>
      <c r="N655" s="21" t="s">
        <v>58</v>
      </c>
      <c r="O655" s="19">
        <f>IF(ISBLANK(D655),"",IF(D655='טבלת פרמטרים'!$A$9,1,0)+IF(E655='טבלת פרמטרים'!$B$5,2,1)+IF(F655='טבלת פרמטרים'!$C$5,3,IF(F655='טבלת פרמטרים'!$C$4,1,0))+IF(G655='טבלת פרמטרים'!$D$3,2,0)+IF(M655='טבלת פרמטרים'!$J$4,2,IF(M655='טבלת פרמטרים'!$J$3,1,0))+IF(N655='טבלת פרמטרים'!$K$6,3,IF(OR(N655='טבלת פרמטרים'!$K$4,N655='טבלת פרמטרים'!$K$5),2,IF(N655='טבלת פרמטרים'!$K$3,1,0))))</f>
        <v>5</v>
      </c>
      <c r="Q655" s="20" t="s">
        <v>123</v>
      </c>
      <c r="R655" s="19">
        <f t="shared" si="14"/>
        <v>5</v>
      </c>
      <c r="T655" s="19">
        <f>IF(EXACT(Q655,'טבלת פרמטרים'!$O$2),'טבלת פרמטרים'!$P$2,IF(EXACT(Q655,'טבלת פרמטרים'!$O$3),'טבלת פרמטרים'!$P$3,IF(EXACT(Q655,'טבלת פרמטרים'!$O$4),'טבלת פרמטרים'!$P$4,IF(EXACT(Q655,'טבלת פרמטרים'!$O$5),'טבלת פרמטרים'!$P$5,IF(EXACT(Q655,'טבלת פרמטרים'!$O$6),'טבלת פרמטרים'!$P$6,IF(EXACT(Q655,'טבלת פרמטרים'!$O$7),'טבלת פרמטרים'!$P$7,""))))))</f>
        <v>0</v>
      </c>
    </row>
    <row r="656" spans="1:20" x14ac:dyDescent="0.2">
      <c r="A656" s="18">
        <v>656</v>
      </c>
      <c r="C656" s="30">
        <v>45511</v>
      </c>
      <c r="D656" s="21" t="s">
        <v>19</v>
      </c>
      <c r="E656" s="21" t="s">
        <v>111</v>
      </c>
      <c r="F656" s="21" t="s">
        <v>23</v>
      </c>
      <c r="G656" s="21" t="s">
        <v>26</v>
      </c>
      <c r="H656" s="21" t="s">
        <v>28</v>
      </c>
      <c r="M656" s="21" t="s">
        <v>53</v>
      </c>
      <c r="N656" s="21" t="s">
        <v>61</v>
      </c>
      <c r="O656" s="19">
        <f>IF(ISBLANK(D656),"",IF(D656='טבלת פרמטרים'!$A$9,1,0)+IF(E656='טבלת פרמטרים'!$B$5,2,1)+IF(F656='טבלת פרמטרים'!$C$5,3,IF(F656='טבלת פרמטרים'!$C$4,1,0))+IF(G656='טבלת פרמטרים'!$D$3,2,0)+IF(M656='טבלת פרמטרים'!$J$4,2,IF(M656='טבלת פרמטרים'!$J$3,1,0))+IF(N656='טבלת פרמטרים'!$K$6,3,IF(OR(N656='טבלת פרמטרים'!$K$4,N656='טבלת פרמטרים'!$K$5),2,IF(N656='טבלת פרמטרים'!$K$3,1,0))))</f>
        <v>4</v>
      </c>
      <c r="Q656" s="20" t="s">
        <v>123</v>
      </c>
      <c r="R656" s="19">
        <f t="shared" si="14"/>
        <v>4</v>
      </c>
      <c r="T656" s="19">
        <f>IF(EXACT(Q656,'טבלת פרמטרים'!$O$2),'טבלת פרמטרים'!$P$2,IF(EXACT(Q656,'טבלת פרמטרים'!$O$3),'טבלת פרמטרים'!$P$3,IF(EXACT(Q656,'טבלת פרמטרים'!$O$4),'טבלת פרמטרים'!$P$4,IF(EXACT(Q656,'טבלת פרמטרים'!$O$5),'טבלת פרמטרים'!$P$5,IF(EXACT(Q656,'טבלת פרמטרים'!$O$6),'טבלת פרמטרים'!$P$6,IF(EXACT(Q656,'טבלת פרמטרים'!$O$7),'טבלת פרמטרים'!$P$7,""))))))</f>
        <v>0</v>
      </c>
    </row>
    <row r="657" spans="1:20" x14ac:dyDescent="0.2">
      <c r="A657" s="18">
        <v>657</v>
      </c>
      <c r="C657" s="30">
        <v>45509</v>
      </c>
      <c r="D657" s="21" t="s">
        <v>10</v>
      </c>
      <c r="E657" s="21" t="s">
        <v>111</v>
      </c>
      <c r="F657" s="21" t="s">
        <v>23</v>
      </c>
      <c r="G657" s="21" t="s">
        <v>26</v>
      </c>
      <c r="H657" s="21" t="s">
        <v>30</v>
      </c>
      <c r="L657" s="21" t="s">
        <v>49</v>
      </c>
      <c r="M657" s="21" t="s">
        <v>55</v>
      </c>
      <c r="N657" s="21" t="s">
        <v>58</v>
      </c>
      <c r="O657" s="19">
        <f>IF(ISBLANK(D657),"",IF(D657='טבלת פרמטרים'!$A$9,1,0)+IF(E657='טבלת פרמטרים'!$B$5,2,1)+IF(F657='טבלת פרמטרים'!$C$5,3,IF(F657='טבלת פרמטרים'!$C$4,1,0))+IF(G657='טבלת פרמטרים'!$D$3,2,0)+IF(M657='טבלת פרמטרים'!$J$4,2,IF(M657='טבלת פרמטרים'!$J$3,1,0))+IF(N657='טבלת פרמטרים'!$K$6,3,IF(OR(N657='טבלת פרמטרים'!$K$4,N657='טבלת פרמטרים'!$K$5),2,IF(N657='טבלת פרמטרים'!$K$3,1,0))))</f>
        <v>4</v>
      </c>
      <c r="Q657" s="20" t="s">
        <v>123</v>
      </c>
      <c r="R657" s="19">
        <f t="shared" si="14"/>
        <v>4</v>
      </c>
      <c r="T657" s="19">
        <f>IF(EXACT(Q657,'טבלת פרמטרים'!$O$2),'טבלת פרמטרים'!$P$2,IF(EXACT(Q657,'טבלת פרמטרים'!$O$3),'טבלת פרמטרים'!$P$3,IF(EXACT(Q657,'טבלת פרמטרים'!$O$4),'טבלת פרמטרים'!$P$4,IF(EXACT(Q657,'טבלת פרמטרים'!$O$5),'טבלת פרמטרים'!$P$5,IF(EXACT(Q657,'טבלת פרמטרים'!$O$6),'טבלת פרמטרים'!$P$6,IF(EXACT(Q657,'טבלת פרמטרים'!$O$7),'טבלת פרמטרים'!$P$7,""))))))</f>
        <v>0</v>
      </c>
    </row>
    <row r="658" spans="1:20" x14ac:dyDescent="0.2">
      <c r="A658" s="18">
        <v>658</v>
      </c>
      <c r="C658" s="30">
        <v>45516</v>
      </c>
      <c r="D658" s="21" t="s">
        <v>17</v>
      </c>
      <c r="E658" s="21" t="s">
        <v>21</v>
      </c>
      <c r="F658" s="21" t="s">
        <v>23</v>
      </c>
      <c r="G658" s="21" t="s">
        <v>26</v>
      </c>
      <c r="H658" s="21" t="s">
        <v>30</v>
      </c>
      <c r="I658" s="21" t="s">
        <v>126</v>
      </c>
      <c r="M658" s="21" t="s">
        <v>53</v>
      </c>
      <c r="N658" s="21" t="s">
        <v>58</v>
      </c>
      <c r="O658" s="19">
        <f>IF(ISBLANK(D658),"",IF(D658='טבלת פרמטרים'!$A$9,1,0)+IF(E658='טבלת פרמטרים'!$B$5,2,1)+IF(F658='טבלת פרמטרים'!$C$5,3,IF(F658='טבלת פרמטרים'!$C$4,1,0))+IF(G658='טבלת פרמטרים'!$D$3,2,0)+IF(M658='טבלת פרמטרים'!$J$4,2,IF(M658='טבלת פרמטרים'!$J$3,1,0))+IF(N658='טבלת פרמטרים'!$K$6,3,IF(OR(N658='טבלת פרמטרים'!$K$4,N658='טבלת פרמטרים'!$K$5),2,IF(N658='טבלת פרמטרים'!$K$3,1,0))))</f>
        <v>3</v>
      </c>
      <c r="Q658" s="20" t="s">
        <v>123</v>
      </c>
      <c r="R658" s="19">
        <f t="shared" si="14"/>
        <v>3</v>
      </c>
      <c r="T658" s="19">
        <f>IF(EXACT(Q658,'טבלת פרמטרים'!$O$2),'טבלת פרמטרים'!$P$2,IF(EXACT(Q658,'טבלת פרמטרים'!$O$3),'טבלת פרמטרים'!$P$3,IF(EXACT(Q658,'טבלת פרמטרים'!$O$4),'טבלת פרמטרים'!$P$4,IF(EXACT(Q658,'טבלת פרמטרים'!$O$5),'טבלת פרמטרים'!$P$5,IF(EXACT(Q658,'טבלת פרמטרים'!$O$6),'טבלת פרמטרים'!$P$6,IF(EXACT(Q658,'טבלת פרמטרים'!$O$7),'טבלת פרמטרים'!$P$7,""))))))</f>
        <v>0</v>
      </c>
    </row>
    <row r="659" spans="1:20" x14ac:dyDescent="0.2">
      <c r="A659" s="18">
        <v>659</v>
      </c>
      <c r="C659" s="30">
        <v>45522</v>
      </c>
      <c r="D659" s="21" t="s">
        <v>12</v>
      </c>
      <c r="E659" s="21" t="s">
        <v>20</v>
      </c>
      <c r="F659" s="21" t="s">
        <v>23</v>
      </c>
      <c r="G659" s="21" t="s">
        <v>26</v>
      </c>
      <c r="H659" s="21" t="s">
        <v>30</v>
      </c>
      <c r="M659" s="21" t="s">
        <v>55</v>
      </c>
      <c r="N659" s="21" t="s">
        <v>58</v>
      </c>
      <c r="O659" s="19">
        <f>IF(ISBLANK(D659),"",IF(D659='טבלת פרמטרים'!$A$9,1,0)+IF(E659='טבלת פרמטרים'!$B$5,2,1)+IF(F659='טבלת פרמטרים'!$C$5,3,IF(F659='טבלת פרמטרים'!$C$4,1,0))+IF(G659='טבלת פרמטרים'!$D$3,2,0)+IF(M659='טבלת פרמטרים'!$J$4,2,IF(M659='טבלת פרמטרים'!$J$3,1,0))+IF(N659='טבלת פרמטרים'!$K$6,3,IF(OR(N659='טבלת פרמטרים'!$K$4,N659='טבלת פרמטרים'!$K$5),2,IF(N659='טבלת פרמטרים'!$K$3,1,0))))</f>
        <v>4</v>
      </c>
      <c r="Q659" s="20" t="s">
        <v>123</v>
      </c>
      <c r="R659" s="19">
        <f t="shared" si="14"/>
        <v>4</v>
      </c>
      <c r="T659" s="19">
        <f>IF(EXACT(Q659,'טבלת פרמטרים'!$O$2),'טבלת פרמטרים'!$P$2,IF(EXACT(Q659,'טבלת פרמטרים'!$O$3),'טבלת פרמטרים'!$P$3,IF(EXACT(Q659,'טבלת פרמטרים'!$O$4),'טבלת פרמטרים'!$P$4,IF(EXACT(Q659,'טבלת פרמטרים'!$O$5),'טבלת פרמטרים'!$P$5,IF(EXACT(Q659,'טבלת פרמטרים'!$O$6),'טבלת פרמטרים'!$P$6,IF(EXACT(Q659,'טבלת פרמטרים'!$O$7),'טבלת פרמטרים'!$P$7,""))))))</f>
        <v>0</v>
      </c>
    </row>
    <row r="660" spans="1:20" x14ac:dyDescent="0.2">
      <c r="A660" s="18">
        <v>660</v>
      </c>
      <c r="C660" s="30">
        <v>45522</v>
      </c>
      <c r="D660" s="21" t="s">
        <v>16</v>
      </c>
      <c r="E660" s="21" t="s">
        <v>111</v>
      </c>
      <c r="F660" s="21" t="s">
        <v>23</v>
      </c>
      <c r="G660" s="21" t="s">
        <v>26</v>
      </c>
      <c r="H660" s="21" t="s">
        <v>31</v>
      </c>
      <c r="J660" s="21" t="s">
        <v>35</v>
      </c>
      <c r="K660" s="21" t="s">
        <v>44</v>
      </c>
      <c r="L660" s="21" t="s">
        <v>51</v>
      </c>
      <c r="M660" s="21" t="s">
        <v>53</v>
      </c>
      <c r="N660" s="21" t="s">
        <v>57</v>
      </c>
      <c r="O660" s="19">
        <f>IF(ISBLANK(D660),"",IF(D660='טבלת פרמטרים'!$A$9,1,0)+IF(E660='טבלת פרמטרים'!$B$5,2,1)+IF(F660='טבלת פרמטרים'!$C$5,3,IF(F660='טבלת פרמטרים'!$C$4,1,0))+IF(G660='טבלת פרמטרים'!$D$3,2,0)+IF(M660='טבלת פרמטרים'!$J$4,2,IF(M660='טבלת פרמטרים'!$J$3,1,0))+IF(N660='טבלת פרמטרים'!$K$6,3,IF(OR(N660='טבלת פרמטרים'!$K$4,N660='טבלת פרמטרים'!$K$5),2,IF(N660='טבלת פרמטרים'!$K$3,1,0))))</f>
        <v>1</v>
      </c>
      <c r="Q660" s="20" t="s">
        <v>123</v>
      </c>
      <c r="R660" s="19">
        <f t="shared" si="14"/>
        <v>1</v>
      </c>
      <c r="T660" s="19">
        <f>IF(EXACT(Q660,'טבלת פרמטרים'!$O$2),'טבלת פרמטרים'!$P$2,IF(EXACT(Q660,'טבלת פרמטרים'!$O$3),'טבלת פרמטרים'!$P$3,IF(EXACT(Q660,'טבלת פרמטרים'!$O$4),'טבלת פרמטרים'!$P$4,IF(EXACT(Q660,'טבלת פרמטרים'!$O$5),'טבלת פרמטרים'!$P$5,IF(EXACT(Q660,'טבלת פרמטרים'!$O$6),'טבלת פרמטרים'!$P$6,IF(EXACT(Q660,'טבלת פרמטרים'!$O$7),'טבלת פרמטרים'!$P$7,""))))))</f>
        <v>0</v>
      </c>
    </row>
    <row r="661" spans="1:20" x14ac:dyDescent="0.2">
      <c r="A661" s="18">
        <v>661</v>
      </c>
      <c r="C661" s="30">
        <v>45523</v>
      </c>
      <c r="D661" s="21" t="s">
        <v>16</v>
      </c>
      <c r="E661" s="21" t="s">
        <v>111</v>
      </c>
      <c r="F661" s="21" t="s">
        <v>23</v>
      </c>
      <c r="G661" s="21" t="s">
        <v>26</v>
      </c>
      <c r="H661" s="21" t="s">
        <v>31</v>
      </c>
      <c r="M661" s="21" t="s">
        <v>53</v>
      </c>
      <c r="N661" s="21" t="s">
        <v>57</v>
      </c>
      <c r="O661" s="19">
        <f>IF(ISBLANK(D661),"",IF(D661='טבלת פרמטרים'!$A$9,1,0)+IF(E661='טבלת פרמטרים'!$B$5,2,1)+IF(F661='טבלת פרמטרים'!$C$5,3,IF(F661='טבלת פרמטרים'!$C$4,1,0))+IF(G661='טבלת פרמטרים'!$D$3,2,0)+IF(M661='טבלת פרמטרים'!$J$4,2,IF(M661='טבלת פרמטרים'!$J$3,1,0))+IF(N661='טבלת פרמטרים'!$K$6,3,IF(OR(N661='טבלת פרמטרים'!$K$4,N661='טבלת פרמטרים'!$K$5),2,IF(N661='טבלת פרמטרים'!$K$3,1,0))))</f>
        <v>1</v>
      </c>
      <c r="Q661" s="20" t="s">
        <v>123</v>
      </c>
      <c r="R661" s="19">
        <f t="shared" si="14"/>
        <v>1</v>
      </c>
      <c r="T661" s="19">
        <f>IF(EXACT(Q661,'טבלת פרמטרים'!$O$2),'טבלת פרמטרים'!$P$2,IF(EXACT(Q661,'טבלת פרמטרים'!$O$3),'טבלת פרמטרים'!$P$3,IF(EXACT(Q661,'טבלת פרמטרים'!$O$4),'טבלת פרמטרים'!$P$4,IF(EXACT(Q661,'טבלת פרמטרים'!$O$5),'טבלת פרמטרים'!$P$5,IF(EXACT(Q661,'טבלת פרמטרים'!$O$6),'טבלת פרמטרים'!$P$6,IF(EXACT(Q661,'טבלת פרמטרים'!$O$7),'טבלת פרמטרים'!$P$7,""))))))</f>
        <v>0</v>
      </c>
    </row>
    <row r="662" spans="1:20" x14ac:dyDescent="0.2">
      <c r="A662" s="18">
        <v>662</v>
      </c>
      <c r="C662" s="30">
        <v>45524</v>
      </c>
      <c r="D662" s="21" t="s">
        <v>11</v>
      </c>
      <c r="E662" s="21" t="s">
        <v>21</v>
      </c>
      <c r="F662" s="21" t="s">
        <v>23</v>
      </c>
      <c r="G662" s="21" t="s">
        <v>26</v>
      </c>
      <c r="H662" s="21" t="s">
        <v>29</v>
      </c>
      <c r="M662" s="21" t="s">
        <v>54</v>
      </c>
      <c r="N662" s="21" t="s">
        <v>58</v>
      </c>
      <c r="O662" s="19">
        <f>IF(ISBLANK(D662),"",IF(D662='טבלת פרמטרים'!$A$9,1,0)+IF(E662='טבלת פרמטרים'!$B$5,2,1)+IF(F662='טבלת פרמטרים'!$C$5,3,IF(F662='טבלת פרמטרים'!$C$4,1,0))+IF(G662='טבלת פרמטרים'!$D$3,2,0)+IF(M662='טבלת פרמטרים'!$J$4,2,IF(M662='טבלת פרמטרים'!$J$3,1,0))+IF(N662='טבלת פרמטרים'!$K$6,3,IF(OR(N662='טבלת פרמטרים'!$K$4,N662='טבלת פרמטרים'!$K$5),2,IF(N662='טבלת פרמטרים'!$K$3,1,0))))</f>
        <v>3</v>
      </c>
      <c r="Q662" s="20" t="s">
        <v>123</v>
      </c>
      <c r="R662" s="19">
        <f t="shared" si="14"/>
        <v>3</v>
      </c>
      <c r="T662" s="19">
        <f>IF(EXACT(Q662,'טבלת פרמטרים'!$O$2),'טבלת פרמטרים'!$P$2,IF(EXACT(Q662,'טבלת פרמטרים'!$O$3),'טבלת פרמטרים'!$P$3,IF(EXACT(Q662,'טבלת פרמטרים'!$O$4),'טבלת פרמטרים'!$P$4,IF(EXACT(Q662,'טבלת פרמטרים'!$O$5),'טבלת פרמטרים'!$P$5,IF(EXACT(Q662,'טבלת פרמטרים'!$O$6),'טבלת פרמטרים'!$P$6,IF(EXACT(Q662,'טבלת פרמטרים'!$O$7),'טבלת פרמטרים'!$P$7,""))))))</f>
        <v>0</v>
      </c>
    </row>
    <row r="663" spans="1:20" x14ac:dyDescent="0.2">
      <c r="A663" s="18">
        <v>663</v>
      </c>
      <c r="C663" s="30">
        <v>45525</v>
      </c>
      <c r="D663" s="21" t="s">
        <v>11</v>
      </c>
      <c r="E663" s="21" t="s">
        <v>20</v>
      </c>
      <c r="F663" s="21" t="s">
        <v>23</v>
      </c>
      <c r="G663" s="21" t="s">
        <v>26</v>
      </c>
      <c r="H663" s="21" t="s">
        <v>29</v>
      </c>
      <c r="M663" s="21" t="s">
        <v>54</v>
      </c>
      <c r="N663" s="21" t="s">
        <v>59</v>
      </c>
      <c r="O663" s="19">
        <f>IF(ISBLANK(D663),"",IF(D663='טבלת פרמטרים'!$A$9,1,0)+IF(E663='טבלת פרמטרים'!$B$5,2,1)+IF(F663='טבלת פרמטרים'!$C$5,3,IF(F663='טבלת פרמטרים'!$C$4,1,0))+IF(G663='טבלת פרמטרים'!$D$3,2,0)+IF(M663='טבלת פרמטרים'!$J$4,2,IF(M663='טבלת פרמטרים'!$J$3,1,0))+IF(N663='טבלת פרמטרים'!$K$6,3,IF(OR(N663='טבלת פרמטרים'!$K$4,N663='טבלת פרמטרים'!$K$5),2,IF(N663='טבלת פרמטרים'!$K$3,1,0))))</f>
        <v>4</v>
      </c>
      <c r="Q663" s="20" t="s">
        <v>123</v>
      </c>
      <c r="R663" s="19">
        <f t="shared" si="14"/>
        <v>4</v>
      </c>
      <c r="T663" s="19">
        <f>IF(EXACT(Q663,'טבלת פרמטרים'!$O$2),'טבלת פרמטרים'!$P$2,IF(EXACT(Q663,'טבלת פרמטרים'!$O$3),'טבלת פרמטרים'!$P$3,IF(EXACT(Q663,'טבלת פרמטרים'!$O$4),'טבלת פרמטרים'!$P$4,IF(EXACT(Q663,'טבלת פרמטרים'!$O$5),'טבלת פרמטרים'!$P$5,IF(EXACT(Q663,'טבלת פרמטרים'!$O$6),'טבלת פרמטרים'!$P$6,IF(EXACT(Q663,'טבלת פרמטרים'!$O$7),'טבלת פרמטרים'!$P$7,""))))))</f>
        <v>0</v>
      </c>
    </row>
    <row r="664" spans="1:20" x14ac:dyDescent="0.2">
      <c r="A664" s="18">
        <v>664</v>
      </c>
      <c r="C664" s="30">
        <v>45530</v>
      </c>
      <c r="D664" s="21" t="s">
        <v>10</v>
      </c>
      <c r="E664" s="21" t="s">
        <v>20</v>
      </c>
      <c r="F664" s="21" t="s">
        <v>23</v>
      </c>
      <c r="G664" s="21" t="s">
        <v>26</v>
      </c>
      <c r="H664" s="21" t="s">
        <v>29</v>
      </c>
      <c r="M664" s="21" t="s">
        <v>54</v>
      </c>
      <c r="N664" s="21" t="s">
        <v>58</v>
      </c>
      <c r="O664" s="19">
        <f>IF(ISBLANK(D664),"",IF(D664='טבלת פרמטרים'!$A$9,1,0)+IF(E664='טבלת פרמטרים'!$B$5,2,1)+IF(F664='טבלת פרמטרים'!$C$5,3,IF(F664='טבלת פרמטרים'!$C$4,1,0))+IF(G664='טבלת פרמטרים'!$D$3,2,0)+IF(M664='טבלת פרמטרים'!$J$4,2,IF(M664='טבלת פרמטרים'!$J$3,1,0))+IF(N664='טבלת פרמטרים'!$K$6,3,IF(OR(N664='טבלת פרמטרים'!$K$4,N664='טבלת פרמטרים'!$K$5),2,IF(N664='טבלת פרמטרים'!$K$3,1,0))))</f>
        <v>3</v>
      </c>
      <c r="Q664" s="20" t="s">
        <v>123</v>
      </c>
      <c r="R664" s="19">
        <f t="shared" si="14"/>
        <v>3</v>
      </c>
      <c r="T664" s="19">
        <f>IF(EXACT(Q664,'טבלת פרמטרים'!$O$2),'טבלת פרמטרים'!$P$2,IF(EXACT(Q664,'טבלת פרמטרים'!$O$3),'טבלת פרמטרים'!$P$3,IF(EXACT(Q664,'טבלת פרמטרים'!$O$4),'טבלת פרמטרים'!$P$4,IF(EXACT(Q664,'טבלת פרמטרים'!$O$5),'טבלת פרמטרים'!$P$5,IF(EXACT(Q664,'טבלת פרמטרים'!$O$6),'טבלת פרמטרים'!$P$6,IF(EXACT(Q664,'טבלת פרמטרים'!$O$7),'טבלת פרמטרים'!$P$7,""))))))</f>
        <v>0</v>
      </c>
    </row>
    <row r="665" spans="1:20" x14ac:dyDescent="0.2">
      <c r="A665" s="18">
        <v>665</v>
      </c>
      <c r="C665" s="30">
        <v>45531</v>
      </c>
      <c r="D665" s="21" t="s">
        <v>10</v>
      </c>
      <c r="E665" s="21" t="s">
        <v>21</v>
      </c>
      <c r="F665" s="21" t="s">
        <v>25</v>
      </c>
      <c r="G665" s="21" t="s">
        <v>26</v>
      </c>
      <c r="H665" s="21" t="s">
        <v>30</v>
      </c>
      <c r="M665" s="21" t="s">
        <v>55</v>
      </c>
      <c r="N665" s="21" t="s">
        <v>58</v>
      </c>
      <c r="O665" s="19">
        <f>IF(ISBLANK(D665),"",IF(D665='טבלת פרמטרים'!$A$9,1,0)+IF(E665='טבלת פרמטרים'!$B$5,2,1)+IF(F665='טבלת פרמטרים'!$C$5,3,IF(F665='טבלת פרמטרים'!$C$4,1,0))+IF(G665='טבלת פרמטרים'!$D$3,2,0)+IF(M665='טבלת פרמטרים'!$J$4,2,IF(M665='טבלת פרמטרים'!$J$3,1,0))+IF(N665='טבלת פרמטרים'!$K$6,3,IF(OR(N665='טבלת פרמטרים'!$K$4,N665='טבלת פרמטרים'!$K$5),2,IF(N665='טבלת פרמטרים'!$K$3,1,0))))</f>
        <v>7</v>
      </c>
      <c r="Q665" s="20" t="s">
        <v>123</v>
      </c>
      <c r="R665" s="19">
        <f t="shared" si="14"/>
        <v>7</v>
      </c>
      <c r="T665" s="19">
        <f>IF(EXACT(Q665,'טבלת פרמטרים'!$O$2),'טבלת פרמטרים'!$P$2,IF(EXACT(Q665,'טבלת פרמטרים'!$O$3),'טבלת פרמטרים'!$P$3,IF(EXACT(Q665,'טבלת פרמטרים'!$O$4),'טבלת פרמטרים'!$P$4,IF(EXACT(Q665,'טבלת פרמטרים'!$O$5),'טבלת פרמטרים'!$P$5,IF(EXACT(Q665,'טבלת פרמטרים'!$O$6),'טבלת פרמטרים'!$P$6,IF(EXACT(Q665,'טבלת פרמטרים'!$O$7),'טבלת פרמטרים'!$P$7,""))))))</f>
        <v>0</v>
      </c>
    </row>
    <row r="666" spans="1:20" x14ac:dyDescent="0.2">
      <c r="A666" s="18">
        <v>666</v>
      </c>
      <c r="C666" s="30">
        <v>45531</v>
      </c>
      <c r="D666" s="21" t="s">
        <v>10</v>
      </c>
      <c r="E666" s="21" t="s">
        <v>21</v>
      </c>
      <c r="F666" s="21" t="s">
        <v>23</v>
      </c>
      <c r="G666" s="21" t="s">
        <v>26</v>
      </c>
      <c r="H666" s="21" t="s">
        <v>29</v>
      </c>
      <c r="M666" s="21" t="s">
        <v>53</v>
      </c>
      <c r="N666" s="21" t="s">
        <v>58</v>
      </c>
      <c r="O666" s="19">
        <f>IF(ISBLANK(D666),"",IF(D666='טבלת פרמטרים'!$A$9,1,0)+IF(E666='טבלת פרמטרים'!$B$5,2,1)+IF(F666='טבלת פרמטרים'!$C$5,3,IF(F666='טבלת פרמטרים'!$C$4,1,0))+IF(G666='טבלת פרמטרים'!$D$3,2,0)+IF(M666='טבלת פרמטרים'!$J$4,2,IF(M666='טבלת פרמטרים'!$J$3,1,0))+IF(N666='טבלת פרמטרים'!$K$6,3,IF(OR(N666='טבלת פרמטרים'!$K$4,N666='טבלת פרמטרים'!$K$5),2,IF(N666='טבלת פרמטרים'!$K$3,1,0))))</f>
        <v>2</v>
      </c>
      <c r="Q666" s="20" t="s">
        <v>123</v>
      </c>
      <c r="R666" s="19">
        <f t="shared" si="14"/>
        <v>2</v>
      </c>
      <c r="T666" s="19">
        <f>IF(EXACT(Q666,'טבלת פרמטרים'!$O$2),'טבלת פרמטרים'!$P$2,IF(EXACT(Q666,'טבלת פרמטרים'!$O$3),'טבלת פרמטרים'!$P$3,IF(EXACT(Q666,'טבלת פרמטרים'!$O$4),'טבלת פרמטרים'!$P$4,IF(EXACT(Q666,'טבלת פרמטרים'!$O$5),'טבלת פרמטרים'!$P$5,IF(EXACT(Q666,'טבלת פרמטרים'!$O$6),'טבלת פרמטרים'!$P$6,IF(EXACT(Q666,'טבלת פרמטרים'!$O$7),'טבלת פרמטרים'!$P$7,""))))))</f>
        <v>0</v>
      </c>
    </row>
    <row r="667" spans="1:20" x14ac:dyDescent="0.2">
      <c r="A667" s="18">
        <v>667</v>
      </c>
      <c r="C667" s="30">
        <v>45531</v>
      </c>
      <c r="D667" s="21" t="s">
        <v>11</v>
      </c>
      <c r="E667" s="21" t="s">
        <v>20</v>
      </c>
      <c r="F667" s="21" t="s">
        <v>23</v>
      </c>
      <c r="G667" s="21" t="s">
        <v>26</v>
      </c>
      <c r="H667" s="21" t="s">
        <v>32</v>
      </c>
      <c r="M667" s="21" t="s">
        <v>53</v>
      </c>
      <c r="N667" s="21" t="s">
        <v>57</v>
      </c>
      <c r="O667" s="19">
        <f>IF(ISBLANK(D667),"",IF(D667='טבלת פרמטרים'!$A$9,1,0)+IF(E667='טבלת פרמטרים'!$B$5,2,1)+IF(F667='טבלת פרמטרים'!$C$5,3,IF(F667='טבלת פרמטרים'!$C$4,1,0))+IF(G667='טבלת פרמטרים'!$D$3,2,0)+IF(M667='טבלת פרמטרים'!$J$4,2,IF(M667='טבלת פרמטרים'!$J$3,1,0))+IF(N667='טבלת פרמטרים'!$K$6,3,IF(OR(N667='טבלת פרמטרים'!$K$4,N667='טבלת פרמטרים'!$K$5),2,IF(N667='טבלת פרמטרים'!$K$3,1,0))))</f>
        <v>1</v>
      </c>
      <c r="Q667" s="20" t="s">
        <v>123</v>
      </c>
      <c r="R667" s="19">
        <f t="shared" si="14"/>
        <v>1</v>
      </c>
      <c r="T667" s="19">
        <f>IF(EXACT(Q667,'טבלת פרמטרים'!$O$2),'טבלת פרמטרים'!$P$2,IF(EXACT(Q667,'טבלת פרמטרים'!$O$3),'טבלת פרמטרים'!$P$3,IF(EXACT(Q667,'טבלת פרמטרים'!$O$4),'טבלת פרמטרים'!$P$4,IF(EXACT(Q667,'טבלת פרמטרים'!$O$5),'טבלת פרמטרים'!$P$5,IF(EXACT(Q667,'טבלת פרמטרים'!$O$6),'טבלת פרמטרים'!$P$6,IF(EXACT(Q667,'טבלת פרמטרים'!$O$7),'טבלת פרמטרים'!$P$7,""))))))</f>
        <v>0</v>
      </c>
    </row>
    <row r="668" spans="1:20" x14ac:dyDescent="0.2">
      <c r="A668" s="18">
        <v>668</v>
      </c>
      <c r="B668" s="30">
        <v>45525</v>
      </c>
      <c r="C668" s="30">
        <v>45536</v>
      </c>
      <c r="D668" s="21" t="s">
        <v>10</v>
      </c>
      <c r="E668" s="21" t="s">
        <v>111</v>
      </c>
      <c r="F668" s="21" t="s">
        <v>23</v>
      </c>
      <c r="G668" s="21" t="s">
        <v>26</v>
      </c>
      <c r="H668" s="21" t="s">
        <v>31</v>
      </c>
      <c r="M668" s="21" t="s">
        <v>55</v>
      </c>
      <c r="N668" s="21" t="s">
        <v>58</v>
      </c>
      <c r="O668" s="19">
        <f>IF(ISBLANK(D668),"",IF(D668='טבלת פרמטרים'!$A$9,1,0)+IF(E668='טבלת פרמטרים'!$B$5,2,1)+IF(F668='טבלת פרמטרים'!$C$5,3,IF(F668='טבלת פרמטרים'!$C$4,1,0))+IF(G668='טבלת פרמטרים'!$D$3,2,0)+IF(M668='טבלת פרמטרים'!$J$4,2,IF(M668='טבלת פרמטרים'!$J$3,1,0))+IF(N668='טבלת פרמטרים'!$K$6,3,IF(OR(N668='טבלת פרמטרים'!$K$4,N668='טבלת פרמטרים'!$K$5),2,IF(N668='טבלת פרמטרים'!$K$3,1,0))))</f>
        <v>4</v>
      </c>
      <c r="Q668" s="20" t="s">
        <v>123</v>
      </c>
      <c r="R668" s="19">
        <f t="shared" si="14"/>
        <v>4</v>
      </c>
      <c r="T668" s="19">
        <f>IF(EXACT(Q668,'טבלת פרמטרים'!$O$2),'טבלת פרמטרים'!$P$2,IF(EXACT(Q668,'טבלת פרמטרים'!$O$3),'טבלת פרמטרים'!$P$3,IF(EXACT(Q668,'טבלת פרמטרים'!$O$4),'טבלת פרמטרים'!$P$4,IF(EXACT(Q668,'טבלת פרמטרים'!$O$5),'טבלת פרמטרים'!$P$5,IF(EXACT(Q668,'טבלת פרמטרים'!$O$6),'טבלת פרמטרים'!$P$6,IF(EXACT(Q668,'טבלת פרמטרים'!$O$7),'טבלת פרמטרים'!$P$7,""))))))</f>
        <v>0</v>
      </c>
    </row>
    <row r="669" spans="1:20" x14ac:dyDescent="0.2">
      <c r="A669" s="18">
        <v>669</v>
      </c>
      <c r="B669" s="30">
        <v>45540</v>
      </c>
      <c r="C669" s="30">
        <v>45543</v>
      </c>
      <c r="D669" s="21" t="s">
        <v>11</v>
      </c>
      <c r="E669" s="21" t="s">
        <v>20</v>
      </c>
      <c r="F669" s="21" t="s">
        <v>23</v>
      </c>
      <c r="G669" s="21" t="s">
        <v>27</v>
      </c>
      <c r="H669" s="21" t="s">
        <v>32</v>
      </c>
      <c r="M669" s="21" t="s">
        <v>54</v>
      </c>
      <c r="N669" s="21" t="s">
        <v>112</v>
      </c>
      <c r="O669" s="19">
        <f>IF(ISBLANK(D669),"",IF(D669='טבלת פרמטרים'!$A$9,1,0)+IF(E669='טבלת פרמטרים'!$B$5,2,1)+IF(F669='טבלת פרמטרים'!$C$5,3,IF(F669='טבלת פרמטרים'!$C$4,1,0))+IF(G669='טבלת פרמטרים'!$D$3,2,0)+IF(M669='טבלת פרמטרים'!$J$4,2,IF(M669='טבלת פרמטרים'!$J$3,1,0))+IF(N669='טבלת פרמטרים'!$K$6,3,IF(OR(N669='טבלת פרמטרים'!$K$4,N669='טבלת פרמטרים'!$K$5),2,IF(N669='טבלת פרמטרים'!$K$3,1,0))))</f>
        <v>6</v>
      </c>
      <c r="Q669" s="20" t="s">
        <v>123</v>
      </c>
      <c r="R669" s="19">
        <f t="shared" si="14"/>
        <v>6</v>
      </c>
      <c r="T669" s="19">
        <f>IF(EXACT(Q669,'טבלת פרמטרים'!$O$2),'טבלת פרמטרים'!$P$2,IF(EXACT(Q669,'טבלת פרמטרים'!$O$3),'טבלת פרמטרים'!$P$3,IF(EXACT(Q669,'טבלת פרמטרים'!$O$4),'טבלת פרמטרים'!$P$4,IF(EXACT(Q669,'טבלת פרמטרים'!$O$5),'טבלת פרמטרים'!$P$5,IF(EXACT(Q669,'טבלת פרמטרים'!$O$6),'טבלת פרמטרים'!$P$6,IF(EXACT(Q669,'טבלת פרמטרים'!$O$7),'טבלת פרמטרים'!$P$7,""))))))</f>
        <v>0</v>
      </c>
    </row>
    <row r="670" spans="1:20" x14ac:dyDescent="0.2">
      <c r="A670" s="18">
        <v>670</v>
      </c>
      <c r="B670" s="30">
        <v>45550</v>
      </c>
      <c r="C670" s="30">
        <v>45550</v>
      </c>
      <c r="D670" s="21" t="s">
        <v>17</v>
      </c>
      <c r="E670" s="21" t="s">
        <v>21</v>
      </c>
      <c r="F670" s="21" t="s">
        <v>23</v>
      </c>
      <c r="G670" s="21" t="s">
        <v>26</v>
      </c>
      <c r="H670" s="21" t="s">
        <v>30</v>
      </c>
      <c r="K670" s="21" t="s">
        <v>1673</v>
      </c>
      <c r="M670" s="21" t="s">
        <v>55</v>
      </c>
      <c r="N670" s="21" t="s">
        <v>59</v>
      </c>
      <c r="O670" s="19">
        <f>IF(ISBLANK(D670),"",IF(D670='טבלת פרמטרים'!$A$9,1,0)+IF(E670='טבלת פרמטרים'!$B$5,2,1)+IF(F670='טבלת פרמטרים'!$C$5,3,IF(F670='טבלת פרמטרים'!$C$4,1,0))+IF(G670='טבלת פרמטרים'!$D$3,2,0)+IF(M670='טבלת פרמטרים'!$J$4,2,IF(M670='טבלת פרמטרים'!$J$3,1,0))+IF(N670='טבלת פרמטרים'!$K$6,3,IF(OR(N670='טבלת פרמטרים'!$K$4,N670='טבלת פרמטרים'!$K$5),2,IF(N670='טבלת פרמטרים'!$K$3,1,0))))</f>
        <v>6</v>
      </c>
      <c r="Q670" s="20" t="s">
        <v>123</v>
      </c>
      <c r="R670" s="19">
        <f t="shared" si="14"/>
        <v>6</v>
      </c>
      <c r="T670" s="19">
        <f>IF(EXACT(Q670,'טבלת פרמטרים'!$O$2),'טבלת פרמטרים'!$P$2,IF(EXACT(Q670,'טבלת פרמטרים'!$O$3),'טבלת פרמטרים'!$P$3,IF(EXACT(Q670,'טבלת פרמטרים'!$O$4),'טבלת פרמטרים'!$P$4,IF(EXACT(Q670,'טבלת פרמטרים'!$O$5),'טבלת פרמטרים'!$P$5,IF(EXACT(Q670,'טבלת פרמטרים'!$O$6),'טבלת פרמטרים'!$P$6,IF(EXACT(Q670,'טבלת פרמטרים'!$O$7),'טבלת פרמטרים'!$P$7,""))))))</f>
        <v>0</v>
      </c>
    </row>
    <row r="671" spans="1:20" x14ac:dyDescent="0.2">
      <c r="A671" s="18">
        <v>671</v>
      </c>
      <c r="C671" s="30">
        <v>45543</v>
      </c>
      <c r="D671" s="21" t="s">
        <v>13</v>
      </c>
      <c r="E671" s="21" t="s">
        <v>20</v>
      </c>
      <c r="F671" s="21" t="s">
        <v>23</v>
      </c>
      <c r="G671" s="21" t="s">
        <v>26</v>
      </c>
      <c r="H671" s="21" t="s">
        <v>30</v>
      </c>
      <c r="K671" s="21" t="s">
        <v>45</v>
      </c>
      <c r="L671" s="21" t="s">
        <v>51</v>
      </c>
      <c r="N671" s="21" t="s">
        <v>58</v>
      </c>
      <c r="O671" s="19">
        <f>IF(ISBLANK(D671),"",IF(D671='טבלת פרמטרים'!$A$9,1,0)+IF(E671='טבלת פרמטרים'!$B$5,2,1)+IF(F671='טבלת פרמטרים'!$C$5,3,IF(F671='טבלת פרמטרים'!$C$4,1,0))+IF(G671='טבלת פרמטרים'!$D$3,2,0)+IF(M671='טבלת פרמטרים'!$J$4,2,IF(M671='טבלת פרמטרים'!$J$3,1,0))+IF(N671='טבלת פרמטרים'!$K$6,3,IF(OR(N671='טבלת פרמטרים'!$K$4,N671='טבלת פרמטרים'!$K$5),2,IF(N671='טבלת פרמטרים'!$K$3,1,0))))</f>
        <v>2</v>
      </c>
      <c r="Q671" s="20" t="s">
        <v>123</v>
      </c>
      <c r="R671" s="19">
        <f t="shared" si="14"/>
        <v>2</v>
      </c>
      <c r="T671" s="19">
        <f>IF(EXACT(Q671,'טבלת פרמטרים'!$O$2),'טבלת פרמטרים'!$P$2,IF(EXACT(Q671,'טבלת פרמטרים'!$O$3),'טבלת פרמטרים'!$P$3,IF(EXACT(Q671,'טבלת פרמטרים'!$O$4),'טבלת פרמטרים'!$P$4,IF(EXACT(Q671,'טבלת פרמטרים'!$O$5),'טבלת פרמטרים'!$P$5,IF(EXACT(Q671,'טבלת פרמטרים'!$O$6),'טבלת פרמטרים'!$P$6,IF(EXACT(Q671,'טבלת פרמטרים'!$O$7),'טבלת פרמטרים'!$P$7,""))))))</f>
        <v>0</v>
      </c>
    </row>
    <row r="672" spans="1:20" x14ac:dyDescent="0.2">
      <c r="A672" s="18">
        <v>672</v>
      </c>
      <c r="C672" s="30">
        <v>45554</v>
      </c>
      <c r="D672" s="21" t="s">
        <v>13</v>
      </c>
      <c r="E672" s="21" t="s">
        <v>20</v>
      </c>
      <c r="F672" s="21" t="s">
        <v>23</v>
      </c>
      <c r="G672" s="21" t="s">
        <v>26</v>
      </c>
      <c r="H672" s="21" t="s">
        <v>30</v>
      </c>
      <c r="M672" s="21" t="s">
        <v>54</v>
      </c>
      <c r="N672" s="21" t="s">
        <v>58</v>
      </c>
      <c r="O672" s="19">
        <f>IF(ISBLANK(D672),"",IF(D672='טבלת פרמטרים'!$A$9,1,0)+IF(E672='טבלת פרמטרים'!$B$5,2,1)+IF(F672='טבלת פרמטרים'!$C$5,3,IF(F672='טבלת פרמטרים'!$C$4,1,0))+IF(G672='טבלת פרמטרים'!$D$3,2,0)+IF(M672='טבלת פרמטרים'!$J$4,2,IF(M672='טבלת פרמטרים'!$J$3,1,0))+IF(N672='טבלת פרמטרים'!$K$6,3,IF(OR(N672='טבלת פרמטרים'!$K$4,N672='טבלת פרמטרים'!$K$5),2,IF(N672='טבלת פרמטרים'!$K$3,1,0))))</f>
        <v>3</v>
      </c>
      <c r="Q672" s="20" t="s">
        <v>123</v>
      </c>
      <c r="R672" s="19">
        <f t="shared" si="14"/>
        <v>3</v>
      </c>
      <c r="T672" s="19">
        <f>IF(EXACT(Q672,'טבלת פרמטרים'!$O$2),'טבלת פרמטרים'!$P$2,IF(EXACT(Q672,'טבלת פרמטרים'!$O$3),'טבלת פרמטרים'!$P$3,IF(EXACT(Q672,'טבלת פרמטרים'!$O$4),'טבלת פרמטרים'!$P$4,IF(EXACT(Q672,'טבלת פרמטרים'!$O$5),'טבלת פרמטרים'!$P$5,IF(EXACT(Q672,'טבלת פרמטרים'!$O$6),'טבלת פרמטרים'!$P$6,IF(EXACT(Q672,'טבלת פרמטרים'!$O$7),'טבלת פרמטרים'!$P$7,""))))))</f>
        <v>0</v>
      </c>
    </row>
    <row r="673" spans="1:20" x14ac:dyDescent="0.2">
      <c r="A673" s="18">
        <v>673</v>
      </c>
      <c r="B673" s="30">
        <v>45566</v>
      </c>
      <c r="C673" s="30">
        <v>45566</v>
      </c>
      <c r="D673" s="21" t="s">
        <v>19</v>
      </c>
      <c r="E673" s="21" t="s">
        <v>21</v>
      </c>
      <c r="F673" s="21" t="s">
        <v>23</v>
      </c>
      <c r="G673" s="21" t="s">
        <v>26</v>
      </c>
      <c r="H673" s="21" t="s">
        <v>30</v>
      </c>
      <c r="I673" s="21" t="s">
        <v>126</v>
      </c>
      <c r="J673" s="21" t="s">
        <v>33</v>
      </c>
      <c r="L673" s="21" t="s">
        <v>51</v>
      </c>
      <c r="M673" s="21" t="s">
        <v>55</v>
      </c>
      <c r="N673" s="21" t="s">
        <v>58</v>
      </c>
      <c r="O673" s="19">
        <f>IF(ISBLANK(D673),"",IF(D673='טבלת פרמטרים'!$A$9,1,0)+IF(E673='טבלת פרמטרים'!$B$5,2,1)+IF(F673='טבלת פרמטרים'!$C$5,3,IF(F673='טבלת פרמטרים'!$C$4,1,0))+IF(G673='טבלת פרמטרים'!$D$3,2,0)+IF(M673='טבלת פרמטרים'!$J$4,2,IF(M673='טבלת פרמטרים'!$J$3,1,0))+IF(N673='טבלת פרמטרים'!$K$6,3,IF(OR(N673='טבלת פרמטרים'!$K$4,N673='טבלת פרמטרים'!$K$5),2,IF(N673='טבלת פרמטרים'!$K$3,1,0))))</f>
        <v>4</v>
      </c>
      <c r="Q673" s="20" t="s">
        <v>123</v>
      </c>
      <c r="R673" s="19">
        <f t="shared" si="14"/>
        <v>4</v>
      </c>
      <c r="T673" s="19">
        <f>IF(EXACT(Q673,'טבלת פרמטרים'!$O$2),'טבלת פרמטרים'!$P$2,IF(EXACT(Q673,'טבלת פרמטרים'!$O$3),'טבלת פרמטרים'!$P$3,IF(EXACT(Q673,'טבלת פרמטרים'!$O$4),'טבלת פרמטרים'!$P$4,IF(EXACT(Q673,'טבלת פרמטרים'!$O$5),'טבלת פרמטרים'!$P$5,IF(EXACT(Q673,'טבלת פרמטרים'!$O$6),'טבלת פרמטרים'!$P$6,IF(EXACT(Q673,'טבלת פרמטרים'!$O$7),'טבלת פרמטרים'!$P$7,""))))))</f>
        <v>0</v>
      </c>
    </row>
    <row r="674" spans="1:20" x14ac:dyDescent="0.2">
      <c r="A674" s="18">
        <v>674</v>
      </c>
      <c r="C674" s="30">
        <v>45567</v>
      </c>
      <c r="D674" s="21" t="s">
        <v>10</v>
      </c>
      <c r="E674" s="21" t="s">
        <v>20</v>
      </c>
      <c r="F674" s="21" t="s">
        <v>23</v>
      </c>
      <c r="G674" s="21" t="s">
        <v>26</v>
      </c>
      <c r="H674" s="21" t="s">
        <v>29</v>
      </c>
      <c r="I674" s="21" t="s">
        <v>126</v>
      </c>
      <c r="J674" s="21" t="s">
        <v>11</v>
      </c>
      <c r="L674" s="21" t="s">
        <v>51</v>
      </c>
      <c r="M674" s="21" t="s">
        <v>55</v>
      </c>
      <c r="N674" s="21" t="s">
        <v>58</v>
      </c>
      <c r="O674" s="19">
        <f>IF(ISBLANK(D674),"",IF(D674='טבלת פרמטרים'!$A$9,1,0)+IF(E674='טבלת פרמטרים'!$B$5,2,1)+IF(F674='טבלת פרמטרים'!$C$5,3,IF(F674='טבלת פרמטרים'!$C$4,1,0))+IF(G674='טבלת פרמטרים'!$D$3,2,0)+IF(M674='טבלת פרמטרים'!$J$4,2,IF(M674='טבלת פרמטרים'!$J$3,1,0))+IF(N674='טבלת פרמטרים'!$K$6,3,IF(OR(N674='טבלת פרמטרים'!$K$4,N674='טבלת פרמטרים'!$K$5),2,IF(N674='טבלת פרמטרים'!$K$3,1,0))))</f>
        <v>4</v>
      </c>
      <c r="Q674" s="20" t="s">
        <v>123</v>
      </c>
      <c r="R674" s="19">
        <f t="shared" si="14"/>
        <v>4</v>
      </c>
      <c r="T674" s="19">
        <f>IF(EXACT(Q674,'טבלת פרמטרים'!$O$2),'טבלת פרמטרים'!$P$2,IF(EXACT(Q674,'טבלת פרמטרים'!$O$3),'טבלת פרמטרים'!$P$3,IF(EXACT(Q674,'טבלת פרמטרים'!$O$4),'טבלת פרמטרים'!$P$4,IF(EXACT(Q674,'טבלת פרמטרים'!$O$5),'טבלת פרמטרים'!$P$5,IF(EXACT(Q674,'טבלת פרמטרים'!$O$6),'טבלת פרמטרים'!$P$6,IF(EXACT(Q674,'טבלת פרמטרים'!$O$7),'טבלת פרמטרים'!$P$7,""))))))</f>
        <v>0</v>
      </c>
    </row>
    <row r="675" spans="1:20" x14ac:dyDescent="0.2">
      <c r="A675" s="18">
        <v>675</v>
      </c>
      <c r="C675" s="30">
        <v>45571</v>
      </c>
      <c r="D675" s="21" t="s">
        <v>10</v>
      </c>
      <c r="E675" s="21" t="s">
        <v>20</v>
      </c>
      <c r="F675" s="21" t="s">
        <v>23</v>
      </c>
      <c r="G675" s="21" t="s">
        <v>26</v>
      </c>
      <c r="H675" s="21" t="s">
        <v>31</v>
      </c>
      <c r="I675" s="21" t="s">
        <v>126</v>
      </c>
      <c r="J675" s="21" t="s">
        <v>11</v>
      </c>
      <c r="M675" s="21" t="s">
        <v>54</v>
      </c>
      <c r="N675" s="21" t="s">
        <v>58</v>
      </c>
      <c r="O675" s="19">
        <f>IF(ISBLANK(D675),"",IF(D675='טבלת פרמטרים'!$A$9,1,0)+IF(E675='טבלת פרמטרים'!$B$5,2,1)+IF(F675='טבלת פרמטרים'!$C$5,3,IF(F675='טבלת פרמטרים'!$C$4,1,0))+IF(G675='טבלת פרמטרים'!$D$3,2,0)+IF(M675='טבלת פרמטרים'!$J$4,2,IF(M675='טבלת פרמטרים'!$J$3,1,0))+IF(N675='טבלת פרמטרים'!$K$6,3,IF(OR(N675='טבלת פרמטרים'!$K$4,N675='טבלת פרמטרים'!$K$5),2,IF(N675='טבלת פרמטרים'!$K$3,1,0))))</f>
        <v>3</v>
      </c>
      <c r="Q675" s="20" t="s">
        <v>123</v>
      </c>
      <c r="R675" s="19">
        <f t="shared" si="14"/>
        <v>3</v>
      </c>
      <c r="T675" s="19">
        <f>IF(EXACT(Q675,'טבלת פרמטרים'!$O$2),'טבלת פרמטרים'!$P$2,IF(EXACT(Q675,'טבלת פרמטרים'!$O$3),'טבלת פרמטרים'!$P$3,IF(EXACT(Q675,'טבלת פרמטרים'!$O$4),'טבלת פרמטרים'!$P$4,IF(EXACT(Q675,'טבלת פרמטרים'!$O$5),'טבלת פרמטרים'!$P$5,IF(EXACT(Q675,'טבלת פרמטרים'!$O$6),'טבלת פרמטרים'!$P$6,IF(EXACT(Q675,'טבלת פרמטרים'!$O$7),'טבלת פרמטרים'!$P$7,""))))))</f>
        <v>0</v>
      </c>
    </row>
    <row r="676" spans="1:20" x14ac:dyDescent="0.2">
      <c r="A676" s="18">
        <v>676</v>
      </c>
      <c r="C676" s="30">
        <v>45571</v>
      </c>
      <c r="D676" s="21" t="s">
        <v>17</v>
      </c>
      <c r="E676" s="21" t="s">
        <v>111</v>
      </c>
      <c r="F676" s="21" t="s">
        <v>23</v>
      </c>
      <c r="G676" s="21" t="s">
        <v>26</v>
      </c>
      <c r="H676" s="21" t="s">
        <v>31</v>
      </c>
      <c r="M676" s="21" t="s">
        <v>54</v>
      </c>
      <c r="N676" s="21" t="s">
        <v>59</v>
      </c>
      <c r="O676" s="19">
        <f>IF(ISBLANK(D676),"",IF(D676='טבלת פרמטרים'!$A$9,1,0)+IF(E676='טבלת פרמטרים'!$B$5,2,1)+IF(F676='טבלת פרמטרים'!$C$5,3,IF(F676='טבלת פרמטרים'!$C$4,1,0))+IF(G676='טבלת פרמטרים'!$D$3,2,0)+IF(M676='טבלת פרמטרים'!$J$4,2,IF(M676='טבלת פרמטרים'!$J$3,1,0))+IF(N676='טבלת פרמטרים'!$K$6,3,IF(OR(N676='טבלת פרמטרים'!$K$4,N676='טבלת פרמטרים'!$K$5),2,IF(N676='טבלת פרמטרים'!$K$3,1,0))))</f>
        <v>5</v>
      </c>
      <c r="Q676" s="20" t="s">
        <v>123</v>
      </c>
      <c r="R676" s="19">
        <f t="shared" si="14"/>
        <v>5</v>
      </c>
      <c r="T676" s="19">
        <f>IF(EXACT(Q676,'טבלת פרמטרים'!$O$2),'טבלת פרמטרים'!$P$2,IF(EXACT(Q676,'טבלת פרמטרים'!$O$3),'טבלת פרמטרים'!$P$3,IF(EXACT(Q676,'טבלת פרמטרים'!$O$4),'טבלת פרמטרים'!$P$4,IF(EXACT(Q676,'טבלת פרמטרים'!$O$5),'טבלת פרמטרים'!$P$5,IF(EXACT(Q676,'טבלת פרמטרים'!$O$6),'טבלת פרמטרים'!$P$6,IF(EXACT(Q676,'טבלת פרמטרים'!$O$7),'טבלת פרמטרים'!$P$7,""))))))</f>
        <v>0</v>
      </c>
    </row>
    <row r="677" spans="1:20" x14ac:dyDescent="0.2">
      <c r="A677" s="18">
        <v>677</v>
      </c>
      <c r="C677" s="30">
        <v>45573</v>
      </c>
      <c r="D677" s="21" t="s">
        <v>16</v>
      </c>
      <c r="E677" s="21" t="s">
        <v>21</v>
      </c>
      <c r="F677" s="21" t="s">
        <v>23</v>
      </c>
      <c r="G677" s="21" t="s">
        <v>26</v>
      </c>
      <c r="H677" s="21" t="s">
        <v>31</v>
      </c>
      <c r="M677" s="21" t="s">
        <v>54</v>
      </c>
      <c r="N677" s="21" t="s">
        <v>58</v>
      </c>
      <c r="O677" s="19">
        <f>IF(ISBLANK(D677),"",IF(D677='טבלת פרמטרים'!$A$9,1,0)+IF(E677='טבלת פרמטרים'!$B$5,2,1)+IF(F677='טבלת פרמטרים'!$C$5,3,IF(F677='טבלת פרמטרים'!$C$4,1,0))+IF(G677='טבלת פרמטרים'!$D$3,2,0)+IF(M677='טבלת פרמטרים'!$J$4,2,IF(M677='טבלת פרמטרים'!$J$3,1,0))+IF(N677='טבלת פרמטרים'!$K$6,3,IF(OR(N677='טבלת פרמטרים'!$K$4,N677='טבלת פרמטרים'!$K$5),2,IF(N677='טבלת פרמטרים'!$K$3,1,0))))</f>
        <v>3</v>
      </c>
      <c r="Q677" s="20" t="s">
        <v>123</v>
      </c>
      <c r="R677" s="19">
        <f t="shared" si="14"/>
        <v>3</v>
      </c>
      <c r="T677" s="19">
        <f>IF(EXACT(Q677,'טבלת פרמטרים'!$O$2),'טבלת פרמטרים'!$P$2,IF(EXACT(Q677,'טבלת פרמטרים'!$O$3),'טבלת פרמטרים'!$P$3,IF(EXACT(Q677,'טבלת פרמטרים'!$O$4),'טבלת פרמטרים'!$P$4,IF(EXACT(Q677,'טבלת פרמטרים'!$O$5),'טבלת פרמטרים'!$P$5,IF(EXACT(Q677,'טבלת פרמטרים'!$O$6),'טבלת פרמטרים'!$P$6,IF(EXACT(Q677,'טבלת פרמטרים'!$O$7),'טבלת פרמטרים'!$P$7,""))))))</f>
        <v>0</v>
      </c>
    </row>
    <row r="678" spans="1:20" x14ac:dyDescent="0.2">
      <c r="A678" s="18">
        <v>678</v>
      </c>
      <c r="C678" s="30">
        <v>45581</v>
      </c>
      <c r="D678" s="21" t="s">
        <v>15</v>
      </c>
      <c r="E678" s="21" t="s">
        <v>20</v>
      </c>
      <c r="F678" s="21" t="s">
        <v>23</v>
      </c>
      <c r="G678" s="21" t="s">
        <v>26</v>
      </c>
      <c r="H678" s="21" t="s">
        <v>31</v>
      </c>
      <c r="M678" s="21" t="s">
        <v>54</v>
      </c>
      <c r="N678" s="21" t="s">
        <v>58</v>
      </c>
      <c r="O678" s="19">
        <f>IF(ISBLANK(D678),"",IF(D678='טבלת פרמטרים'!$A$9,1,0)+IF(E678='טבלת פרמטרים'!$B$5,2,1)+IF(F678='טבלת פרמטרים'!$C$5,3,IF(F678='טבלת פרמטרים'!$C$4,1,0))+IF(G678='טבלת פרמטרים'!$D$3,2,0)+IF(M678='טבלת פרמטרים'!$J$4,2,IF(M678='טבלת פרמטרים'!$J$3,1,0))+IF(N678='טבלת פרמטרים'!$K$6,3,IF(OR(N678='טבלת פרמטרים'!$K$4,N678='טבלת פרמטרים'!$K$5),2,IF(N678='טבלת פרמטרים'!$K$3,1,0))))</f>
        <v>3</v>
      </c>
      <c r="Q678" s="20" t="s">
        <v>123</v>
      </c>
      <c r="R678" s="19">
        <f t="shared" si="14"/>
        <v>3</v>
      </c>
      <c r="T678" s="19">
        <f>IF(EXACT(Q678,'טבלת פרמטרים'!$O$2),'טבלת פרמטרים'!$P$2,IF(EXACT(Q678,'טבלת פרמטרים'!$O$3),'טבלת פרמטרים'!$P$3,IF(EXACT(Q678,'טבלת פרמטרים'!$O$4),'טבלת פרמטרים'!$P$4,IF(EXACT(Q678,'טבלת פרמטרים'!$O$5),'טבלת פרמטרים'!$P$5,IF(EXACT(Q678,'טבלת פרמטרים'!$O$6),'טבלת פרמטרים'!$P$6,IF(EXACT(Q678,'טבלת פרמטרים'!$O$7),'טבלת פרמטרים'!$P$7,""))))))</f>
        <v>0</v>
      </c>
    </row>
    <row r="679" spans="1:20" x14ac:dyDescent="0.2">
      <c r="A679" s="18">
        <v>679</v>
      </c>
      <c r="C679" s="30">
        <v>45585</v>
      </c>
      <c r="D679" s="21" t="s">
        <v>15</v>
      </c>
      <c r="E679" s="21" t="s">
        <v>20</v>
      </c>
      <c r="F679" s="21" t="s">
        <v>23</v>
      </c>
      <c r="G679" s="21" t="s">
        <v>26</v>
      </c>
      <c r="H679" s="21" t="s">
        <v>31</v>
      </c>
      <c r="M679" s="21" t="s">
        <v>54</v>
      </c>
      <c r="N679" s="21" t="s">
        <v>59</v>
      </c>
      <c r="O679" s="19">
        <f>IF(ISBLANK(D679),"",IF(D679='טבלת פרמטרים'!$A$9,1,0)+IF(E679='טבלת פרמטרים'!$B$5,2,1)+IF(F679='טבלת פרמטרים'!$C$5,3,IF(F679='טבלת פרמטרים'!$C$4,1,0))+IF(G679='טבלת פרמטרים'!$D$3,2,0)+IF(M679='טבלת פרמטרים'!$J$4,2,IF(M679='טבלת פרמטרים'!$J$3,1,0))+IF(N679='טבלת פרמטרים'!$K$6,3,IF(OR(N679='טבלת פרמטרים'!$K$4,N679='טבלת פרמטרים'!$K$5),2,IF(N679='טבלת פרמטרים'!$K$3,1,0))))</f>
        <v>4</v>
      </c>
      <c r="Q679" s="20" t="s">
        <v>123</v>
      </c>
      <c r="R679" s="19">
        <f t="shared" si="14"/>
        <v>4</v>
      </c>
      <c r="T679" s="19">
        <f>IF(EXACT(Q679,'טבלת פרמטרים'!$O$2),'טבלת פרמטרים'!$P$2,IF(EXACT(Q679,'טבלת פרמטרים'!$O$3),'טבלת פרמטרים'!$P$3,IF(EXACT(Q679,'טבלת פרמטרים'!$O$4),'טבלת פרמטרים'!$P$4,IF(EXACT(Q679,'טבלת פרמטרים'!$O$5),'טבלת פרמטרים'!$P$5,IF(EXACT(Q679,'טבלת פרמטרים'!$O$6),'טבלת פרמטרים'!$P$6,IF(EXACT(Q679,'טבלת פרמטרים'!$O$7),'טבלת פרמטרים'!$P$7,""))))))</f>
        <v>0</v>
      </c>
    </row>
    <row r="680" spans="1:20" x14ac:dyDescent="0.2">
      <c r="A680" s="18">
        <v>680</v>
      </c>
      <c r="C680" s="30">
        <v>45587</v>
      </c>
      <c r="D680" s="21" t="s">
        <v>15</v>
      </c>
      <c r="E680" s="21" t="s">
        <v>111</v>
      </c>
      <c r="F680" s="21" t="s">
        <v>23</v>
      </c>
      <c r="G680" s="21" t="s">
        <v>26</v>
      </c>
      <c r="H680" s="21" t="s">
        <v>30</v>
      </c>
      <c r="M680" s="21" t="s">
        <v>53</v>
      </c>
      <c r="N680" s="21" t="s">
        <v>59</v>
      </c>
      <c r="O680" s="19">
        <f>IF(ISBLANK(D680),"",IF(D680='טבלת פרמטרים'!$A$9,1,0)+IF(E680='טבלת פרמטרים'!$B$5,2,1)+IF(F680='טבלת פרמטרים'!$C$5,3,IF(F680='טבלת פרמטרים'!$C$4,1,0))+IF(G680='טבלת פרמטרים'!$D$3,2,0)+IF(M680='טבלת פרמטרים'!$J$4,2,IF(M680='טבלת פרמטרים'!$J$3,1,0))+IF(N680='טבלת פרמטרים'!$K$6,3,IF(OR(N680='טבלת פרמטרים'!$K$4,N680='טבלת פרמטרים'!$K$5),2,IF(N680='טבלת פרמטרים'!$K$3,1,0))))</f>
        <v>3</v>
      </c>
      <c r="Q680" s="20" t="s">
        <v>123</v>
      </c>
      <c r="R680" s="19">
        <f t="shared" si="14"/>
        <v>3</v>
      </c>
      <c r="T680" s="19">
        <f>IF(EXACT(Q680,'טבלת פרמטרים'!$O$2),'טבלת פרמטרים'!$P$2,IF(EXACT(Q680,'טבלת פרמטרים'!$O$3),'טבלת פרמטרים'!$P$3,IF(EXACT(Q680,'טבלת פרמטרים'!$O$4),'טבלת פרמטרים'!$P$4,IF(EXACT(Q680,'טבלת פרמטרים'!$O$5),'טבלת פרמטרים'!$P$5,IF(EXACT(Q680,'טבלת פרמטרים'!$O$6),'טבלת פרמטרים'!$P$6,IF(EXACT(Q680,'טבלת פרמטרים'!$O$7),'טבלת פרמטרים'!$P$7,""))))))</f>
        <v>0</v>
      </c>
    </row>
    <row r="681" spans="1:20" x14ac:dyDescent="0.2">
      <c r="A681" s="18">
        <v>681</v>
      </c>
      <c r="C681" s="30">
        <v>45592</v>
      </c>
      <c r="D681" s="21" t="s">
        <v>15</v>
      </c>
      <c r="E681" s="21" t="s">
        <v>21</v>
      </c>
      <c r="F681" s="21" t="s">
        <v>23</v>
      </c>
      <c r="G681" s="21" t="s">
        <v>26</v>
      </c>
      <c r="H681" s="21" t="s">
        <v>30</v>
      </c>
      <c r="I681" s="21" t="s">
        <v>126</v>
      </c>
      <c r="J681" s="21" t="s">
        <v>63</v>
      </c>
      <c r="K681" s="21" t="s">
        <v>45</v>
      </c>
      <c r="L681" s="21" t="s">
        <v>51</v>
      </c>
      <c r="M681" s="21" t="s">
        <v>55</v>
      </c>
      <c r="N681" s="21" t="s">
        <v>58</v>
      </c>
      <c r="O681" s="19">
        <f>IF(ISBLANK(D681),"",IF(D681='טבלת פרמטרים'!$A$9,1,0)+IF(E681='טבלת פרמטרים'!$B$5,2,1)+IF(F681='טבלת פרמטרים'!$C$5,3,IF(F681='טבלת פרמטרים'!$C$4,1,0))+IF(G681='טבלת פרמטרים'!$D$3,2,0)+IF(M681='טבלת פרמטרים'!$J$4,2,IF(M681='טבלת פרמטרים'!$J$3,1,0))+IF(N681='טבלת פרמטרים'!$K$6,3,IF(OR(N681='טבלת פרמטרים'!$K$4,N681='טבלת פרמטרים'!$K$5),2,IF(N681='טבלת פרמטרים'!$K$3,1,0))))</f>
        <v>4</v>
      </c>
      <c r="Q681" s="20" t="s">
        <v>123</v>
      </c>
      <c r="R681" s="19">
        <f t="shared" si="14"/>
        <v>4</v>
      </c>
      <c r="T681" s="19">
        <f>IF(EXACT(Q681,'טבלת פרמטרים'!$O$2),'טבלת פרמטרים'!$P$2,IF(EXACT(Q681,'טבלת פרמטרים'!$O$3),'טבלת פרמטרים'!$P$3,IF(EXACT(Q681,'טבלת פרמטרים'!$O$4),'טבלת פרמטרים'!$P$4,IF(EXACT(Q681,'טבלת פרמטרים'!$O$5),'טבלת פרמטרים'!$P$5,IF(EXACT(Q681,'טבלת פרמטרים'!$O$6),'טבלת פרמטרים'!$P$6,IF(EXACT(Q681,'טבלת פרמטרים'!$O$7),'טבלת פרמטרים'!$P$7,""))))))</f>
        <v>0</v>
      </c>
    </row>
    <row r="682" spans="1:20" x14ac:dyDescent="0.2">
      <c r="A682" s="18">
        <v>682</v>
      </c>
      <c r="C682" s="30">
        <v>45593</v>
      </c>
      <c r="D682" s="21" t="s">
        <v>13</v>
      </c>
      <c r="E682" s="21" t="s">
        <v>21</v>
      </c>
      <c r="F682" s="21" t="s">
        <v>23</v>
      </c>
      <c r="G682" s="21" t="s">
        <v>26</v>
      </c>
      <c r="H682" s="21" t="s">
        <v>31</v>
      </c>
      <c r="M682" s="21" t="s">
        <v>55</v>
      </c>
      <c r="N682" s="21" t="s">
        <v>58</v>
      </c>
      <c r="O682" s="19">
        <f>IF(ISBLANK(D682),"",IF(D682='טבלת פרמטרים'!$A$9,1,0)+IF(E682='טבלת פרמטרים'!$B$5,2,1)+IF(F682='טבלת פרמטרים'!$C$5,3,IF(F682='טבלת פרמטרים'!$C$4,1,0))+IF(G682='טבלת פרמטרים'!$D$3,2,0)+IF(M682='טבלת פרמטרים'!$J$4,2,IF(M682='טבלת פרמטרים'!$J$3,1,0))+IF(N682='טבלת פרמטרים'!$K$6,3,IF(OR(N682='טבלת פרמטרים'!$K$4,N682='טבלת פרמטרים'!$K$5),2,IF(N682='טבלת פרמטרים'!$K$3,1,0))))</f>
        <v>4</v>
      </c>
      <c r="Q682" s="20" t="s">
        <v>123</v>
      </c>
      <c r="R682" s="19">
        <f t="shared" si="14"/>
        <v>4</v>
      </c>
      <c r="T682" s="19">
        <f>IF(EXACT(Q682,'טבלת פרמטרים'!$O$2),'טבלת פרמטרים'!$P$2,IF(EXACT(Q682,'טבלת פרמטרים'!$O$3),'טבלת פרמטרים'!$P$3,IF(EXACT(Q682,'טבלת פרמטרים'!$O$4),'טבלת פרמטרים'!$P$4,IF(EXACT(Q682,'טבלת פרמטרים'!$O$5),'טבלת פרמטרים'!$P$5,IF(EXACT(Q682,'טבלת פרמטרים'!$O$6),'טבלת פרמטרים'!$P$6,IF(EXACT(Q682,'טבלת פרמטרים'!$O$7),'טבלת פרמטרים'!$P$7,""))))))</f>
        <v>0</v>
      </c>
    </row>
    <row r="683" spans="1:20" ht="28.5" x14ac:dyDescent="0.2">
      <c r="A683" s="18">
        <v>683</v>
      </c>
      <c r="B683" s="30">
        <v>45599</v>
      </c>
      <c r="C683" s="30">
        <v>45599</v>
      </c>
      <c r="D683" s="21" t="s">
        <v>17</v>
      </c>
      <c r="E683" s="21" t="s">
        <v>22</v>
      </c>
      <c r="F683" s="21" t="s">
        <v>24</v>
      </c>
      <c r="G683" s="21" t="s">
        <v>26</v>
      </c>
      <c r="H683" s="21" t="s">
        <v>30</v>
      </c>
      <c r="J683" s="21" t="s">
        <v>36</v>
      </c>
      <c r="K683" s="21" t="s">
        <v>36</v>
      </c>
      <c r="M683" s="21" t="s">
        <v>55</v>
      </c>
      <c r="N683" s="21" t="s">
        <v>59</v>
      </c>
      <c r="O683" s="19">
        <f>IF(ISBLANK(D683),"",IF(D683='טבלת פרמטרים'!$A$9,1,0)+IF(E683='טבלת פרמטרים'!$B$5,2,1)+IF(F683='טבלת פרמטרים'!$C$5,3,IF(F683='טבלת פרמטרים'!$C$4,1,0))+IF(G683='טבלת פרמטרים'!$D$3,2,0)+IF(M683='טבלת פרמטרים'!$J$4,2,IF(M683='טבלת פרמטרים'!$J$3,1,0))+IF(N683='טבלת פרמטרים'!$K$6,3,IF(OR(N683='טבלת פרמטרים'!$K$4,N683='טבלת פרמטרים'!$K$5),2,IF(N683='טבלת פרמטרים'!$K$3,1,0))))</f>
        <v>8</v>
      </c>
      <c r="Q683" s="20" t="s">
        <v>331</v>
      </c>
      <c r="R683" s="19">
        <f>IF(ISNUMBER(T683),T683+O683,O683)</f>
        <v>14</v>
      </c>
      <c r="T683" s="19">
        <f>IF(EXACT(Q683,'טבלת פרמטרים'!$O$2),'טבלת פרמטרים'!$P$2,IF(EXACT(Q683,'טבלת פרמטרים'!$O$3),'טבלת פרמטרים'!$P$3,IF(EXACT(Q683,'טבלת פרמטרים'!$O$4),'טבלת פרמטרים'!$P$4,IF(EXACT(Q683,'טבלת פרמטרים'!$O$5),'טבלת פרמטרים'!$P$5,IF(EXACT(Q683,'טבלת פרמטרים'!$O$6),'טבלת פרמטרים'!$P$6,IF(EXACT(Q683,'טבלת פרמטרים'!$O$7),'טבלת פרמטרים'!$P$7,""))))))</f>
        <v>6</v>
      </c>
    </row>
    <row r="684" spans="1:20" x14ac:dyDescent="0.2">
      <c r="A684" s="18">
        <v>684</v>
      </c>
      <c r="C684" s="30">
        <v>45603</v>
      </c>
      <c r="D684" s="21" t="s">
        <v>16</v>
      </c>
      <c r="E684" s="21" t="s">
        <v>20</v>
      </c>
      <c r="F684" s="21" t="s">
        <v>23</v>
      </c>
      <c r="G684" s="21" t="s">
        <v>26</v>
      </c>
      <c r="H684" s="21" t="s">
        <v>29</v>
      </c>
      <c r="K684" s="21" t="s">
        <v>1672</v>
      </c>
      <c r="M684" s="21" t="s">
        <v>55</v>
      </c>
      <c r="N684" s="21" t="s">
        <v>58</v>
      </c>
      <c r="O684" s="19">
        <f>IF(ISBLANK(D684),"",IF(D684='טבלת פרמטרים'!$A$9,1,0)+IF(E684='טבלת פרמטרים'!$B$5,2,1)+IF(F684='טבלת פרמטרים'!$C$5,3,IF(F684='טבלת פרמטרים'!$C$4,1,0))+IF(G684='טבלת פרמטרים'!$D$3,2,0)+IF(M684='טבלת פרמטרים'!$J$4,2,IF(M684='טבלת פרמטרים'!$J$3,1,0))+IF(N684='טבלת פרמטרים'!$K$6,3,IF(OR(N684='טבלת פרמטרים'!$K$4,N684='טבלת פרמטרים'!$K$5),2,IF(N684='טבלת פרמטרים'!$K$3,1,0))))</f>
        <v>4</v>
      </c>
      <c r="Q684" s="20" t="s">
        <v>123</v>
      </c>
      <c r="R684" s="19">
        <f t="shared" si="14"/>
        <v>4</v>
      </c>
      <c r="T684" s="19">
        <f>IF(EXACT(Q684,'טבלת פרמטרים'!$O$2),'טבלת פרמטרים'!$P$2,IF(EXACT(Q684,'טבלת פרמטרים'!$O$3),'טבלת פרמטרים'!$P$3,IF(EXACT(Q684,'טבלת פרמטרים'!$O$4),'טבלת פרמטרים'!$P$4,IF(EXACT(Q684,'טבלת פרמטרים'!$O$5),'טבלת פרמטרים'!$P$5,IF(EXACT(Q684,'טבלת פרמטרים'!$O$6),'טבלת פרמטרים'!$P$6,IF(EXACT(Q684,'טבלת פרמטרים'!$O$7),'טבלת פרמטרים'!$P$7,""))))))</f>
        <v>0</v>
      </c>
    </row>
    <row r="685" spans="1:20" x14ac:dyDescent="0.2">
      <c r="A685" s="18">
        <v>685</v>
      </c>
      <c r="C685" s="30">
        <v>45622</v>
      </c>
      <c r="D685" s="21" t="s">
        <v>10</v>
      </c>
      <c r="E685" s="21" t="s">
        <v>111</v>
      </c>
      <c r="F685" s="21" t="s">
        <v>23</v>
      </c>
      <c r="G685" s="21" t="s">
        <v>26</v>
      </c>
      <c r="H685" s="21" t="s">
        <v>32</v>
      </c>
      <c r="J685" s="21" t="s">
        <v>11</v>
      </c>
      <c r="M685" s="21" t="s">
        <v>55</v>
      </c>
      <c r="N685" s="21" t="s">
        <v>59</v>
      </c>
      <c r="O685" s="19">
        <f>IF(ISBLANK(D685),"",IF(D685='טבלת פרמטרים'!$A$9,1,0)+IF(E685='טבלת פרמטרים'!$B$5,2,1)+IF(F685='טבלת פרמטרים'!$C$5,3,IF(F685='טבלת פרמטרים'!$C$4,1,0))+IF(G685='טבלת פרמטרים'!$D$3,2,0)+IF(M685='טבלת פרמטרים'!$J$4,2,IF(M685='טבלת פרמטרים'!$J$3,1,0))+IF(N685='טבלת פרמטרים'!$K$6,3,IF(OR(N685='טבלת פרמטרים'!$K$4,N685='טבלת פרמטרים'!$K$5),2,IF(N685='טבלת פרמטרים'!$K$3,1,0))))</f>
        <v>5</v>
      </c>
      <c r="Q685" s="20" t="s">
        <v>123</v>
      </c>
      <c r="R685" s="19">
        <f t="shared" si="14"/>
        <v>5</v>
      </c>
      <c r="T685" s="19">
        <f>IF(EXACT(Q685,'טבלת פרמטרים'!$O$2),'טבלת פרמטרים'!$P$2,IF(EXACT(Q685,'טבלת פרמטרים'!$O$3),'טבלת פרמטרים'!$P$3,IF(EXACT(Q685,'טבלת פרמטרים'!$O$4),'טבלת פרמטרים'!$P$4,IF(EXACT(Q685,'טבלת פרמטרים'!$O$5),'טבלת פרמטרים'!$P$5,IF(EXACT(Q685,'טבלת פרמטרים'!$O$6),'טבלת פרמטרים'!$P$6,IF(EXACT(Q685,'טבלת פרמטרים'!$O$7),'טבלת פרמטרים'!$P$7,""))))))</f>
        <v>0</v>
      </c>
    </row>
    <row r="686" spans="1:20" x14ac:dyDescent="0.2">
      <c r="A686" s="18">
        <v>686</v>
      </c>
      <c r="C686" s="30">
        <v>45608</v>
      </c>
      <c r="D686" s="21" t="s">
        <v>13</v>
      </c>
      <c r="E686" s="21" t="s">
        <v>21</v>
      </c>
      <c r="F686" s="21" t="s">
        <v>23</v>
      </c>
      <c r="G686" s="21" t="s">
        <v>26</v>
      </c>
      <c r="H686" s="21" t="s">
        <v>29</v>
      </c>
      <c r="M686" s="21" t="s">
        <v>53</v>
      </c>
      <c r="N686" s="21" t="s">
        <v>59</v>
      </c>
      <c r="O686" s="19">
        <f>IF(ISBLANK(D686),"",IF(D686='טבלת פרמטרים'!$A$9,1,0)+IF(E686='טבלת פרמטרים'!$B$5,2,1)+IF(F686='טבלת פרמטרים'!$C$5,3,IF(F686='טבלת פרמטרים'!$C$4,1,0))+IF(G686='טבלת פרמטרים'!$D$3,2,0)+IF(M686='טבלת פרמטרים'!$J$4,2,IF(M686='טבלת פרמטרים'!$J$3,1,0))+IF(N686='טבלת פרמטרים'!$K$6,3,IF(OR(N686='טבלת פרמטרים'!$K$4,N686='טבלת פרמטרים'!$K$5),2,IF(N686='טבלת פרמטרים'!$K$3,1,0))))</f>
        <v>3</v>
      </c>
      <c r="Q686" s="20" t="s">
        <v>123</v>
      </c>
      <c r="R686" s="19">
        <f t="shared" si="14"/>
        <v>3</v>
      </c>
      <c r="T686" s="19">
        <f>IF(EXACT(Q686,'טבלת פרמטרים'!$O$2),'טבלת פרמטרים'!$P$2,IF(EXACT(Q686,'טבלת פרמטרים'!$O$3),'טבלת פרמטרים'!$P$3,IF(EXACT(Q686,'טבלת פרמטרים'!$O$4),'טבלת פרמטרים'!$P$4,IF(EXACT(Q686,'טבלת פרמטרים'!$O$5),'טבלת פרמטרים'!$P$5,IF(EXACT(Q686,'טבלת פרמטרים'!$O$6),'טבלת פרמטרים'!$P$6,IF(EXACT(Q686,'טבלת פרמטרים'!$O$7),'טבלת פרמטרים'!$P$7,""))))))</f>
        <v>0</v>
      </c>
    </row>
    <row r="687" spans="1:20" x14ac:dyDescent="0.2">
      <c r="A687" s="18">
        <v>687</v>
      </c>
      <c r="C687" s="30">
        <v>45610</v>
      </c>
      <c r="D687" s="21" t="s">
        <v>11</v>
      </c>
      <c r="E687" s="21" t="s">
        <v>20</v>
      </c>
      <c r="F687" s="21" t="s">
        <v>23</v>
      </c>
      <c r="G687" s="21" t="s">
        <v>26</v>
      </c>
      <c r="H687" s="21" t="s">
        <v>29</v>
      </c>
      <c r="J687" s="21" t="s">
        <v>11</v>
      </c>
      <c r="K687" s="21" t="s">
        <v>43</v>
      </c>
      <c r="M687" s="21" t="s">
        <v>53</v>
      </c>
      <c r="N687" s="21" t="s">
        <v>58</v>
      </c>
      <c r="O687" s="19">
        <f>IF(ISBLANK(D687),"",IF(D687='טבלת פרמטרים'!$A$9,1,0)+IF(E687='טבלת פרמטרים'!$B$5,2,1)+IF(F687='טבלת פרמטרים'!$C$5,3,IF(F687='טבלת פרמטרים'!$C$4,1,0))+IF(G687='טבלת פרמטרים'!$D$3,2,0)+IF(M687='טבלת פרמטרים'!$J$4,2,IF(M687='טבלת פרמטרים'!$J$3,1,0))+IF(N687='טבלת פרמטרים'!$K$6,3,IF(OR(N687='טבלת פרמטרים'!$K$4,N687='טבלת פרמטרים'!$K$5),2,IF(N687='טבלת פרמטרים'!$K$3,1,0))))</f>
        <v>2</v>
      </c>
      <c r="Q687" s="20" t="s">
        <v>123</v>
      </c>
      <c r="R687" s="19">
        <f t="shared" si="14"/>
        <v>2</v>
      </c>
      <c r="T687" s="19">
        <f>IF(EXACT(Q687,'טבלת פרמטרים'!$O$2),'טבלת פרמטרים'!$P$2,IF(EXACT(Q687,'טבלת פרמטרים'!$O$3),'טבלת פרמטרים'!$P$3,IF(EXACT(Q687,'טבלת פרמטרים'!$O$4),'טבלת פרמטרים'!$P$4,IF(EXACT(Q687,'טבלת פרמטרים'!$O$5),'טבלת פרמטרים'!$P$5,IF(EXACT(Q687,'טבלת פרמטרים'!$O$6),'טבלת פרמטרים'!$P$6,IF(EXACT(Q687,'טבלת פרמטרים'!$O$7),'טבלת פרמטרים'!$P$7,""))))))</f>
        <v>0</v>
      </c>
    </row>
    <row r="688" spans="1:20" x14ac:dyDescent="0.2">
      <c r="A688" s="18">
        <v>688</v>
      </c>
      <c r="C688" s="30">
        <v>45606</v>
      </c>
      <c r="D688" s="21" t="s">
        <v>11</v>
      </c>
      <c r="E688" s="21" t="s">
        <v>20</v>
      </c>
      <c r="F688" s="21" t="s">
        <v>23</v>
      </c>
      <c r="G688" s="21" t="s">
        <v>26</v>
      </c>
      <c r="H688" s="21" t="s">
        <v>30</v>
      </c>
      <c r="K688" s="21" t="s">
        <v>44</v>
      </c>
      <c r="M688" s="21" t="s">
        <v>55</v>
      </c>
      <c r="N688" s="21" t="s">
        <v>58</v>
      </c>
      <c r="O688" s="19">
        <f>IF(ISBLANK(D688),"",IF(D688='טבלת פרמטרים'!$A$9,1,0)+IF(E688='טבלת פרמטרים'!$B$5,2,1)+IF(F688='טבלת פרמטרים'!$C$5,3,IF(F688='טבלת פרמטרים'!$C$4,1,0))+IF(G688='טבלת פרמטרים'!$D$3,2,0)+IF(M688='טבלת פרמטרים'!$J$4,2,IF(M688='טבלת פרמטרים'!$J$3,1,0))+IF(N688='טבלת פרמטרים'!$K$6,3,IF(OR(N688='טבלת פרמטרים'!$K$4,N688='טבלת פרמטרים'!$K$5),2,IF(N688='טבלת פרמטרים'!$K$3,1,0))))</f>
        <v>4</v>
      </c>
      <c r="Q688" s="20" t="s">
        <v>123</v>
      </c>
      <c r="R688" s="19">
        <f t="shared" ref="R688:R723" si="15">IF(ISNUMBER(T688),T688+O688,O688)</f>
        <v>4</v>
      </c>
      <c r="T688" s="19">
        <f>IF(EXACT(Q688,'טבלת פרמטרים'!$O$2),'טבלת פרמטרים'!$P$2,IF(EXACT(Q688,'טבלת פרמטרים'!$O$3),'טבלת פרמטרים'!$P$3,IF(EXACT(Q688,'טבלת פרמטרים'!$O$4),'טבלת פרמטרים'!$P$4,IF(EXACT(Q688,'טבלת פרמטרים'!$O$5),'טבלת פרמטרים'!$P$5,IF(EXACT(Q688,'טבלת פרמטרים'!$O$6),'טבלת פרמטרים'!$P$6,IF(EXACT(Q688,'טבלת פרמטרים'!$O$7),'טבלת פרמטרים'!$P$7,""))))))</f>
        <v>0</v>
      </c>
    </row>
    <row r="689" spans="1:20" x14ac:dyDescent="0.2">
      <c r="A689" s="18">
        <v>689</v>
      </c>
      <c r="C689" s="30">
        <v>45613</v>
      </c>
      <c r="D689" s="21" t="s">
        <v>13</v>
      </c>
      <c r="E689" s="21" t="s">
        <v>111</v>
      </c>
      <c r="F689" s="21" t="s">
        <v>23</v>
      </c>
      <c r="G689" s="21" t="s">
        <v>26</v>
      </c>
      <c r="H689" s="21" t="s">
        <v>30</v>
      </c>
      <c r="K689" s="21" t="s">
        <v>44</v>
      </c>
      <c r="M689" s="21" t="s">
        <v>54</v>
      </c>
      <c r="N689" s="21" t="s">
        <v>58</v>
      </c>
      <c r="O689" s="19">
        <f>IF(ISBLANK(D689),"",IF(D689='טבלת פרמטרים'!$A$9,1,0)+IF(E689='טבלת פרמטרים'!$B$5,2,1)+IF(F689='טבלת פרמטרים'!$C$5,3,IF(F689='טבלת פרמטרים'!$C$4,1,0))+IF(G689='טבלת פרמטרים'!$D$3,2,0)+IF(M689='טבלת פרמטרים'!$J$4,2,IF(M689='טבלת פרמטרים'!$J$3,1,0))+IF(N689='טבלת פרמטרים'!$K$6,3,IF(OR(N689='טבלת פרמטרים'!$K$4,N689='טבלת פרמטרים'!$K$5),2,IF(N689='טבלת פרמטרים'!$K$3,1,0))))</f>
        <v>3</v>
      </c>
      <c r="Q689" s="20" t="s">
        <v>123</v>
      </c>
      <c r="R689" s="19">
        <f t="shared" si="15"/>
        <v>3</v>
      </c>
      <c r="T689" s="19">
        <f>IF(EXACT(Q689,'טבלת פרמטרים'!$O$2),'טבלת פרמטרים'!$P$2,IF(EXACT(Q689,'טבלת פרמטרים'!$O$3),'טבלת פרמטרים'!$P$3,IF(EXACT(Q689,'טבלת פרמטרים'!$O$4),'טבלת פרמטרים'!$P$4,IF(EXACT(Q689,'טבלת פרמטרים'!$O$5),'טבלת פרמטרים'!$P$5,IF(EXACT(Q689,'טבלת פרמטרים'!$O$6),'טבלת פרמטרים'!$P$6,IF(EXACT(Q689,'טבלת פרמטרים'!$O$7),'טבלת פרמטרים'!$P$7,""))))))</f>
        <v>0</v>
      </c>
    </row>
    <row r="690" spans="1:20" x14ac:dyDescent="0.2">
      <c r="A690" s="18">
        <v>690</v>
      </c>
      <c r="C690" s="30">
        <v>45614</v>
      </c>
      <c r="D690" s="21" t="s">
        <v>18</v>
      </c>
      <c r="E690" s="21" t="s">
        <v>20</v>
      </c>
      <c r="F690" s="21" t="s">
        <v>23</v>
      </c>
      <c r="G690" s="21" t="s">
        <v>26</v>
      </c>
      <c r="H690" s="21" t="s">
        <v>29</v>
      </c>
      <c r="J690" s="21" t="s">
        <v>40</v>
      </c>
      <c r="M690" s="21" t="s">
        <v>54</v>
      </c>
      <c r="N690" s="21" t="s">
        <v>58</v>
      </c>
      <c r="O690" s="19">
        <f>IF(ISBLANK(D690),"",IF(D690='טבלת פרמטרים'!$A$9,1,0)+IF(E690='טבלת פרמטרים'!$B$5,2,1)+IF(F690='טבלת פרמטרים'!$C$5,3,IF(F690='טבלת פרמטרים'!$C$4,1,0))+IF(G690='טבלת פרמטרים'!$D$3,2,0)+IF(M690='טבלת פרמטרים'!$J$4,2,IF(M690='טבלת פרמטרים'!$J$3,1,0))+IF(N690='טבלת פרמטרים'!$K$6,3,IF(OR(N690='טבלת פרמטרים'!$K$4,N690='טבלת פרמטרים'!$K$5),2,IF(N690='טבלת פרמטרים'!$K$3,1,0))))</f>
        <v>3</v>
      </c>
      <c r="Q690" s="20" t="s">
        <v>123</v>
      </c>
      <c r="R690" s="19">
        <f t="shared" si="15"/>
        <v>3</v>
      </c>
      <c r="T690" s="19">
        <f>IF(EXACT(Q690,'טבלת פרמטרים'!$O$2),'טבלת פרמטרים'!$P$2,IF(EXACT(Q690,'טבלת פרמטרים'!$O$3),'טבלת פרמטרים'!$P$3,IF(EXACT(Q690,'טבלת פרמטרים'!$O$4),'טבלת פרמטרים'!$P$4,IF(EXACT(Q690,'טבלת פרמטרים'!$O$5),'טבלת פרמטרים'!$P$5,IF(EXACT(Q690,'טבלת פרמטרים'!$O$6),'טבלת פרמטרים'!$P$6,IF(EXACT(Q690,'טבלת פרמטרים'!$O$7),'טבלת פרמטרים'!$P$7,""))))))</f>
        <v>0</v>
      </c>
    </row>
    <row r="691" spans="1:20" x14ac:dyDescent="0.2">
      <c r="A691" s="18">
        <v>691</v>
      </c>
      <c r="C691" s="30">
        <v>45615</v>
      </c>
      <c r="D691" s="21" t="s">
        <v>15</v>
      </c>
      <c r="E691" s="21" t="s">
        <v>21</v>
      </c>
      <c r="F691" s="21" t="s">
        <v>23</v>
      </c>
      <c r="G691" s="21" t="s">
        <v>26</v>
      </c>
      <c r="H691" s="21" t="s">
        <v>30</v>
      </c>
      <c r="M691" s="21" t="s">
        <v>55</v>
      </c>
      <c r="N691" s="21" t="s">
        <v>58</v>
      </c>
      <c r="O691" s="19">
        <f>IF(ISBLANK(D691),"",IF(D691='טבלת פרמטרים'!$A$9,1,0)+IF(E691='טבלת פרמטרים'!$B$5,2,1)+IF(F691='טבלת פרמטרים'!$C$5,3,IF(F691='טבלת פרמטרים'!$C$4,1,0))+IF(G691='טבלת פרמטרים'!$D$3,2,0)+IF(M691='טבלת פרמטרים'!$J$4,2,IF(M691='טבלת פרמטרים'!$J$3,1,0))+IF(N691='טבלת פרמטרים'!$K$6,3,IF(OR(N691='טבלת פרמטרים'!$K$4,N691='טבלת פרמטרים'!$K$5),2,IF(N691='טבלת פרמטרים'!$K$3,1,0))))</f>
        <v>4</v>
      </c>
      <c r="Q691" s="20" t="s">
        <v>123</v>
      </c>
      <c r="R691" s="19">
        <f t="shared" si="15"/>
        <v>4</v>
      </c>
      <c r="T691" s="19">
        <f>IF(EXACT(Q691,'טבלת פרמטרים'!$O$2),'טבלת פרמטרים'!$P$2,IF(EXACT(Q691,'טבלת פרמטרים'!$O$3),'טבלת פרמטרים'!$P$3,IF(EXACT(Q691,'טבלת פרמטרים'!$O$4),'טבלת פרמטרים'!$P$4,IF(EXACT(Q691,'טבלת פרמטרים'!$O$5),'טבלת פרמטרים'!$P$5,IF(EXACT(Q691,'טבלת פרמטרים'!$O$6),'טבלת פרמטרים'!$P$6,IF(EXACT(Q691,'טבלת פרמטרים'!$O$7),'טבלת פרמטרים'!$P$7,""))))))</f>
        <v>0</v>
      </c>
    </row>
    <row r="692" spans="1:20" x14ac:dyDescent="0.2">
      <c r="A692" s="18">
        <v>692</v>
      </c>
      <c r="C692" s="30">
        <v>45620</v>
      </c>
      <c r="D692" s="21" t="s">
        <v>17</v>
      </c>
      <c r="E692" s="21" t="s">
        <v>22</v>
      </c>
      <c r="F692" s="21" t="s">
        <v>24</v>
      </c>
      <c r="G692" s="21" t="s">
        <v>26</v>
      </c>
      <c r="H692" s="21" t="s">
        <v>19</v>
      </c>
      <c r="J692" s="21" t="s">
        <v>35</v>
      </c>
      <c r="M692" s="21" t="s">
        <v>53</v>
      </c>
      <c r="N692" s="21" t="s">
        <v>57</v>
      </c>
      <c r="O692" s="19">
        <f>IF(ISBLANK(D692),"",IF(D692='טבלת פרמטרים'!$A$9,1,0)+IF(E692='טבלת פרמטרים'!$B$5,2,1)+IF(F692='טבלת פרמטרים'!$C$5,3,IF(F692='טבלת פרמטרים'!$C$4,1,0))+IF(G692='טבלת פרמטרים'!$D$3,2,0)+IF(M692='טבלת פרמטרים'!$J$4,2,IF(M692='טבלת פרמטרים'!$J$3,1,0))+IF(N692='טבלת פרמטרים'!$K$6,3,IF(OR(N692='טבלת פרמטרים'!$K$4,N692='טבלת פרמטרים'!$K$5),2,IF(N692='טבלת פרמטרים'!$K$3,1,0))))</f>
        <v>4</v>
      </c>
      <c r="Q692" s="20" t="s">
        <v>123</v>
      </c>
      <c r="R692" s="19">
        <f t="shared" si="15"/>
        <v>4</v>
      </c>
      <c r="T692" s="19">
        <f>IF(EXACT(Q692,'טבלת פרמטרים'!$O$2),'טבלת פרמטרים'!$P$2,IF(EXACT(Q692,'טבלת פרמטרים'!$O$3),'טבלת פרמטרים'!$P$3,IF(EXACT(Q692,'טבלת פרמטרים'!$O$4),'טבלת פרמטרים'!$P$4,IF(EXACT(Q692,'טבלת פרמטרים'!$O$5),'טבלת פרמטרים'!$P$5,IF(EXACT(Q692,'טבלת פרמטרים'!$O$6),'טבלת פרמטרים'!$P$6,IF(EXACT(Q692,'טבלת פרמטרים'!$O$7),'טבלת פרמטרים'!$P$7,""))))))</f>
        <v>0</v>
      </c>
    </row>
    <row r="693" spans="1:20" x14ac:dyDescent="0.2">
      <c r="A693" s="18">
        <v>693</v>
      </c>
      <c r="C693" s="30">
        <v>45620</v>
      </c>
      <c r="D693" s="21" t="s">
        <v>17</v>
      </c>
      <c r="E693" s="21" t="s">
        <v>111</v>
      </c>
      <c r="F693" s="21" t="s">
        <v>23</v>
      </c>
      <c r="G693" s="21" t="s">
        <v>26</v>
      </c>
      <c r="H693" s="21" t="s">
        <v>32</v>
      </c>
      <c r="J693" s="21" t="s">
        <v>35</v>
      </c>
      <c r="K693" s="21" t="s">
        <v>48</v>
      </c>
      <c r="L693" s="21" t="s">
        <v>49</v>
      </c>
      <c r="M693" s="21" t="s">
        <v>55</v>
      </c>
      <c r="N693" s="21" t="s">
        <v>58</v>
      </c>
      <c r="O693" s="19">
        <f>IF(ISBLANK(D693),"",IF(D693='טבלת פרמטרים'!$A$9,1,0)+IF(E693='טבלת פרמטרים'!$B$5,2,1)+IF(F693='טבלת פרמטרים'!$C$5,3,IF(F693='טבלת פרמטרים'!$C$4,1,0))+IF(G693='טבלת פרמטרים'!$D$3,2,0)+IF(M693='טבלת פרמטרים'!$J$4,2,IF(M693='טבלת פרמטרים'!$J$3,1,0))+IF(N693='טבלת פרמטרים'!$K$6,3,IF(OR(N693='טבלת פרמטרים'!$K$4,N693='טבלת פרמטרים'!$K$5),2,IF(N693='טבלת פרמטרים'!$K$3,1,0))))</f>
        <v>5</v>
      </c>
      <c r="Q693" s="20" t="s">
        <v>123</v>
      </c>
      <c r="R693" s="19">
        <f t="shared" si="15"/>
        <v>5</v>
      </c>
      <c r="T693" s="19">
        <f>IF(EXACT(Q693,'טבלת פרמטרים'!$O$2),'טבלת פרמטרים'!$P$2,IF(EXACT(Q693,'טבלת פרמטרים'!$O$3),'טבלת פרמטרים'!$P$3,IF(EXACT(Q693,'טבלת פרמטרים'!$O$4),'טבלת פרמטרים'!$P$4,IF(EXACT(Q693,'טבלת פרמטרים'!$O$5),'טבלת פרמטרים'!$P$5,IF(EXACT(Q693,'טבלת פרמטרים'!$O$6),'טבלת פרמטרים'!$P$6,IF(EXACT(Q693,'טבלת פרמטרים'!$O$7),'טבלת פרמטרים'!$P$7,""))))))</f>
        <v>0</v>
      </c>
    </row>
    <row r="694" spans="1:20" x14ac:dyDescent="0.2">
      <c r="A694" s="18">
        <v>694</v>
      </c>
      <c r="C694" s="30">
        <v>45621</v>
      </c>
      <c r="D694" s="21" t="s">
        <v>11</v>
      </c>
      <c r="N694" s="21" t="s">
        <v>59</v>
      </c>
      <c r="O694" s="19">
        <f>IF(ISBLANK(D694),"",IF(D694='טבלת פרמטרים'!$A$9,1,0)+IF(E694='טבלת פרמטרים'!$B$5,2,1)+IF(F694='טבלת פרמטרים'!$C$5,3,IF(F694='טבלת פרמטרים'!$C$4,1,0))+IF(G694='טבלת פרמטרים'!$D$3,2,0)+IF(M694='טבלת פרמטרים'!$J$4,2,IF(M694='טבלת פרמטרים'!$J$3,1,0))+IF(N694='טבלת פרמטרים'!$K$6,3,IF(OR(N694='טבלת פרמטרים'!$K$4,N694='טבלת פרמטרים'!$K$5),2,IF(N694='טבלת פרמטרים'!$K$3,1,0))))</f>
        <v>3</v>
      </c>
      <c r="Q694" s="20" t="s">
        <v>123</v>
      </c>
      <c r="R694" s="19">
        <f t="shared" si="15"/>
        <v>3</v>
      </c>
      <c r="T694" s="19">
        <f>IF(EXACT(Q694,'טבלת פרמטרים'!$O$2),'טבלת פרמטרים'!$P$2,IF(EXACT(Q694,'טבלת פרמטרים'!$O$3),'טבלת פרמטרים'!$P$3,IF(EXACT(Q694,'טבלת פרמטרים'!$O$4),'טבלת פרמטרים'!$P$4,IF(EXACT(Q694,'טבלת פרמטרים'!$O$5),'טבלת פרמטרים'!$P$5,IF(EXACT(Q694,'טבלת פרמטרים'!$O$6),'טבלת פרמטרים'!$P$6,IF(EXACT(Q694,'טבלת פרמטרים'!$O$7),'טבלת פרמטרים'!$P$7,""))))))</f>
        <v>0</v>
      </c>
    </row>
    <row r="695" spans="1:20" x14ac:dyDescent="0.2">
      <c r="A695" s="18">
        <v>695</v>
      </c>
      <c r="C695" s="30">
        <v>45637</v>
      </c>
      <c r="D695" s="21" t="s">
        <v>17</v>
      </c>
      <c r="E695" s="21" t="s">
        <v>22</v>
      </c>
      <c r="F695" s="21" t="s">
        <v>24</v>
      </c>
      <c r="G695" s="21" t="s">
        <v>27</v>
      </c>
      <c r="H695" s="21" t="s">
        <v>29</v>
      </c>
      <c r="K695" s="21" t="s">
        <v>43</v>
      </c>
      <c r="L695" s="21" t="s">
        <v>51</v>
      </c>
      <c r="M695" s="21" t="s">
        <v>53</v>
      </c>
      <c r="N695" s="21" t="s">
        <v>58</v>
      </c>
      <c r="O695" s="19">
        <f>IF(ISBLANK(D695),"",IF(D695='טבלת פרמטרים'!$A$9,1,0)+IF(E695='טבלת פרמטרים'!$B$5,2,1)+IF(F695='טבלת פרמטרים'!$C$5,3,IF(F695='טבלת פרמטרים'!$C$4,1,0))+IF(G695='טבלת פרמטרים'!$D$3,2,0)+IF(M695='טבלת פרמטרים'!$J$4,2,IF(M695='טבלת פרמטרים'!$J$3,1,0))+IF(N695='טבלת פרמטרים'!$K$6,3,IF(OR(N695='טבלת פרמטרים'!$K$4,N695='טבלת פרמטרים'!$K$5),2,IF(N695='טבלת פרמטרים'!$K$3,1,0))))</f>
        <v>7</v>
      </c>
      <c r="Q695" s="20" t="s">
        <v>123</v>
      </c>
      <c r="R695" s="19">
        <f t="shared" si="15"/>
        <v>7</v>
      </c>
      <c r="T695" s="19">
        <f>IF(EXACT(Q695,'טבלת פרמטרים'!$O$2),'טבלת פרמטרים'!$P$2,IF(EXACT(Q695,'טבלת פרמטרים'!$O$3),'טבלת פרמטרים'!$P$3,IF(EXACT(Q695,'טבלת פרמטרים'!$O$4),'טבלת פרמטרים'!$P$4,IF(EXACT(Q695,'טבלת פרמטרים'!$O$5),'טבלת פרמטרים'!$P$5,IF(EXACT(Q695,'טבלת פרמטרים'!$O$6),'טבלת פרמטרים'!$P$6,IF(EXACT(Q695,'טבלת פרמטרים'!$O$7),'טבלת פרמטרים'!$P$7,""))))))</f>
        <v>0</v>
      </c>
    </row>
    <row r="696" spans="1:20" x14ac:dyDescent="0.2">
      <c r="A696" s="18">
        <v>696</v>
      </c>
      <c r="C696" s="30">
        <v>45637</v>
      </c>
      <c r="D696" s="21" t="s">
        <v>10</v>
      </c>
      <c r="E696" s="21" t="s">
        <v>111</v>
      </c>
      <c r="F696" s="21" t="s">
        <v>23</v>
      </c>
      <c r="G696" s="21" t="s">
        <v>26</v>
      </c>
      <c r="H696" s="21" t="s">
        <v>31</v>
      </c>
      <c r="J696" s="21" t="s">
        <v>42</v>
      </c>
      <c r="M696" s="21" t="s">
        <v>54</v>
      </c>
      <c r="N696" s="21" t="s">
        <v>58</v>
      </c>
      <c r="O696" s="19">
        <f>IF(ISBLANK(D696),"",IF(D696='טבלת פרמטרים'!$A$9,1,0)+IF(E696='טבלת פרמטרים'!$B$5,2,1)+IF(F696='טבלת פרמטרים'!$C$5,3,IF(F696='טבלת פרמטרים'!$C$4,1,0))+IF(G696='טבלת פרמטרים'!$D$3,2,0)+IF(M696='טבלת פרמטרים'!$J$4,2,IF(M696='טבלת פרמטרים'!$J$3,1,0))+IF(N696='טבלת פרמטרים'!$K$6,3,IF(OR(N696='טבלת פרמטרים'!$K$4,N696='טבלת פרמטרים'!$K$5),2,IF(N696='טבלת פרמטרים'!$K$3,1,0))))</f>
        <v>3</v>
      </c>
      <c r="Q696" s="20" t="s">
        <v>123</v>
      </c>
      <c r="R696" s="19">
        <f t="shared" si="15"/>
        <v>3</v>
      </c>
      <c r="T696" s="19">
        <f>IF(EXACT(Q696,'טבלת פרמטרים'!$O$2),'טבלת פרמטרים'!$P$2,IF(EXACT(Q696,'טבלת פרמטרים'!$O$3),'טבלת פרמטרים'!$P$3,IF(EXACT(Q696,'טבלת פרמטרים'!$O$4),'טבלת פרמטרים'!$P$4,IF(EXACT(Q696,'טבלת פרמטרים'!$O$5),'טבלת פרמטרים'!$P$5,IF(EXACT(Q696,'טבלת פרמטרים'!$O$6),'טבלת פרמטרים'!$P$6,IF(EXACT(Q696,'טבלת פרמטרים'!$O$7),'טבלת פרמטרים'!$P$7,""))))))</f>
        <v>0</v>
      </c>
    </row>
    <row r="697" spans="1:20" x14ac:dyDescent="0.2">
      <c r="A697" s="18">
        <v>697</v>
      </c>
      <c r="C697" s="30">
        <v>45637</v>
      </c>
      <c r="D697" s="21" t="s">
        <v>13</v>
      </c>
      <c r="E697" s="21" t="s">
        <v>20</v>
      </c>
      <c r="F697" s="21" t="s">
        <v>23</v>
      </c>
      <c r="G697" s="21" t="s">
        <v>26</v>
      </c>
      <c r="H697" s="21" t="s">
        <v>30</v>
      </c>
      <c r="J697" s="21" t="s">
        <v>41</v>
      </c>
      <c r="M697" s="21" t="s">
        <v>54</v>
      </c>
      <c r="N697" s="21" t="s">
        <v>59</v>
      </c>
      <c r="O697" s="19">
        <f>IF(ISBLANK(D697),"",IF(D697='טבלת פרמטרים'!$A$9,1,0)+IF(E697='טבלת פרמטרים'!$B$5,2,1)+IF(F697='טבלת פרמטרים'!$C$5,3,IF(F697='טבלת פרמטרים'!$C$4,1,0))+IF(G697='טבלת פרמטרים'!$D$3,2,0)+IF(M697='טבלת פרמטרים'!$J$4,2,IF(M697='טבלת פרמטרים'!$J$3,1,0))+IF(N697='טבלת פרמטרים'!$K$6,3,IF(OR(N697='טבלת פרמטרים'!$K$4,N697='טבלת פרמטרים'!$K$5),2,IF(N697='טבלת פרמטרים'!$K$3,1,0))))</f>
        <v>4</v>
      </c>
      <c r="Q697" s="20" t="s">
        <v>123</v>
      </c>
      <c r="R697" s="19">
        <f t="shared" si="15"/>
        <v>4</v>
      </c>
      <c r="T697" s="19">
        <f>IF(EXACT(Q697,'טבלת פרמטרים'!$O$2),'טבלת פרמטרים'!$P$2,IF(EXACT(Q697,'טבלת פרמטרים'!$O$3),'טבלת פרמטרים'!$P$3,IF(EXACT(Q697,'טבלת פרמטרים'!$O$4),'טבלת פרמטרים'!$P$4,IF(EXACT(Q697,'טבלת פרמטרים'!$O$5),'טבלת פרמטרים'!$P$5,IF(EXACT(Q697,'טבלת פרמטרים'!$O$6),'טבלת פרמטרים'!$P$6,IF(EXACT(Q697,'טבלת פרמטרים'!$O$7),'טבלת פרמטרים'!$P$7,""))))))</f>
        <v>0</v>
      </c>
    </row>
    <row r="698" spans="1:20" x14ac:dyDescent="0.2">
      <c r="A698" s="18">
        <v>698</v>
      </c>
      <c r="C698" s="30">
        <v>45638</v>
      </c>
      <c r="D698" s="21" t="s">
        <v>13</v>
      </c>
      <c r="E698" s="21" t="s">
        <v>20</v>
      </c>
      <c r="F698" s="21" t="s">
        <v>23</v>
      </c>
      <c r="G698" s="21" t="s">
        <v>26</v>
      </c>
      <c r="H698" s="21" t="s">
        <v>31</v>
      </c>
      <c r="L698" s="21" t="s">
        <v>51</v>
      </c>
      <c r="M698" s="21" t="s">
        <v>55</v>
      </c>
      <c r="N698" s="21" t="s">
        <v>59</v>
      </c>
      <c r="O698" s="19">
        <f>IF(ISBLANK(D698),"",IF(D698='טבלת פרמטרים'!$A$9,1,0)+IF(E698='טבלת פרמטרים'!$B$5,2,1)+IF(F698='טבלת פרמטרים'!$C$5,3,IF(F698='טבלת פרמטרים'!$C$4,1,0))+IF(G698='טבלת פרמטרים'!$D$3,2,0)+IF(M698='טבלת פרמטרים'!$J$4,2,IF(M698='טבלת פרמטרים'!$J$3,1,0))+IF(N698='טבלת פרמטרים'!$K$6,3,IF(OR(N698='טבלת פרמטרים'!$K$4,N698='טבלת פרמטרים'!$K$5),2,IF(N698='טבלת פרמטרים'!$K$3,1,0))))</f>
        <v>5</v>
      </c>
      <c r="Q698" s="20" t="s">
        <v>123</v>
      </c>
      <c r="R698" s="19">
        <f t="shared" si="15"/>
        <v>5</v>
      </c>
      <c r="T698" s="19">
        <f>IF(EXACT(Q698,'טבלת פרמטרים'!$O$2),'טבלת פרמטרים'!$P$2,IF(EXACT(Q698,'טבלת פרמטרים'!$O$3),'טבלת פרמטרים'!$P$3,IF(EXACT(Q698,'טבלת פרמטרים'!$O$4),'טבלת פרמטרים'!$P$4,IF(EXACT(Q698,'טבלת פרמטרים'!$O$5),'טבלת פרמטרים'!$P$5,IF(EXACT(Q698,'טבלת פרמטרים'!$O$6),'טבלת פרמטרים'!$P$6,IF(EXACT(Q698,'טבלת פרמטרים'!$O$7),'טבלת פרמטרים'!$P$7,""))))))</f>
        <v>0</v>
      </c>
    </row>
    <row r="699" spans="1:20" x14ac:dyDescent="0.2">
      <c r="A699" s="18">
        <v>699</v>
      </c>
      <c r="C699" s="30">
        <v>45641</v>
      </c>
      <c r="D699" s="21" t="s">
        <v>13</v>
      </c>
      <c r="E699" s="21" t="s">
        <v>20</v>
      </c>
      <c r="F699" s="21" t="s">
        <v>23</v>
      </c>
      <c r="G699" s="21" t="s">
        <v>26</v>
      </c>
      <c r="H699" s="21" t="s">
        <v>30</v>
      </c>
      <c r="M699" s="21" t="s">
        <v>54</v>
      </c>
      <c r="N699" s="21" t="s">
        <v>58</v>
      </c>
      <c r="O699" s="19">
        <f>IF(ISBLANK(D699),"",IF(D699='טבלת פרמטרים'!$A$9,1,0)+IF(E699='טבלת פרמטרים'!$B$5,2,1)+IF(F699='טבלת פרמטרים'!$C$5,3,IF(F699='טבלת פרמטרים'!$C$4,1,0))+IF(G699='טבלת פרמטרים'!$D$3,2,0)+IF(M699='טבלת פרמטרים'!$J$4,2,IF(M699='טבלת פרמטרים'!$J$3,1,0))+IF(N699='טבלת פרמטרים'!$K$6,3,IF(OR(N699='טבלת פרמטרים'!$K$4,N699='טבלת פרמטרים'!$K$5),2,IF(N699='טבלת פרמטרים'!$K$3,1,0))))</f>
        <v>3</v>
      </c>
      <c r="Q699" s="20" t="s">
        <v>123</v>
      </c>
      <c r="R699" s="19">
        <f t="shared" si="15"/>
        <v>3</v>
      </c>
      <c r="T699" s="19">
        <f>IF(EXACT(Q699,'טבלת פרמטרים'!$O$2),'טבלת פרמטרים'!$P$2,IF(EXACT(Q699,'טבלת פרמטרים'!$O$3),'טבלת פרמטרים'!$P$3,IF(EXACT(Q699,'טבלת פרמטרים'!$O$4),'טבלת פרמטרים'!$P$4,IF(EXACT(Q699,'טבלת פרמטרים'!$O$5),'טבלת פרמטרים'!$P$5,IF(EXACT(Q699,'טבלת פרמטרים'!$O$6),'טבלת פרמטרים'!$P$6,IF(EXACT(Q699,'טבלת פרמטרים'!$O$7),'טבלת פרמטרים'!$P$7,""))))))</f>
        <v>0</v>
      </c>
    </row>
    <row r="700" spans="1:20" x14ac:dyDescent="0.2">
      <c r="A700" s="18">
        <v>700</v>
      </c>
      <c r="B700" s="30">
        <v>45656</v>
      </c>
      <c r="C700" s="30">
        <v>45656</v>
      </c>
      <c r="D700" s="21" t="s">
        <v>17</v>
      </c>
      <c r="E700" s="21" t="s">
        <v>22</v>
      </c>
      <c r="F700" s="21" t="s">
        <v>24</v>
      </c>
      <c r="G700" s="21" t="s">
        <v>26</v>
      </c>
      <c r="H700" s="21" t="s">
        <v>29</v>
      </c>
      <c r="M700" s="21" t="s">
        <v>53</v>
      </c>
      <c r="N700" s="21" t="s">
        <v>57</v>
      </c>
      <c r="O700" s="19">
        <f>IF(ISBLANK(D700),"",IF(D700='טבלת פרמטרים'!$A$9,1,0)+IF(E700='טבלת פרמטרים'!$B$5,2,1)+IF(F700='טבלת פרמטרים'!$C$5,3,IF(F700='טבלת פרמטרים'!$C$4,1,0))+IF(G700='טבלת פרמטרים'!$D$3,2,0)+IF(M700='טבלת פרמטרים'!$J$4,2,IF(M700='טבלת פרמטרים'!$J$3,1,0))+IF(N700='טבלת פרמטרים'!$K$6,3,IF(OR(N700='טבלת פרמטרים'!$K$4,N700='טבלת פרמטרים'!$K$5),2,IF(N700='טבלת פרמטרים'!$K$3,1,0))))</f>
        <v>4</v>
      </c>
      <c r="Q700" s="20" t="s">
        <v>123</v>
      </c>
      <c r="R700" s="19">
        <f t="shared" si="15"/>
        <v>4</v>
      </c>
      <c r="T700" s="19">
        <f>IF(EXACT(Q700,'טבלת פרמטרים'!$O$2),'טבלת פרמטרים'!$P$2,IF(EXACT(Q700,'טבלת פרמטרים'!$O$3),'טבלת פרמטרים'!$P$3,IF(EXACT(Q700,'טבלת פרמטרים'!$O$4),'טבלת פרמטרים'!$P$4,IF(EXACT(Q700,'טבלת פרמטרים'!$O$5),'טבלת פרמטרים'!$P$5,IF(EXACT(Q700,'טבלת פרמטרים'!$O$6),'טבלת פרמטרים'!$P$6,IF(EXACT(Q700,'טבלת פרמטרים'!$O$7),'טבלת פרמטרים'!$P$7,""))))))</f>
        <v>0</v>
      </c>
    </row>
    <row r="701" spans="1:20" x14ac:dyDescent="0.2">
      <c r="A701" s="18">
        <v>701</v>
      </c>
      <c r="B701" s="30">
        <v>45657</v>
      </c>
      <c r="C701" s="30">
        <v>45657</v>
      </c>
      <c r="D701" s="21" t="s">
        <v>16</v>
      </c>
      <c r="E701" s="21" t="s">
        <v>20</v>
      </c>
      <c r="F701" s="21" t="s">
        <v>23</v>
      </c>
      <c r="G701" s="21" t="s">
        <v>26</v>
      </c>
      <c r="H701" s="21" t="s">
        <v>31</v>
      </c>
      <c r="J701" s="21" t="s">
        <v>39</v>
      </c>
      <c r="K701" s="21" t="s">
        <v>39</v>
      </c>
      <c r="M701" s="21" t="s">
        <v>54</v>
      </c>
      <c r="N701" s="21" t="s">
        <v>112</v>
      </c>
      <c r="O701" s="19">
        <f>IF(ISBLANK(D701),"",IF(D701='טבלת פרמטרים'!$A$9,1,0)+IF(E701='טבלת פרמטרים'!$B$5,2,1)+IF(F701='טבלת פרמטרים'!$C$5,3,IF(F701='טבלת פרמטרים'!$C$4,1,0))+IF(G701='טבלת פרמטרים'!$D$3,2,0)+IF(M701='טבלת פרמטרים'!$J$4,2,IF(M701='טבלת פרמטרים'!$J$3,1,0))+IF(N701='טבלת פרמטרים'!$K$6,3,IF(OR(N701='טבלת פרמטרים'!$K$4,N701='טבלת פרמטרים'!$K$5),2,IF(N701='טבלת פרמטרים'!$K$3,1,0))))</f>
        <v>4</v>
      </c>
      <c r="Q701" s="20" t="s">
        <v>123</v>
      </c>
      <c r="R701" s="19">
        <f t="shared" si="15"/>
        <v>4</v>
      </c>
      <c r="T701" s="19">
        <f>IF(EXACT(Q701,'טבלת פרמטרים'!$O$2),'טבלת פרמטרים'!$P$2,IF(EXACT(Q701,'טבלת פרמטרים'!$O$3),'טבלת פרמטרים'!$P$3,IF(EXACT(Q701,'טבלת פרמטרים'!$O$4),'טבלת פרמטרים'!$P$4,IF(EXACT(Q701,'טבלת פרמטרים'!$O$5),'טבלת פרמטרים'!$P$5,IF(EXACT(Q701,'טבלת פרמטרים'!$O$6),'טבלת פרמטרים'!$P$6,IF(EXACT(Q701,'טבלת פרמטרים'!$O$7),'טבלת פרמטרים'!$P$7,""))))))</f>
        <v>0</v>
      </c>
    </row>
    <row r="702" spans="1:20" x14ac:dyDescent="0.2">
      <c r="A702" s="18">
        <v>702</v>
      </c>
      <c r="B702" s="30">
        <v>45658</v>
      </c>
      <c r="C702" s="30">
        <v>45658</v>
      </c>
      <c r="D702" s="21" t="s">
        <v>15</v>
      </c>
      <c r="E702" s="21" t="s">
        <v>21</v>
      </c>
      <c r="F702" s="21" t="s">
        <v>23</v>
      </c>
      <c r="G702" s="21" t="s">
        <v>26</v>
      </c>
      <c r="H702" s="21" t="s">
        <v>29</v>
      </c>
      <c r="L702" s="21" t="s">
        <v>49</v>
      </c>
      <c r="M702" s="21" t="s">
        <v>54</v>
      </c>
      <c r="N702" s="21" t="s">
        <v>58</v>
      </c>
      <c r="O702" s="19">
        <f>IF(ISBLANK(D702),"",IF(D702='טבלת פרמטרים'!$A$9,1,0)+IF(E702='טבלת פרמטרים'!$B$5,2,1)+IF(F702='טבלת פרמטרים'!$C$5,3,IF(F702='טבלת פרמטרים'!$C$4,1,0))+IF(G702='טבלת פרמטרים'!$D$3,2,0)+IF(M702='טבלת פרמטרים'!$J$4,2,IF(M702='טבלת פרמטרים'!$J$3,1,0))+IF(N702='טבלת פרמטרים'!$K$6,3,IF(OR(N702='טבלת פרמטרים'!$K$4,N702='טבלת פרמטרים'!$K$5),2,IF(N702='טבלת פרמטרים'!$K$3,1,0))))</f>
        <v>3</v>
      </c>
      <c r="Q702" s="20" t="s">
        <v>123</v>
      </c>
      <c r="R702" s="19">
        <f t="shared" si="15"/>
        <v>3</v>
      </c>
      <c r="T702" s="19">
        <f>IF(EXACT(Q702,'טבלת פרמטרים'!$O$2),'טבלת פרמטרים'!$P$2,IF(EXACT(Q702,'טבלת פרמטרים'!$O$3),'טבלת פרמטרים'!$P$3,IF(EXACT(Q702,'טבלת פרמטרים'!$O$4),'טבלת פרמטרים'!$P$4,IF(EXACT(Q702,'טבלת פרמטרים'!$O$5),'טבלת פרמטרים'!$P$5,IF(EXACT(Q702,'טבלת פרמטרים'!$O$6),'טבלת פרמטרים'!$P$6,IF(EXACT(Q702,'טבלת פרמטרים'!$O$7),'טבלת פרמטרים'!$P$7,""))))))</f>
        <v>0</v>
      </c>
    </row>
    <row r="703" spans="1:20" x14ac:dyDescent="0.2">
      <c r="A703" s="18">
        <v>703</v>
      </c>
      <c r="C703" s="30">
        <v>45659</v>
      </c>
      <c r="D703" s="21" t="s">
        <v>10</v>
      </c>
      <c r="E703" s="21" t="s">
        <v>111</v>
      </c>
      <c r="F703" s="21" t="s">
        <v>23</v>
      </c>
      <c r="G703" s="21" t="s">
        <v>26</v>
      </c>
      <c r="H703" s="21" t="s">
        <v>31</v>
      </c>
      <c r="M703" s="21" t="s">
        <v>55</v>
      </c>
      <c r="N703" s="21" t="s">
        <v>59</v>
      </c>
      <c r="O703" s="19">
        <f>IF(ISBLANK(D703),"",IF(D703='טבלת פרמטרים'!$A$9,1,0)+IF(E703='טבלת פרמטרים'!$B$5,2,1)+IF(F703='טבלת פרמטרים'!$C$5,3,IF(F703='טבלת פרמטרים'!$C$4,1,0))+IF(G703='טבלת פרמטרים'!$D$3,2,0)+IF(M703='טבלת פרמטרים'!$J$4,2,IF(M703='טבלת פרמטרים'!$J$3,1,0))+IF(N703='טבלת פרמטרים'!$K$6,3,IF(OR(N703='טבלת פרמטרים'!$K$4,N703='טבלת פרמטרים'!$K$5),2,IF(N703='טבלת פרמטרים'!$K$3,1,0))))</f>
        <v>5</v>
      </c>
      <c r="Q703" s="20" t="s">
        <v>123</v>
      </c>
      <c r="R703" s="19">
        <f t="shared" si="15"/>
        <v>5</v>
      </c>
      <c r="T703" s="19">
        <f>IF(EXACT(Q703,'טבלת פרמטרים'!$O$2),'טבלת פרמטרים'!$P$2,IF(EXACT(Q703,'טבלת פרמטרים'!$O$3),'טבלת פרמטרים'!$P$3,IF(EXACT(Q703,'טבלת פרמטרים'!$O$4),'טבלת פרמטרים'!$P$4,IF(EXACT(Q703,'טבלת פרמטרים'!$O$5),'טבלת פרמטרים'!$P$5,IF(EXACT(Q703,'טבלת פרמטרים'!$O$6),'טבלת פרמטרים'!$P$6,IF(EXACT(Q703,'טבלת פרמטרים'!$O$7),'טבלת פרמטרים'!$P$7,""))))))</f>
        <v>0</v>
      </c>
    </row>
    <row r="704" spans="1:20" x14ac:dyDescent="0.2">
      <c r="A704" s="18">
        <v>704</v>
      </c>
      <c r="C704" s="30">
        <v>45659</v>
      </c>
      <c r="D704" s="21" t="s">
        <v>10</v>
      </c>
      <c r="E704" s="21" t="s">
        <v>111</v>
      </c>
      <c r="F704" s="21" t="s">
        <v>23</v>
      </c>
      <c r="G704" s="21" t="s">
        <v>27</v>
      </c>
      <c r="H704" s="21" t="s">
        <v>31</v>
      </c>
      <c r="M704" s="21" t="s">
        <v>54</v>
      </c>
      <c r="N704" s="21" t="s">
        <v>58</v>
      </c>
      <c r="O704" s="19">
        <f>IF(ISBLANK(D704),"",IF(D704='טבלת פרמטרים'!$A$9,1,0)+IF(E704='טבלת פרמטרים'!$B$5,2,1)+IF(F704='טבלת פרמטרים'!$C$5,3,IF(F704='טבלת פרמטרים'!$C$4,1,0))+IF(G704='טבלת פרמטרים'!$D$3,2,0)+IF(M704='טבלת פרמטרים'!$J$4,2,IF(M704='טבלת פרמטרים'!$J$3,1,0))+IF(N704='טבלת פרמטרים'!$K$6,3,IF(OR(N704='טבלת פרמטרים'!$K$4,N704='טבלת פרמטרים'!$K$5),2,IF(N704='טבלת פרמטרים'!$K$3,1,0))))</f>
        <v>5</v>
      </c>
      <c r="Q704" s="20" t="s">
        <v>123</v>
      </c>
      <c r="R704" s="19">
        <f t="shared" si="15"/>
        <v>5</v>
      </c>
      <c r="T704" s="19">
        <f>IF(EXACT(Q704,'טבלת פרמטרים'!$O$2),'טבלת פרמטרים'!$P$2,IF(EXACT(Q704,'טבלת פרמטרים'!$O$3),'טבלת פרמטרים'!$P$3,IF(EXACT(Q704,'טבלת פרמטרים'!$O$4),'טבלת פרמטרים'!$P$4,IF(EXACT(Q704,'טבלת פרמטרים'!$O$5),'טבלת פרמטרים'!$P$5,IF(EXACT(Q704,'טבלת פרמטרים'!$O$6),'טבלת פרמטרים'!$P$6,IF(EXACT(Q704,'טבלת פרמטרים'!$O$7),'טבלת פרמטרים'!$P$7,""))))))</f>
        <v>0</v>
      </c>
    </row>
    <row r="705" spans="1:20" x14ac:dyDescent="0.2">
      <c r="A705" s="18">
        <v>705</v>
      </c>
      <c r="C705" s="30">
        <v>45659</v>
      </c>
      <c r="D705" s="21" t="s">
        <v>15</v>
      </c>
      <c r="E705" s="21" t="s">
        <v>111</v>
      </c>
      <c r="F705" s="21" t="s">
        <v>23</v>
      </c>
      <c r="G705" s="21" t="s">
        <v>26</v>
      </c>
      <c r="H705" s="21" t="s">
        <v>30</v>
      </c>
      <c r="M705" s="21" t="s">
        <v>54</v>
      </c>
      <c r="N705" s="21" t="s">
        <v>58</v>
      </c>
      <c r="O705" s="19">
        <f>IF(ISBLANK(D705),"",IF(D705='טבלת פרמטרים'!$A$9,1,0)+IF(E705='טבלת פרמטרים'!$B$5,2,1)+IF(F705='טבלת פרמטרים'!$C$5,3,IF(F705='טבלת פרמטרים'!$C$4,1,0))+IF(G705='טבלת פרמטרים'!$D$3,2,0)+IF(M705='טבלת פרמטרים'!$J$4,2,IF(M705='טבלת פרמטרים'!$J$3,1,0))+IF(N705='טבלת פרמטרים'!$K$6,3,IF(OR(N705='טבלת פרמטרים'!$K$4,N705='טבלת פרמטרים'!$K$5),2,IF(N705='טבלת פרמטרים'!$K$3,1,0))))</f>
        <v>3</v>
      </c>
      <c r="Q705" s="20" t="s">
        <v>123</v>
      </c>
      <c r="R705" s="19">
        <f t="shared" si="15"/>
        <v>3</v>
      </c>
      <c r="T705" s="19">
        <f>IF(EXACT(Q705,'טבלת פרמטרים'!$O$2),'טבלת פרמטרים'!$P$2,IF(EXACT(Q705,'טבלת פרמטרים'!$O$3),'טבלת פרמטרים'!$P$3,IF(EXACT(Q705,'טבלת פרמטרים'!$O$4),'טבלת פרמטרים'!$P$4,IF(EXACT(Q705,'טבלת פרמטרים'!$O$5),'טבלת פרמטרים'!$P$5,IF(EXACT(Q705,'טבלת פרמטרים'!$O$6),'טבלת פרמטרים'!$P$6,IF(EXACT(Q705,'טבלת פרמטרים'!$O$7),'טבלת פרמטרים'!$P$7,""))))))</f>
        <v>0</v>
      </c>
    </row>
    <row r="706" spans="1:20" x14ac:dyDescent="0.2">
      <c r="A706" s="18">
        <v>706</v>
      </c>
      <c r="C706" s="30">
        <v>45664</v>
      </c>
      <c r="D706" s="21" t="s">
        <v>10</v>
      </c>
      <c r="E706" s="21" t="s">
        <v>111</v>
      </c>
      <c r="F706" s="21" t="s">
        <v>23</v>
      </c>
      <c r="G706" s="21" t="s">
        <v>26</v>
      </c>
      <c r="H706" s="21" t="s">
        <v>32</v>
      </c>
      <c r="I706" s="21" t="s">
        <v>126</v>
      </c>
      <c r="J706" s="21" t="s">
        <v>11</v>
      </c>
      <c r="K706" s="21" t="s">
        <v>45</v>
      </c>
      <c r="L706" s="21" t="s">
        <v>51</v>
      </c>
      <c r="M706" s="21" t="s">
        <v>55</v>
      </c>
      <c r="N706" s="21" t="s">
        <v>58</v>
      </c>
      <c r="O706" s="19">
        <f>IF(ISBLANK(D706),"",IF(D706='טבלת פרמטרים'!$A$9,1,0)+IF(E706='טבלת פרמטרים'!$B$5,2,1)+IF(F706='טבלת פרמטרים'!$C$5,3,IF(F706='טבלת פרמטרים'!$C$4,1,0))+IF(G706='טבלת פרמטרים'!$D$3,2,0)+IF(M706='טבלת פרמטרים'!$J$4,2,IF(M706='טבלת פרמטרים'!$J$3,1,0))+IF(N706='טבלת פרמטרים'!$K$6,3,IF(OR(N706='טבלת פרמטרים'!$K$4,N706='טבלת פרמטרים'!$K$5),2,IF(N706='טבלת פרמטרים'!$K$3,1,0))))</f>
        <v>4</v>
      </c>
      <c r="Q706" s="20" t="s">
        <v>123</v>
      </c>
      <c r="R706" s="19">
        <f t="shared" si="15"/>
        <v>4</v>
      </c>
      <c r="T706" s="19">
        <f>IF(EXACT(Q706,'טבלת פרמטרים'!$O$2),'טבלת פרמטרים'!$P$2,IF(EXACT(Q706,'טבלת פרמטרים'!$O$3),'טבלת פרמטרים'!$P$3,IF(EXACT(Q706,'טבלת פרמטרים'!$O$4),'טבלת פרמטרים'!$P$4,IF(EXACT(Q706,'טבלת פרמטרים'!$O$5),'טבלת פרמטרים'!$P$5,IF(EXACT(Q706,'טבלת פרמטרים'!$O$6),'טבלת פרמטרים'!$P$6,IF(EXACT(Q706,'טבלת פרמטרים'!$O$7),'טבלת פרמטרים'!$P$7,""))))))</f>
        <v>0</v>
      </c>
    </row>
    <row r="707" spans="1:20" x14ac:dyDescent="0.2">
      <c r="A707" s="18">
        <v>707</v>
      </c>
      <c r="C707" s="30">
        <v>45665</v>
      </c>
      <c r="D707" s="21" t="s">
        <v>17</v>
      </c>
      <c r="E707" s="21" t="s">
        <v>20</v>
      </c>
      <c r="F707" s="21" t="s">
        <v>23</v>
      </c>
      <c r="G707" s="21" t="s">
        <v>26</v>
      </c>
      <c r="H707" s="21" t="s">
        <v>31</v>
      </c>
      <c r="M707" s="21" t="s">
        <v>54</v>
      </c>
      <c r="N707" s="21" t="s">
        <v>58</v>
      </c>
      <c r="O707" s="19">
        <f>IF(ISBLANK(D707),"",IF(D707='טבלת פרמטרים'!$A$9,1,0)+IF(E707='טבלת פרמטרים'!$B$5,2,1)+IF(F707='טבלת פרמטרים'!$C$5,3,IF(F707='טבלת פרמטרים'!$C$4,1,0))+IF(G707='טבלת פרמטרים'!$D$3,2,0)+IF(M707='טבלת פרמטרים'!$J$4,2,IF(M707='טבלת פרמטרים'!$J$3,1,0))+IF(N707='טבלת פרמטרים'!$K$6,3,IF(OR(N707='טבלת פרמטרים'!$K$4,N707='טבלת פרמטרים'!$K$5),2,IF(N707='טבלת פרמטרים'!$K$3,1,0))))</f>
        <v>4</v>
      </c>
      <c r="Q707" s="20" t="s">
        <v>123</v>
      </c>
      <c r="R707" s="19">
        <f t="shared" si="15"/>
        <v>4</v>
      </c>
      <c r="T707" s="19">
        <f>IF(EXACT(Q707,'טבלת פרמטרים'!$O$2),'טבלת פרמטרים'!$P$2,IF(EXACT(Q707,'טבלת פרמטרים'!$O$3),'טבלת פרמטרים'!$P$3,IF(EXACT(Q707,'טבלת פרמטרים'!$O$4),'טבלת פרמטרים'!$P$4,IF(EXACT(Q707,'טבלת פרמטרים'!$O$5),'טבלת פרמטרים'!$P$5,IF(EXACT(Q707,'טבלת פרמטרים'!$O$6),'טבלת פרמטרים'!$P$6,IF(EXACT(Q707,'טבלת פרמטרים'!$O$7),'טבלת פרמטרים'!$P$7,""))))))</f>
        <v>0</v>
      </c>
    </row>
    <row r="708" spans="1:20" x14ac:dyDescent="0.2">
      <c r="A708" s="18">
        <v>708</v>
      </c>
      <c r="C708" s="30">
        <v>45665</v>
      </c>
      <c r="D708" s="21" t="s">
        <v>13</v>
      </c>
      <c r="E708" s="21" t="s">
        <v>21</v>
      </c>
      <c r="F708" s="21" t="s">
        <v>23</v>
      </c>
      <c r="G708" s="21" t="s">
        <v>26</v>
      </c>
      <c r="H708" s="21" t="s">
        <v>30</v>
      </c>
      <c r="M708" s="21" t="s">
        <v>55</v>
      </c>
      <c r="N708" s="21" t="s">
        <v>58</v>
      </c>
      <c r="O708" s="19">
        <f>IF(ISBLANK(D708),"",IF(D708='טבלת פרמטרים'!$A$9,1,0)+IF(E708='טבלת פרמטרים'!$B$5,2,1)+IF(F708='טבלת פרמטרים'!$C$5,3,IF(F708='טבלת פרמטרים'!$C$4,1,0))+IF(G708='טבלת פרמטרים'!$D$3,2,0)+IF(M708='טבלת פרמטרים'!$J$4,2,IF(M708='טבלת פרמטרים'!$J$3,1,0))+IF(N708='טבלת פרמטרים'!$K$6,3,IF(OR(N708='טבלת פרמטרים'!$K$4,N708='טבלת פרמטרים'!$K$5),2,IF(N708='טבלת פרמטרים'!$K$3,1,0))))</f>
        <v>4</v>
      </c>
      <c r="Q708" s="20" t="s">
        <v>123</v>
      </c>
      <c r="R708" s="19">
        <f t="shared" si="15"/>
        <v>4</v>
      </c>
      <c r="T708" s="19">
        <f>IF(EXACT(Q708,'טבלת פרמטרים'!$O$2),'טבלת פרמטרים'!$P$2,IF(EXACT(Q708,'טבלת פרמטרים'!$O$3),'טבלת פרמטרים'!$P$3,IF(EXACT(Q708,'טבלת פרמטרים'!$O$4),'טבלת פרמטרים'!$P$4,IF(EXACT(Q708,'טבלת פרמטרים'!$O$5),'טבלת פרמטרים'!$P$5,IF(EXACT(Q708,'טבלת פרמטרים'!$O$6),'טבלת פרמטרים'!$P$6,IF(EXACT(Q708,'טבלת פרמטרים'!$O$7),'טבלת פרמטרים'!$P$7,""))))))</f>
        <v>0</v>
      </c>
    </row>
    <row r="709" spans="1:20" x14ac:dyDescent="0.2">
      <c r="A709" s="18">
        <v>709</v>
      </c>
      <c r="C709" s="30">
        <v>45673</v>
      </c>
      <c r="D709" s="21" t="s">
        <v>13</v>
      </c>
      <c r="E709" s="21" t="s">
        <v>20</v>
      </c>
      <c r="F709" s="21" t="s">
        <v>23</v>
      </c>
      <c r="G709" s="21" t="s">
        <v>26</v>
      </c>
      <c r="H709" s="21" t="s">
        <v>30</v>
      </c>
      <c r="M709" s="21" t="s">
        <v>54</v>
      </c>
      <c r="N709" s="21" t="s">
        <v>58</v>
      </c>
      <c r="O709" s="19">
        <f>IF(ISBLANK(D709),"",IF(D709='טבלת פרמטרים'!$A$9,1,0)+IF(E709='טבלת פרמטרים'!$B$5,2,1)+IF(F709='טבלת פרמטרים'!$C$5,3,IF(F709='טבלת פרמטרים'!$C$4,1,0))+IF(G709='טבלת פרמטרים'!$D$3,2,0)+IF(M709='טבלת פרמטרים'!$J$4,2,IF(M709='טבלת פרמטרים'!$J$3,1,0))+IF(N709='טבלת פרמטרים'!$K$6,3,IF(OR(N709='טבלת פרמטרים'!$K$4,N709='טבלת פרמטרים'!$K$5),2,IF(N709='טבלת פרמטרים'!$K$3,1,0))))</f>
        <v>3</v>
      </c>
      <c r="Q709" s="20" t="s">
        <v>123</v>
      </c>
      <c r="R709" s="19">
        <f t="shared" si="15"/>
        <v>3</v>
      </c>
      <c r="T709" s="19">
        <f>IF(EXACT(Q709,'טבלת פרמטרים'!$O$2),'טבלת פרמטרים'!$P$2,IF(EXACT(Q709,'טבלת פרמטרים'!$O$3),'טבלת פרמטרים'!$P$3,IF(EXACT(Q709,'טבלת פרמטרים'!$O$4),'טבלת פרמטרים'!$P$4,IF(EXACT(Q709,'טבלת פרמטרים'!$O$5),'טבלת פרמטרים'!$P$5,IF(EXACT(Q709,'טבלת פרמטרים'!$O$6),'טבלת פרמטרים'!$P$6,IF(EXACT(Q709,'טבלת פרמטרים'!$O$7),'טבלת פרמטרים'!$P$7,""))))))</f>
        <v>0</v>
      </c>
    </row>
    <row r="710" spans="1:20" x14ac:dyDescent="0.2">
      <c r="A710" s="18">
        <v>710</v>
      </c>
      <c r="C710" s="30">
        <v>45673</v>
      </c>
      <c r="D710" s="21" t="s">
        <v>13</v>
      </c>
      <c r="E710" s="21" t="s">
        <v>21</v>
      </c>
      <c r="F710" s="21" t="s">
        <v>23</v>
      </c>
      <c r="G710" s="21" t="s">
        <v>26</v>
      </c>
      <c r="H710" s="21" t="s">
        <v>30</v>
      </c>
      <c r="K710" s="21" t="s">
        <v>45</v>
      </c>
      <c r="M710" s="21" t="s">
        <v>55</v>
      </c>
      <c r="N710" s="21" t="s">
        <v>58</v>
      </c>
      <c r="O710" s="19">
        <f>IF(ISBLANK(D710),"",IF(D710='טבלת פרמטרים'!$A$9,1,0)+IF(E710='טבלת פרמטרים'!$B$5,2,1)+IF(F710='טבלת פרמטרים'!$C$5,3,IF(F710='טבלת פרמטרים'!$C$4,1,0))+IF(G710='טבלת פרמטרים'!$D$3,2,0)+IF(M710='טבלת פרמטרים'!$J$4,2,IF(M710='טבלת פרמטרים'!$J$3,1,0))+IF(N710='טבלת פרמטרים'!$K$6,3,IF(OR(N710='טבלת פרמטרים'!$K$4,N710='טבלת פרמטרים'!$K$5),2,IF(N710='טבלת פרמטרים'!$K$3,1,0))))</f>
        <v>4</v>
      </c>
      <c r="Q710" s="20" t="s">
        <v>123</v>
      </c>
      <c r="R710" s="19">
        <f t="shared" si="15"/>
        <v>4</v>
      </c>
      <c r="T710" s="19">
        <f>IF(EXACT(Q710,'טבלת פרמטרים'!$O$2),'טבלת פרמטרים'!$P$2,IF(EXACT(Q710,'טבלת פרמטרים'!$O$3),'טבלת פרמטרים'!$P$3,IF(EXACT(Q710,'טבלת פרמטרים'!$O$4),'טבלת פרמטרים'!$P$4,IF(EXACT(Q710,'טבלת פרמטרים'!$O$5),'טבלת פרמטרים'!$P$5,IF(EXACT(Q710,'טבלת פרמטרים'!$O$6),'טבלת פרמטרים'!$P$6,IF(EXACT(Q710,'טבלת פרמטרים'!$O$7),'טבלת פרמטרים'!$P$7,""))))))</f>
        <v>0</v>
      </c>
    </row>
    <row r="711" spans="1:20" x14ac:dyDescent="0.2">
      <c r="A711" s="18">
        <v>711</v>
      </c>
      <c r="C711" s="30">
        <v>45676</v>
      </c>
      <c r="D711" s="21" t="s">
        <v>14</v>
      </c>
      <c r="E711" s="21" t="s">
        <v>111</v>
      </c>
      <c r="F711" s="21" t="s">
        <v>23</v>
      </c>
      <c r="G711" s="21" t="s">
        <v>26</v>
      </c>
      <c r="H711" s="21" t="s">
        <v>29</v>
      </c>
      <c r="L711" s="21" t="s">
        <v>49</v>
      </c>
      <c r="M711" s="21" t="s">
        <v>55</v>
      </c>
      <c r="N711" s="21" t="s">
        <v>59</v>
      </c>
      <c r="O711" s="19">
        <f>IF(ISBLANK(D711),"",IF(D711='טבלת פרמטרים'!$A$9,1,0)+IF(E711='טבלת פרמטרים'!$B$5,2,1)+IF(F711='טבלת פרמטרים'!$C$5,3,IF(F711='טבלת פרמטרים'!$C$4,1,0))+IF(G711='טבלת פרמטרים'!$D$3,2,0)+IF(M711='טבלת פרמטרים'!$J$4,2,IF(M711='טבלת פרמטרים'!$J$3,1,0))+IF(N711='טבלת פרמטרים'!$K$6,3,IF(OR(N711='טבלת פרמטרים'!$K$4,N711='טבלת פרמטרים'!$K$5),2,IF(N711='טבלת פרמטרים'!$K$3,1,0))))</f>
        <v>5</v>
      </c>
      <c r="Q711" s="20" t="s">
        <v>123</v>
      </c>
      <c r="R711" s="19">
        <f t="shared" si="15"/>
        <v>5</v>
      </c>
      <c r="T711" s="19">
        <f>IF(EXACT(Q711,'טבלת פרמטרים'!$O$2),'טבלת פרמטרים'!$P$2,IF(EXACT(Q711,'טבלת פרמטרים'!$O$3),'טבלת פרמטרים'!$P$3,IF(EXACT(Q711,'טבלת פרמטרים'!$O$4),'טבלת פרמטרים'!$P$4,IF(EXACT(Q711,'טבלת פרמטרים'!$O$5),'טבלת פרמטרים'!$P$5,IF(EXACT(Q711,'טבלת פרמטרים'!$O$6),'טבלת פרמטרים'!$P$6,IF(EXACT(Q711,'טבלת פרמטרים'!$O$7),'טבלת פרמטרים'!$P$7,""))))))</f>
        <v>0</v>
      </c>
    </row>
    <row r="712" spans="1:20" x14ac:dyDescent="0.2">
      <c r="A712" s="18">
        <v>712</v>
      </c>
      <c r="B712" s="30">
        <v>45676</v>
      </c>
      <c r="C712" s="30">
        <v>45677</v>
      </c>
      <c r="D712" s="21" t="s">
        <v>10</v>
      </c>
      <c r="E712" s="21" t="s">
        <v>111</v>
      </c>
      <c r="F712" s="21" t="s">
        <v>23</v>
      </c>
      <c r="G712" s="21" t="s">
        <v>26</v>
      </c>
      <c r="H712" s="21" t="s">
        <v>29</v>
      </c>
      <c r="K712" s="21" t="s">
        <v>45</v>
      </c>
      <c r="L712" s="21" t="s">
        <v>51</v>
      </c>
      <c r="M712" s="21" t="s">
        <v>54</v>
      </c>
      <c r="N712" s="21" t="s">
        <v>59</v>
      </c>
      <c r="O712" s="19">
        <f>IF(ISBLANK(D712),"",IF(D712='טבלת פרמטרים'!$A$9,1,0)+IF(E712='טבלת פרמטרים'!$B$5,2,1)+IF(F712='טבלת פרמטרים'!$C$5,3,IF(F712='טבלת פרמטרים'!$C$4,1,0))+IF(G712='טבלת פרמטרים'!$D$3,2,0)+IF(M712='טבלת פרמטרים'!$J$4,2,IF(M712='טבלת פרמטרים'!$J$3,1,0))+IF(N712='טבלת פרמטרים'!$K$6,3,IF(OR(N712='טבלת פרמטרים'!$K$4,N712='טבלת פרמטרים'!$K$5),2,IF(N712='טבלת פרמטרים'!$K$3,1,0))))</f>
        <v>4</v>
      </c>
      <c r="Q712" s="20" t="s">
        <v>123</v>
      </c>
      <c r="R712" s="19">
        <f t="shared" si="15"/>
        <v>4</v>
      </c>
      <c r="T712" s="19">
        <f>IF(EXACT(Q712,'טבלת פרמטרים'!$O$2),'טבלת פרמטרים'!$P$2,IF(EXACT(Q712,'טבלת פרמטרים'!$O$3),'טבלת פרמטרים'!$P$3,IF(EXACT(Q712,'טבלת פרמטרים'!$O$4),'טבלת פרמטרים'!$P$4,IF(EXACT(Q712,'טבלת פרמטרים'!$O$5),'טבלת פרמטרים'!$P$5,IF(EXACT(Q712,'טבלת פרמטרים'!$O$6),'טבלת פרמטרים'!$P$6,IF(EXACT(Q712,'טבלת פרמטרים'!$O$7),'טבלת פרמטרים'!$P$7,""))))))</f>
        <v>0</v>
      </c>
    </row>
    <row r="713" spans="1:20" x14ac:dyDescent="0.2">
      <c r="A713" s="18">
        <v>713</v>
      </c>
      <c r="C713" s="30">
        <v>45679</v>
      </c>
      <c r="D713" s="21" t="s">
        <v>10</v>
      </c>
      <c r="E713" s="21" t="s">
        <v>111</v>
      </c>
      <c r="F713" s="21" t="s">
        <v>23</v>
      </c>
      <c r="G713" s="21" t="s">
        <v>26</v>
      </c>
      <c r="H713" s="21" t="s">
        <v>29</v>
      </c>
      <c r="M713" s="21" t="s">
        <v>53</v>
      </c>
      <c r="N713" s="21" t="s">
        <v>61</v>
      </c>
      <c r="O713" s="19">
        <f>IF(ISBLANK(D713),"",IF(D713='טבלת פרמטרים'!$A$9,1,0)+IF(E713='טבלת פרמטרים'!$B$5,2,1)+IF(F713='טבלת פרמטרים'!$C$5,3,IF(F713='טבלת פרמטרים'!$C$4,1,0))+IF(G713='טבלת פרמטרים'!$D$3,2,0)+IF(M713='טבלת פרמטרים'!$J$4,2,IF(M713='טבלת פרמטרים'!$J$3,1,0))+IF(N713='טבלת פרמטרים'!$K$6,3,IF(OR(N713='טבלת פרמטרים'!$K$4,N713='טבלת פרמטרים'!$K$5),2,IF(N713='טבלת פרמטרים'!$K$3,1,0))))</f>
        <v>4</v>
      </c>
      <c r="Q713" s="20" t="s">
        <v>123</v>
      </c>
      <c r="R713" s="19">
        <f t="shared" si="15"/>
        <v>4</v>
      </c>
      <c r="T713" s="19">
        <f>IF(EXACT(Q713,'טבלת פרמטרים'!$O$2),'טבלת פרמטרים'!$P$2,IF(EXACT(Q713,'טבלת פרמטרים'!$O$3),'טבלת פרמטרים'!$P$3,IF(EXACT(Q713,'טבלת פרמטרים'!$O$4),'טבלת פרמטרים'!$P$4,IF(EXACT(Q713,'טבלת פרמטרים'!$O$5),'טבלת פרמטרים'!$P$5,IF(EXACT(Q713,'טבלת פרמטרים'!$O$6),'טבלת פרמטרים'!$P$6,IF(EXACT(Q713,'טבלת פרמטרים'!$O$7),'טבלת פרמטרים'!$P$7,""))))))</f>
        <v>0</v>
      </c>
    </row>
    <row r="714" spans="1:20" x14ac:dyDescent="0.2">
      <c r="A714" s="18">
        <v>714</v>
      </c>
      <c r="C714" s="30">
        <v>45679</v>
      </c>
      <c r="D714" s="21" t="s">
        <v>11</v>
      </c>
      <c r="E714" s="21" t="s">
        <v>20</v>
      </c>
      <c r="F714" s="21" t="s">
        <v>23</v>
      </c>
      <c r="G714" s="21" t="s">
        <v>26</v>
      </c>
      <c r="H714" s="21" t="s">
        <v>29</v>
      </c>
      <c r="M714" s="21" t="s">
        <v>55</v>
      </c>
      <c r="N714" s="21" t="s">
        <v>58</v>
      </c>
      <c r="O714" s="19">
        <f>IF(ISBLANK(D714),"",IF(D714='טבלת פרמטרים'!$A$9,1,0)+IF(E714='טבלת פרמטרים'!$B$5,2,1)+IF(F714='טבלת פרמטרים'!$C$5,3,IF(F714='טבלת פרמטרים'!$C$4,1,0))+IF(G714='טבלת פרמטרים'!$D$3,2,0)+IF(M714='טבלת פרמטרים'!$J$4,2,IF(M714='טבלת פרמטרים'!$J$3,1,0))+IF(N714='טבלת פרמטרים'!$K$6,3,IF(OR(N714='טבלת פרמטרים'!$K$4,N714='טבלת פרמטרים'!$K$5),2,IF(N714='טבלת פרמטרים'!$K$3,1,0))))</f>
        <v>4</v>
      </c>
      <c r="Q714" s="20" t="s">
        <v>123</v>
      </c>
      <c r="R714" s="19">
        <f t="shared" si="15"/>
        <v>4</v>
      </c>
      <c r="T714" s="19">
        <f>IF(EXACT(Q714,'טבלת פרמטרים'!$O$2),'טבלת פרמטרים'!$P$2,IF(EXACT(Q714,'טבלת פרמטרים'!$O$3),'טבלת פרמטרים'!$P$3,IF(EXACT(Q714,'טבלת פרמטרים'!$O$4),'טבלת פרמטרים'!$P$4,IF(EXACT(Q714,'טבלת פרמטרים'!$O$5),'טבלת פרמטרים'!$P$5,IF(EXACT(Q714,'טבלת פרמטרים'!$O$6),'טבלת פרמטרים'!$P$6,IF(EXACT(Q714,'טבלת פרמטרים'!$O$7),'טבלת פרמטרים'!$P$7,""))))))</f>
        <v>0</v>
      </c>
    </row>
    <row r="715" spans="1:20" x14ac:dyDescent="0.2">
      <c r="A715" s="18">
        <v>715</v>
      </c>
      <c r="C715" s="30">
        <v>45680</v>
      </c>
      <c r="D715" s="21" t="s">
        <v>12</v>
      </c>
      <c r="E715" s="21" t="s">
        <v>111</v>
      </c>
      <c r="F715" s="21" t="s">
        <v>23</v>
      </c>
      <c r="G715" s="21" t="s">
        <v>26</v>
      </c>
      <c r="H715" s="21" t="s">
        <v>30</v>
      </c>
      <c r="M715" s="21" t="s">
        <v>53</v>
      </c>
      <c r="N715" s="21" t="s">
        <v>58</v>
      </c>
      <c r="O715" s="19">
        <f>IF(ISBLANK(D715),"",IF(D715='טבלת פרמטרים'!$A$9,1,0)+IF(E715='טבלת פרמטרים'!$B$5,2,1)+IF(F715='טבלת פרמטרים'!$C$5,3,IF(F715='טבלת פרמטרים'!$C$4,1,0))+IF(G715='טבלת פרמטרים'!$D$3,2,0)+IF(M715='טבלת פרמטרים'!$J$4,2,IF(M715='טבלת פרמטרים'!$J$3,1,0))+IF(N715='טבלת פרמטרים'!$K$6,3,IF(OR(N715='טבלת פרמטרים'!$K$4,N715='טבלת פרמטרים'!$K$5),2,IF(N715='טבלת פרמטרים'!$K$3,1,0))))</f>
        <v>2</v>
      </c>
      <c r="Q715" s="20" t="s">
        <v>123</v>
      </c>
      <c r="R715" s="19">
        <f t="shared" si="15"/>
        <v>2</v>
      </c>
      <c r="T715" s="19">
        <f>IF(EXACT(Q715,'טבלת פרמטרים'!$O$2),'טבלת פרמטרים'!$P$2,IF(EXACT(Q715,'טבלת פרמטרים'!$O$3),'טבלת פרמטרים'!$P$3,IF(EXACT(Q715,'טבלת פרמטרים'!$O$4),'טבלת פרמטרים'!$P$4,IF(EXACT(Q715,'טבלת פרמטרים'!$O$5),'טבלת פרמטרים'!$P$5,IF(EXACT(Q715,'טבלת פרמטרים'!$O$6),'טבלת פרמטרים'!$P$6,IF(EXACT(Q715,'טבלת פרמטרים'!$O$7),'טבלת פרמטרים'!$P$7,""))))))</f>
        <v>0</v>
      </c>
    </row>
    <row r="716" spans="1:20" x14ac:dyDescent="0.2">
      <c r="A716" s="18">
        <v>716</v>
      </c>
      <c r="C716" s="30">
        <v>45677</v>
      </c>
      <c r="D716" s="21" t="s">
        <v>13</v>
      </c>
      <c r="E716" s="21" t="s">
        <v>20</v>
      </c>
      <c r="F716" s="21" t="s">
        <v>23</v>
      </c>
      <c r="G716" s="21" t="s">
        <v>26</v>
      </c>
      <c r="H716" s="21" t="s">
        <v>29</v>
      </c>
      <c r="M716" s="21" t="s">
        <v>53</v>
      </c>
      <c r="N716" s="21" t="s">
        <v>58</v>
      </c>
      <c r="O716" s="19">
        <f>IF(ISBLANK(D716),"",IF(D716='טבלת פרמטרים'!$A$9,1,0)+IF(E716='טבלת פרמטרים'!$B$5,2,1)+IF(F716='טבלת פרמטרים'!$C$5,3,IF(F716='טבלת פרמטרים'!$C$4,1,0))+IF(G716='טבלת פרמטרים'!$D$3,2,0)+IF(M716='טבלת פרמטרים'!$J$4,2,IF(M716='טבלת פרמטרים'!$J$3,1,0))+IF(N716='טבלת פרמטרים'!$K$6,3,IF(OR(N716='טבלת פרמטרים'!$K$4,N716='טבלת פרמטרים'!$K$5),2,IF(N716='טבלת פרמטרים'!$K$3,1,0))))</f>
        <v>2</v>
      </c>
      <c r="Q716" s="20" t="s">
        <v>123</v>
      </c>
      <c r="R716" s="19">
        <f t="shared" si="15"/>
        <v>2</v>
      </c>
      <c r="T716" s="19">
        <f>IF(EXACT(Q716,'טבלת פרמטרים'!$O$2),'טבלת פרמטרים'!$P$2,IF(EXACT(Q716,'טבלת פרמטרים'!$O$3),'טבלת פרמטרים'!$P$3,IF(EXACT(Q716,'טבלת פרמטרים'!$O$4),'טבלת פרמטרים'!$P$4,IF(EXACT(Q716,'טבלת פרמטרים'!$O$5),'טבלת פרמטרים'!$P$5,IF(EXACT(Q716,'טבלת פרמטרים'!$O$6),'טבלת פרמטרים'!$P$6,IF(EXACT(Q716,'טבלת פרמטרים'!$O$7),'טבלת פרמטרים'!$P$7,""))))))</f>
        <v>0</v>
      </c>
    </row>
    <row r="717" spans="1:20" x14ac:dyDescent="0.2">
      <c r="A717" s="18">
        <v>717</v>
      </c>
      <c r="C717" s="30">
        <v>45683</v>
      </c>
      <c r="D717" s="21" t="s">
        <v>17</v>
      </c>
      <c r="E717" s="21" t="s">
        <v>111</v>
      </c>
      <c r="F717" s="21" t="s">
        <v>23</v>
      </c>
      <c r="G717" s="21" t="s">
        <v>26</v>
      </c>
      <c r="H717" s="21" t="s">
        <v>32</v>
      </c>
      <c r="K717" s="21" t="s">
        <v>43</v>
      </c>
      <c r="L717" s="21" t="s">
        <v>51</v>
      </c>
      <c r="M717" s="21" t="s">
        <v>54</v>
      </c>
      <c r="N717" s="21" t="s">
        <v>58</v>
      </c>
      <c r="O717" s="19">
        <f>IF(ISBLANK(D717),"",IF(D717='טבלת פרמטרים'!$A$9,1,0)+IF(E717='טבלת פרמטרים'!$B$5,2,1)+IF(F717='טבלת פרמטרים'!$C$5,3,IF(F717='טבלת פרמטרים'!$C$4,1,0))+IF(G717='טבלת פרמטרים'!$D$3,2,0)+IF(M717='טבלת פרמטרים'!$J$4,2,IF(M717='טבלת פרמטרים'!$J$3,1,0))+IF(N717='טבלת פרמטרים'!$K$6,3,IF(OR(N717='טבלת פרמטרים'!$K$4,N717='טבלת פרמטרים'!$K$5),2,IF(N717='טבלת פרמטרים'!$K$3,1,0))))</f>
        <v>4</v>
      </c>
      <c r="Q717" s="20" t="s">
        <v>123</v>
      </c>
      <c r="R717" s="19">
        <f t="shared" si="15"/>
        <v>4</v>
      </c>
      <c r="T717" s="19">
        <f>IF(EXACT(Q717,'טבלת פרמטרים'!$O$2),'טבלת פרמטרים'!$P$2,IF(EXACT(Q717,'טבלת פרמטרים'!$O$3),'טבלת פרמטרים'!$P$3,IF(EXACT(Q717,'טבלת פרמטרים'!$O$4),'טבלת פרמטרים'!$P$4,IF(EXACT(Q717,'טבלת פרמטרים'!$O$5),'טבלת פרמטרים'!$P$5,IF(EXACT(Q717,'טבלת פרמטרים'!$O$6),'טבלת פרמטרים'!$P$6,IF(EXACT(Q717,'טבלת פרמטרים'!$O$7),'טבלת פרמטרים'!$P$7,""))))))</f>
        <v>0</v>
      </c>
    </row>
    <row r="718" spans="1:20" x14ac:dyDescent="0.2">
      <c r="A718" s="18">
        <v>718</v>
      </c>
      <c r="C718" s="30">
        <v>45685</v>
      </c>
      <c r="D718" s="21" t="s">
        <v>10</v>
      </c>
      <c r="E718" s="21" t="s">
        <v>111</v>
      </c>
      <c r="F718" s="21" t="s">
        <v>23</v>
      </c>
      <c r="G718" s="21" t="s">
        <v>26</v>
      </c>
      <c r="H718" s="21" t="s">
        <v>32</v>
      </c>
      <c r="M718" s="21" t="s">
        <v>55</v>
      </c>
      <c r="N718" s="21" t="s">
        <v>59</v>
      </c>
      <c r="O718" s="19">
        <f>IF(ISBLANK(D718),"",IF(D718='טבלת פרמטרים'!$A$9,1,0)+IF(E718='טבלת פרמטרים'!$B$5,2,1)+IF(F718='טבלת פרמטרים'!$C$5,3,IF(F718='טבלת פרמטרים'!$C$4,1,0))+IF(G718='טבלת פרמטרים'!$D$3,2,0)+IF(M718='טבלת פרמטרים'!$J$4,2,IF(M718='טבלת פרמטרים'!$J$3,1,0))+IF(N718='טבלת פרמטרים'!$K$6,3,IF(OR(N718='טבלת פרמטרים'!$K$4,N718='טבלת פרמטרים'!$K$5),2,IF(N718='טבלת פרמטרים'!$K$3,1,0))))</f>
        <v>5</v>
      </c>
      <c r="Q718" s="20" t="s">
        <v>123</v>
      </c>
      <c r="R718" s="19">
        <f t="shared" si="15"/>
        <v>5</v>
      </c>
      <c r="T718" s="19">
        <f>IF(EXACT(Q718,'טבלת פרמטרים'!$O$2),'טבלת פרמטרים'!$P$2,IF(EXACT(Q718,'טבלת פרמטרים'!$O$3),'טבלת פרמטרים'!$P$3,IF(EXACT(Q718,'טבלת פרמטרים'!$O$4),'טבלת פרמטרים'!$P$4,IF(EXACT(Q718,'טבלת פרמטרים'!$O$5),'טבלת פרמטרים'!$P$5,IF(EXACT(Q718,'טבלת פרמטרים'!$O$6),'טבלת פרמטרים'!$P$6,IF(EXACT(Q718,'טבלת פרמטרים'!$O$7),'טבלת פרמטרים'!$P$7,""))))))</f>
        <v>0</v>
      </c>
    </row>
    <row r="719" spans="1:20" x14ac:dyDescent="0.2">
      <c r="A719" s="18">
        <v>719</v>
      </c>
      <c r="C719" s="30">
        <v>45691</v>
      </c>
      <c r="D719" s="21" t="s">
        <v>10</v>
      </c>
      <c r="E719" s="21" t="s">
        <v>111</v>
      </c>
      <c r="F719" s="21" t="s">
        <v>23</v>
      </c>
      <c r="G719" s="21" t="s">
        <v>26</v>
      </c>
      <c r="H719" s="21" t="s">
        <v>32</v>
      </c>
      <c r="J719" s="21" t="s">
        <v>11</v>
      </c>
      <c r="M719" s="21" t="s">
        <v>54</v>
      </c>
      <c r="N719" s="21" t="s">
        <v>59</v>
      </c>
      <c r="O719" s="19">
        <f>IF(ISBLANK(D719),"",IF(D719='טבלת פרמטרים'!$A$9,1,0)+IF(E719='טבלת פרמטרים'!$B$5,2,1)+IF(F719='טבלת פרמטרים'!$C$5,3,IF(F719='טבלת פרמטרים'!$C$4,1,0))+IF(G719='טבלת פרמטרים'!$D$3,2,0)+IF(M719='טבלת פרמטרים'!$J$4,2,IF(M719='טבלת פרמטרים'!$J$3,1,0))+IF(N719='טבלת פרמטרים'!$K$6,3,IF(OR(N719='טבלת פרמטרים'!$K$4,N719='טבלת פרמטרים'!$K$5),2,IF(N719='טבלת פרמטרים'!$K$3,1,0))))</f>
        <v>4</v>
      </c>
      <c r="Q719" s="20" t="s">
        <v>123</v>
      </c>
      <c r="R719" s="19">
        <f t="shared" si="15"/>
        <v>4</v>
      </c>
      <c r="T719" s="19">
        <f>IF(EXACT(Q719,'טבלת פרמטרים'!$O$2),'טבלת פרמטרים'!$P$2,IF(EXACT(Q719,'טבלת פרמטרים'!$O$3),'טבלת פרמטרים'!$P$3,IF(EXACT(Q719,'טבלת פרמטרים'!$O$4),'טבלת פרמטרים'!$P$4,IF(EXACT(Q719,'טבלת פרמטרים'!$O$5),'טבלת פרמטרים'!$P$5,IF(EXACT(Q719,'טבלת פרמטרים'!$O$6),'טבלת פרמטרים'!$P$6,IF(EXACT(Q719,'טבלת פרמטרים'!$O$7),'טבלת פרמטרים'!$P$7,""))))))</f>
        <v>0</v>
      </c>
    </row>
    <row r="720" spans="1:20" x14ac:dyDescent="0.2">
      <c r="A720" s="18">
        <v>720</v>
      </c>
      <c r="C720" s="30">
        <v>45692</v>
      </c>
      <c r="D720" s="21" t="s">
        <v>13</v>
      </c>
      <c r="E720" s="21" t="s">
        <v>111</v>
      </c>
      <c r="F720" s="21" t="s">
        <v>25</v>
      </c>
      <c r="G720" s="21" t="s">
        <v>26</v>
      </c>
      <c r="H720" s="21" t="s">
        <v>30</v>
      </c>
      <c r="J720" s="21" t="s">
        <v>11</v>
      </c>
      <c r="M720" s="21" t="s">
        <v>55</v>
      </c>
      <c r="N720" s="21" t="s">
        <v>58</v>
      </c>
      <c r="O720" s="19">
        <f>IF(ISBLANK(D720),"",IF(D720='טבלת פרמטרים'!$A$9,1,0)+IF(E720='טבלת פרמטרים'!$B$5,2,1)+IF(F720='טבלת פרמטרים'!$C$5,3,IF(F720='טבלת פרמטרים'!$C$4,1,0))+IF(G720='טבלת פרמטרים'!$D$3,2,0)+IF(M720='טבלת פרמטרים'!$J$4,2,IF(M720='טבלת פרמטרים'!$J$3,1,0))+IF(N720='טבלת פרמטרים'!$K$6,3,IF(OR(N720='טבלת פרמטרים'!$K$4,N720='טבלת פרמטרים'!$K$5),2,IF(N720='טבלת פרמטרים'!$K$3,1,0))))</f>
        <v>7</v>
      </c>
      <c r="Q720" s="20" t="s">
        <v>123</v>
      </c>
      <c r="R720" s="19">
        <f t="shared" si="15"/>
        <v>7</v>
      </c>
      <c r="T720" s="19">
        <f>IF(EXACT(Q720,'טבלת פרמטרים'!$O$2),'טבלת פרמטרים'!$P$2,IF(EXACT(Q720,'טבלת פרמטרים'!$O$3),'טבלת פרמטרים'!$P$3,IF(EXACT(Q720,'טבלת פרמטרים'!$O$4),'טבלת פרמטרים'!$P$4,IF(EXACT(Q720,'טבלת פרמטרים'!$O$5),'טבלת פרמטרים'!$P$5,IF(EXACT(Q720,'טבלת פרמטרים'!$O$6),'טבלת פרמטרים'!$P$6,IF(EXACT(Q720,'טבלת פרמטרים'!$O$7),'טבלת פרמטרים'!$P$7,""))))))</f>
        <v>0</v>
      </c>
    </row>
    <row r="721" spans="1:20" x14ac:dyDescent="0.2">
      <c r="A721" s="18">
        <v>721</v>
      </c>
      <c r="C721" s="30">
        <v>45698</v>
      </c>
      <c r="D721" s="21" t="s">
        <v>15</v>
      </c>
      <c r="E721" s="21" t="s">
        <v>21</v>
      </c>
      <c r="F721" s="21" t="s">
        <v>23</v>
      </c>
      <c r="G721" s="21" t="s">
        <v>26</v>
      </c>
      <c r="H721" s="21" t="s">
        <v>31</v>
      </c>
      <c r="K721" s="21" t="s">
        <v>45</v>
      </c>
      <c r="M721" s="21" t="s">
        <v>54</v>
      </c>
      <c r="N721" s="21" t="s">
        <v>58</v>
      </c>
      <c r="O721" s="19">
        <f>IF(ISBLANK(D721),"",IF(D721='טבלת פרמטרים'!$A$9,1,0)+IF(E721='טבלת פרמטרים'!$B$5,2,1)+IF(F721='טבלת פרמטרים'!$C$5,3,IF(F721='טבלת פרמטרים'!$C$4,1,0))+IF(G721='טבלת פרמטרים'!$D$3,2,0)+IF(M721='טבלת פרמטרים'!$J$4,2,IF(M721='טבלת פרמטרים'!$J$3,1,0))+IF(N721='טבלת פרמטרים'!$K$6,3,IF(OR(N721='טבלת פרמטרים'!$K$4,N721='טבלת פרמטרים'!$K$5),2,IF(N721='טבלת פרמטרים'!$K$3,1,0))))</f>
        <v>3</v>
      </c>
      <c r="Q721" s="20" t="s">
        <v>123</v>
      </c>
      <c r="R721" s="19">
        <f t="shared" si="15"/>
        <v>3</v>
      </c>
      <c r="T721" s="19">
        <f>IF(EXACT(Q721,'טבלת פרמטרים'!$O$2),'טבלת פרמטרים'!$P$2,IF(EXACT(Q721,'טבלת פרמטרים'!$O$3),'טבלת פרמטרים'!$P$3,IF(EXACT(Q721,'טבלת פרמטרים'!$O$4),'טבלת פרמטרים'!$P$4,IF(EXACT(Q721,'טבלת פרמטרים'!$O$5),'טבלת פרמטרים'!$P$5,IF(EXACT(Q721,'טבלת פרמטרים'!$O$6),'טבלת פרמטרים'!$P$6,IF(EXACT(Q721,'טבלת פרמטרים'!$O$7),'טבלת פרמטרים'!$P$7,""))))))</f>
        <v>0</v>
      </c>
    </row>
    <row r="722" spans="1:20" x14ac:dyDescent="0.2">
      <c r="A722" s="18">
        <v>722</v>
      </c>
      <c r="C722" s="30">
        <v>45700</v>
      </c>
      <c r="D722" s="21" t="s">
        <v>12</v>
      </c>
      <c r="E722" s="21" t="s">
        <v>111</v>
      </c>
      <c r="F722" s="21" t="s">
        <v>23</v>
      </c>
      <c r="G722" s="21" t="s">
        <v>26</v>
      </c>
      <c r="H722" s="21" t="s">
        <v>30</v>
      </c>
      <c r="K722" s="21" t="s">
        <v>44</v>
      </c>
      <c r="M722" s="21" t="s">
        <v>53</v>
      </c>
      <c r="N722" s="21" t="s">
        <v>58</v>
      </c>
      <c r="O722" s="19">
        <f>IF(ISBLANK(D722),"",IF(D722='טבלת פרמטרים'!$A$9,1,0)+IF(E722='טבלת פרמטרים'!$B$5,2,1)+IF(F722='טבלת פרמטרים'!$C$5,3,IF(F722='טבלת פרמטרים'!$C$4,1,0))+IF(G722='טבלת פרמטרים'!$D$3,2,0)+IF(M722='טבלת פרמטרים'!$J$4,2,IF(M722='טבלת פרמטרים'!$J$3,1,0))+IF(N722='טבלת פרמטרים'!$K$6,3,IF(OR(N722='טבלת פרמטרים'!$K$4,N722='טבלת פרמטרים'!$K$5),2,IF(N722='טבלת פרמטרים'!$K$3,1,0))))</f>
        <v>2</v>
      </c>
      <c r="Q722" s="20" t="s">
        <v>123</v>
      </c>
      <c r="R722" s="19">
        <f t="shared" si="15"/>
        <v>2</v>
      </c>
      <c r="T722" s="19">
        <f>IF(EXACT(Q722,'טבלת פרמטרים'!$O$2),'טבלת פרמטרים'!$P$2,IF(EXACT(Q722,'טבלת פרמטרים'!$O$3),'טבלת פרמטרים'!$P$3,IF(EXACT(Q722,'טבלת פרמטרים'!$O$4),'טבלת פרמטרים'!$P$4,IF(EXACT(Q722,'טבלת פרמטרים'!$O$5),'טבלת פרמטרים'!$P$5,IF(EXACT(Q722,'טבלת פרמטרים'!$O$6),'טבלת פרמטרים'!$P$6,IF(EXACT(Q722,'טבלת פרמטרים'!$O$7),'טבלת פרמטרים'!$P$7,""))))))</f>
        <v>0</v>
      </c>
    </row>
    <row r="723" spans="1:20" x14ac:dyDescent="0.2">
      <c r="A723" s="18">
        <v>723</v>
      </c>
      <c r="C723" s="30">
        <v>45700</v>
      </c>
      <c r="D723" s="21" t="s">
        <v>17</v>
      </c>
      <c r="E723" s="21" t="s">
        <v>21</v>
      </c>
      <c r="F723" s="21" t="s">
        <v>23</v>
      </c>
      <c r="G723" s="21" t="s">
        <v>26</v>
      </c>
      <c r="H723" s="21" t="s">
        <v>30</v>
      </c>
      <c r="K723" s="21" t="s">
        <v>44</v>
      </c>
      <c r="L723" s="21" t="s">
        <v>51</v>
      </c>
      <c r="M723" s="21" t="s">
        <v>55</v>
      </c>
      <c r="N723" s="21" t="s">
        <v>58</v>
      </c>
      <c r="O723" s="19">
        <f>IF(ISBLANK(D723),"",IF(D723='טבלת פרמטרים'!$A$9,1,0)+IF(E723='טבלת פרמטרים'!$B$5,2,1)+IF(F723='טבלת פרמטרים'!$C$5,3,IF(F723='טבלת פרמטרים'!$C$4,1,0))+IF(G723='טבלת פרמטרים'!$D$3,2,0)+IF(M723='טבלת פרמטרים'!$J$4,2,IF(M723='טבלת פרמטרים'!$J$3,1,0))+IF(N723='טבלת פרמטרים'!$K$6,3,IF(OR(N723='טבלת פרמטרים'!$K$4,N723='טבלת פרמטרים'!$K$5),2,IF(N723='טבלת פרמטרים'!$K$3,1,0))))</f>
        <v>5</v>
      </c>
      <c r="Q723" s="20" t="s">
        <v>123</v>
      </c>
      <c r="R723" s="19">
        <f t="shared" si="15"/>
        <v>5</v>
      </c>
      <c r="T723" s="19">
        <f>IF(EXACT(Q723,'טבלת פרמטרים'!$O$2),'טבלת פרמטרים'!$P$2,IF(EXACT(Q723,'טבלת פרמטרים'!$O$3),'טבלת פרמטרים'!$P$3,IF(EXACT(Q723,'טבלת פרמטרים'!$O$4),'טבלת פרמטרים'!$P$4,IF(EXACT(Q723,'טבלת פרמטרים'!$O$5),'טבלת פרמטרים'!$P$5,IF(EXACT(Q723,'טבלת פרמטרים'!$O$6),'טבלת פרמטרים'!$P$6,IF(EXACT(Q723,'טבלת פרמטרים'!$O$7),'טבלת פרמטרים'!$P$7,""))))))</f>
        <v>0</v>
      </c>
    </row>
    <row r="724" spans="1:20" x14ac:dyDescent="0.2">
      <c r="A724" s="18">
        <v>724</v>
      </c>
      <c r="C724" s="30">
        <v>45700</v>
      </c>
      <c r="D724" s="21" t="s">
        <v>13</v>
      </c>
      <c r="E724" s="21" t="s">
        <v>20</v>
      </c>
      <c r="F724" s="21" t="s">
        <v>23</v>
      </c>
      <c r="G724" s="21" t="s">
        <v>26</v>
      </c>
      <c r="H724" s="21" t="s">
        <v>30</v>
      </c>
      <c r="K724" s="21" t="s">
        <v>44</v>
      </c>
      <c r="L724" s="21" t="s">
        <v>51</v>
      </c>
      <c r="M724" s="21" t="s">
        <v>53</v>
      </c>
      <c r="N724" s="21" t="s">
        <v>58</v>
      </c>
      <c r="O724" s="19">
        <f>IF(ISBLANK(D724),"",IF(D724='טבלת פרמטרים'!$A$9,1,0)+IF(E724='טבלת פרמטרים'!$B$5,2,1)+IF(F724='טבלת פרמטרים'!$C$5,3,IF(F724='טבלת פרמטרים'!$C$4,1,0))+IF(G724='טבלת פרמטרים'!$D$3,2,0)+IF(M724='טבלת פרמטרים'!$J$4,2,IF(M724='טבלת פרמטרים'!$J$3,1,0))+IF(N724='טבלת פרמטרים'!$K$6,3,IF(OR(N724='טבלת פרמטרים'!$K$4,N724='טבלת פרמטרים'!$K$5),2,IF(N724='טבלת פרמטרים'!$K$3,1,0))))</f>
        <v>2</v>
      </c>
      <c r="Q724" s="20" t="s">
        <v>123</v>
      </c>
      <c r="R724" s="19">
        <f t="shared" ref="R724" si="16">IF(ISNUMBER(T724),T724+O724,O724)</f>
        <v>2</v>
      </c>
      <c r="T724" s="19">
        <f>IF(EXACT(Q724,'טבלת פרמטרים'!$O$2),'טבלת פרמטרים'!$P$2,IF(EXACT(Q724,'טבלת פרמטרים'!$O$3),'טבלת פרמטרים'!$P$3,IF(EXACT(Q724,'טבלת פרמטרים'!$O$4),'טבלת פרמטרים'!$P$4,IF(EXACT(Q724,'טבלת פרמטרים'!$O$5),'טבלת פרמטרים'!$P$5,IF(EXACT(Q724,'טבלת פרמטרים'!$O$6),'טבלת פרמטרים'!$P$6,IF(EXACT(Q724,'טבלת פרמטרים'!$O$7),'טבלת פרמטרים'!$P$7,""))))))</f>
        <v>0</v>
      </c>
    </row>
    <row r="725" spans="1:20" x14ac:dyDescent="0.2">
      <c r="A725" s="18">
        <v>725</v>
      </c>
      <c r="C725" s="30">
        <v>45701</v>
      </c>
      <c r="D725" s="21" t="s">
        <v>13</v>
      </c>
      <c r="E725" s="21" t="s">
        <v>20</v>
      </c>
      <c r="F725" s="21" t="s">
        <v>23</v>
      </c>
      <c r="G725" s="21" t="s">
        <v>26</v>
      </c>
      <c r="H725" s="21" t="s">
        <v>30</v>
      </c>
      <c r="K725" s="21" t="s">
        <v>44</v>
      </c>
      <c r="L725" s="21" t="s">
        <v>51</v>
      </c>
      <c r="M725" s="21" t="s">
        <v>53</v>
      </c>
      <c r="N725" s="21" t="s">
        <v>58</v>
      </c>
      <c r="O725" s="19">
        <f>IF(ISBLANK(D725),"",IF(D725='טבלת פרמטרים'!$A$9,1,0)+IF(E725='טבלת פרמטרים'!$B$5,2,1)+IF(F725='טבלת פרמטרים'!$C$5,3,IF(F725='טבלת פרמטרים'!$C$4,1,0))+IF(G725='טבלת פרמטרים'!$D$3,2,0)+IF(M725='טבלת פרמטרים'!$J$4,2,IF(M725='טבלת פרמטרים'!$J$3,1,0))+IF(N725='טבלת פרמטרים'!$K$6,3,IF(OR(N725='טבלת פרמטרים'!$K$4,N725='טבלת פרמטרים'!$K$5),2,IF(N725='טבלת פרמטרים'!$K$3,1,0))))</f>
        <v>2</v>
      </c>
      <c r="Q725" s="20" t="s">
        <v>123</v>
      </c>
      <c r="R725" s="19">
        <f t="shared" ref="R725:R788" si="17">IF(ISNUMBER(T725),T725+O725,O725)</f>
        <v>2</v>
      </c>
      <c r="T725" s="19">
        <f>IF(EXACT(Q725,'טבלת פרמטרים'!$O$2),'טבלת פרמטרים'!$P$2,IF(EXACT(Q725,'טבלת פרמטרים'!$O$3),'טבלת פרמטרים'!$P$3,IF(EXACT(Q725,'טבלת פרמטרים'!$O$4),'טבלת פרמטרים'!$P$4,IF(EXACT(Q725,'טבלת פרמטרים'!$O$5),'טבלת פרמטרים'!$P$5,IF(EXACT(Q725,'טבלת פרמטרים'!$O$6),'טבלת פרמטרים'!$P$6,IF(EXACT(Q725,'טבלת פרמטרים'!$O$7),'טבלת פרמטרים'!$P$7,""))))))</f>
        <v>0</v>
      </c>
    </row>
    <row r="726" spans="1:20" x14ac:dyDescent="0.2">
      <c r="A726" s="18">
        <v>726</v>
      </c>
      <c r="C726" s="30">
        <v>45704</v>
      </c>
      <c r="D726" s="21" t="s">
        <v>11</v>
      </c>
      <c r="E726" s="21" t="s">
        <v>111</v>
      </c>
      <c r="F726" s="21" t="s">
        <v>23</v>
      </c>
      <c r="G726" s="21" t="s">
        <v>26</v>
      </c>
      <c r="H726" s="21" t="s">
        <v>31</v>
      </c>
      <c r="M726" s="21" t="s">
        <v>54</v>
      </c>
      <c r="N726" s="21" t="s">
        <v>59</v>
      </c>
      <c r="O726" s="19">
        <f>IF(ISBLANK(D726),"",IF(D726='טבלת פרמטרים'!$A$9,1,0)+IF(E726='טבלת פרמטרים'!$B$5,2,1)+IF(F726='טבלת פרמטרים'!$C$5,3,IF(F726='טבלת פרמטרים'!$C$4,1,0))+IF(G726='טבלת פרמטרים'!$D$3,2,0)+IF(M726='טבלת פרמטרים'!$J$4,2,IF(M726='טבלת פרמטרים'!$J$3,1,0))+IF(N726='טבלת פרמטרים'!$K$6,3,IF(OR(N726='טבלת פרמטרים'!$K$4,N726='טבלת פרמטרים'!$K$5),2,IF(N726='טבלת פרמטרים'!$K$3,1,0))))</f>
        <v>4</v>
      </c>
      <c r="Q726" s="20" t="s">
        <v>123</v>
      </c>
      <c r="R726" s="19">
        <f t="shared" si="17"/>
        <v>4</v>
      </c>
      <c r="T726" s="19">
        <f>IF(EXACT(Q726,'טבלת פרמטרים'!$O$2),'טבלת פרמטרים'!$P$2,IF(EXACT(Q726,'טבלת פרמטרים'!$O$3),'טבלת פרמטרים'!$P$3,IF(EXACT(Q726,'טבלת פרמטרים'!$O$4),'טבלת פרמטרים'!$P$4,IF(EXACT(Q726,'טבלת פרמטרים'!$O$5),'טבלת פרמטרים'!$P$5,IF(EXACT(Q726,'טבלת פרמטרים'!$O$6),'טבלת פרמטרים'!$P$6,IF(EXACT(Q726,'טבלת פרמטרים'!$O$7),'טבלת פרמטרים'!$P$7,""))))))</f>
        <v>0</v>
      </c>
    </row>
    <row r="727" spans="1:20" x14ac:dyDescent="0.2">
      <c r="A727" s="18">
        <v>727</v>
      </c>
      <c r="C727" s="30">
        <v>45704</v>
      </c>
      <c r="D727" s="21" t="s">
        <v>11</v>
      </c>
      <c r="E727" s="21" t="s">
        <v>111</v>
      </c>
      <c r="F727" s="21" t="s">
        <v>23</v>
      </c>
      <c r="G727" s="21" t="s">
        <v>26</v>
      </c>
      <c r="H727" s="21" t="s">
        <v>31</v>
      </c>
      <c r="J727" s="21" t="s">
        <v>11</v>
      </c>
      <c r="N727" s="21" t="s">
        <v>58</v>
      </c>
      <c r="O727" s="19">
        <f>IF(ISBLANK(D727),"",IF(D727='טבלת פרמטרים'!$A$9,1,0)+IF(E727='טבלת פרמטרים'!$B$5,2,1)+IF(F727='טבלת פרמטרים'!$C$5,3,IF(F727='טבלת פרמטרים'!$C$4,1,0))+IF(G727='טבלת פרמטרים'!$D$3,2,0)+IF(M727='טבלת פרמטרים'!$J$4,2,IF(M727='טבלת פרמטרים'!$J$3,1,0))+IF(N727='טבלת פרמטרים'!$K$6,3,IF(OR(N727='טבלת פרמטרים'!$K$4,N727='טבלת פרמטרים'!$K$5),2,IF(N727='טבלת פרמטרים'!$K$3,1,0))))</f>
        <v>2</v>
      </c>
      <c r="Q727" s="20" t="s">
        <v>123</v>
      </c>
      <c r="R727" s="19">
        <f t="shared" si="17"/>
        <v>2</v>
      </c>
      <c r="T727" s="19">
        <f>IF(EXACT(Q727,'טבלת פרמטרים'!$O$2),'טבלת פרמטרים'!$P$2,IF(EXACT(Q727,'טבלת פרמטרים'!$O$3),'טבלת פרמטרים'!$P$3,IF(EXACT(Q727,'טבלת פרמטרים'!$O$4),'טבלת פרמטרים'!$P$4,IF(EXACT(Q727,'טבלת פרמטרים'!$O$5),'טבלת פרמטרים'!$P$5,IF(EXACT(Q727,'טבלת פרמטרים'!$O$6),'טבלת פרמטרים'!$P$6,IF(EXACT(Q727,'טבלת פרמטרים'!$O$7),'טבלת פרמטרים'!$P$7,""))))))</f>
        <v>0</v>
      </c>
    </row>
    <row r="728" spans="1:20" x14ac:dyDescent="0.2">
      <c r="A728" s="18">
        <v>728</v>
      </c>
      <c r="C728" s="30">
        <v>45707</v>
      </c>
      <c r="D728" s="21" t="s">
        <v>11</v>
      </c>
      <c r="E728" s="21" t="s">
        <v>22</v>
      </c>
      <c r="F728" s="21" t="s">
        <v>24</v>
      </c>
      <c r="G728" s="21" t="s">
        <v>26</v>
      </c>
      <c r="H728" s="21" t="s">
        <v>28</v>
      </c>
      <c r="J728" s="21" t="s">
        <v>11</v>
      </c>
      <c r="M728" s="21" t="s">
        <v>53</v>
      </c>
      <c r="N728" s="21" t="s">
        <v>57</v>
      </c>
      <c r="O728" s="19">
        <f>IF(ISBLANK(D728),"",IF(D728='טבלת פרמטרים'!$A$9,1,0)+IF(E728='טבלת פרמטרים'!$B$5,2,1)+IF(F728='טבלת פרמטרים'!$C$5,3,IF(F728='טבלת פרמטרים'!$C$4,1,0))+IF(G728='טבלת פרמטרים'!$D$3,2,0)+IF(M728='טבלת פרמטרים'!$J$4,2,IF(M728='טבלת פרמטרים'!$J$3,1,0))+IF(N728='טבלת פרמטרים'!$K$6,3,IF(OR(N728='טבלת פרמטרים'!$K$4,N728='טבלת פרמטרים'!$K$5),2,IF(N728='טבלת פרמטרים'!$K$3,1,0))))</f>
        <v>3</v>
      </c>
      <c r="Q728" s="20" t="s">
        <v>123</v>
      </c>
      <c r="R728" s="19">
        <f t="shared" si="17"/>
        <v>3</v>
      </c>
      <c r="T728" s="19">
        <f>IF(EXACT(Q728,'טבלת פרמטרים'!$O$2),'טבלת פרמטרים'!$P$2,IF(EXACT(Q728,'טבלת פרמטרים'!$O$3),'טבלת פרמטרים'!$P$3,IF(EXACT(Q728,'טבלת פרמטרים'!$O$4),'טבלת פרמטרים'!$P$4,IF(EXACT(Q728,'טבלת פרמטרים'!$O$5),'טבלת פרמטרים'!$P$5,IF(EXACT(Q728,'טבלת פרמטרים'!$O$6),'טבלת פרמטרים'!$P$6,IF(EXACT(Q728,'טבלת פרמטרים'!$O$7),'טבלת פרמטרים'!$P$7,""))))))</f>
        <v>0</v>
      </c>
    </row>
    <row r="729" spans="1:20" x14ac:dyDescent="0.2">
      <c r="A729" s="18">
        <v>729</v>
      </c>
      <c r="C729" s="30">
        <v>45711</v>
      </c>
      <c r="D729" s="21" t="s">
        <v>16</v>
      </c>
      <c r="E729" s="21" t="s">
        <v>111</v>
      </c>
      <c r="F729" s="21" t="s">
        <v>23</v>
      </c>
      <c r="G729" s="21" t="s">
        <v>26</v>
      </c>
      <c r="H729" s="21" t="s">
        <v>30</v>
      </c>
      <c r="I729" s="21" t="s">
        <v>126</v>
      </c>
      <c r="J729" s="21" t="s">
        <v>33</v>
      </c>
      <c r="K729" s="21" t="s">
        <v>1672</v>
      </c>
      <c r="L729" s="21" t="s">
        <v>51</v>
      </c>
      <c r="M729" s="21" t="s">
        <v>54</v>
      </c>
      <c r="N729" s="21" t="s">
        <v>59</v>
      </c>
      <c r="O729" s="19">
        <f>IF(ISBLANK(D729),"",IF(D729='טבלת פרמטרים'!$A$9,1,0)+IF(E729='טבלת פרמטרים'!$B$5,2,1)+IF(F729='טבלת פרמטרים'!$C$5,3,IF(F729='טבלת פרמטרים'!$C$4,1,0))+IF(G729='טבלת פרמטרים'!$D$3,2,0)+IF(M729='טבלת פרמטרים'!$J$4,2,IF(M729='טבלת פרמטרים'!$J$3,1,0))+IF(N729='טבלת פרמטרים'!$K$6,3,IF(OR(N729='טבלת פרמטרים'!$K$4,N729='טבלת פרמטרים'!$K$5),2,IF(N729='טבלת פרמטרים'!$K$3,1,0))))</f>
        <v>4</v>
      </c>
      <c r="Q729" s="20" t="s">
        <v>123</v>
      </c>
      <c r="R729" s="19">
        <f t="shared" si="17"/>
        <v>4</v>
      </c>
      <c r="T729" s="19">
        <f>IF(EXACT(Q729,'טבלת פרמטרים'!$O$2),'טבלת פרמטרים'!$P$2,IF(EXACT(Q729,'טבלת פרמטרים'!$O$3),'טבלת פרמטרים'!$P$3,IF(EXACT(Q729,'טבלת פרמטרים'!$O$4),'טבלת פרמטרים'!$P$4,IF(EXACT(Q729,'טבלת פרמטרים'!$O$5),'טבלת פרמטרים'!$P$5,IF(EXACT(Q729,'טבלת פרמטרים'!$O$6),'טבלת פרמטרים'!$P$6,IF(EXACT(Q729,'טבלת פרמטרים'!$O$7),'טבלת פרמטרים'!$P$7,""))))))</f>
        <v>0</v>
      </c>
    </row>
    <row r="730" spans="1:20" x14ac:dyDescent="0.2">
      <c r="A730" s="18">
        <v>730</v>
      </c>
      <c r="C730" s="30">
        <v>45711</v>
      </c>
      <c r="D730" s="21" t="s">
        <v>13</v>
      </c>
      <c r="E730" s="21" t="s">
        <v>20</v>
      </c>
      <c r="F730" s="21" t="s">
        <v>23</v>
      </c>
      <c r="G730" s="21" t="s">
        <v>26</v>
      </c>
      <c r="H730" s="21" t="s">
        <v>30</v>
      </c>
      <c r="K730" s="21" t="s">
        <v>44</v>
      </c>
      <c r="L730" s="21" t="s">
        <v>51</v>
      </c>
      <c r="M730" s="21" t="s">
        <v>54</v>
      </c>
      <c r="N730" s="21" t="s">
        <v>58</v>
      </c>
      <c r="O730" s="19">
        <f>IF(ISBLANK(D730),"",IF(D730='טבלת פרמטרים'!$A$9,1,0)+IF(E730='טבלת פרמטרים'!$B$5,2,1)+IF(F730='טבלת פרמטרים'!$C$5,3,IF(F730='טבלת פרמטרים'!$C$4,1,0))+IF(G730='טבלת פרמטרים'!$D$3,2,0)+IF(M730='טבלת פרמטרים'!$J$4,2,IF(M730='טבלת פרמטרים'!$J$3,1,0))+IF(N730='טבלת פרמטרים'!$K$6,3,IF(OR(N730='טבלת פרמטרים'!$K$4,N730='טבלת פרמטרים'!$K$5),2,IF(N730='טבלת פרמטרים'!$K$3,1,0))))</f>
        <v>3</v>
      </c>
      <c r="Q730" s="20" t="s">
        <v>123</v>
      </c>
      <c r="R730" s="19">
        <f t="shared" si="17"/>
        <v>3</v>
      </c>
      <c r="T730" s="19">
        <f>IF(EXACT(Q730,'טבלת פרמטרים'!$O$2),'טבלת פרמטרים'!$P$2,IF(EXACT(Q730,'טבלת פרמטרים'!$O$3),'טבלת פרמטרים'!$P$3,IF(EXACT(Q730,'טבלת פרמטרים'!$O$4),'טבלת פרמטרים'!$P$4,IF(EXACT(Q730,'טבלת פרמטרים'!$O$5),'טבלת פרמטרים'!$P$5,IF(EXACT(Q730,'טבלת פרמטרים'!$O$6),'טבלת פרמטרים'!$P$6,IF(EXACT(Q730,'טבלת פרמטרים'!$O$7),'טבלת פרמטרים'!$P$7,""))))))</f>
        <v>0</v>
      </c>
    </row>
    <row r="731" spans="1:20" x14ac:dyDescent="0.2">
      <c r="A731" s="18">
        <v>731</v>
      </c>
      <c r="C731" s="30">
        <v>45712</v>
      </c>
      <c r="D731" s="21" t="s">
        <v>17</v>
      </c>
      <c r="E731" s="21" t="s">
        <v>22</v>
      </c>
      <c r="F731" s="21" t="s">
        <v>24</v>
      </c>
      <c r="G731" s="21" t="s">
        <v>27</v>
      </c>
      <c r="H731" s="21" t="s">
        <v>29</v>
      </c>
      <c r="M731" s="21" t="s">
        <v>54</v>
      </c>
      <c r="N731" s="21" t="s">
        <v>58</v>
      </c>
      <c r="O731" s="19">
        <f>IF(ISBLANK(D731),"",IF(D731='טבלת פרמטרים'!$A$9,1,0)+IF(E731='טבלת פרמטרים'!$B$5,2,1)+IF(F731='טבלת פרמטרים'!$C$5,3,IF(F731='טבלת פרמטרים'!$C$4,1,0))+IF(G731='טבלת פרמטרים'!$D$3,2,0)+IF(M731='טבלת פרמטרים'!$J$4,2,IF(M731='טבלת פרמטרים'!$J$3,1,0))+IF(N731='טבלת פרמטרים'!$K$6,3,IF(OR(N731='טבלת פרמטרים'!$K$4,N731='טבלת פרמטרים'!$K$5),2,IF(N731='טבלת פרמטרים'!$K$3,1,0))))</f>
        <v>8</v>
      </c>
      <c r="Q731" s="20" t="s">
        <v>123</v>
      </c>
      <c r="R731" s="19">
        <f t="shared" si="17"/>
        <v>8</v>
      </c>
      <c r="T731" s="19">
        <f>IF(EXACT(Q731,'טבלת פרמטרים'!$O$2),'טבלת פרמטרים'!$P$2,IF(EXACT(Q731,'טבלת פרמטרים'!$O$3),'טבלת פרמטרים'!$P$3,IF(EXACT(Q731,'טבלת פרמטרים'!$O$4),'טבלת פרמטרים'!$P$4,IF(EXACT(Q731,'טבלת פרמטרים'!$O$5),'טבלת פרמטרים'!$P$5,IF(EXACT(Q731,'טבלת פרמטרים'!$O$6),'טבלת פרמטרים'!$P$6,IF(EXACT(Q731,'טבלת פרמטרים'!$O$7),'טבלת פרמטרים'!$P$7,""))))))</f>
        <v>0</v>
      </c>
    </row>
    <row r="732" spans="1:20" x14ac:dyDescent="0.2">
      <c r="A732" s="18">
        <v>732</v>
      </c>
      <c r="C732" s="30">
        <v>45714</v>
      </c>
      <c r="D732" s="21" t="s">
        <v>14</v>
      </c>
      <c r="E732" s="21" t="s">
        <v>111</v>
      </c>
      <c r="F732" s="21" t="s">
        <v>23</v>
      </c>
      <c r="G732" s="21" t="s">
        <v>26</v>
      </c>
      <c r="H732" s="21" t="s">
        <v>30</v>
      </c>
      <c r="M732" s="21" t="s">
        <v>54</v>
      </c>
      <c r="N732" s="21" t="s">
        <v>58</v>
      </c>
      <c r="O732" s="19">
        <f>IF(ISBLANK(D732),"",IF(D732='טבלת פרמטרים'!$A$9,1,0)+IF(E732='טבלת פרמטרים'!$B$5,2,1)+IF(F732='טבלת פרמטרים'!$C$5,3,IF(F732='טבלת פרמטרים'!$C$4,1,0))+IF(G732='טבלת פרמטרים'!$D$3,2,0)+IF(M732='טבלת פרמטרים'!$J$4,2,IF(M732='טבלת פרמטרים'!$J$3,1,0))+IF(N732='טבלת פרמטרים'!$K$6,3,IF(OR(N732='טבלת פרמטרים'!$K$4,N732='טבלת פרמטרים'!$K$5),2,IF(N732='טבלת פרמטרים'!$K$3,1,0))))</f>
        <v>3</v>
      </c>
      <c r="Q732" s="20" t="s">
        <v>123</v>
      </c>
      <c r="R732" s="19">
        <f t="shared" si="17"/>
        <v>3</v>
      </c>
      <c r="T732" s="19">
        <f>IF(EXACT(Q732,'טבלת פרמטרים'!$O$2),'טבלת פרמטרים'!$P$2,IF(EXACT(Q732,'טבלת פרמטרים'!$O$3),'טבלת פרמטרים'!$P$3,IF(EXACT(Q732,'טבלת פרמטרים'!$O$4),'טבלת פרמטרים'!$P$4,IF(EXACT(Q732,'טבלת פרמטרים'!$O$5),'טבלת פרמטרים'!$P$5,IF(EXACT(Q732,'טבלת פרמטרים'!$O$6),'טבלת פרמטרים'!$P$6,IF(EXACT(Q732,'טבלת פרמטרים'!$O$7),'טבלת פרמטרים'!$P$7,""))))))</f>
        <v>0</v>
      </c>
    </row>
    <row r="733" spans="1:20" x14ac:dyDescent="0.2">
      <c r="A733" s="18">
        <v>733</v>
      </c>
      <c r="C733" s="30">
        <v>45718</v>
      </c>
      <c r="D733" s="21" t="s">
        <v>10</v>
      </c>
      <c r="E733" s="21" t="s">
        <v>111</v>
      </c>
      <c r="F733" s="21" t="s">
        <v>23</v>
      </c>
      <c r="G733" s="21" t="s">
        <v>26</v>
      </c>
      <c r="H733" s="21" t="s">
        <v>31</v>
      </c>
      <c r="I733" s="21" t="s">
        <v>126</v>
      </c>
      <c r="J733" s="21" t="s">
        <v>11</v>
      </c>
      <c r="L733" s="21" t="s">
        <v>51</v>
      </c>
      <c r="M733" s="21" t="s">
        <v>54</v>
      </c>
      <c r="N733" s="21" t="s">
        <v>58</v>
      </c>
      <c r="O733" s="19">
        <f>IF(ISBLANK(D733),"",IF(D733='טבלת פרמטרים'!$A$9,1,0)+IF(E733='טבלת פרמטרים'!$B$5,2,1)+IF(F733='טבלת פרמטרים'!$C$5,3,IF(F733='טבלת פרמטרים'!$C$4,1,0))+IF(G733='טבלת פרמטרים'!$D$3,2,0)+IF(M733='טבלת פרמטרים'!$J$4,2,IF(M733='טבלת פרמטרים'!$J$3,1,0))+IF(N733='טבלת פרמטרים'!$K$6,3,IF(OR(N733='טבלת פרמטרים'!$K$4,N733='טבלת פרמטרים'!$K$5),2,IF(N733='טבלת פרמטרים'!$K$3,1,0))))</f>
        <v>3</v>
      </c>
      <c r="Q733" s="20" t="s">
        <v>123</v>
      </c>
      <c r="R733" s="19">
        <f t="shared" si="17"/>
        <v>3</v>
      </c>
      <c r="T733" s="19">
        <f>IF(EXACT(Q733,'טבלת פרמטרים'!$O$2),'טבלת פרמטרים'!$P$2,IF(EXACT(Q733,'טבלת פרמטרים'!$O$3),'טבלת פרמטרים'!$P$3,IF(EXACT(Q733,'טבלת פרמטרים'!$O$4),'טבלת פרמטרים'!$P$4,IF(EXACT(Q733,'טבלת פרמטרים'!$O$5),'טבלת פרמטרים'!$P$5,IF(EXACT(Q733,'טבלת פרמטרים'!$O$6),'טבלת פרמטרים'!$P$6,IF(EXACT(Q733,'טבלת פרמטרים'!$O$7),'טבלת פרמטרים'!$P$7,""))))))</f>
        <v>0</v>
      </c>
    </row>
    <row r="734" spans="1:20" x14ac:dyDescent="0.2">
      <c r="A734" s="18">
        <v>734</v>
      </c>
      <c r="C734" s="30">
        <v>45726</v>
      </c>
      <c r="D734" s="21" t="s">
        <v>15</v>
      </c>
      <c r="E734" s="21" t="s">
        <v>20</v>
      </c>
      <c r="F734" s="21" t="s">
        <v>23</v>
      </c>
      <c r="G734" s="21" t="s">
        <v>26</v>
      </c>
      <c r="H734" s="21" t="s">
        <v>30</v>
      </c>
      <c r="M734" s="21" t="s">
        <v>55</v>
      </c>
      <c r="N734" s="21" t="s">
        <v>58</v>
      </c>
      <c r="O734" s="19">
        <f>IF(ISBLANK(D734),"",IF(D734='טבלת פרמטרים'!$A$9,1,0)+IF(E734='טבלת פרמטרים'!$B$5,2,1)+IF(F734='טבלת פרמטרים'!$C$5,3,IF(F734='טבלת פרמטרים'!$C$4,1,0))+IF(G734='טבלת פרמטרים'!$D$3,2,0)+IF(M734='טבלת פרמטרים'!$J$4,2,IF(M734='טבלת פרמטרים'!$J$3,1,0))+IF(N734='טבלת פרמטרים'!$K$6,3,IF(OR(N734='טבלת פרמטרים'!$K$4,N734='טבלת פרמטרים'!$K$5),2,IF(N734='טבלת פרמטרים'!$K$3,1,0))))</f>
        <v>4</v>
      </c>
      <c r="Q734" s="20" t="s">
        <v>123</v>
      </c>
      <c r="R734" s="19">
        <f t="shared" si="17"/>
        <v>4</v>
      </c>
      <c r="T734" s="19">
        <f>IF(EXACT(Q734,'טבלת פרמטרים'!$O$2),'טבלת פרמטרים'!$P$2,IF(EXACT(Q734,'טבלת פרמטרים'!$O$3),'טבלת פרמטרים'!$P$3,IF(EXACT(Q734,'טבלת פרמטרים'!$O$4),'טבלת פרמטרים'!$P$4,IF(EXACT(Q734,'טבלת פרמטרים'!$O$5),'טבלת פרמטרים'!$P$5,IF(EXACT(Q734,'טבלת פרמטרים'!$O$6),'טבלת פרמטרים'!$P$6,IF(EXACT(Q734,'טבלת פרמטרים'!$O$7),'טבלת פרמטרים'!$P$7,""))))))</f>
        <v>0</v>
      </c>
    </row>
    <row r="735" spans="1:20" x14ac:dyDescent="0.2">
      <c r="A735" s="18">
        <v>735</v>
      </c>
      <c r="C735" s="30">
        <v>45726</v>
      </c>
      <c r="D735" s="21" t="s">
        <v>15</v>
      </c>
      <c r="E735" s="21" t="s">
        <v>20</v>
      </c>
      <c r="F735" s="21" t="s">
        <v>23</v>
      </c>
      <c r="G735" s="21" t="s">
        <v>26</v>
      </c>
      <c r="H735" s="21" t="s">
        <v>30</v>
      </c>
      <c r="M735" s="21" t="s">
        <v>55</v>
      </c>
      <c r="N735" s="21" t="s">
        <v>58</v>
      </c>
      <c r="O735" s="19">
        <f>IF(ISBLANK(D735),"",IF(D735='טבלת פרמטרים'!$A$9,1,0)+IF(E735='טבלת פרמטרים'!$B$5,2,1)+IF(F735='טבלת פרמטרים'!$C$5,3,IF(F735='טבלת פרמטרים'!$C$4,1,0))+IF(G735='טבלת פרמטרים'!$D$3,2,0)+IF(M735='טבלת פרמטרים'!$J$4,2,IF(M735='טבלת פרמטרים'!$J$3,1,0))+IF(N735='טבלת פרמטרים'!$K$6,3,IF(OR(N735='טבלת פרמטרים'!$K$4,N735='טבלת פרמטרים'!$K$5),2,IF(N735='טבלת פרמטרים'!$K$3,1,0))))</f>
        <v>4</v>
      </c>
      <c r="Q735" s="20" t="s">
        <v>123</v>
      </c>
      <c r="R735" s="19">
        <f t="shared" si="17"/>
        <v>4</v>
      </c>
      <c r="T735" s="19">
        <f>IF(EXACT(Q735,'טבלת פרמטרים'!$O$2),'טבלת פרמטרים'!$P$2,IF(EXACT(Q735,'טבלת פרמטרים'!$O$3),'טבלת פרמטרים'!$P$3,IF(EXACT(Q735,'טבלת פרמטרים'!$O$4),'טבלת פרמטרים'!$P$4,IF(EXACT(Q735,'טבלת פרמטרים'!$O$5),'טבלת פרמטרים'!$P$5,IF(EXACT(Q735,'טבלת פרמטרים'!$O$6),'טבלת פרמטרים'!$P$6,IF(EXACT(Q735,'טבלת פרמטרים'!$O$7),'טבלת פרמטרים'!$P$7,""))))))</f>
        <v>0</v>
      </c>
    </row>
    <row r="736" spans="1:20" x14ac:dyDescent="0.2">
      <c r="A736" s="18">
        <v>736</v>
      </c>
      <c r="C736" s="30">
        <v>45726</v>
      </c>
      <c r="D736" s="21" t="s">
        <v>15</v>
      </c>
      <c r="E736" s="21" t="s">
        <v>20</v>
      </c>
      <c r="F736" s="21" t="s">
        <v>23</v>
      </c>
      <c r="G736" s="21" t="s">
        <v>26</v>
      </c>
      <c r="H736" s="21" t="s">
        <v>30</v>
      </c>
      <c r="M736" s="21" t="s">
        <v>55</v>
      </c>
      <c r="N736" s="21" t="s">
        <v>59</v>
      </c>
      <c r="O736" s="19">
        <f>IF(ISBLANK(D736),"",IF(D736='טבלת פרמטרים'!$A$9,1,0)+IF(E736='טבלת פרמטרים'!$B$5,2,1)+IF(F736='טבלת פרמטרים'!$C$5,3,IF(F736='טבלת פרמטרים'!$C$4,1,0))+IF(G736='טבלת פרמטרים'!$D$3,2,0)+IF(M736='טבלת פרמטרים'!$J$4,2,IF(M736='טבלת פרמטרים'!$J$3,1,0))+IF(N736='טבלת פרמטרים'!$K$6,3,IF(OR(N736='טבלת פרמטרים'!$K$4,N736='טבלת פרמטרים'!$K$5),2,IF(N736='טבלת פרמטרים'!$K$3,1,0))))</f>
        <v>5</v>
      </c>
      <c r="Q736" s="20" t="s">
        <v>123</v>
      </c>
      <c r="R736" s="19">
        <f t="shared" si="17"/>
        <v>5</v>
      </c>
      <c r="T736" s="19">
        <f>IF(EXACT(Q736,'טבלת פרמטרים'!$O$2),'טבלת פרמטרים'!$P$2,IF(EXACT(Q736,'טבלת פרמטרים'!$O$3),'טבלת פרמטרים'!$P$3,IF(EXACT(Q736,'טבלת פרמטרים'!$O$4),'טבלת פרמטרים'!$P$4,IF(EXACT(Q736,'טבלת פרמטרים'!$O$5),'טבלת פרמטרים'!$P$5,IF(EXACT(Q736,'טבלת פרמטרים'!$O$6),'טבלת פרמטרים'!$P$6,IF(EXACT(Q736,'טבלת פרמטרים'!$O$7),'טבלת פרמטרים'!$P$7,""))))))</f>
        <v>0</v>
      </c>
    </row>
    <row r="737" spans="1:20" x14ac:dyDescent="0.2">
      <c r="A737" s="18">
        <v>737</v>
      </c>
      <c r="C737" s="30">
        <v>45726</v>
      </c>
      <c r="D737" s="21" t="s">
        <v>12</v>
      </c>
      <c r="E737" s="21" t="s">
        <v>21</v>
      </c>
      <c r="F737" s="21" t="s">
        <v>23</v>
      </c>
      <c r="G737" s="21" t="s">
        <v>26</v>
      </c>
      <c r="H737" s="21" t="s">
        <v>29</v>
      </c>
      <c r="M737" s="21" t="s">
        <v>55</v>
      </c>
      <c r="N737" s="21" t="s">
        <v>59</v>
      </c>
      <c r="O737" s="19">
        <f>IF(ISBLANK(D737),"",IF(D737='טבלת פרמטרים'!$A$9,1,0)+IF(E737='טבלת פרמטרים'!$B$5,2,1)+IF(F737='טבלת פרמטרים'!$C$5,3,IF(F737='טבלת פרמטרים'!$C$4,1,0))+IF(G737='טבלת פרמטרים'!$D$3,2,0)+IF(M737='טבלת פרמטרים'!$J$4,2,IF(M737='טבלת פרמטרים'!$J$3,1,0))+IF(N737='טבלת פרמטרים'!$K$6,3,IF(OR(N737='טבלת פרמטרים'!$K$4,N737='טבלת פרמטרים'!$K$5),2,IF(N737='טבלת פרמטרים'!$K$3,1,0))))</f>
        <v>5</v>
      </c>
      <c r="Q737" s="20" t="s">
        <v>123</v>
      </c>
      <c r="R737" s="19">
        <f t="shared" si="17"/>
        <v>5</v>
      </c>
      <c r="T737" s="19">
        <f>IF(EXACT(Q737,'טבלת פרמטרים'!$O$2),'טבלת פרמטרים'!$P$2,IF(EXACT(Q737,'טבלת פרמטרים'!$O$3),'טבלת פרמטרים'!$P$3,IF(EXACT(Q737,'טבלת פרמטרים'!$O$4),'טבלת פרמטרים'!$P$4,IF(EXACT(Q737,'טבלת פרמטרים'!$O$5),'טבלת פרמטרים'!$P$5,IF(EXACT(Q737,'טבלת פרמטרים'!$O$6),'טבלת פרמטרים'!$P$6,IF(EXACT(Q737,'טבלת פרמטרים'!$O$7),'טבלת פרמטרים'!$P$7,""))))))</f>
        <v>0</v>
      </c>
    </row>
    <row r="738" spans="1:20" x14ac:dyDescent="0.2">
      <c r="A738" s="18">
        <v>738</v>
      </c>
      <c r="B738" s="30">
        <v>45725</v>
      </c>
      <c r="C738" s="30">
        <v>45726</v>
      </c>
      <c r="D738" s="21" t="s">
        <v>17</v>
      </c>
      <c r="E738" s="21" t="s">
        <v>22</v>
      </c>
      <c r="F738" s="21" t="s">
        <v>24</v>
      </c>
      <c r="G738" s="21" t="s">
        <v>26</v>
      </c>
      <c r="H738" s="21" t="s">
        <v>31</v>
      </c>
      <c r="M738" s="21" t="s">
        <v>54</v>
      </c>
      <c r="N738" s="21" t="s">
        <v>112</v>
      </c>
      <c r="O738" s="19">
        <f>IF(ISBLANK(D738),"",IF(D738='טבלת פרמטרים'!$A$9,1,0)+IF(E738='טבלת פרמטרים'!$B$5,2,1)+IF(F738='טבלת פרמטרים'!$C$5,3,IF(F738='טבלת פרמטרים'!$C$4,1,0))+IF(G738='טבלת פרמטרים'!$D$3,2,0)+IF(M738='טבלת פרמטרים'!$J$4,2,IF(M738='טבלת פרמטרים'!$J$3,1,0))+IF(N738='טבלת פרמטרים'!$K$6,3,IF(OR(N738='טבלת פרמטרים'!$K$4,N738='טבלת פרמטרים'!$K$5),2,IF(N738='טבלת פרמטרים'!$K$3,1,0))))</f>
        <v>7</v>
      </c>
      <c r="Q738" s="20" t="s">
        <v>123</v>
      </c>
      <c r="R738" s="19">
        <f t="shared" si="17"/>
        <v>7</v>
      </c>
      <c r="T738" s="19">
        <f>IF(EXACT(Q738,'טבלת פרמטרים'!$O$2),'טבלת פרמטרים'!$P$2,IF(EXACT(Q738,'טבלת פרמטרים'!$O$3),'טבלת פרמטרים'!$P$3,IF(EXACT(Q738,'טבלת פרמטרים'!$O$4),'טבלת פרמטרים'!$P$4,IF(EXACT(Q738,'טבלת פרמטרים'!$O$5),'טבלת פרמטרים'!$P$5,IF(EXACT(Q738,'טבלת פרמטרים'!$O$6),'טבלת פרמטרים'!$P$6,IF(EXACT(Q738,'טבלת פרמטרים'!$O$7),'טבלת פרמטרים'!$P$7,""))))))</f>
        <v>0</v>
      </c>
    </row>
    <row r="739" spans="1:20" x14ac:dyDescent="0.2">
      <c r="A739" s="18">
        <v>739</v>
      </c>
      <c r="C739" s="30">
        <v>45732</v>
      </c>
      <c r="D739" s="21" t="s">
        <v>15</v>
      </c>
      <c r="E739" s="21" t="s">
        <v>111</v>
      </c>
      <c r="F739" s="21" t="s">
        <v>23</v>
      </c>
      <c r="G739" s="21" t="s">
        <v>26</v>
      </c>
      <c r="H739" s="21" t="s">
        <v>29</v>
      </c>
      <c r="M739" s="21" t="s">
        <v>54</v>
      </c>
      <c r="N739" s="21" t="s">
        <v>59</v>
      </c>
      <c r="O739" s="19">
        <f>IF(ISBLANK(D739),"",IF(D739='טבלת פרמטרים'!$A$9,1,0)+IF(E739='טבלת פרמטרים'!$B$5,2,1)+IF(F739='טבלת פרמטרים'!$C$5,3,IF(F739='טבלת פרמטרים'!$C$4,1,0))+IF(G739='טבלת פרמטרים'!$D$3,2,0)+IF(M739='טבלת פרמטרים'!$J$4,2,IF(M739='טבלת פרמטרים'!$J$3,1,0))+IF(N739='טבלת פרמטרים'!$K$6,3,IF(OR(N739='טבלת פרמטרים'!$K$4,N739='טבלת פרמטרים'!$K$5),2,IF(N739='טבלת פרמטרים'!$K$3,1,0))))</f>
        <v>4</v>
      </c>
      <c r="Q739" s="20" t="s">
        <v>123</v>
      </c>
      <c r="R739" s="19">
        <f t="shared" si="17"/>
        <v>4</v>
      </c>
      <c r="T739" s="19">
        <f>IF(EXACT(Q739,'טבלת פרמטרים'!$O$2),'טבלת פרמטרים'!$P$2,IF(EXACT(Q739,'טבלת פרמטרים'!$O$3),'טבלת פרמטרים'!$P$3,IF(EXACT(Q739,'טבלת פרמטרים'!$O$4),'טבלת פרמטרים'!$P$4,IF(EXACT(Q739,'טבלת פרמטרים'!$O$5),'טבלת פרמטרים'!$P$5,IF(EXACT(Q739,'טבלת פרמטרים'!$O$6),'טבלת פרמטרים'!$P$6,IF(EXACT(Q739,'טבלת פרמטרים'!$O$7),'טבלת פרמטרים'!$P$7,""))))))</f>
        <v>0</v>
      </c>
    </row>
    <row r="740" spans="1:20" x14ac:dyDescent="0.2">
      <c r="A740" s="18">
        <v>740</v>
      </c>
      <c r="C740" s="30">
        <v>45735</v>
      </c>
      <c r="D740" s="21" t="s">
        <v>11</v>
      </c>
      <c r="E740" s="21" t="s">
        <v>111</v>
      </c>
      <c r="F740" s="21" t="s">
        <v>23</v>
      </c>
      <c r="G740" s="21" t="s">
        <v>26</v>
      </c>
      <c r="H740" s="21" t="s">
        <v>30</v>
      </c>
      <c r="M740" s="21" t="s">
        <v>55</v>
      </c>
      <c r="N740" s="21" t="s">
        <v>58</v>
      </c>
      <c r="O740" s="19">
        <f>IF(ISBLANK(D740),"",IF(D740='טבלת פרמטרים'!$A$9,1,0)+IF(E740='טבלת פרמטרים'!$B$5,2,1)+IF(F740='טבלת פרמטרים'!$C$5,3,IF(F740='טבלת פרמטרים'!$C$4,1,0))+IF(G740='טבלת פרמטרים'!$D$3,2,0)+IF(M740='טבלת פרמטרים'!$J$4,2,IF(M740='טבלת פרמטרים'!$J$3,1,0))+IF(N740='טבלת פרמטרים'!$K$6,3,IF(OR(N740='טבלת פרמטרים'!$K$4,N740='טבלת פרמטרים'!$K$5),2,IF(N740='טבלת פרמטרים'!$K$3,1,0))))</f>
        <v>4</v>
      </c>
      <c r="Q740" s="20" t="s">
        <v>123</v>
      </c>
      <c r="R740" s="19">
        <f t="shared" si="17"/>
        <v>4</v>
      </c>
      <c r="T740" s="19">
        <f>IF(EXACT(Q740,'טבלת פרמטרים'!$O$2),'טבלת פרמטרים'!$P$2,IF(EXACT(Q740,'טבלת פרמטרים'!$O$3),'טבלת פרמטרים'!$P$3,IF(EXACT(Q740,'טבלת פרמטרים'!$O$4),'טבלת פרמטרים'!$P$4,IF(EXACT(Q740,'טבלת פרמטרים'!$O$5),'טבלת פרמטרים'!$P$5,IF(EXACT(Q740,'טבלת פרמטרים'!$O$6),'טבלת פרמטרים'!$P$6,IF(EXACT(Q740,'טבלת פרמטרים'!$O$7),'טבלת פרמטרים'!$P$7,""))))))</f>
        <v>0</v>
      </c>
    </row>
    <row r="741" spans="1:20" x14ac:dyDescent="0.2">
      <c r="A741" s="18">
        <v>741</v>
      </c>
      <c r="C741" s="30">
        <v>45739</v>
      </c>
      <c r="D741" s="21" t="s">
        <v>10</v>
      </c>
      <c r="E741" s="21" t="s">
        <v>111</v>
      </c>
      <c r="F741" s="21" t="s">
        <v>23</v>
      </c>
      <c r="G741" s="21" t="s">
        <v>26</v>
      </c>
      <c r="H741" s="21" t="s">
        <v>28</v>
      </c>
      <c r="M741" s="21" t="s">
        <v>55</v>
      </c>
      <c r="N741" s="21" t="s">
        <v>58</v>
      </c>
      <c r="O741" s="19">
        <f>IF(ISBLANK(D741),"",IF(D741='טבלת פרמטרים'!$A$9,1,0)+IF(E741='טבלת פרמטרים'!$B$5,2,1)+IF(F741='טבלת פרמטרים'!$C$5,3,IF(F741='טבלת פרמטרים'!$C$4,1,0))+IF(G741='טבלת פרמטרים'!$D$3,2,0)+IF(M741='טבלת פרמטרים'!$J$4,2,IF(M741='טבלת פרמטרים'!$J$3,1,0))+IF(N741='טבלת פרמטרים'!$K$6,3,IF(OR(N741='טבלת פרמטרים'!$K$4,N741='טבלת פרמטרים'!$K$5),2,IF(N741='טבלת פרמטרים'!$K$3,1,0))))</f>
        <v>4</v>
      </c>
      <c r="Q741" s="20" t="s">
        <v>123</v>
      </c>
      <c r="R741" s="19">
        <f t="shared" si="17"/>
        <v>4</v>
      </c>
      <c r="T741" s="19">
        <f>IF(EXACT(Q741,'טבלת פרמטרים'!$O$2),'טבלת פרמטרים'!$P$2,IF(EXACT(Q741,'טבלת פרמטרים'!$O$3),'טבלת פרמטרים'!$P$3,IF(EXACT(Q741,'טבלת פרמטרים'!$O$4),'טבלת פרמטרים'!$P$4,IF(EXACT(Q741,'טבלת פרמטרים'!$O$5),'טבלת פרמטרים'!$P$5,IF(EXACT(Q741,'טבלת פרמטרים'!$O$6),'טבלת פרמטרים'!$P$6,IF(EXACT(Q741,'טבלת פרמטרים'!$O$7),'טבלת פרמטרים'!$P$7,""))))))</f>
        <v>0</v>
      </c>
    </row>
    <row r="742" spans="1:20" x14ac:dyDescent="0.2">
      <c r="A742" s="18">
        <v>742</v>
      </c>
      <c r="C742" s="30">
        <v>45736</v>
      </c>
      <c r="D742" s="21" t="s">
        <v>14</v>
      </c>
      <c r="E742" s="21" t="s">
        <v>111</v>
      </c>
      <c r="F742" s="21" t="s">
        <v>23</v>
      </c>
      <c r="G742" s="21" t="s">
        <v>26</v>
      </c>
      <c r="H742" s="21" t="s">
        <v>32</v>
      </c>
      <c r="M742" s="21" t="s">
        <v>54</v>
      </c>
      <c r="N742" s="21" t="s">
        <v>58</v>
      </c>
      <c r="O742" s="19">
        <f>IF(ISBLANK(D742),"",IF(D742='טבלת פרמטרים'!$A$9,1,0)+IF(E742='טבלת פרמטרים'!$B$5,2,1)+IF(F742='טבלת פרמטרים'!$C$5,3,IF(F742='טבלת פרמטרים'!$C$4,1,0))+IF(G742='טבלת פרמטרים'!$D$3,2,0)+IF(M742='טבלת פרמטרים'!$J$4,2,IF(M742='טבלת פרמטרים'!$J$3,1,0))+IF(N742='טבלת פרמטרים'!$K$6,3,IF(OR(N742='טבלת פרמטרים'!$K$4,N742='טבלת פרמטרים'!$K$5),2,IF(N742='טבלת פרמטרים'!$K$3,1,0))))</f>
        <v>3</v>
      </c>
      <c r="Q742" s="20" t="s">
        <v>123</v>
      </c>
      <c r="R742" s="19">
        <f t="shared" si="17"/>
        <v>3</v>
      </c>
      <c r="T742" s="19">
        <f>IF(EXACT(Q742,'טבלת פרמטרים'!$O$2),'טבלת פרמטרים'!$P$2,IF(EXACT(Q742,'טבלת פרמטרים'!$O$3),'טבלת פרמטרים'!$P$3,IF(EXACT(Q742,'טבלת פרמטרים'!$O$4),'טבלת פרמטרים'!$P$4,IF(EXACT(Q742,'טבלת פרמטרים'!$O$5),'טבלת פרמטרים'!$P$5,IF(EXACT(Q742,'טבלת פרמטרים'!$O$6),'טבלת פרמטרים'!$P$6,IF(EXACT(Q742,'טבלת פרמטרים'!$O$7),'טבלת פרמטרים'!$P$7,""))))))</f>
        <v>0</v>
      </c>
    </row>
    <row r="743" spans="1:20" x14ac:dyDescent="0.2">
      <c r="A743" s="18">
        <v>743</v>
      </c>
      <c r="B743" s="30">
        <v>45736</v>
      </c>
      <c r="C743" s="30">
        <v>45736</v>
      </c>
      <c r="D743" s="21" t="s">
        <v>16</v>
      </c>
      <c r="E743" s="21" t="s">
        <v>21</v>
      </c>
      <c r="F743" s="21" t="s">
        <v>23</v>
      </c>
      <c r="G743" s="21" t="s">
        <v>26</v>
      </c>
      <c r="H743" s="21" t="s">
        <v>29</v>
      </c>
      <c r="M743" s="21" t="s">
        <v>55</v>
      </c>
      <c r="N743" s="21" t="s">
        <v>58</v>
      </c>
      <c r="O743" s="19">
        <f>IF(ISBLANK(D743),"",IF(D743='טבלת פרמטרים'!$A$9,1,0)+IF(E743='טבלת פרמטרים'!$B$5,2,1)+IF(F743='טבלת פרמטרים'!$C$5,3,IF(F743='טבלת פרמטרים'!$C$4,1,0))+IF(G743='טבלת פרמטרים'!$D$3,2,0)+IF(M743='טבלת פרמטרים'!$J$4,2,IF(M743='טבלת פרמטרים'!$J$3,1,0))+IF(N743='טבלת פרמטרים'!$K$6,3,IF(OR(N743='טבלת פרמטרים'!$K$4,N743='טבלת פרמטרים'!$K$5),2,IF(N743='טבלת פרמטרים'!$K$3,1,0))))</f>
        <v>4</v>
      </c>
      <c r="Q743" s="20" t="s">
        <v>123</v>
      </c>
      <c r="R743" s="19">
        <f t="shared" si="17"/>
        <v>4</v>
      </c>
      <c r="T743" s="19">
        <f>IF(EXACT(Q743,'טבלת פרמטרים'!$O$2),'טבלת פרמטרים'!$P$2,IF(EXACT(Q743,'טבלת פרמטרים'!$O$3),'טבלת פרמטרים'!$P$3,IF(EXACT(Q743,'טבלת פרמטרים'!$O$4),'טבלת פרמטרים'!$P$4,IF(EXACT(Q743,'טבלת פרמטרים'!$O$5),'טבלת פרמטרים'!$P$5,IF(EXACT(Q743,'טבלת פרמטרים'!$O$6),'טבלת פרמטרים'!$P$6,IF(EXACT(Q743,'טבלת פרמטרים'!$O$7),'טבלת פרמטרים'!$P$7,""))))))</f>
        <v>0</v>
      </c>
    </row>
    <row r="744" spans="1:20" x14ac:dyDescent="0.2">
      <c r="A744" s="18">
        <v>744</v>
      </c>
      <c r="B744" s="30">
        <v>45741</v>
      </c>
      <c r="C744" s="30">
        <v>45741</v>
      </c>
      <c r="D744" s="21" t="s">
        <v>14</v>
      </c>
      <c r="E744" s="21" t="s">
        <v>20</v>
      </c>
      <c r="F744" s="21" t="s">
        <v>23</v>
      </c>
      <c r="G744" s="21" t="s">
        <v>26</v>
      </c>
      <c r="H744" s="21" t="s">
        <v>31</v>
      </c>
      <c r="M744" s="21" t="s">
        <v>55</v>
      </c>
      <c r="N744" s="21" t="s">
        <v>58</v>
      </c>
      <c r="O744" s="19">
        <f>IF(ISBLANK(D744),"",IF(D744='טבלת פרמטרים'!$A$9,1,0)+IF(E744='טבלת פרמטרים'!$B$5,2,1)+IF(F744='טבלת פרמטרים'!$C$5,3,IF(F744='טבלת פרמטרים'!$C$4,1,0))+IF(G744='טבלת פרמטרים'!$D$3,2,0)+IF(M744='טבלת פרמטרים'!$J$4,2,IF(M744='טבלת פרמטרים'!$J$3,1,0))+IF(N744='טבלת פרמטרים'!$K$6,3,IF(OR(N744='טבלת פרמטרים'!$K$4,N744='טבלת פרמטרים'!$K$5),2,IF(N744='טבלת פרמטרים'!$K$3,1,0))))</f>
        <v>4</v>
      </c>
      <c r="Q744" s="20" t="s">
        <v>123</v>
      </c>
      <c r="R744" s="19">
        <f t="shared" si="17"/>
        <v>4</v>
      </c>
      <c r="T744" s="19">
        <f>IF(EXACT(Q744,'טבלת פרמטרים'!$O$2),'טבלת פרמטרים'!$P$2,IF(EXACT(Q744,'טבלת פרמטרים'!$O$3),'טבלת פרמטרים'!$P$3,IF(EXACT(Q744,'טבלת פרמטרים'!$O$4),'טבלת פרמטרים'!$P$4,IF(EXACT(Q744,'טבלת פרמטרים'!$O$5),'טבלת פרמטרים'!$P$5,IF(EXACT(Q744,'טבלת פרמטרים'!$O$6),'טבלת פרמטרים'!$P$6,IF(EXACT(Q744,'טבלת פרמטרים'!$O$7),'טבלת פרמטרים'!$P$7,""))))))</f>
        <v>0</v>
      </c>
    </row>
    <row r="745" spans="1:20" x14ac:dyDescent="0.2">
      <c r="A745" s="18">
        <v>745</v>
      </c>
      <c r="B745" s="30">
        <v>45736</v>
      </c>
      <c r="C745" s="30">
        <v>45741</v>
      </c>
      <c r="D745" s="21" t="s">
        <v>11</v>
      </c>
      <c r="E745" s="21" t="s">
        <v>20</v>
      </c>
      <c r="F745" s="21" t="s">
        <v>23</v>
      </c>
      <c r="G745" s="21" t="s">
        <v>26</v>
      </c>
      <c r="H745" s="21" t="s">
        <v>31</v>
      </c>
      <c r="M745" s="21" t="s">
        <v>55</v>
      </c>
      <c r="N745" s="21" t="s">
        <v>58</v>
      </c>
      <c r="O745" s="19">
        <f>IF(ISBLANK(D745),"",IF(D745='טבלת פרמטרים'!$A$9,1,0)+IF(E745='טבלת פרמטרים'!$B$5,2,1)+IF(F745='טבלת פרמטרים'!$C$5,3,IF(F745='טבלת פרמטרים'!$C$4,1,0))+IF(G745='טבלת פרמטרים'!$D$3,2,0)+IF(M745='טבלת פרמטרים'!$J$4,2,IF(M745='טבלת פרמטרים'!$J$3,1,0))+IF(N745='טבלת פרמטרים'!$K$6,3,IF(OR(N745='טבלת פרמטרים'!$K$4,N745='טבלת פרמטרים'!$K$5),2,IF(N745='טבלת פרמטרים'!$K$3,1,0))))</f>
        <v>4</v>
      </c>
      <c r="Q745" s="20" t="s">
        <v>123</v>
      </c>
      <c r="R745" s="19">
        <f t="shared" si="17"/>
        <v>4</v>
      </c>
      <c r="T745" s="19">
        <f>IF(EXACT(Q745,'טבלת פרמטרים'!$O$2),'טבלת פרמטרים'!$P$2,IF(EXACT(Q745,'טבלת פרמטרים'!$O$3),'טבלת פרמטרים'!$P$3,IF(EXACT(Q745,'טבלת פרמטרים'!$O$4),'טבלת פרמטרים'!$P$4,IF(EXACT(Q745,'טבלת פרמטרים'!$O$5),'טבלת פרמטרים'!$P$5,IF(EXACT(Q745,'טבלת פרמטרים'!$O$6),'טבלת פרמטרים'!$P$6,IF(EXACT(Q745,'טבלת פרמטרים'!$O$7),'טבלת פרמטרים'!$P$7,""))))))</f>
        <v>0</v>
      </c>
    </row>
    <row r="746" spans="1:20" x14ac:dyDescent="0.2">
      <c r="A746" s="18">
        <v>746</v>
      </c>
      <c r="C746" s="30">
        <v>45747</v>
      </c>
      <c r="D746" s="21" t="s">
        <v>16</v>
      </c>
      <c r="E746" s="21" t="s">
        <v>111</v>
      </c>
      <c r="F746" s="21" t="s">
        <v>23</v>
      </c>
      <c r="G746" s="21" t="s">
        <v>26</v>
      </c>
      <c r="H746" s="21" t="s">
        <v>31</v>
      </c>
      <c r="M746" s="21" t="s">
        <v>54</v>
      </c>
      <c r="N746" s="21" t="s">
        <v>58</v>
      </c>
      <c r="O746" s="19">
        <f>IF(ISBLANK(D746),"",IF(D746='טבלת פרמטרים'!$A$9,1,0)+IF(E746='טבלת פרמטרים'!$B$5,2,1)+IF(F746='טבלת פרמטרים'!$C$5,3,IF(F746='טבלת פרמטרים'!$C$4,1,0))+IF(G746='טבלת פרמטרים'!$D$3,2,0)+IF(M746='טבלת פרמטרים'!$J$4,2,IF(M746='טבלת פרמטרים'!$J$3,1,0))+IF(N746='טבלת פרמטרים'!$K$6,3,IF(OR(N746='טבלת פרמטרים'!$K$4,N746='טבלת פרמטרים'!$K$5),2,IF(N746='טבלת פרמטרים'!$K$3,1,0))))</f>
        <v>3</v>
      </c>
      <c r="Q746" s="20" t="s">
        <v>123</v>
      </c>
      <c r="R746" s="19">
        <f t="shared" si="17"/>
        <v>3</v>
      </c>
      <c r="T746" s="19">
        <f>IF(EXACT(Q746,'טבלת פרמטרים'!$O$2),'טבלת פרמטרים'!$P$2,IF(EXACT(Q746,'טבלת פרמטרים'!$O$3),'טבלת פרמטרים'!$P$3,IF(EXACT(Q746,'טבלת פרמטרים'!$O$4),'טבלת פרמטרים'!$P$4,IF(EXACT(Q746,'טבלת פרמטרים'!$O$5),'טבלת פרמטרים'!$P$5,IF(EXACT(Q746,'טבלת פרמטרים'!$O$6),'טבלת פרמטרים'!$P$6,IF(EXACT(Q746,'טבלת פרמטרים'!$O$7),'טבלת פרמטרים'!$P$7,""))))))</f>
        <v>0</v>
      </c>
    </row>
    <row r="747" spans="1:20" x14ac:dyDescent="0.2">
      <c r="A747" s="18">
        <v>747</v>
      </c>
      <c r="B747" s="30">
        <v>45750</v>
      </c>
      <c r="C747" s="30">
        <v>45750</v>
      </c>
      <c r="D747" s="21" t="s">
        <v>11</v>
      </c>
      <c r="E747" s="21" t="s">
        <v>20</v>
      </c>
      <c r="F747" s="21" t="s">
        <v>23</v>
      </c>
      <c r="G747" s="21" t="s">
        <v>26</v>
      </c>
      <c r="H747" s="21" t="s">
        <v>32</v>
      </c>
      <c r="I747" s="21" t="s">
        <v>126</v>
      </c>
      <c r="J747" s="21" t="s">
        <v>11</v>
      </c>
      <c r="M747" s="21" t="s">
        <v>54</v>
      </c>
      <c r="N747" s="21" t="s">
        <v>58</v>
      </c>
      <c r="O747" s="19">
        <f>IF(ISBLANK(D747),"",IF(D747='טבלת פרמטרים'!$A$9,1,0)+IF(E747='טבלת פרמטרים'!$B$5,2,1)+IF(F747='טבלת פרמטרים'!$C$5,3,IF(F747='טבלת פרמטרים'!$C$4,1,0))+IF(G747='טבלת פרמטרים'!$D$3,2,0)+IF(M747='טבלת פרמטרים'!$J$4,2,IF(M747='טבלת פרמטרים'!$J$3,1,0))+IF(N747='טבלת פרמטרים'!$K$6,3,IF(OR(N747='טבלת פרמטרים'!$K$4,N747='טבלת פרמטרים'!$K$5),2,IF(N747='טבלת פרמטרים'!$K$3,1,0))))</f>
        <v>3</v>
      </c>
      <c r="Q747" s="20" t="s">
        <v>123</v>
      </c>
      <c r="R747" s="19">
        <f t="shared" si="17"/>
        <v>3</v>
      </c>
      <c r="T747" s="19">
        <f>IF(EXACT(Q747,'טבלת פרמטרים'!$O$2),'טבלת פרמטרים'!$P$2,IF(EXACT(Q747,'טבלת פרמטרים'!$O$3),'טבלת פרמטרים'!$P$3,IF(EXACT(Q747,'טבלת פרמטרים'!$O$4),'טבלת פרמטרים'!$P$4,IF(EXACT(Q747,'טבלת פרמטרים'!$O$5),'טבלת פרמטרים'!$P$5,IF(EXACT(Q747,'טבלת פרמטרים'!$O$6),'טבלת פרמטרים'!$P$6,IF(EXACT(Q747,'טבלת פרמטרים'!$O$7),'טבלת פרמטרים'!$P$7,""))))))</f>
        <v>0</v>
      </c>
    </row>
    <row r="748" spans="1:20" x14ac:dyDescent="0.2">
      <c r="A748" s="18">
        <v>748</v>
      </c>
      <c r="B748" s="30">
        <v>45749</v>
      </c>
      <c r="C748" s="30">
        <v>45750</v>
      </c>
      <c r="D748" s="21" t="s">
        <v>11</v>
      </c>
      <c r="E748" s="21" t="s">
        <v>20</v>
      </c>
      <c r="F748" s="21" t="s">
        <v>23</v>
      </c>
      <c r="G748" s="21" t="s">
        <v>26</v>
      </c>
      <c r="H748" s="21" t="s">
        <v>31</v>
      </c>
      <c r="I748" s="21" t="s">
        <v>126</v>
      </c>
      <c r="J748" s="21" t="s">
        <v>11</v>
      </c>
      <c r="M748" s="21" t="s">
        <v>55</v>
      </c>
      <c r="N748" s="21" t="s">
        <v>58</v>
      </c>
      <c r="O748" s="19">
        <f>IF(ISBLANK(D748),"",IF(D748='טבלת פרמטרים'!$A$9,1,0)+IF(E748='טבלת פרמטרים'!$B$5,2,1)+IF(F748='טבלת פרמטרים'!$C$5,3,IF(F748='טבלת פרמטרים'!$C$4,1,0))+IF(G748='טבלת פרמטרים'!$D$3,2,0)+IF(M748='טבלת פרמטרים'!$J$4,2,IF(M748='טבלת פרמטרים'!$J$3,1,0))+IF(N748='טבלת פרמטרים'!$K$6,3,IF(OR(N748='טבלת פרמטרים'!$K$4,N748='טבלת פרמטרים'!$K$5),2,IF(N748='טבלת פרמטרים'!$K$3,1,0))))</f>
        <v>4</v>
      </c>
      <c r="Q748" s="20" t="s">
        <v>123</v>
      </c>
      <c r="R748" s="19">
        <f t="shared" si="17"/>
        <v>4</v>
      </c>
      <c r="T748" s="19">
        <f>IF(EXACT(Q748,'טבלת פרמטרים'!$O$2),'טבלת פרמטרים'!$P$2,IF(EXACT(Q748,'טבלת פרמטרים'!$O$3),'טבלת פרמטרים'!$P$3,IF(EXACT(Q748,'טבלת פרמטרים'!$O$4),'טבלת פרמטרים'!$P$4,IF(EXACT(Q748,'טבלת פרמטרים'!$O$5),'טבלת פרמטרים'!$P$5,IF(EXACT(Q748,'טבלת פרמטרים'!$O$6),'טבלת פרמטרים'!$P$6,IF(EXACT(Q748,'טבלת פרמטרים'!$O$7),'טבלת פרמטרים'!$P$7,""))))))</f>
        <v>0</v>
      </c>
    </row>
    <row r="749" spans="1:20" x14ac:dyDescent="0.2">
      <c r="A749" s="18">
        <v>749</v>
      </c>
      <c r="C749" s="30">
        <v>45750</v>
      </c>
      <c r="D749" s="21" t="s">
        <v>13</v>
      </c>
      <c r="E749" s="21" t="s">
        <v>20</v>
      </c>
      <c r="F749" s="21" t="s">
        <v>23</v>
      </c>
      <c r="G749" s="21" t="s">
        <v>26</v>
      </c>
      <c r="H749" s="21" t="s">
        <v>31</v>
      </c>
      <c r="L749" s="21" t="s">
        <v>49</v>
      </c>
      <c r="M749" s="21" t="s">
        <v>55</v>
      </c>
      <c r="N749" s="21" t="s">
        <v>58</v>
      </c>
      <c r="O749" s="19">
        <f>IF(ISBLANK(D749),"",IF(D749='טבלת פרמטרים'!$A$9,1,0)+IF(E749='טבלת פרמטרים'!$B$5,2,1)+IF(F749='טבלת פרמטרים'!$C$5,3,IF(F749='טבלת פרמטרים'!$C$4,1,0))+IF(G749='טבלת פרמטרים'!$D$3,2,0)+IF(M749='טבלת פרמטרים'!$J$4,2,IF(M749='טבלת פרמטרים'!$J$3,1,0))+IF(N749='טבלת פרמטרים'!$K$6,3,IF(OR(N749='טבלת פרמטרים'!$K$4,N749='טבלת פרמטרים'!$K$5),2,IF(N749='טבלת פרמטרים'!$K$3,1,0))))</f>
        <v>4</v>
      </c>
      <c r="Q749" s="20" t="s">
        <v>123</v>
      </c>
      <c r="R749" s="19">
        <f t="shared" si="17"/>
        <v>4</v>
      </c>
      <c r="T749" s="19">
        <f>IF(EXACT(Q749,'טבלת פרמטרים'!$O$2),'טבלת פרמטרים'!$P$2,IF(EXACT(Q749,'טבלת פרמטרים'!$O$3),'טבלת פרמטרים'!$P$3,IF(EXACT(Q749,'טבלת פרמטרים'!$O$4),'טבלת פרמטרים'!$P$4,IF(EXACT(Q749,'טבלת פרמטרים'!$O$5),'טבלת פרמטרים'!$P$5,IF(EXACT(Q749,'טבלת פרמטרים'!$O$6),'טבלת פרמטרים'!$P$6,IF(EXACT(Q749,'טבלת פרמטרים'!$O$7),'טבלת פרמטרים'!$P$7,""))))))</f>
        <v>0</v>
      </c>
    </row>
    <row r="750" spans="1:20" x14ac:dyDescent="0.2">
      <c r="A750" s="18">
        <v>750</v>
      </c>
      <c r="B750" s="30">
        <v>45753</v>
      </c>
      <c r="C750" s="30">
        <v>45753</v>
      </c>
      <c r="D750" s="21" t="s">
        <v>10</v>
      </c>
      <c r="E750" s="21" t="s">
        <v>22</v>
      </c>
      <c r="F750" s="21" t="s">
        <v>24</v>
      </c>
      <c r="G750" s="21" t="s">
        <v>26</v>
      </c>
      <c r="H750" s="21" t="s">
        <v>31</v>
      </c>
      <c r="M750" s="21" t="s">
        <v>55</v>
      </c>
      <c r="N750" s="21" t="s">
        <v>58</v>
      </c>
      <c r="O750" s="19">
        <f>IF(ISBLANK(D750),"",IF(D750='טבלת פרמטרים'!$A$9,1,0)+IF(E750='טבלת פרמטרים'!$B$5,2,1)+IF(F750='טבלת פרמטרים'!$C$5,3,IF(F750='טבלת פרמטרים'!$C$4,1,0))+IF(G750='טבלת פרמטרים'!$D$3,2,0)+IF(M750='טבלת פרמטרים'!$J$4,2,IF(M750='טבלת פרמטרים'!$J$3,1,0))+IF(N750='טבלת פרמטרים'!$K$6,3,IF(OR(N750='טבלת פרמטרים'!$K$4,N750='טבלת פרמטרים'!$K$5),2,IF(N750='טבלת פרמטרים'!$K$3,1,0))))</f>
        <v>6</v>
      </c>
      <c r="Q750" s="20" t="s">
        <v>123</v>
      </c>
      <c r="R750" s="19">
        <f t="shared" si="17"/>
        <v>6</v>
      </c>
      <c r="T750" s="19">
        <f>IF(EXACT(Q750,'טבלת פרמטרים'!$O$2),'טבלת פרמטרים'!$P$2,IF(EXACT(Q750,'טבלת פרמטרים'!$O$3),'טבלת פרמטרים'!$P$3,IF(EXACT(Q750,'טבלת פרמטרים'!$O$4),'טבלת פרמטרים'!$P$4,IF(EXACT(Q750,'טבלת פרמטרים'!$O$5),'טבלת פרמטרים'!$P$5,IF(EXACT(Q750,'טבלת פרמטרים'!$O$6),'טבלת פרמטרים'!$P$6,IF(EXACT(Q750,'טבלת פרמטרים'!$O$7),'טבלת פרמטרים'!$P$7,""))))))</f>
        <v>0</v>
      </c>
    </row>
    <row r="751" spans="1:20" x14ac:dyDescent="0.2">
      <c r="A751" s="18">
        <v>751</v>
      </c>
      <c r="C751" s="30">
        <v>45769</v>
      </c>
      <c r="D751" s="21" t="s">
        <v>17</v>
      </c>
      <c r="E751" s="21" t="s">
        <v>22</v>
      </c>
      <c r="F751" s="21" t="s">
        <v>24</v>
      </c>
      <c r="G751" s="21" t="s">
        <v>26</v>
      </c>
      <c r="H751" s="21" t="s">
        <v>29</v>
      </c>
      <c r="I751" s="21" t="s">
        <v>127</v>
      </c>
      <c r="J751" s="21" t="s">
        <v>35</v>
      </c>
      <c r="K751" s="21" t="s">
        <v>43</v>
      </c>
      <c r="L751" s="21" t="s">
        <v>51</v>
      </c>
      <c r="M751" s="21" t="s">
        <v>53</v>
      </c>
      <c r="N751" s="21" t="s">
        <v>58</v>
      </c>
      <c r="O751" s="19">
        <f>IF(ISBLANK(D751),"",IF(D751='טבלת פרמטרים'!$A$9,1,0)+IF(E751='טבלת פרמטרים'!$B$5,2,1)+IF(F751='טבלת פרמטרים'!$C$5,3,IF(F751='טבלת פרמטרים'!$C$4,1,0))+IF(G751='טבלת פרמטרים'!$D$3,2,0)+IF(M751='טבלת פרמטרים'!$J$4,2,IF(M751='טבלת פרמטרים'!$J$3,1,0))+IF(N751='טבלת פרמטרים'!$K$6,3,IF(OR(N751='טבלת פרמטרים'!$K$4,N751='טבלת פרמטרים'!$K$5),2,IF(N751='טבלת פרמטרים'!$K$3,1,0))))</f>
        <v>5</v>
      </c>
      <c r="Q751" s="20" t="s">
        <v>123</v>
      </c>
      <c r="R751" s="19">
        <f t="shared" si="17"/>
        <v>5</v>
      </c>
      <c r="T751" s="19">
        <f>IF(EXACT(Q751,'טבלת פרמטרים'!$O$2),'טבלת פרמטרים'!$P$2,IF(EXACT(Q751,'טבלת פרמטרים'!$O$3),'טבלת פרמטרים'!$P$3,IF(EXACT(Q751,'טבלת פרמטרים'!$O$4),'טבלת פרמטרים'!$P$4,IF(EXACT(Q751,'טבלת פרמטרים'!$O$5),'טבלת פרמטרים'!$P$5,IF(EXACT(Q751,'טבלת פרמטרים'!$O$6),'טבלת פרמטרים'!$P$6,IF(EXACT(Q751,'טבלת פרמטרים'!$O$7),'טבלת פרמטרים'!$P$7,""))))))</f>
        <v>0</v>
      </c>
    </row>
    <row r="752" spans="1:20" x14ac:dyDescent="0.2">
      <c r="A752" s="18">
        <v>752</v>
      </c>
      <c r="C752" s="30">
        <v>45770</v>
      </c>
      <c r="D752" s="21" t="s">
        <v>15</v>
      </c>
      <c r="E752" s="21" t="s">
        <v>20</v>
      </c>
      <c r="F752" s="21" t="s">
        <v>25</v>
      </c>
      <c r="G752" s="21" t="s">
        <v>26</v>
      </c>
      <c r="H752" s="21" t="s">
        <v>30</v>
      </c>
      <c r="M752" s="21" t="s">
        <v>54</v>
      </c>
      <c r="N752" s="21" t="s">
        <v>59</v>
      </c>
      <c r="O752" s="19">
        <f>IF(ISBLANK(D752),"",IF(D752='טבלת פרמטרים'!$A$9,1,0)+IF(E752='טבלת פרמטרים'!$B$5,2,1)+IF(F752='טבלת פרמטרים'!$C$5,3,IF(F752='טבלת פרמטרים'!$C$4,1,0))+IF(G752='טבלת פרמטרים'!$D$3,2,0)+IF(M752='טבלת פרמטרים'!$J$4,2,IF(M752='טבלת פרמטרים'!$J$3,1,0))+IF(N752='טבלת פרמטרים'!$K$6,3,IF(OR(N752='טבלת פרמטרים'!$K$4,N752='טבלת פרמטרים'!$K$5),2,IF(N752='טבלת פרמטרים'!$K$3,1,0))))</f>
        <v>7</v>
      </c>
      <c r="Q752" s="20" t="s">
        <v>123</v>
      </c>
      <c r="R752" s="19">
        <f t="shared" si="17"/>
        <v>7</v>
      </c>
      <c r="T752" s="19">
        <f>IF(EXACT(Q752,'טבלת פרמטרים'!$O$2),'טבלת פרמטרים'!$P$2,IF(EXACT(Q752,'טבלת פרמטרים'!$O$3),'טבלת פרמטרים'!$P$3,IF(EXACT(Q752,'טבלת פרמטרים'!$O$4),'טבלת פרמטרים'!$P$4,IF(EXACT(Q752,'טבלת פרמטרים'!$O$5),'טבלת פרמטרים'!$P$5,IF(EXACT(Q752,'טבלת פרמטרים'!$O$6),'טבלת פרמטרים'!$P$6,IF(EXACT(Q752,'טבלת פרמטרים'!$O$7),'טבלת פרמטרים'!$P$7,""))))))</f>
        <v>0</v>
      </c>
    </row>
    <row r="753" spans="1:20" x14ac:dyDescent="0.2">
      <c r="A753" s="18">
        <v>753</v>
      </c>
      <c r="C753" s="30">
        <v>45774</v>
      </c>
      <c r="D753" s="21" t="s">
        <v>15</v>
      </c>
      <c r="E753" s="21" t="s">
        <v>21</v>
      </c>
      <c r="F753" s="21" t="s">
        <v>23</v>
      </c>
      <c r="G753" s="21" t="s">
        <v>26</v>
      </c>
      <c r="H753" s="21" t="s">
        <v>29</v>
      </c>
      <c r="J753" s="21" t="s">
        <v>39</v>
      </c>
      <c r="K753" s="21" t="s">
        <v>39</v>
      </c>
      <c r="M753" s="21" t="s">
        <v>53</v>
      </c>
      <c r="N753" s="21" t="s">
        <v>58</v>
      </c>
      <c r="O753" s="19">
        <f>IF(ISBLANK(D753),"",IF(D753='טבלת פרמטרים'!$A$9,1,0)+IF(E753='טבלת פרמטרים'!$B$5,2,1)+IF(F753='טבלת פרמטרים'!$C$5,3,IF(F753='טבלת פרמטרים'!$C$4,1,0))+IF(G753='טבלת פרמטרים'!$D$3,2,0)+IF(M753='טבלת פרמטרים'!$J$4,2,IF(M753='טבלת פרמטרים'!$J$3,1,0))+IF(N753='טבלת פרמטרים'!$K$6,3,IF(OR(N753='טבלת פרמטרים'!$K$4,N753='טבלת פרמטרים'!$K$5),2,IF(N753='טבלת פרמטרים'!$K$3,1,0))))</f>
        <v>2</v>
      </c>
      <c r="Q753" s="20" t="s">
        <v>123</v>
      </c>
      <c r="R753" s="19">
        <f t="shared" si="17"/>
        <v>2</v>
      </c>
      <c r="T753" s="19">
        <f>IF(EXACT(Q753,'טבלת פרמטרים'!$O$2),'טבלת פרמטרים'!$P$2,IF(EXACT(Q753,'טבלת פרמטרים'!$O$3),'טבלת פרמטרים'!$P$3,IF(EXACT(Q753,'טבלת פרמטרים'!$O$4),'טבלת פרמטרים'!$P$4,IF(EXACT(Q753,'טבלת פרמטרים'!$O$5),'טבלת פרמטרים'!$P$5,IF(EXACT(Q753,'טבלת פרמטרים'!$O$6),'טבלת פרמטרים'!$P$6,IF(EXACT(Q753,'טבלת פרמטרים'!$O$7),'טבלת פרמטרים'!$P$7,""))))))</f>
        <v>0</v>
      </c>
    </row>
    <row r="754" spans="1:20" x14ac:dyDescent="0.2">
      <c r="A754" s="18">
        <v>754</v>
      </c>
      <c r="B754" s="30">
        <v>45774</v>
      </c>
      <c r="C754" s="30">
        <v>45775</v>
      </c>
      <c r="D754" s="21" t="s">
        <v>15</v>
      </c>
      <c r="E754" s="21" t="s">
        <v>20</v>
      </c>
      <c r="F754" s="21" t="s">
        <v>23</v>
      </c>
      <c r="G754" s="21" t="s">
        <v>26</v>
      </c>
      <c r="H754" s="21" t="s">
        <v>30</v>
      </c>
      <c r="M754" s="21" t="s">
        <v>54</v>
      </c>
      <c r="N754" s="21" t="s">
        <v>58</v>
      </c>
      <c r="O754" s="19">
        <f>IF(ISBLANK(D754),"",IF(D754='טבלת פרמטרים'!$A$9,1,0)+IF(E754='טבלת פרמטרים'!$B$5,2,1)+IF(F754='טבלת פרמטרים'!$C$5,3,IF(F754='טבלת פרמטרים'!$C$4,1,0))+IF(G754='טבלת פרמטרים'!$D$3,2,0)+IF(M754='טבלת פרמטרים'!$J$4,2,IF(M754='טבלת פרמטרים'!$J$3,1,0))+IF(N754='טבלת פרמטרים'!$K$6,3,IF(OR(N754='טבלת פרמטרים'!$K$4,N754='טבלת פרמטרים'!$K$5),2,IF(N754='טבלת פרמטרים'!$K$3,1,0))))</f>
        <v>3</v>
      </c>
      <c r="Q754" s="20" t="s">
        <v>123</v>
      </c>
      <c r="R754" s="19">
        <f t="shared" si="17"/>
        <v>3</v>
      </c>
      <c r="T754" s="19">
        <f>IF(EXACT(Q754,'טבלת פרמטרים'!$O$2),'טבלת פרמטרים'!$P$2,IF(EXACT(Q754,'טבלת פרמטרים'!$O$3),'טבלת פרמטרים'!$P$3,IF(EXACT(Q754,'טבלת פרמטרים'!$O$4),'טבלת פרמטרים'!$P$4,IF(EXACT(Q754,'טבלת פרמטרים'!$O$5),'טבלת פרמטרים'!$P$5,IF(EXACT(Q754,'טבלת פרמטרים'!$O$6),'טבלת פרמטרים'!$P$6,IF(EXACT(Q754,'טבלת פרמטרים'!$O$7),'טבלת פרמטרים'!$P$7,""))))))</f>
        <v>0</v>
      </c>
    </row>
    <row r="755" spans="1:20" x14ac:dyDescent="0.2">
      <c r="A755" s="18">
        <v>755</v>
      </c>
      <c r="C755" s="30">
        <v>45781</v>
      </c>
      <c r="D755" s="21" t="s">
        <v>10</v>
      </c>
      <c r="E755" s="21" t="s">
        <v>20</v>
      </c>
      <c r="F755" s="21" t="s">
        <v>23</v>
      </c>
      <c r="G755" s="21" t="s">
        <v>26</v>
      </c>
      <c r="H755" s="21" t="s">
        <v>29</v>
      </c>
      <c r="M755" s="21" t="s">
        <v>53</v>
      </c>
      <c r="N755" s="21" t="s">
        <v>58</v>
      </c>
      <c r="O755" s="19">
        <f>IF(ISBLANK(D755),"",IF(D755='טבלת פרמטרים'!$A$9,1,0)+IF(E755='טבלת פרמטרים'!$B$5,2,1)+IF(F755='טבלת פרמטרים'!$C$5,3,IF(F755='טבלת פרמטרים'!$C$4,1,0))+IF(G755='טבלת פרמטרים'!$D$3,2,0)+IF(M755='טבלת פרמטרים'!$J$4,2,IF(M755='טבלת פרמטרים'!$J$3,1,0))+IF(N755='טבלת פרמטרים'!$K$6,3,IF(OR(N755='טבלת פרמטרים'!$K$4,N755='טבלת פרמטרים'!$K$5),2,IF(N755='טבלת פרמטרים'!$K$3,1,0))))</f>
        <v>2</v>
      </c>
      <c r="Q755" s="20" t="s">
        <v>123</v>
      </c>
      <c r="R755" s="19">
        <f t="shared" si="17"/>
        <v>2</v>
      </c>
      <c r="T755" s="19">
        <f>IF(EXACT(Q755,'טבלת פרמטרים'!$O$2),'טבלת פרמטרים'!$P$2,IF(EXACT(Q755,'טבלת פרמטרים'!$O$3),'טבלת פרמטרים'!$P$3,IF(EXACT(Q755,'טבלת פרמטרים'!$O$4),'טבלת פרמטרים'!$P$4,IF(EXACT(Q755,'טבלת פרמטרים'!$O$5),'טבלת פרמטרים'!$P$5,IF(EXACT(Q755,'טבלת פרמטרים'!$O$6),'טבלת פרמטרים'!$P$6,IF(EXACT(Q755,'טבלת פרמטרים'!$O$7),'טבלת פרמטרים'!$P$7,""))))))</f>
        <v>0</v>
      </c>
    </row>
    <row r="756" spans="1:20" x14ac:dyDescent="0.2">
      <c r="A756" s="18">
        <v>756</v>
      </c>
      <c r="C756" s="30">
        <v>45781</v>
      </c>
      <c r="D756" s="21" t="s">
        <v>10</v>
      </c>
      <c r="E756" s="21" t="s">
        <v>20</v>
      </c>
      <c r="F756" s="21" t="s">
        <v>23</v>
      </c>
      <c r="G756" s="21" t="s">
        <v>26</v>
      </c>
      <c r="H756" s="21" t="s">
        <v>29</v>
      </c>
      <c r="M756" s="21" t="s">
        <v>53</v>
      </c>
      <c r="N756" s="21" t="s">
        <v>58</v>
      </c>
      <c r="O756" s="19">
        <f>IF(ISBLANK(D756),"",IF(D756='טבלת פרמטרים'!$A$9,1,0)+IF(E756='טבלת פרמטרים'!$B$5,2,1)+IF(F756='טבלת פרמטרים'!$C$5,3,IF(F756='טבלת פרמטרים'!$C$4,1,0))+IF(G756='טבלת פרמטרים'!$D$3,2,0)+IF(M756='טבלת פרמטרים'!$J$4,2,IF(M756='טבלת פרמטרים'!$J$3,1,0))+IF(N756='טבלת פרמטרים'!$K$6,3,IF(OR(N756='טבלת פרמטרים'!$K$4,N756='טבלת פרמטרים'!$K$5),2,IF(N756='טבלת פרמטרים'!$K$3,1,0))))</f>
        <v>2</v>
      </c>
      <c r="Q756" s="20" t="s">
        <v>123</v>
      </c>
      <c r="R756" s="19">
        <f t="shared" si="17"/>
        <v>2</v>
      </c>
      <c r="T756" s="19">
        <f>IF(EXACT(Q756,'טבלת פרמטרים'!$O$2),'טבלת פרמטרים'!$P$2,IF(EXACT(Q756,'טבלת פרמטרים'!$O$3),'טבלת פרמטרים'!$P$3,IF(EXACT(Q756,'טבלת פרמטרים'!$O$4),'טבלת פרמטרים'!$P$4,IF(EXACT(Q756,'טבלת פרמטרים'!$O$5),'טבלת פרמטרים'!$P$5,IF(EXACT(Q756,'טבלת פרמטרים'!$O$6),'טבלת פרמטרים'!$P$6,IF(EXACT(Q756,'טבלת פרמטרים'!$O$7),'טבלת פרמטרים'!$P$7,""))))))</f>
        <v>0</v>
      </c>
    </row>
    <row r="757" spans="1:20" x14ac:dyDescent="0.2">
      <c r="A757" s="18">
        <v>757</v>
      </c>
      <c r="C757" s="30">
        <v>45781</v>
      </c>
      <c r="D757" s="21" t="s">
        <v>10</v>
      </c>
      <c r="E757" s="21" t="s">
        <v>20</v>
      </c>
      <c r="F757" s="21" t="s">
        <v>23</v>
      </c>
      <c r="G757" s="21" t="s">
        <v>26</v>
      </c>
      <c r="H757" s="21" t="s">
        <v>29</v>
      </c>
      <c r="M757" s="21" t="s">
        <v>53</v>
      </c>
      <c r="N757" s="21" t="s">
        <v>58</v>
      </c>
      <c r="O757" s="19">
        <f>IF(ISBLANK(D757),"",IF(D757='טבלת פרמטרים'!$A$9,1,0)+IF(E757='טבלת פרמטרים'!$B$5,2,1)+IF(F757='טבלת פרמטרים'!$C$5,3,IF(F757='טבלת פרמטרים'!$C$4,1,0))+IF(G757='טבלת פרמטרים'!$D$3,2,0)+IF(M757='טבלת פרמטרים'!$J$4,2,IF(M757='טבלת פרמטרים'!$J$3,1,0))+IF(N757='טבלת פרמטרים'!$K$6,3,IF(OR(N757='טבלת פרמטרים'!$K$4,N757='טבלת פרמטרים'!$K$5),2,IF(N757='טבלת פרמטרים'!$K$3,1,0))))</f>
        <v>2</v>
      </c>
      <c r="Q757" s="20" t="s">
        <v>123</v>
      </c>
      <c r="R757" s="19">
        <f t="shared" si="17"/>
        <v>2</v>
      </c>
      <c r="T757" s="19">
        <f>IF(EXACT(Q757,'טבלת פרמטרים'!$O$2),'טבלת פרמטרים'!$P$2,IF(EXACT(Q757,'טבלת פרמטרים'!$O$3),'טבלת פרמטרים'!$P$3,IF(EXACT(Q757,'טבלת פרמטרים'!$O$4),'טבלת פרמטרים'!$P$4,IF(EXACT(Q757,'טבלת פרמטרים'!$O$5),'טבלת פרמטרים'!$P$5,IF(EXACT(Q757,'טבלת פרמטרים'!$O$6),'טבלת פרמטרים'!$P$6,IF(EXACT(Q757,'טבלת פרמטרים'!$O$7),'טבלת פרמטרים'!$P$7,""))))))</f>
        <v>0</v>
      </c>
    </row>
    <row r="758" spans="1:20" x14ac:dyDescent="0.2">
      <c r="A758" s="18">
        <v>758</v>
      </c>
      <c r="C758" s="30">
        <v>45781</v>
      </c>
      <c r="D758" s="21" t="s">
        <v>10</v>
      </c>
      <c r="E758" s="21" t="s">
        <v>20</v>
      </c>
      <c r="F758" s="21" t="s">
        <v>23</v>
      </c>
      <c r="G758" s="21" t="s">
        <v>26</v>
      </c>
      <c r="H758" s="21" t="s">
        <v>29</v>
      </c>
      <c r="M758" s="21" t="s">
        <v>53</v>
      </c>
      <c r="N758" s="21" t="s">
        <v>58</v>
      </c>
      <c r="O758" s="19">
        <f>IF(ISBLANK(D758),"",IF(D758='טבלת פרמטרים'!$A$9,1,0)+IF(E758='טבלת פרמטרים'!$B$5,2,1)+IF(F758='טבלת פרמטרים'!$C$5,3,IF(F758='טבלת פרמטרים'!$C$4,1,0))+IF(G758='טבלת פרמטרים'!$D$3,2,0)+IF(M758='טבלת פרמטרים'!$J$4,2,IF(M758='טבלת פרמטרים'!$J$3,1,0))+IF(N758='טבלת פרמטרים'!$K$6,3,IF(OR(N758='טבלת פרמטרים'!$K$4,N758='טבלת פרמטרים'!$K$5),2,IF(N758='טבלת פרמטרים'!$K$3,1,0))))</f>
        <v>2</v>
      </c>
      <c r="Q758" s="20" t="s">
        <v>123</v>
      </c>
      <c r="R758" s="19">
        <f t="shared" si="17"/>
        <v>2</v>
      </c>
      <c r="T758" s="19">
        <f>IF(EXACT(Q758,'טבלת פרמטרים'!$O$2),'טבלת פרמטרים'!$P$2,IF(EXACT(Q758,'טבלת פרמטרים'!$O$3),'טבלת פרמטרים'!$P$3,IF(EXACT(Q758,'טבלת פרמטרים'!$O$4),'טבלת פרמטרים'!$P$4,IF(EXACT(Q758,'טבלת פרמטרים'!$O$5),'טבלת פרמטרים'!$P$5,IF(EXACT(Q758,'טבלת פרמטרים'!$O$6),'טבלת פרמטרים'!$P$6,IF(EXACT(Q758,'טבלת פרמטרים'!$O$7),'טבלת פרמטרים'!$P$7,""))))))</f>
        <v>0</v>
      </c>
    </row>
    <row r="759" spans="1:20" x14ac:dyDescent="0.2">
      <c r="A759" s="18">
        <v>759</v>
      </c>
      <c r="C759" s="30">
        <v>45781</v>
      </c>
      <c r="D759" s="21" t="s">
        <v>10</v>
      </c>
      <c r="E759" s="21" t="s">
        <v>20</v>
      </c>
      <c r="F759" s="21" t="s">
        <v>23</v>
      </c>
      <c r="G759" s="21" t="s">
        <v>26</v>
      </c>
      <c r="H759" s="21" t="s">
        <v>29</v>
      </c>
      <c r="M759" s="21" t="s">
        <v>53</v>
      </c>
      <c r="N759" s="21" t="s">
        <v>58</v>
      </c>
      <c r="O759" s="19">
        <f>IF(ISBLANK(D759),"",IF(D759='טבלת פרמטרים'!$A$9,1,0)+IF(E759='טבלת פרמטרים'!$B$5,2,1)+IF(F759='טבלת פרמטרים'!$C$5,3,IF(F759='טבלת פרמטרים'!$C$4,1,0))+IF(G759='טבלת פרמטרים'!$D$3,2,0)+IF(M759='טבלת פרמטרים'!$J$4,2,IF(M759='טבלת פרמטרים'!$J$3,1,0))+IF(N759='טבלת פרמטרים'!$K$6,3,IF(OR(N759='טבלת פרמטרים'!$K$4,N759='טבלת פרמטרים'!$K$5),2,IF(N759='טבלת פרמטרים'!$K$3,1,0))))</f>
        <v>2</v>
      </c>
      <c r="Q759" s="20" t="s">
        <v>123</v>
      </c>
      <c r="R759" s="19">
        <f t="shared" si="17"/>
        <v>2</v>
      </c>
      <c r="T759" s="19">
        <f>IF(EXACT(Q759,'טבלת פרמטרים'!$O$2),'טבלת פרמטרים'!$P$2,IF(EXACT(Q759,'טבלת פרמטרים'!$O$3),'טבלת פרמטרים'!$P$3,IF(EXACT(Q759,'טבלת פרמטרים'!$O$4),'טבלת פרמטרים'!$P$4,IF(EXACT(Q759,'טבלת פרמטרים'!$O$5),'טבלת פרמטרים'!$P$5,IF(EXACT(Q759,'טבלת פרמטרים'!$O$6),'טבלת פרמטרים'!$P$6,IF(EXACT(Q759,'טבלת פרמטרים'!$O$7),'טבלת פרמטרים'!$P$7,""))))))</f>
        <v>0</v>
      </c>
    </row>
    <row r="760" spans="1:20" x14ac:dyDescent="0.2">
      <c r="A760" s="18">
        <v>760</v>
      </c>
      <c r="C760" s="30">
        <v>45781</v>
      </c>
      <c r="D760" s="21" t="s">
        <v>10</v>
      </c>
      <c r="E760" s="21" t="s">
        <v>20</v>
      </c>
      <c r="F760" s="21" t="s">
        <v>23</v>
      </c>
      <c r="G760" s="21" t="s">
        <v>26</v>
      </c>
      <c r="H760" s="21" t="s">
        <v>29</v>
      </c>
      <c r="M760" s="21" t="s">
        <v>53</v>
      </c>
      <c r="N760" s="21" t="s">
        <v>58</v>
      </c>
      <c r="O760" s="19">
        <f>IF(ISBLANK(D760),"",IF(D760='טבלת פרמטרים'!$A$9,1,0)+IF(E760='טבלת פרמטרים'!$B$5,2,1)+IF(F760='טבלת פרמטרים'!$C$5,3,IF(F760='טבלת פרמטרים'!$C$4,1,0))+IF(G760='טבלת פרמטרים'!$D$3,2,0)+IF(M760='טבלת פרמטרים'!$J$4,2,IF(M760='טבלת פרמטרים'!$J$3,1,0))+IF(N760='טבלת פרמטרים'!$K$6,3,IF(OR(N760='טבלת פרמטרים'!$K$4,N760='טבלת פרמטרים'!$K$5),2,IF(N760='טבלת פרמטרים'!$K$3,1,0))))</f>
        <v>2</v>
      </c>
      <c r="Q760" s="20" t="s">
        <v>123</v>
      </c>
      <c r="R760" s="19">
        <f t="shared" si="17"/>
        <v>2</v>
      </c>
      <c r="T760" s="19">
        <f>IF(EXACT(Q760,'טבלת פרמטרים'!$O$2),'טבלת פרמטרים'!$P$2,IF(EXACT(Q760,'טבלת פרמטרים'!$O$3),'טבלת פרמטרים'!$P$3,IF(EXACT(Q760,'טבלת פרמטרים'!$O$4),'טבלת פרמטרים'!$P$4,IF(EXACT(Q760,'טבלת פרמטרים'!$O$5),'טבלת פרמטרים'!$P$5,IF(EXACT(Q760,'טבלת פרמטרים'!$O$6),'טבלת פרמטרים'!$P$6,IF(EXACT(Q760,'טבלת פרמטרים'!$O$7),'טבלת פרמטרים'!$P$7,""))))))</f>
        <v>0</v>
      </c>
    </row>
    <row r="761" spans="1:20" x14ac:dyDescent="0.2">
      <c r="A761" s="18">
        <v>761</v>
      </c>
      <c r="C761" s="30">
        <v>45781</v>
      </c>
      <c r="D761" s="21" t="s">
        <v>10</v>
      </c>
      <c r="E761" s="21" t="s">
        <v>20</v>
      </c>
      <c r="F761" s="21" t="s">
        <v>23</v>
      </c>
      <c r="G761" s="21" t="s">
        <v>26</v>
      </c>
      <c r="H761" s="21" t="s">
        <v>29</v>
      </c>
      <c r="M761" s="21" t="s">
        <v>53</v>
      </c>
      <c r="N761" s="21" t="s">
        <v>58</v>
      </c>
      <c r="O761" s="19">
        <f>IF(ISBLANK(D761),"",IF(D761='טבלת פרמטרים'!$A$9,1,0)+IF(E761='טבלת פרמטרים'!$B$5,2,1)+IF(F761='טבלת פרמטרים'!$C$5,3,IF(F761='טבלת פרמטרים'!$C$4,1,0))+IF(G761='טבלת פרמטרים'!$D$3,2,0)+IF(M761='טבלת פרמטרים'!$J$4,2,IF(M761='טבלת פרמטרים'!$J$3,1,0))+IF(N761='טבלת פרמטרים'!$K$6,3,IF(OR(N761='טבלת פרמטרים'!$K$4,N761='טבלת פרמטרים'!$K$5),2,IF(N761='טבלת פרמטרים'!$K$3,1,0))))</f>
        <v>2</v>
      </c>
      <c r="Q761" s="20" t="s">
        <v>123</v>
      </c>
      <c r="R761" s="19">
        <f t="shared" si="17"/>
        <v>2</v>
      </c>
      <c r="T761" s="19">
        <f>IF(EXACT(Q761,'טבלת פרמטרים'!$O$2),'טבלת פרמטרים'!$P$2,IF(EXACT(Q761,'טבלת פרמטרים'!$O$3),'טבלת פרמטרים'!$P$3,IF(EXACT(Q761,'טבלת פרמטרים'!$O$4),'טבלת פרמטרים'!$P$4,IF(EXACT(Q761,'טבלת פרמטרים'!$O$5),'טבלת פרמטרים'!$P$5,IF(EXACT(Q761,'טבלת פרמטרים'!$O$6),'טבלת פרמטרים'!$P$6,IF(EXACT(Q761,'טבלת פרמטרים'!$O$7),'טבלת פרמטרים'!$P$7,""))))))</f>
        <v>0</v>
      </c>
    </row>
    <row r="762" spans="1:20" x14ac:dyDescent="0.2">
      <c r="A762" s="18">
        <v>762</v>
      </c>
      <c r="C762" s="30">
        <v>45782</v>
      </c>
      <c r="D762" s="21" t="s">
        <v>11</v>
      </c>
      <c r="E762" s="21" t="s">
        <v>111</v>
      </c>
      <c r="F762" s="21" t="s">
        <v>23</v>
      </c>
      <c r="G762" s="21" t="s">
        <v>26</v>
      </c>
      <c r="H762" s="21" t="s">
        <v>31</v>
      </c>
      <c r="I762" s="21" t="s">
        <v>127</v>
      </c>
      <c r="J762" s="21" t="s">
        <v>11</v>
      </c>
      <c r="K762" s="21" t="s">
        <v>46</v>
      </c>
      <c r="M762" s="21" t="s">
        <v>55</v>
      </c>
      <c r="N762" s="21" t="s">
        <v>58</v>
      </c>
      <c r="O762" s="19">
        <f>IF(ISBLANK(D762),"",IF(D762='טבלת פרמטרים'!$A$9,1,0)+IF(E762='טבלת פרמטרים'!$B$5,2,1)+IF(F762='טבלת פרמטרים'!$C$5,3,IF(F762='טבלת פרמטרים'!$C$4,1,0))+IF(G762='טבלת פרמטרים'!$D$3,2,0)+IF(M762='טבלת פרמטרים'!$J$4,2,IF(M762='טבלת פרמטרים'!$J$3,1,0))+IF(N762='טבלת פרמטרים'!$K$6,3,IF(OR(N762='טבלת פרמטרים'!$K$4,N762='טבלת פרמטרים'!$K$5),2,IF(N762='טבלת פרמטרים'!$K$3,1,0))))</f>
        <v>4</v>
      </c>
      <c r="Q762" s="20" t="s">
        <v>123</v>
      </c>
      <c r="R762" s="19">
        <f t="shared" si="17"/>
        <v>4</v>
      </c>
      <c r="T762" s="19">
        <f>IF(EXACT(Q762,'טבלת פרמטרים'!$O$2),'טבלת פרמטרים'!$P$2,IF(EXACT(Q762,'טבלת פרמטרים'!$O$3),'טבלת פרמטרים'!$P$3,IF(EXACT(Q762,'טבלת פרמטרים'!$O$4),'טבלת פרמטרים'!$P$4,IF(EXACT(Q762,'טבלת פרמטרים'!$O$5),'טבלת פרמטרים'!$P$5,IF(EXACT(Q762,'טבלת פרמטרים'!$O$6),'טבלת פרמטרים'!$P$6,IF(EXACT(Q762,'טבלת פרמטרים'!$O$7),'טבלת פרמטרים'!$P$7,""))))))</f>
        <v>0</v>
      </c>
    </row>
    <row r="763" spans="1:20" x14ac:dyDescent="0.2">
      <c r="A763" s="18">
        <v>763</v>
      </c>
      <c r="C763" s="30">
        <v>45783</v>
      </c>
      <c r="D763" s="21" t="s">
        <v>10</v>
      </c>
      <c r="E763" s="21" t="s">
        <v>20</v>
      </c>
      <c r="F763" s="21" t="s">
        <v>23</v>
      </c>
      <c r="G763" s="21" t="s">
        <v>26</v>
      </c>
      <c r="H763" s="21" t="s">
        <v>29</v>
      </c>
      <c r="M763" s="21" t="s">
        <v>53</v>
      </c>
      <c r="N763" s="21" t="s">
        <v>58</v>
      </c>
      <c r="O763" s="19">
        <f>IF(ISBLANK(D763),"",IF(D763='טבלת פרמטרים'!$A$9,1,0)+IF(E763='טבלת פרמטרים'!$B$5,2,1)+IF(F763='טבלת פרמטרים'!$C$5,3,IF(F763='טבלת פרמטרים'!$C$4,1,0))+IF(G763='טבלת פרמטרים'!$D$3,2,0)+IF(M763='טבלת פרמטרים'!$J$4,2,IF(M763='טבלת פרמטרים'!$J$3,1,0))+IF(N763='טבלת פרמטרים'!$K$6,3,IF(OR(N763='טבלת פרמטרים'!$K$4,N763='טבלת פרמטרים'!$K$5),2,IF(N763='טבלת פרמטרים'!$K$3,1,0))))</f>
        <v>2</v>
      </c>
      <c r="Q763" s="20" t="s">
        <v>123</v>
      </c>
      <c r="R763" s="19">
        <f t="shared" si="17"/>
        <v>2</v>
      </c>
      <c r="T763" s="19">
        <f>IF(EXACT(Q763,'טבלת פרמטרים'!$O$2),'טבלת פרמטרים'!$P$2,IF(EXACT(Q763,'טבלת פרמטרים'!$O$3),'טבלת פרמטרים'!$P$3,IF(EXACT(Q763,'טבלת פרמטרים'!$O$4),'טבלת פרמטרים'!$P$4,IF(EXACT(Q763,'טבלת פרמטרים'!$O$5),'טבלת פרמטרים'!$P$5,IF(EXACT(Q763,'טבלת פרמטרים'!$O$6),'טבלת פרמטרים'!$P$6,IF(EXACT(Q763,'טבלת פרמטרים'!$O$7),'טבלת פרמטרים'!$P$7,""))))))</f>
        <v>0</v>
      </c>
    </row>
    <row r="764" spans="1:20" x14ac:dyDescent="0.2">
      <c r="A764" s="18">
        <v>764</v>
      </c>
      <c r="C764" s="30">
        <v>45783</v>
      </c>
      <c r="D764" s="21" t="s">
        <v>13</v>
      </c>
      <c r="E764" s="21" t="s">
        <v>21</v>
      </c>
      <c r="F764" s="21" t="s">
        <v>23</v>
      </c>
      <c r="G764" s="21" t="s">
        <v>26</v>
      </c>
      <c r="H764" s="21" t="s">
        <v>30</v>
      </c>
      <c r="M764" s="21" t="s">
        <v>53</v>
      </c>
      <c r="N764" s="21" t="s">
        <v>58</v>
      </c>
      <c r="O764" s="19">
        <f>IF(ISBLANK(D764),"",IF(D764='טבלת פרמטרים'!$A$9,1,0)+IF(E764='טבלת פרמטרים'!$B$5,2,1)+IF(F764='טבלת פרמטרים'!$C$5,3,IF(F764='טבלת פרמטרים'!$C$4,1,0))+IF(G764='טבלת פרמטרים'!$D$3,2,0)+IF(M764='טבלת פרמטרים'!$J$4,2,IF(M764='טבלת פרמטרים'!$J$3,1,0))+IF(N764='טבלת פרמטרים'!$K$6,3,IF(OR(N764='טבלת פרמטרים'!$K$4,N764='טבלת פרמטרים'!$K$5),2,IF(N764='טבלת פרמטרים'!$K$3,1,0))))</f>
        <v>2</v>
      </c>
      <c r="Q764" s="20" t="s">
        <v>123</v>
      </c>
      <c r="R764" s="19">
        <f t="shared" si="17"/>
        <v>2</v>
      </c>
      <c r="T764" s="19">
        <f>IF(EXACT(Q764,'טבלת פרמטרים'!$O$2),'טבלת פרמטרים'!$P$2,IF(EXACT(Q764,'טבלת פרמטרים'!$O$3),'טבלת פרמטרים'!$P$3,IF(EXACT(Q764,'טבלת פרמטרים'!$O$4),'טבלת פרמטרים'!$P$4,IF(EXACT(Q764,'טבלת פרמטרים'!$O$5),'טבלת פרמטרים'!$P$5,IF(EXACT(Q764,'טבלת פרמטרים'!$O$6),'טבלת פרמטרים'!$P$6,IF(EXACT(Q764,'טבלת פרמטרים'!$O$7),'טבלת פרמטרים'!$P$7,""))))))</f>
        <v>0</v>
      </c>
    </row>
    <row r="765" spans="1:20" x14ac:dyDescent="0.2">
      <c r="A765" s="18">
        <v>765</v>
      </c>
      <c r="C765" s="30">
        <v>45788</v>
      </c>
      <c r="D765" s="21" t="s">
        <v>11</v>
      </c>
      <c r="E765" s="21" t="s">
        <v>21</v>
      </c>
      <c r="F765" s="21" t="s">
        <v>23</v>
      </c>
      <c r="G765" s="21" t="s">
        <v>26</v>
      </c>
      <c r="H765" s="21" t="s">
        <v>31</v>
      </c>
      <c r="I765" s="21" t="s">
        <v>127</v>
      </c>
      <c r="J765" s="21" t="s">
        <v>11</v>
      </c>
      <c r="K765" s="21" t="s">
        <v>45</v>
      </c>
      <c r="M765" s="21" t="s">
        <v>55</v>
      </c>
      <c r="N765" s="21" t="s">
        <v>59</v>
      </c>
      <c r="O765" s="19">
        <f>IF(ISBLANK(D765),"",IF(D765='טבלת פרמטרים'!$A$9,1,0)+IF(E765='טבלת פרמטרים'!$B$5,2,1)+IF(F765='טבלת פרמטרים'!$C$5,3,IF(F765='טבלת פרמטרים'!$C$4,1,0))+IF(G765='טבלת פרמטרים'!$D$3,2,0)+IF(M765='טבלת פרמטרים'!$J$4,2,IF(M765='טבלת פרמטרים'!$J$3,1,0))+IF(N765='טבלת פרמטרים'!$K$6,3,IF(OR(N765='טבלת פרמטרים'!$K$4,N765='טבלת פרמטרים'!$K$5),2,IF(N765='טבלת פרמטרים'!$K$3,1,0))))</f>
        <v>5</v>
      </c>
      <c r="Q765" s="20" t="s">
        <v>123</v>
      </c>
      <c r="R765" s="19">
        <f t="shared" si="17"/>
        <v>5</v>
      </c>
      <c r="T765" s="19">
        <f>IF(EXACT(Q765,'טבלת פרמטרים'!$O$2),'טבלת פרמטרים'!$P$2,IF(EXACT(Q765,'טבלת פרמטרים'!$O$3),'טבלת פרמטרים'!$P$3,IF(EXACT(Q765,'טבלת פרמטרים'!$O$4),'טבלת פרמטרים'!$P$4,IF(EXACT(Q765,'טבלת פרמטרים'!$O$5),'טבלת פרמטרים'!$P$5,IF(EXACT(Q765,'טבלת פרמטרים'!$O$6),'טבלת פרמטרים'!$P$6,IF(EXACT(Q765,'טבלת פרמטרים'!$O$7),'טבלת פרמטרים'!$P$7,""))))))</f>
        <v>0</v>
      </c>
    </row>
    <row r="766" spans="1:20" x14ac:dyDescent="0.2">
      <c r="A766" s="18">
        <v>766</v>
      </c>
      <c r="C766" s="30">
        <v>45788</v>
      </c>
      <c r="D766" s="21" t="s">
        <v>11</v>
      </c>
      <c r="E766" s="21" t="s">
        <v>21</v>
      </c>
      <c r="F766" s="21" t="s">
        <v>23</v>
      </c>
      <c r="G766" s="21" t="s">
        <v>26</v>
      </c>
      <c r="H766" s="21" t="s">
        <v>31</v>
      </c>
      <c r="I766" s="21" t="s">
        <v>126</v>
      </c>
      <c r="J766" s="21" t="s">
        <v>11</v>
      </c>
      <c r="K766" s="21" t="s">
        <v>45</v>
      </c>
      <c r="M766" s="21" t="s">
        <v>55</v>
      </c>
      <c r="N766" s="21" t="s">
        <v>58</v>
      </c>
      <c r="O766" s="19">
        <f>IF(ISBLANK(D766),"",IF(D766='טבלת פרמטרים'!$A$9,1,0)+IF(E766='טבלת פרמטרים'!$B$5,2,1)+IF(F766='טבלת פרמטרים'!$C$5,3,IF(F766='טבלת פרמטרים'!$C$4,1,0))+IF(G766='טבלת פרמטרים'!$D$3,2,0)+IF(M766='טבלת פרמטרים'!$J$4,2,IF(M766='טבלת פרמטרים'!$J$3,1,0))+IF(N766='טבלת פרמטרים'!$K$6,3,IF(OR(N766='טבלת פרמטרים'!$K$4,N766='טבלת פרמטרים'!$K$5),2,IF(N766='טבלת פרמטרים'!$K$3,1,0))))</f>
        <v>4</v>
      </c>
      <c r="Q766" s="20" t="s">
        <v>123</v>
      </c>
      <c r="R766" s="19">
        <f t="shared" si="17"/>
        <v>4</v>
      </c>
      <c r="T766" s="19">
        <f>IF(EXACT(Q766,'טבלת פרמטרים'!$O$2),'טבלת פרמטרים'!$P$2,IF(EXACT(Q766,'טבלת פרמטרים'!$O$3),'טבלת פרמטרים'!$P$3,IF(EXACT(Q766,'טבלת פרמטרים'!$O$4),'טבלת פרמטרים'!$P$4,IF(EXACT(Q766,'טבלת פרמטרים'!$O$5),'טבלת פרמטרים'!$P$5,IF(EXACT(Q766,'טבלת פרמטרים'!$O$6),'טבלת פרמטרים'!$P$6,IF(EXACT(Q766,'טבלת פרמטרים'!$O$7),'טבלת פרמטרים'!$P$7,""))))))</f>
        <v>0</v>
      </c>
    </row>
    <row r="767" spans="1:20" x14ac:dyDescent="0.2">
      <c r="A767" s="18">
        <v>767</v>
      </c>
      <c r="B767" s="30">
        <v>45791</v>
      </c>
      <c r="C767" s="30">
        <v>45791</v>
      </c>
      <c r="D767" s="21" t="s">
        <v>11</v>
      </c>
      <c r="E767" s="21" t="s">
        <v>21</v>
      </c>
      <c r="F767" s="21" t="s">
        <v>23</v>
      </c>
      <c r="G767" s="21" t="s">
        <v>26</v>
      </c>
      <c r="H767" s="21" t="s">
        <v>30</v>
      </c>
      <c r="I767" s="21" t="s">
        <v>126</v>
      </c>
      <c r="J767" s="21" t="s">
        <v>11</v>
      </c>
      <c r="L767" s="21" t="s">
        <v>49</v>
      </c>
      <c r="M767" s="21" t="s">
        <v>55</v>
      </c>
      <c r="N767" s="21" t="s">
        <v>58</v>
      </c>
      <c r="O767" s="19">
        <f>IF(ISBLANK(D767),"",IF(D767='טבלת פרמטרים'!$A$9,1,0)+IF(E767='טבלת פרמטרים'!$B$5,2,1)+IF(F767='טבלת פרמטרים'!$C$5,3,IF(F767='טבלת פרמטרים'!$C$4,1,0))+IF(G767='טבלת פרמטרים'!$D$3,2,0)+IF(M767='טבלת פרמטרים'!$J$4,2,IF(M767='טבלת פרמטרים'!$J$3,1,0))+IF(N767='טבלת פרמטרים'!$K$6,3,IF(OR(N767='טבלת פרמטרים'!$K$4,N767='טבלת פרמטרים'!$K$5),2,IF(N767='טבלת פרמטרים'!$K$3,1,0))))</f>
        <v>4</v>
      </c>
      <c r="Q767" s="20" t="s">
        <v>123</v>
      </c>
      <c r="R767" s="19">
        <f t="shared" si="17"/>
        <v>4</v>
      </c>
      <c r="T767" s="19">
        <f>IF(EXACT(Q767,'טבלת פרמטרים'!$O$2),'טבלת פרמטרים'!$P$2,IF(EXACT(Q767,'טבלת פרמטרים'!$O$3),'טבלת פרמטרים'!$P$3,IF(EXACT(Q767,'טבלת פרמטרים'!$O$4),'טבלת פרמטרים'!$P$4,IF(EXACT(Q767,'טבלת פרמטרים'!$O$5),'טבלת פרמטרים'!$P$5,IF(EXACT(Q767,'טבלת פרמטרים'!$O$6),'טבלת פרמטרים'!$P$6,IF(EXACT(Q767,'טבלת פרמטרים'!$O$7),'טבלת פרמטרים'!$P$7,""))))))</f>
        <v>0</v>
      </c>
    </row>
    <row r="768" spans="1:20" ht="28.5" x14ac:dyDescent="0.2">
      <c r="A768" s="18">
        <v>768</v>
      </c>
      <c r="C768" s="30">
        <v>45792</v>
      </c>
      <c r="D768" s="21" t="s">
        <v>17</v>
      </c>
      <c r="E768" s="21" t="s">
        <v>22</v>
      </c>
      <c r="F768" s="21" t="s">
        <v>24</v>
      </c>
      <c r="G768" s="21" t="s">
        <v>26</v>
      </c>
      <c r="H768" s="21" t="s">
        <v>30</v>
      </c>
      <c r="I768" s="21" t="s">
        <v>127</v>
      </c>
      <c r="J768" s="21" t="s">
        <v>33</v>
      </c>
      <c r="K768" s="21" t="s">
        <v>1673</v>
      </c>
      <c r="L768" s="21" t="s">
        <v>51</v>
      </c>
      <c r="M768" s="21" t="s">
        <v>54</v>
      </c>
      <c r="N768" s="21" t="s">
        <v>58</v>
      </c>
      <c r="O768" s="19">
        <f>IF(ISBLANK(D768),"",IF(D768='טבלת פרמטרים'!$A$9,1,0)+IF(E768='טבלת פרמטרים'!$B$5,2,1)+IF(F768='טבלת פרמטרים'!$C$5,3,IF(F768='טבלת פרמטרים'!$C$4,1,0))+IF(G768='טבלת פרמטרים'!$D$3,2,0)+IF(M768='טבלת פרמטרים'!$J$4,2,IF(M768='טבלת פרמטרים'!$J$3,1,0))+IF(N768='טבלת פרמטרים'!$K$6,3,IF(OR(N768='טבלת פרמטרים'!$K$4,N768='טבלת פרמטרים'!$K$5),2,IF(N768='טבלת פרמטרים'!$K$3,1,0))))</f>
        <v>6</v>
      </c>
      <c r="Q768" s="20" t="s">
        <v>329</v>
      </c>
      <c r="R768" s="19">
        <f t="shared" si="17"/>
        <v>7</v>
      </c>
      <c r="T768" s="19">
        <f>IF(EXACT(Q768,'טבלת פרמטרים'!$O$2),'טבלת פרמטרים'!$P$2,IF(EXACT(Q768,'טבלת פרמטרים'!$O$3),'טבלת פרמטרים'!$P$3,IF(EXACT(Q768,'טבלת פרמטרים'!$O$4),'טבלת פרמטרים'!$P$4,IF(EXACT(Q768,'טבלת פרמטרים'!$O$5),'טבלת פרמטרים'!$P$5,IF(EXACT(Q768,'טבלת פרמטרים'!$O$6),'טבלת פרמטרים'!$P$6,IF(EXACT(Q768,'טבלת פרמטרים'!$O$7),'טבלת פרמטרים'!$P$7,""))))))</f>
        <v>1</v>
      </c>
    </row>
    <row r="769" spans="1:20" x14ac:dyDescent="0.2">
      <c r="A769" s="18">
        <v>769</v>
      </c>
      <c r="C769" s="30">
        <v>45795</v>
      </c>
      <c r="D769" s="21" t="s">
        <v>15</v>
      </c>
      <c r="E769" s="21" t="s">
        <v>111</v>
      </c>
      <c r="F769" s="21" t="s">
        <v>23</v>
      </c>
      <c r="G769" s="21" t="s">
        <v>27</v>
      </c>
      <c r="H769" s="21" t="s">
        <v>32</v>
      </c>
      <c r="M769" s="21" t="s">
        <v>53</v>
      </c>
      <c r="N769" s="21" t="s">
        <v>112</v>
      </c>
      <c r="O769" s="19">
        <f>IF(ISBLANK(D769),"",IF(D769='טבלת פרמטרים'!$A$9,1,0)+IF(E769='טבלת פרמטרים'!$B$5,2,1)+IF(F769='טבלת פרמטרים'!$C$5,3,IF(F769='טבלת פרמטרים'!$C$4,1,0))+IF(G769='טבלת פרמטרים'!$D$3,2,0)+IF(M769='טבלת פרמטרים'!$J$4,2,IF(M769='טבלת פרמטרים'!$J$3,1,0))+IF(N769='טבלת פרמטרים'!$K$6,3,IF(OR(N769='טבלת פרמטרים'!$K$4,N769='טבלת פרמטרים'!$K$5),2,IF(N769='טבלת פרמטרים'!$K$3,1,0))))</f>
        <v>5</v>
      </c>
      <c r="Q769" s="20" t="s">
        <v>123</v>
      </c>
      <c r="R769" s="19">
        <f t="shared" si="17"/>
        <v>5</v>
      </c>
      <c r="T769" s="19">
        <f>IF(EXACT(Q769,'טבלת פרמטרים'!$O$2),'טבלת פרמטרים'!$P$2,IF(EXACT(Q769,'טבלת פרמטרים'!$O$3),'טבלת פרמטרים'!$P$3,IF(EXACT(Q769,'טבלת פרמטרים'!$O$4),'טבלת פרמטרים'!$P$4,IF(EXACT(Q769,'טבלת פרמטרים'!$O$5),'טבלת פרמטרים'!$P$5,IF(EXACT(Q769,'טבלת פרמטרים'!$O$6),'טבלת פרמטרים'!$P$6,IF(EXACT(Q769,'טבלת פרמטרים'!$O$7),'טבלת פרמטרים'!$P$7,""))))))</f>
        <v>0</v>
      </c>
    </row>
    <row r="770" spans="1:20" x14ac:dyDescent="0.2">
      <c r="A770" s="18">
        <v>770</v>
      </c>
      <c r="C770" s="30">
        <v>45803</v>
      </c>
      <c r="D770" s="21" t="s">
        <v>16</v>
      </c>
      <c r="E770" s="21" t="s">
        <v>20</v>
      </c>
      <c r="F770" s="21" t="s">
        <v>23</v>
      </c>
      <c r="G770" s="21" t="s">
        <v>26</v>
      </c>
      <c r="H770" s="21" t="s">
        <v>30</v>
      </c>
      <c r="J770" s="21" t="s">
        <v>33</v>
      </c>
      <c r="K770" s="21" t="s">
        <v>45</v>
      </c>
      <c r="L770" s="21" t="s">
        <v>51</v>
      </c>
      <c r="M770" s="21" t="s">
        <v>54</v>
      </c>
      <c r="N770" s="21" t="s">
        <v>58</v>
      </c>
      <c r="O770" s="19">
        <f>IF(ISBLANK(D770),"",IF(D770='טבלת פרמטרים'!$A$9,1,0)+IF(E770='טבלת פרמטרים'!$B$5,2,1)+IF(F770='טבלת פרמטרים'!$C$5,3,IF(F770='טבלת פרמטרים'!$C$4,1,0))+IF(G770='טבלת פרמטרים'!$D$3,2,0)+IF(M770='טבלת פרמטרים'!$J$4,2,IF(M770='טבלת פרמטרים'!$J$3,1,0))+IF(N770='טבלת פרמטרים'!$K$6,3,IF(OR(N770='טבלת פרמטרים'!$K$4,N770='טבלת פרמטרים'!$K$5),2,IF(N770='טבלת פרמטרים'!$K$3,1,0))))</f>
        <v>3</v>
      </c>
      <c r="Q770" s="20" t="s">
        <v>123</v>
      </c>
      <c r="R770" s="19">
        <f t="shared" si="17"/>
        <v>3</v>
      </c>
      <c r="T770" s="19">
        <f>IF(EXACT(Q770,'טבלת פרמטרים'!$O$2),'טבלת פרמטרים'!$P$2,IF(EXACT(Q770,'טבלת פרמטרים'!$O$3),'טבלת פרמטרים'!$P$3,IF(EXACT(Q770,'טבלת פרמטרים'!$O$4),'טבלת פרמטרים'!$P$4,IF(EXACT(Q770,'טבלת פרמטרים'!$O$5),'טבלת פרמטרים'!$P$5,IF(EXACT(Q770,'טבלת פרמטרים'!$O$6),'טבלת פרמטרים'!$P$6,IF(EXACT(Q770,'טבלת פרמטרים'!$O$7),'טבלת פרמטרים'!$P$7,""))))))</f>
        <v>0</v>
      </c>
    </row>
    <row r="771" spans="1:20" ht="28.5" x14ac:dyDescent="0.2">
      <c r="A771" s="18">
        <v>771</v>
      </c>
      <c r="C771" s="30">
        <v>45804</v>
      </c>
      <c r="D771" s="21" t="s">
        <v>17</v>
      </c>
      <c r="E771" s="21" t="s">
        <v>22</v>
      </c>
      <c r="F771" s="21" t="s">
        <v>24</v>
      </c>
      <c r="G771" s="21" t="s">
        <v>27</v>
      </c>
      <c r="H771" s="21" t="s">
        <v>31</v>
      </c>
      <c r="J771" s="21" t="s">
        <v>35</v>
      </c>
      <c r="K771" s="21" t="s">
        <v>48</v>
      </c>
      <c r="M771" s="21" t="s">
        <v>55</v>
      </c>
      <c r="N771" s="21" t="s">
        <v>58</v>
      </c>
      <c r="O771" s="19">
        <f>IF(ISBLANK(D771),"",IF(D771='טבלת פרמטרים'!$A$9,1,0)+IF(E771='טבלת פרמטרים'!$B$5,2,1)+IF(F771='טבלת פרמטרים'!$C$5,3,IF(F771='טבלת פרמטרים'!$C$4,1,0))+IF(G771='טבלת פרמטרים'!$D$3,2,0)+IF(M771='טבלת פרמטרים'!$J$4,2,IF(M771='טבלת פרמטרים'!$J$3,1,0))+IF(N771='טבלת פרמטרים'!$K$6,3,IF(OR(N771='טבלת פרמטרים'!$K$4,N771='טבלת פרמטרים'!$K$5),2,IF(N771='טבלת פרמטרים'!$K$3,1,0))))</f>
        <v>9</v>
      </c>
      <c r="Q771" s="20" t="s">
        <v>332</v>
      </c>
      <c r="R771" s="19">
        <f t="shared" si="17"/>
        <v>17</v>
      </c>
      <c r="T771" s="19">
        <f>IF(EXACT(Q771,'טבלת פרמטרים'!$O$2),'טבלת פרמטרים'!$P$2,IF(EXACT(Q771,'טבלת פרמטרים'!$O$3),'טבלת פרמטרים'!$P$3,IF(EXACT(Q771,'טבלת פרמטרים'!$O$4),'טבלת פרמטרים'!$P$4,IF(EXACT(Q771,'טבלת פרמטרים'!$O$5),'טבלת פרמטרים'!$P$5,IF(EXACT(Q771,'טבלת פרמטרים'!$O$6),'טבלת פרמטרים'!$P$6,IF(EXACT(Q771,'טבלת פרמטרים'!$O$7),'טבלת פרמטרים'!$P$7,""))))))</f>
        <v>8</v>
      </c>
    </row>
    <row r="772" spans="1:20" x14ac:dyDescent="0.2">
      <c r="A772" s="18">
        <v>772</v>
      </c>
      <c r="C772" s="30">
        <v>45805</v>
      </c>
      <c r="D772" s="21" t="s">
        <v>14</v>
      </c>
      <c r="E772" s="21" t="s">
        <v>21</v>
      </c>
      <c r="F772" s="21" t="s">
        <v>23</v>
      </c>
      <c r="G772" s="21" t="s">
        <v>26</v>
      </c>
      <c r="H772" s="21" t="s">
        <v>29</v>
      </c>
      <c r="I772" s="21" t="s">
        <v>126</v>
      </c>
      <c r="J772" s="21" t="s">
        <v>35</v>
      </c>
      <c r="K772" s="21" t="s">
        <v>44</v>
      </c>
      <c r="L772" s="21" t="s">
        <v>49</v>
      </c>
      <c r="M772" s="21" t="s">
        <v>55</v>
      </c>
      <c r="N772" s="21" t="s">
        <v>58</v>
      </c>
      <c r="O772" s="19">
        <f>IF(ISBLANK(D772),"",IF(D772='טבלת פרמטרים'!$A$9,1,0)+IF(E772='טבלת פרמטרים'!$B$5,2,1)+IF(F772='טבלת פרמטרים'!$C$5,3,IF(F772='טבלת פרמטרים'!$C$4,1,0))+IF(G772='טבלת פרמטרים'!$D$3,2,0)+IF(M772='טבלת פרמטרים'!$J$4,2,IF(M772='טבלת פרמטרים'!$J$3,1,0))+IF(N772='טבלת פרמטרים'!$K$6,3,IF(OR(N772='טבלת פרמטרים'!$K$4,N772='טבלת פרמטרים'!$K$5),2,IF(N772='טבלת פרמטרים'!$K$3,1,0))))</f>
        <v>4</v>
      </c>
      <c r="Q772" s="20" t="s">
        <v>123</v>
      </c>
      <c r="R772" s="19">
        <f t="shared" si="17"/>
        <v>4</v>
      </c>
      <c r="T772" s="19">
        <f>IF(EXACT(Q772,'טבלת פרמטרים'!$O$2),'טבלת פרמטרים'!$P$2,IF(EXACT(Q772,'טבלת פרמטרים'!$O$3),'טבלת פרמטרים'!$P$3,IF(EXACT(Q772,'טבלת פרמטרים'!$O$4),'טבלת פרמטרים'!$P$4,IF(EXACT(Q772,'טבלת פרמטרים'!$O$5),'טבלת פרמטרים'!$P$5,IF(EXACT(Q772,'טבלת פרמטרים'!$O$6),'טבלת פרמטרים'!$P$6,IF(EXACT(Q772,'טבלת פרמטרים'!$O$7),'טבלת פרמטרים'!$P$7,""))))))</f>
        <v>0</v>
      </c>
    </row>
    <row r="773" spans="1:20" x14ac:dyDescent="0.2">
      <c r="A773" s="18">
        <v>773</v>
      </c>
      <c r="C773" s="30">
        <v>45806</v>
      </c>
      <c r="D773" s="21" t="s">
        <v>11</v>
      </c>
      <c r="E773" s="21" t="s">
        <v>111</v>
      </c>
      <c r="F773" s="21" t="s">
        <v>23</v>
      </c>
      <c r="G773" s="21" t="s">
        <v>26</v>
      </c>
      <c r="H773" s="21" t="s">
        <v>31</v>
      </c>
      <c r="I773" s="21" t="s">
        <v>127</v>
      </c>
      <c r="J773" s="21" t="s">
        <v>11</v>
      </c>
      <c r="M773" s="21" t="s">
        <v>55</v>
      </c>
      <c r="N773" s="21" t="s">
        <v>58</v>
      </c>
      <c r="O773" s="19">
        <f>IF(ISBLANK(D773),"",IF(D773='טבלת פרמטרים'!$A$9,1,0)+IF(E773='טבלת פרמטרים'!$B$5,2,1)+IF(F773='טבלת פרמטרים'!$C$5,3,IF(F773='טבלת פרמטרים'!$C$4,1,0))+IF(G773='טבלת פרמטרים'!$D$3,2,0)+IF(M773='טבלת פרמטרים'!$J$4,2,IF(M773='טבלת פרמטרים'!$J$3,1,0))+IF(N773='טבלת פרמטרים'!$K$6,3,IF(OR(N773='טבלת פרמטרים'!$K$4,N773='טבלת פרמטרים'!$K$5),2,IF(N773='טבלת פרמטרים'!$K$3,1,0))))</f>
        <v>4</v>
      </c>
      <c r="Q773" s="20" t="s">
        <v>123</v>
      </c>
      <c r="R773" s="19">
        <f t="shared" si="17"/>
        <v>4</v>
      </c>
      <c r="T773" s="19">
        <f>IF(EXACT(Q773,'טבלת פרמטרים'!$O$2),'טבלת פרמטרים'!$P$2,IF(EXACT(Q773,'טבלת פרמטרים'!$O$3),'טבלת פרמטרים'!$P$3,IF(EXACT(Q773,'טבלת פרמטרים'!$O$4),'טבלת פרמטרים'!$P$4,IF(EXACT(Q773,'טבלת פרמטרים'!$O$5),'טבלת פרמטרים'!$P$5,IF(EXACT(Q773,'טבלת פרמטרים'!$O$6),'טבלת פרמטרים'!$P$6,IF(EXACT(Q773,'טבלת פרמטרים'!$O$7),'טבלת פרמטרים'!$P$7,""))))))</f>
        <v>0</v>
      </c>
    </row>
    <row r="774" spans="1:20" x14ac:dyDescent="0.2">
      <c r="A774" s="18">
        <v>774</v>
      </c>
      <c r="C774" s="30">
        <v>45812</v>
      </c>
      <c r="D774" s="21" t="s">
        <v>16</v>
      </c>
      <c r="E774" s="21" t="s">
        <v>111</v>
      </c>
      <c r="F774" s="21" t="s">
        <v>23</v>
      </c>
      <c r="G774" s="21" t="s">
        <v>26</v>
      </c>
      <c r="H774" s="21" t="s">
        <v>30</v>
      </c>
      <c r="I774" s="21" t="s">
        <v>127</v>
      </c>
      <c r="J774" s="21" t="s">
        <v>33</v>
      </c>
      <c r="K774" s="21" t="s">
        <v>46</v>
      </c>
      <c r="M774" s="21" t="s">
        <v>54</v>
      </c>
      <c r="N774" s="21" t="s">
        <v>58</v>
      </c>
      <c r="O774" s="19">
        <f>IF(ISBLANK(D774),"",IF(D774='טבלת פרמטרים'!$A$9,1,0)+IF(E774='טבלת פרמטרים'!$B$5,2,1)+IF(F774='טבלת פרמטרים'!$C$5,3,IF(F774='טבלת פרמטרים'!$C$4,1,0))+IF(G774='טבלת פרמטרים'!$D$3,2,0)+IF(M774='טבלת פרמטרים'!$J$4,2,IF(M774='טבלת פרמטרים'!$J$3,1,0))+IF(N774='טבלת פרמטרים'!$K$6,3,IF(OR(N774='טבלת פרמטרים'!$K$4,N774='טבלת פרמטרים'!$K$5),2,IF(N774='טבלת פרמטרים'!$K$3,1,0))))</f>
        <v>3</v>
      </c>
      <c r="Q774" s="20" t="s">
        <v>123</v>
      </c>
      <c r="R774" s="19">
        <f t="shared" si="17"/>
        <v>3</v>
      </c>
      <c r="T774" s="19">
        <f>IF(EXACT(Q774,'טבלת פרמטרים'!$O$2),'טבלת פרמטרים'!$P$2,IF(EXACT(Q774,'טבלת פרמטרים'!$O$3),'טבלת פרמטרים'!$P$3,IF(EXACT(Q774,'טבלת פרמטרים'!$O$4),'טבלת פרמטרים'!$P$4,IF(EXACT(Q774,'טבלת פרמטרים'!$O$5),'טבלת פרמטרים'!$P$5,IF(EXACT(Q774,'טבלת פרמטרים'!$O$6),'טבלת פרמטרים'!$P$6,IF(EXACT(Q774,'טבלת פרמטרים'!$O$7),'טבלת פרמטרים'!$P$7,""))))))</f>
        <v>0</v>
      </c>
    </row>
    <row r="775" spans="1:20" x14ac:dyDescent="0.2">
      <c r="A775" s="18">
        <v>775</v>
      </c>
      <c r="C775" s="30">
        <v>45812</v>
      </c>
      <c r="D775" s="21" t="s">
        <v>15</v>
      </c>
      <c r="E775" s="21" t="s">
        <v>20</v>
      </c>
      <c r="M775" s="21" t="s">
        <v>55</v>
      </c>
      <c r="N775" s="21" t="s">
        <v>58</v>
      </c>
      <c r="O775" s="19">
        <f>IF(ISBLANK(D775),"",IF(D775='טבלת פרמטרים'!$A$9,1,0)+IF(E775='טבלת פרמטרים'!$B$5,2,1)+IF(F775='טבלת פרמטרים'!$C$5,3,IF(F775='טבלת פרמטרים'!$C$4,1,0))+IF(G775='טבלת פרמטרים'!$D$3,2,0)+IF(M775='טבלת פרמטרים'!$J$4,2,IF(M775='טבלת פרמטרים'!$J$3,1,0))+IF(N775='טבלת פרמטרים'!$K$6,3,IF(OR(N775='טבלת פרמטרים'!$K$4,N775='טבלת פרמטרים'!$K$5),2,IF(N775='טבלת פרמטרים'!$K$3,1,0))))</f>
        <v>4</v>
      </c>
      <c r="Q775" s="20" t="s">
        <v>123</v>
      </c>
      <c r="R775" s="19">
        <f t="shared" si="17"/>
        <v>4</v>
      </c>
      <c r="T775" s="19">
        <f>IF(EXACT(Q775,'טבלת פרמטרים'!$O$2),'טבלת פרמטרים'!$P$2,IF(EXACT(Q775,'טבלת פרמטרים'!$O$3),'טבלת פרמטרים'!$P$3,IF(EXACT(Q775,'טבלת פרמטרים'!$O$4),'טבלת פרמטרים'!$P$4,IF(EXACT(Q775,'טבלת פרמטרים'!$O$5),'טבלת פרמטרים'!$P$5,IF(EXACT(Q775,'טבלת פרמטרים'!$O$6),'טבלת פרמטרים'!$P$6,IF(EXACT(Q775,'טבלת פרמטרים'!$O$7),'טבלת פרמטרים'!$P$7,""))))))</f>
        <v>0</v>
      </c>
    </row>
    <row r="776" spans="1:20" x14ac:dyDescent="0.2">
      <c r="A776" s="18">
        <v>776</v>
      </c>
      <c r="C776" s="30">
        <v>45816</v>
      </c>
      <c r="D776" s="21" t="s">
        <v>16</v>
      </c>
      <c r="E776" s="21" t="s">
        <v>20</v>
      </c>
      <c r="F776" s="21" t="s">
        <v>23</v>
      </c>
      <c r="H776" s="21" t="s">
        <v>31</v>
      </c>
      <c r="M776" s="21" t="s">
        <v>55</v>
      </c>
      <c r="N776" s="21" t="s">
        <v>58</v>
      </c>
      <c r="O776" s="19">
        <f>IF(ISBLANK(D776),"",IF(D776='טבלת פרמטרים'!$A$9,1,0)+IF(E776='טבלת פרמטרים'!$B$5,2,1)+IF(F776='טבלת פרמטרים'!$C$5,3,IF(F776='טבלת פרמטרים'!$C$4,1,0))+IF(G776='טבלת פרמטרים'!$D$3,2,0)+IF(M776='טבלת פרמטרים'!$J$4,2,IF(M776='טבלת פרמטרים'!$J$3,1,0))+IF(N776='טבלת פרמטרים'!$K$6,3,IF(OR(N776='טבלת פרמטרים'!$K$4,N776='טבלת פרמטרים'!$K$5),2,IF(N776='טבלת פרמטרים'!$K$3,1,0))))</f>
        <v>4</v>
      </c>
      <c r="Q776" s="20" t="s">
        <v>123</v>
      </c>
      <c r="R776" s="19">
        <f t="shared" si="17"/>
        <v>4</v>
      </c>
      <c r="T776" s="19">
        <f>IF(EXACT(Q776,'טבלת פרמטרים'!$O$2),'טבלת פרמטרים'!$P$2,IF(EXACT(Q776,'טבלת פרמטרים'!$O$3),'טבלת פרמטרים'!$P$3,IF(EXACT(Q776,'טבלת פרמטרים'!$O$4),'טבלת פרמטרים'!$P$4,IF(EXACT(Q776,'טבלת פרמטרים'!$O$5),'טבלת פרמטרים'!$P$5,IF(EXACT(Q776,'טבלת פרמטרים'!$O$6),'טבלת פרמטרים'!$P$6,IF(EXACT(Q776,'טבלת פרמטרים'!$O$7),'טבלת פרמטרים'!$P$7,""))))))</f>
        <v>0</v>
      </c>
    </row>
    <row r="777" spans="1:20" x14ac:dyDescent="0.2">
      <c r="A777" s="18">
        <v>777</v>
      </c>
      <c r="C777" s="30">
        <v>45816</v>
      </c>
      <c r="D777" s="21" t="s">
        <v>15</v>
      </c>
      <c r="E777" s="21" t="s">
        <v>20</v>
      </c>
      <c r="F777" s="21" t="s">
        <v>23</v>
      </c>
      <c r="G777" s="21" t="s">
        <v>26</v>
      </c>
      <c r="H777" s="21" t="s">
        <v>31</v>
      </c>
      <c r="M777" s="21" t="s">
        <v>54</v>
      </c>
      <c r="N777" s="21" t="s">
        <v>58</v>
      </c>
      <c r="O777" s="19">
        <f>IF(ISBLANK(D777),"",IF(D777='טבלת פרמטרים'!$A$9,1,0)+IF(E777='טבלת פרמטרים'!$B$5,2,1)+IF(F777='טבלת פרמטרים'!$C$5,3,IF(F777='טבלת פרמטרים'!$C$4,1,0))+IF(G777='טבלת פרמטרים'!$D$3,2,0)+IF(M777='טבלת פרמטרים'!$J$4,2,IF(M777='טבלת פרמטרים'!$J$3,1,0))+IF(N777='טבלת פרמטרים'!$K$6,3,IF(OR(N777='טבלת פרמטרים'!$K$4,N777='טבלת פרמטרים'!$K$5),2,IF(N777='טבלת פרמטרים'!$K$3,1,0))))</f>
        <v>3</v>
      </c>
      <c r="Q777" s="20" t="s">
        <v>123</v>
      </c>
      <c r="R777" s="19">
        <f t="shared" si="17"/>
        <v>3</v>
      </c>
      <c r="T777" s="19">
        <f>IF(EXACT(Q777,'טבלת פרמטרים'!$O$2),'טבלת פרמטרים'!$P$2,IF(EXACT(Q777,'טבלת פרמטרים'!$O$3),'טבלת פרמטרים'!$P$3,IF(EXACT(Q777,'טבלת פרמטרים'!$O$4),'טבלת פרמטרים'!$P$4,IF(EXACT(Q777,'טבלת פרמטרים'!$O$5),'טבלת פרמטרים'!$P$5,IF(EXACT(Q777,'טבלת פרמטרים'!$O$6),'טבלת פרמטרים'!$P$6,IF(EXACT(Q777,'טבלת פרמטרים'!$O$7),'טבלת פרמטרים'!$P$7,""))))))</f>
        <v>0</v>
      </c>
    </row>
    <row r="778" spans="1:20" x14ac:dyDescent="0.2">
      <c r="A778" s="18">
        <v>778</v>
      </c>
      <c r="C778" s="30">
        <v>45817</v>
      </c>
      <c r="D778" s="21" t="s">
        <v>16</v>
      </c>
      <c r="E778" s="21" t="s">
        <v>111</v>
      </c>
      <c r="F778" s="21" t="s">
        <v>23</v>
      </c>
      <c r="G778" s="21" t="s">
        <v>26</v>
      </c>
      <c r="H778" s="21" t="s">
        <v>30</v>
      </c>
      <c r="M778" s="21" t="s">
        <v>54</v>
      </c>
      <c r="N778" s="21" t="s">
        <v>58</v>
      </c>
      <c r="O778" s="19">
        <f>IF(ISBLANK(D778),"",IF(D778='טבלת פרמטרים'!$A$9,1,0)+IF(E778='טבלת פרמטרים'!$B$5,2,1)+IF(F778='טבלת פרמטרים'!$C$5,3,IF(F778='טבלת פרמטרים'!$C$4,1,0))+IF(G778='טבלת פרמטרים'!$D$3,2,0)+IF(M778='טבלת פרמטרים'!$J$4,2,IF(M778='טבלת פרמטרים'!$J$3,1,0))+IF(N778='טבלת פרמטרים'!$K$6,3,IF(OR(N778='טבלת פרמטרים'!$K$4,N778='טבלת פרמטרים'!$K$5),2,IF(N778='טבלת פרמטרים'!$K$3,1,0))))</f>
        <v>3</v>
      </c>
      <c r="Q778" s="20" t="s">
        <v>123</v>
      </c>
      <c r="R778" s="19">
        <f t="shared" si="17"/>
        <v>3</v>
      </c>
      <c r="T778" s="19">
        <f>IF(EXACT(Q778,'טבלת פרמטרים'!$O$2),'טבלת פרמטרים'!$P$2,IF(EXACT(Q778,'טבלת פרמטרים'!$O$3),'טבלת פרמטרים'!$P$3,IF(EXACT(Q778,'טבלת פרמטרים'!$O$4),'טבלת פרמטרים'!$P$4,IF(EXACT(Q778,'טבלת פרמטרים'!$O$5),'טבלת פרמטרים'!$P$5,IF(EXACT(Q778,'טבלת פרמטרים'!$O$6),'טבלת פרמטרים'!$P$6,IF(EXACT(Q778,'טבלת פרמטרים'!$O$7),'טבלת פרמטרים'!$P$7,""))))))</f>
        <v>0</v>
      </c>
    </row>
    <row r="779" spans="1:20" x14ac:dyDescent="0.2">
      <c r="A779" s="18">
        <v>779</v>
      </c>
      <c r="C779" s="30">
        <v>45817</v>
      </c>
      <c r="D779" s="21" t="s">
        <v>16</v>
      </c>
      <c r="E779" s="21" t="s">
        <v>21</v>
      </c>
      <c r="F779" s="21" t="s">
        <v>23</v>
      </c>
      <c r="G779" s="21" t="s">
        <v>26</v>
      </c>
      <c r="H779" s="21" t="s">
        <v>29</v>
      </c>
      <c r="M779" s="21" t="s">
        <v>53</v>
      </c>
      <c r="N779" s="21" t="s">
        <v>58</v>
      </c>
      <c r="O779" s="19">
        <f>IF(ISBLANK(D779),"",IF(D779='טבלת פרמטרים'!$A$9,1,0)+IF(E779='טבלת פרמטרים'!$B$5,2,1)+IF(F779='טבלת פרמטרים'!$C$5,3,IF(F779='טבלת פרמטרים'!$C$4,1,0))+IF(G779='טבלת פרמטרים'!$D$3,2,0)+IF(M779='טבלת פרמטרים'!$J$4,2,IF(M779='טבלת פרמטרים'!$J$3,1,0))+IF(N779='טבלת פרמטרים'!$K$6,3,IF(OR(N779='טבלת פרמטרים'!$K$4,N779='טבלת פרמטרים'!$K$5),2,IF(N779='טבלת פרמטרים'!$K$3,1,0))))</f>
        <v>2</v>
      </c>
      <c r="Q779" s="20" t="s">
        <v>123</v>
      </c>
      <c r="R779" s="19">
        <f t="shared" si="17"/>
        <v>2</v>
      </c>
      <c r="T779" s="19">
        <f>IF(EXACT(Q779,'טבלת פרמטרים'!$O$2),'טבלת פרמטרים'!$P$2,IF(EXACT(Q779,'טבלת פרמטרים'!$O$3),'טבלת פרמטרים'!$P$3,IF(EXACT(Q779,'טבלת פרמטרים'!$O$4),'טבלת פרמטרים'!$P$4,IF(EXACT(Q779,'טבלת פרמטרים'!$O$5),'טבלת פרמטרים'!$P$5,IF(EXACT(Q779,'טבלת פרמטרים'!$O$6),'טבלת פרמטרים'!$P$6,IF(EXACT(Q779,'טבלת פרמטרים'!$O$7),'טבלת פרמטרים'!$P$7,""))))))</f>
        <v>0</v>
      </c>
    </row>
    <row r="780" spans="1:20" x14ac:dyDescent="0.2">
      <c r="A780" s="18">
        <v>780</v>
      </c>
      <c r="C780" s="30">
        <v>45819</v>
      </c>
      <c r="D780" s="21" t="s">
        <v>17</v>
      </c>
      <c r="E780" s="21" t="s">
        <v>20</v>
      </c>
      <c r="F780" s="21" t="s">
        <v>23</v>
      </c>
      <c r="G780" s="21" t="s">
        <v>27</v>
      </c>
      <c r="H780" s="21" t="s">
        <v>30</v>
      </c>
      <c r="M780" s="21" t="s">
        <v>54</v>
      </c>
      <c r="N780" s="21" t="s">
        <v>58</v>
      </c>
      <c r="O780" s="19">
        <f>IF(ISBLANK(D780),"",IF(D780='טבלת פרמטרים'!$A$9,1,0)+IF(E780='טבלת פרמטרים'!$B$5,2,1)+IF(F780='טבלת פרמטרים'!$C$5,3,IF(F780='טבלת פרמטרים'!$C$4,1,0))+IF(G780='טבלת פרמטרים'!$D$3,2,0)+IF(M780='טבלת פרמטרים'!$J$4,2,IF(M780='טבלת פרמטרים'!$J$3,1,0))+IF(N780='טבלת פרמטרים'!$K$6,3,IF(OR(N780='טבלת פרמטרים'!$K$4,N780='טבלת פרמטרים'!$K$5),2,IF(N780='טבלת פרמטרים'!$K$3,1,0))))</f>
        <v>6</v>
      </c>
      <c r="Q780" s="20" t="s">
        <v>123</v>
      </c>
      <c r="R780" s="19">
        <f t="shared" si="17"/>
        <v>6</v>
      </c>
      <c r="T780" s="19">
        <f>IF(EXACT(Q780,'טבלת פרמטרים'!$O$2),'טבלת פרמטרים'!$P$2,IF(EXACT(Q780,'טבלת פרמטרים'!$O$3),'טבלת פרמטרים'!$P$3,IF(EXACT(Q780,'טבלת פרמטרים'!$O$4),'טבלת פרמטרים'!$P$4,IF(EXACT(Q780,'טבלת פרמטרים'!$O$5),'טבלת פרמטרים'!$P$5,IF(EXACT(Q780,'טבלת פרמטרים'!$O$6),'טבלת פרמטרים'!$P$6,IF(EXACT(Q780,'טבלת פרמטרים'!$O$7),'טבלת פרמטרים'!$P$7,""))))))</f>
        <v>0</v>
      </c>
    </row>
    <row r="781" spans="1:20" x14ac:dyDescent="0.2">
      <c r="A781" s="18">
        <v>781</v>
      </c>
      <c r="C781" s="30">
        <v>45811</v>
      </c>
      <c r="D781" s="21" t="s">
        <v>14</v>
      </c>
      <c r="E781" s="21" t="s">
        <v>111</v>
      </c>
      <c r="F781" s="21" t="s">
        <v>23</v>
      </c>
      <c r="G781" s="21" t="s">
        <v>26</v>
      </c>
      <c r="H781" s="21" t="s">
        <v>29</v>
      </c>
      <c r="M781" s="21" t="s">
        <v>54</v>
      </c>
      <c r="N781" s="21" t="s">
        <v>59</v>
      </c>
      <c r="O781" s="19">
        <f>IF(ISBLANK(D781),"",IF(D781='טבלת פרמטרים'!$A$9,1,0)+IF(E781='טבלת פרמטרים'!$B$5,2,1)+IF(F781='טבלת פרמטרים'!$C$5,3,IF(F781='טבלת פרמטרים'!$C$4,1,0))+IF(G781='טבלת פרמטרים'!$D$3,2,0)+IF(M781='טבלת פרמטרים'!$J$4,2,IF(M781='טבלת פרמטרים'!$J$3,1,0))+IF(N781='טבלת פרמטרים'!$K$6,3,IF(OR(N781='טבלת פרמטרים'!$K$4,N781='טבלת פרמטרים'!$K$5),2,IF(N781='טבלת פרמטרים'!$K$3,1,0))))</f>
        <v>4</v>
      </c>
      <c r="Q781" s="20" t="s">
        <v>123</v>
      </c>
      <c r="R781" s="19">
        <f t="shared" si="17"/>
        <v>4</v>
      </c>
      <c r="T781" s="19">
        <f>IF(EXACT(Q781,'טבלת פרמטרים'!$O$2),'טבלת פרמטרים'!$P$2,IF(EXACT(Q781,'טבלת פרמטרים'!$O$3),'טבלת פרמטרים'!$P$3,IF(EXACT(Q781,'טבלת פרמטרים'!$O$4),'טבלת פרמטרים'!$P$4,IF(EXACT(Q781,'טבלת פרמטרים'!$O$5),'טבלת פרמטרים'!$P$5,IF(EXACT(Q781,'טבלת פרמטרים'!$O$6),'טבלת פרמטרים'!$P$6,IF(EXACT(Q781,'טבלת פרמטרים'!$O$7),'טבלת פרמטרים'!$P$7,""))))))</f>
        <v>0</v>
      </c>
    </row>
    <row r="782" spans="1:20" x14ac:dyDescent="0.2">
      <c r="A782" s="18">
        <v>782</v>
      </c>
      <c r="C782" s="30">
        <v>45820</v>
      </c>
      <c r="D782" s="21" t="s">
        <v>10</v>
      </c>
      <c r="E782" s="21" t="s">
        <v>111</v>
      </c>
      <c r="F782" s="21" t="s">
        <v>23</v>
      </c>
      <c r="G782" s="21" t="s">
        <v>26</v>
      </c>
      <c r="H782" s="21" t="s">
        <v>31</v>
      </c>
      <c r="M782" s="21" t="s">
        <v>55</v>
      </c>
      <c r="N782" s="21" t="s">
        <v>58</v>
      </c>
      <c r="O782" s="19">
        <f>IF(ISBLANK(D782),"",IF(D782='טבלת פרמטרים'!$A$9,1,0)+IF(E782='טבלת פרמטרים'!$B$5,2,1)+IF(F782='טבלת פרמטרים'!$C$5,3,IF(F782='טבלת פרמטרים'!$C$4,1,0))+IF(G782='טבלת פרמטרים'!$D$3,2,0)+IF(M782='טבלת פרמטרים'!$J$4,2,IF(M782='טבלת פרמטרים'!$J$3,1,0))+IF(N782='טבלת פרמטרים'!$K$6,3,IF(OR(N782='טבלת פרמטרים'!$K$4,N782='טבלת פרמטרים'!$K$5),2,IF(N782='טבלת פרמטרים'!$K$3,1,0))))</f>
        <v>4</v>
      </c>
      <c r="Q782" s="20" t="s">
        <v>123</v>
      </c>
      <c r="R782" s="19">
        <f t="shared" si="17"/>
        <v>4</v>
      </c>
      <c r="T782" s="19">
        <f>IF(EXACT(Q782,'טבלת פרמטרים'!$O$2),'טבלת פרמטרים'!$P$2,IF(EXACT(Q782,'טבלת פרמטרים'!$O$3),'טבלת פרמטרים'!$P$3,IF(EXACT(Q782,'טבלת פרמטרים'!$O$4),'טבלת פרמטרים'!$P$4,IF(EXACT(Q782,'טבלת פרמטרים'!$O$5),'טבלת פרמטרים'!$P$5,IF(EXACT(Q782,'טבלת פרמטרים'!$O$6),'טבלת פרמטרים'!$P$6,IF(EXACT(Q782,'טבלת פרמטרים'!$O$7),'טבלת פרמטרים'!$P$7,""))))))</f>
        <v>0</v>
      </c>
    </row>
    <row r="783" spans="1:20" x14ac:dyDescent="0.2">
      <c r="A783" s="18">
        <v>783</v>
      </c>
      <c r="C783" s="30">
        <v>45825</v>
      </c>
      <c r="D783" s="21" t="s">
        <v>17</v>
      </c>
      <c r="E783" s="21" t="s">
        <v>20</v>
      </c>
      <c r="F783" s="21" t="s">
        <v>23</v>
      </c>
      <c r="G783" s="21" t="s">
        <v>26</v>
      </c>
      <c r="H783" s="21" t="s">
        <v>30</v>
      </c>
      <c r="I783" s="21" t="s">
        <v>126</v>
      </c>
      <c r="J783" s="21" t="s">
        <v>35</v>
      </c>
      <c r="K783" s="21" t="s">
        <v>43</v>
      </c>
      <c r="M783" s="21" t="s">
        <v>54</v>
      </c>
      <c r="N783" s="21" t="s">
        <v>59</v>
      </c>
      <c r="O783" s="19">
        <f>IF(ISBLANK(D783),"",IF(D783='טבלת פרמטרים'!$A$9,1,0)+IF(E783='טבלת פרמטרים'!$B$5,2,1)+IF(F783='טבלת פרמטרים'!$C$5,3,IF(F783='טבלת פרמטרים'!$C$4,1,0))+IF(G783='טבלת פרמטרים'!$D$3,2,0)+IF(M783='טבלת פרמטרים'!$J$4,2,IF(M783='טבלת פרמטרים'!$J$3,1,0))+IF(N783='טבלת פרמטרים'!$K$6,3,IF(OR(N783='טבלת פרמטרים'!$K$4,N783='טבלת פרמטרים'!$K$5),2,IF(N783='טבלת פרמטרים'!$K$3,1,0))))</f>
        <v>5</v>
      </c>
      <c r="Q783" s="20" t="s">
        <v>123</v>
      </c>
      <c r="R783" s="19">
        <f t="shared" si="17"/>
        <v>5</v>
      </c>
      <c r="T783" s="19">
        <f>IF(EXACT(Q783,'טבלת פרמטרים'!$O$2),'טבלת פרמטרים'!$P$2,IF(EXACT(Q783,'טבלת פרמטרים'!$O$3),'טבלת פרמטרים'!$P$3,IF(EXACT(Q783,'טבלת פרמטרים'!$O$4),'טבלת פרמטרים'!$P$4,IF(EXACT(Q783,'טבלת פרמטרים'!$O$5),'טבלת פרמטרים'!$P$5,IF(EXACT(Q783,'טבלת פרמטרים'!$O$6),'טבלת פרמטרים'!$P$6,IF(EXACT(Q783,'טבלת פרמטרים'!$O$7),'טבלת פרמטרים'!$P$7,""))))))</f>
        <v>0</v>
      </c>
    </row>
    <row r="784" spans="1:20" x14ac:dyDescent="0.2">
      <c r="A784" s="18">
        <v>784</v>
      </c>
      <c r="C784" s="30">
        <v>45833</v>
      </c>
      <c r="D784" s="21" t="s">
        <v>10</v>
      </c>
      <c r="E784" s="21" t="s">
        <v>22</v>
      </c>
      <c r="F784" s="21" t="s">
        <v>24</v>
      </c>
      <c r="G784" s="21" t="s">
        <v>26</v>
      </c>
      <c r="H784" s="21" t="s">
        <v>29</v>
      </c>
      <c r="I784" s="21" t="s">
        <v>126</v>
      </c>
      <c r="J784" s="21" t="s">
        <v>11</v>
      </c>
      <c r="K784" s="21" t="s">
        <v>43</v>
      </c>
      <c r="M784" s="21" t="s">
        <v>54</v>
      </c>
      <c r="N784" s="21" t="s">
        <v>58</v>
      </c>
      <c r="O784" s="19">
        <f>IF(ISBLANK(D784),"",IF(D784='טבלת פרמטרים'!$A$9,1,0)+IF(E784='טבלת פרמטרים'!$B$5,2,1)+IF(F784='טבלת פרמטרים'!$C$5,3,IF(F784='טבלת פרמטרים'!$C$4,1,0))+IF(G784='טבלת פרמטרים'!$D$3,2,0)+IF(M784='טבלת פרמטרים'!$J$4,2,IF(M784='טבלת פרמטרים'!$J$3,1,0))+IF(N784='טבלת פרמטרים'!$K$6,3,IF(OR(N784='טבלת פרמטרים'!$K$4,N784='טבלת פרמטרים'!$K$5),2,IF(N784='טבלת פרמטרים'!$K$3,1,0))))</f>
        <v>5</v>
      </c>
      <c r="Q784" s="20" t="s">
        <v>123</v>
      </c>
      <c r="R784" s="19">
        <f t="shared" si="17"/>
        <v>5</v>
      </c>
      <c r="T784" s="19">
        <f>IF(EXACT(Q784,'טבלת פרמטרים'!$O$2),'טבלת פרמטרים'!$P$2,IF(EXACT(Q784,'טבלת פרמטרים'!$O$3),'טבלת פרמטרים'!$P$3,IF(EXACT(Q784,'טבלת פרמטרים'!$O$4),'טבלת פרמטרים'!$P$4,IF(EXACT(Q784,'טבלת פרמטרים'!$O$5),'טבלת פרמטרים'!$P$5,IF(EXACT(Q784,'טבלת פרמטרים'!$O$6),'טבלת פרמטרים'!$P$6,IF(EXACT(Q784,'טבלת פרמטרים'!$O$7),'טבלת פרמטרים'!$P$7,""))))))</f>
        <v>0</v>
      </c>
    </row>
    <row r="785" spans="1:20" x14ac:dyDescent="0.2">
      <c r="A785" s="18">
        <v>785</v>
      </c>
      <c r="C785" s="30">
        <v>45831</v>
      </c>
      <c r="D785" s="21" t="s">
        <v>13</v>
      </c>
      <c r="E785" s="21" t="s">
        <v>21</v>
      </c>
      <c r="F785" s="21" t="s">
        <v>23</v>
      </c>
      <c r="G785" s="21" t="s">
        <v>26</v>
      </c>
      <c r="H785" s="21" t="s">
        <v>29</v>
      </c>
      <c r="K785" s="21" t="s">
        <v>45</v>
      </c>
      <c r="M785" s="21" t="s">
        <v>55</v>
      </c>
      <c r="N785" s="21" t="s">
        <v>58</v>
      </c>
      <c r="O785" s="19">
        <f>IF(ISBLANK(D785),"",IF(D785='טבלת פרמטרים'!$A$9,1,0)+IF(E785='טבלת פרמטרים'!$B$5,2,1)+IF(F785='טבלת פרמטרים'!$C$5,3,IF(F785='טבלת פרמטרים'!$C$4,1,0))+IF(G785='טבלת פרמטרים'!$D$3,2,0)+IF(M785='טבלת פרמטרים'!$J$4,2,IF(M785='טבלת פרמטרים'!$J$3,1,0))+IF(N785='טבלת פרמטרים'!$K$6,3,IF(OR(N785='טבלת פרמטרים'!$K$4,N785='טבלת פרמטרים'!$K$5),2,IF(N785='טבלת פרמטרים'!$K$3,1,0))))</f>
        <v>4</v>
      </c>
      <c r="Q785" s="20" t="s">
        <v>123</v>
      </c>
      <c r="R785" s="19">
        <f t="shared" si="17"/>
        <v>4</v>
      </c>
      <c r="T785" s="19">
        <f>IF(EXACT(Q785,'טבלת פרמטרים'!$O$2),'טבלת פרמטרים'!$P$2,IF(EXACT(Q785,'טבלת פרמטרים'!$O$3),'טבלת פרמטרים'!$P$3,IF(EXACT(Q785,'טבלת פרמטרים'!$O$4),'טבלת פרמטרים'!$P$4,IF(EXACT(Q785,'טבלת פרמטרים'!$O$5),'טבלת פרמטרים'!$P$5,IF(EXACT(Q785,'טבלת פרמטרים'!$O$6),'טבלת פרמטרים'!$P$6,IF(EXACT(Q785,'טבלת פרמטרים'!$O$7),'טבלת פרמטרים'!$P$7,""))))))</f>
        <v>0</v>
      </c>
    </row>
    <row r="786" spans="1:20" ht="28.5" x14ac:dyDescent="0.2">
      <c r="A786" s="18">
        <v>786</v>
      </c>
      <c r="C786" s="30">
        <v>45837</v>
      </c>
      <c r="D786" s="21" t="s">
        <v>17</v>
      </c>
      <c r="E786" s="21" t="s">
        <v>22</v>
      </c>
      <c r="F786" s="21" t="s">
        <v>24</v>
      </c>
      <c r="G786" s="21" t="s">
        <v>26</v>
      </c>
      <c r="H786" s="21" t="s">
        <v>29</v>
      </c>
      <c r="K786" s="21" t="s">
        <v>1673</v>
      </c>
      <c r="M786" s="21" t="s">
        <v>55</v>
      </c>
      <c r="N786" s="21" t="s">
        <v>59</v>
      </c>
      <c r="O786" s="19">
        <f>IF(ISBLANK(D786),"",IF(D786='טבלת פרמטרים'!$A$9,1,0)+IF(E786='טבלת פרמטרים'!$B$5,2,1)+IF(F786='טבלת פרמטרים'!$C$5,3,IF(F786='טבלת פרמטרים'!$C$4,1,0))+IF(G786='טבלת פרמטרים'!$D$3,2,0)+IF(M786='טבלת פרמטרים'!$J$4,2,IF(M786='טבלת פרמטרים'!$J$3,1,0))+IF(N786='טבלת פרמטרים'!$K$6,3,IF(OR(N786='טבלת פרמטרים'!$K$4,N786='טבלת פרמטרים'!$K$5),2,IF(N786='טבלת פרמטרים'!$K$3,1,0))))</f>
        <v>8</v>
      </c>
      <c r="Q786" s="20" t="s">
        <v>331</v>
      </c>
      <c r="R786" s="19">
        <f t="shared" si="17"/>
        <v>14</v>
      </c>
      <c r="T786" s="19">
        <f>IF(EXACT(Q786,'טבלת פרמטרים'!$O$2),'טבלת פרמטרים'!$P$2,IF(EXACT(Q786,'טבלת פרמטרים'!$O$3),'טבלת פרמטרים'!$P$3,IF(EXACT(Q786,'טבלת פרמטרים'!$O$4),'טבלת פרמטרים'!$P$4,IF(EXACT(Q786,'טבלת פרמטרים'!$O$5),'טבלת פרמטרים'!$P$5,IF(EXACT(Q786,'טבלת פרמטרים'!$O$6),'טבלת פרמטרים'!$P$6,IF(EXACT(Q786,'טבלת פרמטרים'!$O$7),'טבלת פרמטרים'!$P$7,""))))))</f>
        <v>6</v>
      </c>
    </row>
    <row r="787" spans="1:20" x14ac:dyDescent="0.2">
      <c r="A787" s="18">
        <v>787</v>
      </c>
      <c r="C787" s="30">
        <v>45844</v>
      </c>
      <c r="D787" s="21" t="s">
        <v>12</v>
      </c>
      <c r="E787" s="21" t="s">
        <v>20</v>
      </c>
      <c r="F787" s="21" t="s">
        <v>23</v>
      </c>
      <c r="G787" s="21" t="s">
        <v>26</v>
      </c>
      <c r="H787" s="21" t="s">
        <v>32</v>
      </c>
      <c r="M787" s="21" t="s">
        <v>54</v>
      </c>
      <c r="O787" s="19">
        <f>IF(ISBLANK(D787),"",IF(D787='טבלת פרמטרים'!$A$9,1,0)+IF(E787='טבלת פרמטרים'!$B$5,2,1)+IF(F787='טבלת פרמטרים'!$C$5,3,IF(F787='טבלת פרמטרים'!$C$4,1,0))+IF(G787='טבלת פרמטרים'!$D$3,2,0)+IF(M787='טבלת פרמטרים'!$J$4,2,IF(M787='טבלת פרמטרים'!$J$3,1,0))+IF(N787='טבלת פרמטרים'!$K$6,3,IF(OR(N787='טבלת פרמטרים'!$K$4,N787='טבלת פרמטרים'!$K$5),2,IF(N787='טבלת פרמטרים'!$K$3,1,0))))</f>
        <v>2</v>
      </c>
      <c r="R787" s="19">
        <f t="shared" si="17"/>
        <v>2</v>
      </c>
      <c r="T787" s="19" t="str">
        <f>IF(EXACT(Q787,'טבלת פרמטרים'!$O$2),'טבלת פרמטרים'!$P$2,IF(EXACT(Q787,'טבלת פרמטרים'!$O$3),'טבלת פרמטרים'!$P$3,IF(EXACT(Q787,'טבלת פרמטרים'!$O$4),'טבלת פרמטרים'!$P$4,IF(EXACT(Q787,'טבלת פרמטרים'!$O$5),'טבלת פרמטרים'!$P$5,IF(EXACT(Q787,'טבלת פרמטרים'!$O$6),'טבלת פרמטרים'!$P$6,IF(EXACT(Q787,'טבלת פרמטרים'!$O$7),'טבלת פרמטרים'!$P$7,""))))))</f>
        <v/>
      </c>
    </row>
    <row r="788" spans="1:20" x14ac:dyDescent="0.2">
      <c r="A788" s="18">
        <v>788</v>
      </c>
      <c r="C788" s="30">
        <v>45837</v>
      </c>
      <c r="D788" s="21" t="s">
        <v>11</v>
      </c>
      <c r="E788" s="21" t="s">
        <v>111</v>
      </c>
      <c r="F788" s="21" t="s">
        <v>23</v>
      </c>
      <c r="G788" s="21" t="s">
        <v>26</v>
      </c>
      <c r="H788" s="21" t="s">
        <v>31</v>
      </c>
      <c r="I788" s="21" t="s">
        <v>126</v>
      </c>
      <c r="J788" s="21" t="s">
        <v>11</v>
      </c>
      <c r="M788" s="21" t="s">
        <v>55</v>
      </c>
      <c r="O788" s="19">
        <f>IF(ISBLANK(D788),"",IF(D788='טבלת פרמטרים'!$A$9,1,0)+IF(E788='טבלת פרמטרים'!$B$5,2,1)+IF(F788='טבלת פרמטרים'!$C$5,3,IF(F788='טבלת פרמטרים'!$C$4,1,0))+IF(G788='טבלת פרמטרים'!$D$3,2,0)+IF(M788='טבלת פרמטרים'!$J$4,2,IF(M788='טבלת פרמטרים'!$J$3,1,0))+IF(N788='טבלת פרמטרים'!$K$6,3,IF(OR(N788='טבלת פרמטרים'!$K$4,N788='טבלת פרמטרים'!$K$5),2,IF(N788='טבלת פרמטרים'!$K$3,1,0))))</f>
        <v>3</v>
      </c>
      <c r="R788" s="19">
        <f t="shared" si="17"/>
        <v>3</v>
      </c>
      <c r="T788" s="19" t="str">
        <f>IF(EXACT(Q788,'טבלת פרמטרים'!$O$2),'טבלת פרמטרים'!$P$2,IF(EXACT(Q788,'טבלת פרמטרים'!$O$3),'טבלת פרמטרים'!$P$3,IF(EXACT(Q788,'טבלת פרמטרים'!$O$4),'טבלת פרמטרים'!$P$4,IF(EXACT(Q788,'טבלת פרמטרים'!$O$5),'טבלת פרמטרים'!$P$5,IF(EXACT(Q788,'טבלת פרמטרים'!$O$6),'טבלת פרמטרים'!$P$6,IF(EXACT(Q788,'טבלת פרמטרים'!$O$7),'טבלת פרמטרים'!$P$7,""))))))</f>
        <v/>
      </c>
    </row>
    <row r="789" spans="1:20" x14ac:dyDescent="0.2">
      <c r="A789" s="18">
        <v>789</v>
      </c>
      <c r="C789" s="30">
        <v>45838</v>
      </c>
      <c r="D789" s="21" t="s">
        <v>17</v>
      </c>
      <c r="E789" s="21" t="s">
        <v>20</v>
      </c>
      <c r="F789" s="21" t="s">
        <v>23</v>
      </c>
      <c r="G789" s="21" t="s">
        <v>26</v>
      </c>
      <c r="H789" s="21" t="s">
        <v>31</v>
      </c>
      <c r="M789" s="21" t="s">
        <v>54</v>
      </c>
      <c r="O789" s="19">
        <f>IF(ISBLANK(D789),"",IF(D789='טבלת פרמטרים'!$A$9,1,0)+IF(E789='טבלת פרמטרים'!$B$5,2,1)+IF(F789='טבלת פרמטרים'!$C$5,3,IF(F789='טבלת פרמטרים'!$C$4,1,0))+IF(G789='טבלת פרמטרים'!$D$3,2,0)+IF(M789='טבלת פרמטרים'!$J$4,2,IF(M789='טבלת פרמטרים'!$J$3,1,0))+IF(N789='טבלת פרמטרים'!$K$6,3,IF(OR(N789='טבלת פרמטרים'!$K$4,N789='טבלת פרמטרים'!$K$5),2,IF(N789='טבלת פרמטרים'!$K$3,1,0))))</f>
        <v>3</v>
      </c>
      <c r="R789" s="19">
        <f t="shared" ref="R789:R852" si="18">IF(ISNUMBER(T789),T789+O789,O789)</f>
        <v>3</v>
      </c>
      <c r="T789" s="19" t="str">
        <f>IF(EXACT(Q789,'טבלת פרמטרים'!$O$2),'טבלת פרמטרים'!$P$2,IF(EXACT(Q789,'טבלת פרמטרים'!$O$3),'טבלת פרמטרים'!$P$3,IF(EXACT(Q789,'טבלת פרמטרים'!$O$4),'טבלת פרמטרים'!$P$4,IF(EXACT(Q789,'טבלת פרמטרים'!$O$5),'טבלת פרמטרים'!$P$5,IF(EXACT(Q789,'טבלת פרמטרים'!$O$6),'טבלת פרמטרים'!$P$6,IF(EXACT(Q789,'טבלת פרמטרים'!$O$7),'טבלת פרמטרים'!$P$7,""))))))</f>
        <v/>
      </c>
    </row>
    <row r="790" spans="1:20" x14ac:dyDescent="0.2">
      <c r="A790" s="18">
        <v>790</v>
      </c>
      <c r="C790" s="30">
        <v>45839</v>
      </c>
      <c r="D790" s="21" t="s">
        <v>11</v>
      </c>
      <c r="E790" s="21" t="s">
        <v>20</v>
      </c>
      <c r="F790" s="21" t="s">
        <v>23</v>
      </c>
      <c r="G790" s="21" t="s">
        <v>26</v>
      </c>
      <c r="H790" s="21" t="s">
        <v>30</v>
      </c>
      <c r="M790" s="21" t="s">
        <v>54</v>
      </c>
      <c r="O790" s="19">
        <f>IF(ISBLANK(D790),"",IF(D790='טבלת פרמטרים'!$A$9,1,0)+IF(E790='טבלת פרמטרים'!$B$5,2,1)+IF(F790='טבלת פרמטרים'!$C$5,3,IF(F790='טבלת פרמטרים'!$C$4,1,0))+IF(G790='טבלת פרמטרים'!$D$3,2,0)+IF(M790='טבלת פרמטרים'!$J$4,2,IF(M790='טבלת פרמטרים'!$J$3,1,0))+IF(N790='טבלת פרמטרים'!$K$6,3,IF(OR(N790='טבלת פרמטרים'!$K$4,N790='טבלת פרמטרים'!$K$5),2,IF(N790='טבלת פרמטרים'!$K$3,1,0))))</f>
        <v>2</v>
      </c>
      <c r="R790" s="19">
        <f t="shared" si="18"/>
        <v>2</v>
      </c>
      <c r="T790" s="19" t="str">
        <f>IF(EXACT(Q790,'טבלת פרמטרים'!$O$2),'טבלת פרמטרים'!$P$2,IF(EXACT(Q790,'טבלת פרמטרים'!$O$3),'טבלת פרמטרים'!$P$3,IF(EXACT(Q790,'טבלת פרמטרים'!$O$4),'טבלת פרמטרים'!$P$4,IF(EXACT(Q790,'טבלת פרמטרים'!$O$5),'טבלת פרמטרים'!$P$5,IF(EXACT(Q790,'טבלת פרמטרים'!$O$6),'טבלת פרמטרים'!$P$6,IF(EXACT(Q790,'טבלת פרמטרים'!$O$7),'טבלת פרמטרים'!$P$7,""))))))</f>
        <v/>
      </c>
    </row>
    <row r="791" spans="1:20" x14ac:dyDescent="0.2">
      <c r="A791" s="18">
        <v>791</v>
      </c>
      <c r="C791" s="30">
        <v>45846</v>
      </c>
      <c r="D791" s="21" t="s">
        <v>11</v>
      </c>
      <c r="E791" s="21" t="s">
        <v>21</v>
      </c>
      <c r="F791" s="21" t="s">
        <v>23</v>
      </c>
      <c r="G791" s="21" t="s">
        <v>26</v>
      </c>
      <c r="H791" s="21" t="s">
        <v>19</v>
      </c>
      <c r="M791" s="21" t="s">
        <v>53</v>
      </c>
      <c r="O791" s="19">
        <f>IF(ISBLANK(D791),"",IF(D791='טבלת פרמטרים'!$A$9,1,0)+IF(E791='טבלת פרמטרים'!$B$5,2,1)+IF(F791='טבלת פרמטרים'!$C$5,3,IF(F791='טבלת פרמטרים'!$C$4,1,0))+IF(G791='טבלת פרמטרים'!$D$3,2,0)+IF(M791='טבלת פרמטרים'!$J$4,2,IF(M791='טבלת פרמטרים'!$J$3,1,0))+IF(N791='טבלת פרמטרים'!$K$6,3,IF(OR(N791='טבלת פרמטרים'!$K$4,N791='טבלת פרמטרים'!$K$5),2,IF(N791='טבלת פרמטרים'!$K$3,1,0))))</f>
        <v>1</v>
      </c>
      <c r="R791" s="19">
        <f t="shared" si="18"/>
        <v>1</v>
      </c>
      <c r="T791" s="19" t="str">
        <f>IF(EXACT(Q791,'טבלת פרמטרים'!$O$2),'טבלת פרמטרים'!$P$2,IF(EXACT(Q791,'טבלת פרמטרים'!$O$3),'טבלת פרמטרים'!$P$3,IF(EXACT(Q791,'טבלת פרמטרים'!$O$4),'טבלת פרמטרים'!$P$4,IF(EXACT(Q791,'טבלת פרמטרים'!$O$5),'טבלת פרמטרים'!$P$5,IF(EXACT(Q791,'טבלת פרמטרים'!$O$6),'טבלת פרמטרים'!$P$6,IF(EXACT(Q791,'טבלת פרמטרים'!$O$7),'טבלת פרמטרים'!$P$7,""))))))</f>
        <v/>
      </c>
    </row>
    <row r="792" spans="1:20" x14ac:dyDescent="0.2">
      <c r="A792" s="18">
        <v>792</v>
      </c>
      <c r="C792" s="30">
        <v>45852</v>
      </c>
      <c r="D792" s="21" t="s">
        <v>15</v>
      </c>
      <c r="E792" s="21" t="s">
        <v>20</v>
      </c>
      <c r="F792" s="21" t="s">
        <v>23</v>
      </c>
      <c r="G792" s="21" t="s">
        <v>26</v>
      </c>
      <c r="H792" s="21" t="s">
        <v>29</v>
      </c>
      <c r="M792" s="21" t="s">
        <v>55</v>
      </c>
      <c r="O792" s="19">
        <f>IF(ISBLANK(D792),"",IF(D792='טבלת פרמטרים'!$A$9,1,0)+IF(E792='טבלת פרמטרים'!$B$5,2,1)+IF(F792='טבלת פרמטרים'!$C$5,3,IF(F792='טבלת פרמטרים'!$C$4,1,0))+IF(G792='טבלת פרמטרים'!$D$3,2,0)+IF(M792='טבלת פרמטרים'!$J$4,2,IF(M792='טבלת פרמטרים'!$J$3,1,0))+IF(N792='טבלת פרמטרים'!$K$6,3,IF(OR(N792='טבלת פרמטרים'!$K$4,N792='טבלת פרמטרים'!$K$5),2,IF(N792='טבלת פרמטרים'!$K$3,1,0))))</f>
        <v>3</v>
      </c>
      <c r="R792" s="19">
        <f t="shared" si="18"/>
        <v>3</v>
      </c>
      <c r="T792" s="19" t="str">
        <f>IF(EXACT(Q792,'טבלת פרמטרים'!$O$2),'טבלת פרמטרים'!$P$2,IF(EXACT(Q792,'טבלת פרמטרים'!$O$3),'טבלת פרמטרים'!$P$3,IF(EXACT(Q792,'טבלת פרמטרים'!$O$4),'טבלת פרמטרים'!$P$4,IF(EXACT(Q792,'טבלת פרמטרים'!$O$5),'טבלת פרמטרים'!$P$5,IF(EXACT(Q792,'טבלת פרמטרים'!$O$6),'טבלת פרמטרים'!$P$6,IF(EXACT(Q792,'טבלת פרמטרים'!$O$7),'טבלת פרמטרים'!$P$7,""))))))</f>
        <v/>
      </c>
    </row>
    <row r="793" spans="1:20" x14ac:dyDescent="0.2">
      <c r="A793" s="18">
        <v>793</v>
      </c>
      <c r="C793" s="30">
        <v>45852</v>
      </c>
      <c r="D793" s="21" t="s">
        <v>15</v>
      </c>
      <c r="E793" s="21" t="s">
        <v>20</v>
      </c>
      <c r="F793" s="21" t="s">
        <v>23</v>
      </c>
      <c r="G793" s="21" t="s">
        <v>26</v>
      </c>
      <c r="H793" s="21" t="s">
        <v>31</v>
      </c>
      <c r="M793" s="21" t="s">
        <v>54</v>
      </c>
      <c r="O793" s="19">
        <f>IF(ISBLANK(D793),"",IF(D793='טבלת פרמטרים'!$A$9,1,0)+IF(E793='טבלת פרמטרים'!$B$5,2,1)+IF(F793='טבלת פרמטרים'!$C$5,3,IF(F793='טבלת פרמטרים'!$C$4,1,0))+IF(G793='טבלת פרמטרים'!$D$3,2,0)+IF(M793='טבלת פרמטרים'!$J$4,2,IF(M793='טבלת פרמטרים'!$J$3,1,0))+IF(N793='טבלת פרמטרים'!$K$6,3,IF(OR(N793='טבלת פרמטרים'!$K$4,N793='טבלת פרמטרים'!$K$5),2,IF(N793='טבלת פרמטרים'!$K$3,1,0))))</f>
        <v>2</v>
      </c>
      <c r="R793" s="19">
        <f t="shared" si="18"/>
        <v>2</v>
      </c>
      <c r="T793" s="19" t="str">
        <f>IF(EXACT(Q793,'טבלת פרמטרים'!$O$2),'טבלת פרמטרים'!$P$2,IF(EXACT(Q793,'טבלת פרמטרים'!$O$3),'טבלת פרמטרים'!$P$3,IF(EXACT(Q793,'טבלת פרמטרים'!$O$4),'טבלת פרמטרים'!$P$4,IF(EXACT(Q793,'טבלת פרמטרים'!$O$5),'טבלת פרמטרים'!$P$5,IF(EXACT(Q793,'טבלת פרמטרים'!$O$6),'טבלת פרמטרים'!$P$6,IF(EXACT(Q793,'טבלת פרמטרים'!$O$7),'טבלת פרמטרים'!$P$7,""))))))</f>
        <v/>
      </c>
    </row>
    <row r="794" spans="1:20" x14ac:dyDescent="0.2">
      <c r="A794" s="18">
        <v>794</v>
      </c>
      <c r="C794" s="30">
        <v>45852</v>
      </c>
      <c r="D794" s="21" t="s">
        <v>16</v>
      </c>
      <c r="E794" s="21" t="s">
        <v>20</v>
      </c>
      <c r="F794" s="21" t="s">
        <v>23</v>
      </c>
      <c r="G794" s="21" t="s">
        <v>26</v>
      </c>
      <c r="H794" s="21" t="s">
        <v>31</v>
      </c>
      <c r="M794" s="21" t="s">
        <v>54</v>
      </c>
      <c r="O794" s="19">
        <f>IF(ISBLANK(D794),"",IF(D794='טבלת פרמטרים'!$A$9,1,0)+IF(E794='טבלת פרמטרים'!$B$5,2,1)+IF(F794='טבלת פרמטרים'!$C$5,3,IF(F794='טבלת פרמטרים'!$C$4,1,0))+IF(G794='טבלת פרמטרים'!$D$3,2,0)+IF(M794='טבלת פרמטרים'!$J$4,2,IF(M794='טבלת פרמטרים'!$J$3,1,0))+IF(N794='טבלת פרמטרים'!$K$6,3,IF(OR(N794='טבלת פרמטרים'!$K$4,N794='טבלת פרמטרים'!$K$5),2,IF(N794='טבלת פרמטרים'!$K$3,1,0))))</f>
        <v>2</v>
      </c>
      <c r="R794" s="19">
        <f t="shared" si="18"/>
        <v>2</v>
      </c>
      <c r="T794" s="19" t="str">
        <f>IF(EXACT(Q794,'טבלת פרמטרים'!$O$2),'טבלת פרמטרים'!$P$2,IF(EXACT(Q794,'טבלת פרמטרים'!$O$3),'טבלת פרמטרים'!$P$3,IF(EXACT(Q794,'טבלת פרמטרים'!$O$4),'טבלת פרמטרים'!$P$4,IF(EXACT(Q794,'טבלת פרמטרים'!$O$5),'טבלת פרמטרים'!$P$5,IF(EXACT(Q794,'טבלת פרמטרים'!$O$6),'טבלת פרמטרים'!$P$6,IF(EXACT(Q794,'טבלת פרמטרים'!$O$7),'טבלת פרמטרים'!$P$7,""))))))</f>
        <v/>
      </c>
    </row>
    <row r="795" spans="1:20" x14ac:dyDescent="0.2">
      <c r="A795" s="18">
        <v>795</v>
      </c>
      <c r="C795" s="30">
        <v>45853</v>
      </c>
      <c r="D795" s="21" t="s">
        <v>16</v>
      </c>
      <c r="E795" s="21" t="s">
        <v>111</v>
      </c>
      <c r="F795" s="21" t="s">
        <v>23</v>
      </c>
      <c r="G795" s="21" t="s">
        <v>26</v>
      </c>
      <c r="H795" s="21" t="s">
        <v>32</v>
      </c>
      <c r="I795" s="21" t="s">
        <v>126</v>
      </c>
      <c r="J795" s="21" t="s">
        <v>33</v>
      </c>
      <c r="L795" s="21" t="s">
        <v>51</v>
      </c>
      <c r="M795" s="21" t="s">
        <v>54</v>
      </c>
      <c r="O795" s="19">
        <f>IF(ISBLANK(D795),"",IF(D795='טבלת פרמטרים'!$A$9,1,0)+IF(E795='טבלת פרמטרים'!$B$5,2,1)+IF(F795='טבלת פרמטרים'!$C$5,3,IF(F795='טבלת פרמטרים'!$C$4,1,0))+IF(G795='טבלת פרמטרים'!$D$3,2,0)+IF(M795='טבלת פרמטרים'!$J$4,2,IF(M795='טבלת פרמטרים'!$J$3,1,0))+IF(N795='טבלת פרמטרים'!$K$6,3,IF(OR(N795='טבלת פרמטרים'!$K$4,N795='טבלת פרמטרים'!$K$5),2,IF(N795='טבלת פרמטרים'!$K$3,1,0))))</f>
        <v>2</v>
      </c>
      <c r="R795" s="19">
        <f t="shared" si="18"/>
        <v>2</v>
      </c>
      <c r="T795" s="19" t="str">
        <f>IF(EXACT(Q795,'טבלת פרמטרים'!$O$2),'טבלת פרמטרים'!$P$2,IF(EXACT(Q795,'טבלת פרמטרים'!$O$3),'טבלת פרמטרים'!$P$3,IF(EXACT(Q795,'טבלת פרמטרים'!$O$4),'טבלת פרמטרים'!$P$4,IF(EXACT(Q795,'טבלת פרמטרים'!$O$5),'טבלת פרמטרים'!$P$5,IF(EXACT(Q795,'טבלת פרמטרים'!$O$6),'טבלת פרמטרים'!$P$6,IF(EXACT(Q795,'טבלת פרמטרים'!$O$7),'טבלת פרמטרים'!$P$7,""))))))</f>
        <v/>
      </c>
    </row>
    <row r="796" spans="1:20" x14ac:dyDescent="0.2">
      <c r="A796" s="18">
        <v>796</v>
      </c>
      <c r="C796" s="30">
        <v>45781</v>
      </c>
      <c r="D796" s="21" t="s">
        <v>10</v>
      </c>
      <c r="E796" s="21" t="s">
        <v>20</v>
      </c>
      <c r="F796" s="21" t="s">
        <v>23</v>
      </c>
      <c r="G796" s="21" t="s">
        <v>26</v>
      </c>
      <c r="H796" s="21" t="s">
        <v>29</v>
      </c>
      <c r="M796" s="21" t="s">
        <v>53</v>
      </c>
      <c r="N796" s="21" t="s">
        <v>58</v>
      </c>
      <c r="O796" s="19">
        <f>IF(ISBLANK(D796),"",IF(D796='טבלת פרמטרים'!$A$9,1,0)+IF(E796='טבלת פרמטרים'!$B$5,2,1)+IF(F796='טבלת פרמטרים'!$C$5,3,IF(F796='טבלת פרמטרים'!$C$4,1,0))+IF(G796='טבלת פרמטרים'!$D$3,2,0)+IF(M796='טבלת פרמטרים'!$J$4,2,IF(M796='טבלת פרמטרים'!$J$3,1,0))+IF(N796='טבלת פרמטרים'!$K$6,3,IF(OR(N796='טבלת פרמטרים'!$K$4,N796='טבלת פרמטרים'!$K$5),2,IF(N796='טבלת פרמטרים'!$K$3,1,0))))</f>
        <v>2</v>
      </c>
      <c r="Q796" s="20" t="s">
        <v>123</v>
      </c>
      <c r="R796" s="19">
        <f t="shared" si="18"/>
        <v>2</v>
      </c>
      <c r="T796" s="19">
        <f>IF(EXACT(Q796,'טבלת פרמטרים'!$O$2),'טבלת פרמטרים'!$P$2,IF(EXACT(Q796,'טבלת פרמטרים'!$O$3),'טבלת פרמטרים'!$P$3,IF(EXACT(Q796,'טבלת פרמטרים'!$O$4),'טבלת פרמטרים'!$P$4,IF(EXACT(Q796,'טבלת פרמטרים'!$O$5),'טבלת פרמטרים'!$P$5,IF(EXACT(Q796,'טבלת פרמטרים'!$O$6),'טבלת פרמטרים'!$P$6,IF(EXACT(Q796,'טבלת פרמטרים'!$O$7),'טבלת פרמטרים'!$P$7,""))))))</f>
        <v>0</v>
      </c>
    </row>
    <row r="797" spans="1:20" x14ac:dyDescent="0.2">
      <c r="A797" s="18">
        <v>797</v>
      </c>
      <c r="C797" s="30">
        <v>45875</v>
      </c>
      <c r="D797" s="21" t="s">
        <v>17</v>
      </c>
      <c r="E797" s="21" t="s">
        <v>22</v>
      </c>
      <c r="F797" s="21" t="s">
        <v>24</v>
      </c>
      <c r="G797" s="21" t="s">
        <v>26</v>
      </c>
      <c r="H797" s="21" t="s">
        <v>31</v>
      </c>
      <c r="M797" s="21" t="s">
        <v>55</v>
      </c>
      <c r="O797" s="19">
        <f>IF(ISBLANK(D797),"",IF(D797='טבלת פרמטרים'!$A$9,1,0)+IF(E797='טבלת פרמטרים'!$B$5,2,1)+IF(F797='טבלת פרמטרים'!$C$5,3,IF(F797='טבלת פרמטרים'!$C$4,1,0))+IF(G797='טבלת פרמטרים'!$D$3,2,0)+IF(M797='טבלת פרמטרים'!$J$4,2,IF(M797='טבלת פרמטרים'!$J$3,1,0))+IF(N797='טבלת פרמטרים'!$K$6,3,IF(OR(N797='טבלת פרמטרים'!$K$4,N797='טבלת פרמטרים'!$K$5),2,IF(N797='טבלת פרמטרים'!$K$3,1,0))))</f>
        <v>6</v>
      </c>
      <c r="R797" s="19">
        <f t="shared" si="18"/>
        <v>6</v>
      </c>
      <c r="T797" s="19" t="str">
        <f>IF(EXACT(Q797,'טבלת פרמטרים'!$O$2),'טבלת פרמטרים'!$P$2,IF(EXACT(Q797,'טבלת פרמטרים'!$O$3),'טבלת פרמטרים'!$P$3,IF(EXACT(Q797,'טבלת פרמטרים'!$O$4),'טבלת פרמטרים'!$P$4,IF(EXACT(Q797,'טבלת פרמטרים'!$O$5),'טבלת פרמטרים'!$P$5,IF(EXACT(Q797,'טבלת פרמטרים'!$O$6),'טבלת פרמטרים'!$P$6,IF(EXACT(Q797,'טבלת פרמטרים'!$O$7),'טבלת פרמטרים'!$P$7,""))))))</f>
        <v/>
      </c>
    </row>
    <row r="798" spans="1:20" x14ac:dyDescent="0.2">
      <c r="A798" s="18">
        <v>798</v>
      </c>
      <c r="C798" s="30">
        <v>45875</v>
      </c>
      <c r="D798" s="21" t="s">
        <v>19</v>
      </c>
      <c r="E798" s="21" t="s">
        <v>20</v>
      </c>
      <c r="F798" s="21" t="s">
        <v>25</v>
      </c>
      <c r="G798" s="21" t="s">
        <v>26</v>
      </c>
      <c r="H798" s="21" t="s">
        <v>32</v>
      </c>
      <c r="J798" s="21" t="s">
        <v>63</v>
      </c>
      <c r="K798" s="21" t="s">
        <v>19</v>
      </c>
      <c r="M798" s="21" t="s">
        <v>54</v>
      </c>
      <c r="O798" s="19">
        <f>IF(ISBLANK(D798),"",IF(D798='טבלת פרמטרים'!$A$9,1,0)+IF(E798='טבלת פרמטרים'!$B$5,2,1)+IF(F798='טבלת פרמטרים'!$C$5,3,IF(F798='טבלת פרמטרים'!$C$4,1,0))+IF(G798='טבלת פרמטרים'!$D$3,2,0)+IF(M798='טבלת פרמטרים'!$J$4,2,IF(M798='טבלת פרמטרים'!$J$3,1,0))+IF(N798='טבלת פרמטרים'!$K$6,3,IF(OR(N798='טבלת פרמטרים'!$K$4,N798='טבלת פרמטרים'!$K$5),2,IF(N798='טבלת פרמטרים'!$K$3,1,0))))</f>
        <v>5</v>
      </c>
      <c r="R798" s="19">
        <f t="shared" si="18"/>
        <v>5</v>
      </c>
      <c r="T798" s="19" t="str">
        <f>IF(EXACT(Q798,'טבלת פרמטרים'!$O$2),'טבלת פרמטרים'!$P$2,IF(EXACT(Q798,'טבלת פרמטרים'!$O$3),'טבלת פרמטרים'!$P$3,IF(EXACT(Q798,'טבלת פרמטרים'!$O$4),'טבלת פרמטרים'!$P$4,IF(EXACT(Q798,'טבלת פרמטרים'!$O$5),'טבלת פרמטרים'!$P$5,IF(EXACT(Q798,'טבלת פרמטרים'!$O$6),'טבלת פרמטרים'!$P$6,IF(EXACT(Q798,'טבלת פרמטרים'!$O$7),'טבלת פרמטרים'!$P$7,""))))))</f>
        <v/>
      </c>
    </row>
    <row r="799" spans="1:20" x14ac:dyDescent="0.2">
      <c r="A799" s="18">
        <v>799</v>
      </c>
      <c r="C799" s="30">
        <v>45880</v>
      </c>
      <c r="D799" s="21" t="s">
        <v>14</v>
      </c>
      <c r="E799" s="21" t="s">
        <v>111</v>
      </c>
      <c r="F799" s="21" t="s">
        <v>23</v>
      </c>
      <c r="G799" s="21" t="s">
        <v>26</v>
      </c>
      <c r="H799" s="21" t="s">
        <v>31</v>
      </c>
      <c r="K799" s="21" t="s">
        <v>45</v>
      </c>
      <c r="L799" s="21" t="s">
        <v>51</v>
      </c>
      <c r="M799" s="21" t="s">
        <v>54</v>
      </c>
      <c r="O799" s="19">
        <f>IF(ISBLANK(D799),"",IF(D799='טבלת פרמטרים'!$A$9,1,0)+IF(E799='טבלת פרמטרים'!$B$5,2,1)+IF(F799='טבלת פרמטרים'!$C$5,3,IF(F799='טבלת פרמטרים'!$C$4,1,0))+IF(G799='טבלת פרמטרים'!$D$3,2,0)+IF(M799='טבלת פרמטרים'!$J$4,2,IF(M799='טבלת פרמטרים'!$J$3,1,0))+IF(N799='טבלת פרמטרים'!$K$6,3,IF(OR(N799='טבלת פרמטרים'!$K$4,N799='טבלת פרמטרים'!$K$5),2,IF(N799='טבלת פרמטרים'!$K$3,1,0))))</f>
        <v>2</v>
      </c>
      <c r="R799" s="19">
        <f t="shared" si="18"/>
        <v>2</v>
      </c>
      <c r="T799" s="19" t="str">
        <f>IF(EXACT(Q799,'טבלת פרמטרים'!$O$2),'טבלת פרמטרים'!$P$2,IF(EXACT(Q799,'טבלת פרמטרים'!$O$3),'טבלת פרמטרים'!$P$3,IF(EXACT(Q799,'טבלת פרמטרים'!$O$4),'טבלת פרמטרים'!$P$4,IF(EXACT(Q799,'טבלת פרמטרים'!$O$5),'טבלת פרמטרים'!$P$5,IF(EXACT(Q799,'טבלת פרמטרים'!$O$6),'טבלת פרמטרים'!$P$6,IF(EXACT(Q799,'טבלת פרמטרים'!$O$7),'טבלת פרמטרים'!$P$7,""))))))</f>
        <v/>
      </c>
    </row>
    <row r="800" spans="1:20" x14ac:dyDescent="0.2">
      <c r="A800" s="18">
        <v>800</v>
      </c>
      <c r="C800" s="30">
        <v>45883</v>
      </c>
      <c r="D800" s="21" t="s">
        <v>17</v>
      </c>
      <c r="E800" s="21" t="s">
        <v>20</v>
      </c>
      <c r="F800" s="21" t="s">
        <v>23</v>
      </c>
      <c r="G800" s="21" t="s">
        <v>26</v>
      </c>
      <c r="H800" s="21" t="s">
        <v>31</v>
      </c>
      <c r="I800" s="21" t="s">
        <v>126</v>
      </c>
      <c r="J800" s="21" t="s">
        <v>33</v>
      </c>
      <c r="K800" s="21" t="s">
        <v>1673</v>
      </c>
      <c r="M800" s="21" t="s">
        <v>55</v>
      </c>
      <c r="O800" s="19">
        <f>IF(ISBLANK(D800),"",IF(D800='טבלת פרמטרים'!$A$9,1,0)+IF(E800='טבלת פרמטרים'!$B$5,2,1)+IF(F800='טבלת פרמטרים'!$C$5,3,IF(F800='טבלת פרמטרים'!$C$4,1,0))+IF(G800='טבלת פרמטרים'!$D$3,2,0)+IF(M800='טבלת פרמטרים'!$J$4,2,IF(M800='טבלת פרמטרים'!$J$3,1,0))+IF(N800='טבלת פרמטרים'!$K$6,3,IF(OR(N800='טבלת פרמטרים'!$K$4,N800='טבלת פרמטרים'!$K$5),2,IF(N800='טבלת פרמטרים'!$K$3,1,0))))</f>
        <v>4</v>
      </c>
      <c r="R800" s="19">
        <f t="shared" si="18"/>
        <v>4</v>
      </c>
      <c r="T800" s="19" t="str">
        <f>IF(EXACT(Q800,'טבלת פרמטרים'!$O$2),'טבלת פרמטרים'!$P$2,IF(EXACT(Q800,'טבלת פרמטרים'!$O$3),'טבלת פרמטרים'!$P$3,IF(EXACT(Q800,'טבלת פרמטרים'!$O$4),'טבלת פרמטרים'!$P$4,IF(EXACT(Q800,'טבלת פרמטרים'!$O$5),'טבלת פרמטרים'!$P$5,IF(EXACT(Q800,'טבלת פרמטרים'!$O$6),'טבלת פרמטרים'!$P$6,IF(EXACT(Q800,'טבלת פרמטרים'!$O$7),'טבלת פרמטרים'!$P$7,""))))))</f>
        <v/>
      </c>
    </row>
    <row r="801" spans="1:20" x14ac:dyDescent="0.2">
      <c r="A801" s="18">
        <v>801</v>
      </c>
      <c r="C801" s="30">
        <v>45887</v>
      </c>
      <c r="D801" s="21" t="s">
        <v>16</v>
      </c>
      <c r="E801" s="21" t="s">
        <v>111</v>
      </c>
      <c r="F801" s="21" t="s">
        <v>23</v>
      </c>
      <c r="G801" s="21" t="s">
        <v>26</v>
      </c>
      <c r="H801" s="21" t="s">
        <v>32</v>
      </c>
      <c r="K801" s="21" t="s">
        <v>46</v>
      </c>
      <c r="M801" s="21" t="s">
        <v>53</v>
      </c>
      <c r="O801" s="19">
        <f>IF(ISBLANK(D801),"",IF(D801='טבלת פרמטרים'!$A$9,1,0)+IF(E801='טבלת פרמטרים'!$B$5,2,1)+IF(F801='טבלת פרמטרים'!$C$5,3,IF(F801='טבלת פרמטרים'!$C$4,1,0))+IF(G801='טבלת פרמטרים'!$D$3,2,0)+IF(M801='טבלת פרמטרים'!$J$4,2,IF(M801='טבלת פרמטרים'!$J$3,1,0))+IF(N801='טבלת פרמטרים'!$K$6,3,IF(OR(N801='טבלת פרמטרים'!$K$4,N801='טבלת פרמטרים'!$K$5),2,IF(N801='טבלת פרמטרים'!$K$3,1,0))))</f>
        <v>1</v>
      </c>
      <c r="R801" s="19">
        <f t="shared" si="18"/>
        <v>1</v>
      </c>
      <c r="T801" s="19" t="str">
        <f>IF(EXACT(Q801,'טבלת פרמטרים'!$O$2),'טבלת פרמטרים'!$P$2,IF(EXACT(Q801,'טבלת פרמטרים'!$O$3),'טבלת פרמטרים'!$P$3,IF(EXACT(Q801,'טבלת פרמטרים'!$O$4),'טבלת פרמטרים'!$P$4,IF(EXACT(Q801,'טבלת פרמטרים'!$O$5),'טבלת פרמטרים'!$P$5,IF(EXACT(Q801,'טבלת פרמטרים'!$O$6),'טבלת פרמטרים'!$P$6,IF(EXACT(Q801,'טבלת פרמטרים'!$O$7),'טבלת פרמטרים'!$P$7,""))))))</f>
        <v/>
      </c>
    </row>
    <row r="802" spans="1:20" x14ac:dyDescent="0.2">
      <c r="A802" s="18">
        <v>802</v>
      </c>
      <c r="C802" s="30">
        <v>45888</v>
      </c>
      <c r="D802" s="21" t="s">
        <v>17</v>
      </c>
      <c r="E802" s="21" t="s">
        <v>20</v>
      </c>
      <c r="F802" s="21" t="s">
        <v>23</v>
      </c>
      <c r="G802" s="21" t="s">
        <v>27</v>
      </c>
      <c r="H802" s="21" t="s">
        <v>31</v>
      </c>
      <c r="I802" s="21" t="s">
        <v>126</v>
      </c>
      <c r="J802" s="21" t="s">
        <v>33</v>
      </c>
      <c r="K802" s="21" t="s">
        <v>45</v>
      </c>
      <c r="L802" s="21" t="s">
        <v>51</v>
      </c>
      <c r="M802" s="21" t="s">
        <v>55</v>
      </c>
      <c r="O802" s="19">
        <f>IF(ISBLANK(D802),"",IF(D802='טבלת פרמטרים'!$A$9,1,0)+IF(E802='טבלת פרמטרים'!$B$5,2,1)+IF(F802='טבלת פרמטרים'!$C$5,3,IF(F802='טבלת פרמטרים'!$C$4,1,0))+IF(G802='טבלת פרמטרים'!$D$3,2,0)+IF(M802='טבלת פרמטרים'!$J$4,2,IF(M802='טבלת פרמטרים'!$J$3,1,0))+IF(N802='טבלת פרמטרים'!$K$6,3,IF(OR(N802='טבלת פרמטרים'!$K$4,N802='טבלת פרמטרים'!$K$5),2,IF(N802='טבלת פרמטרים'!$K$3,1,0))))</f>
        <v>6</v>
      </c>
      <c r="R802" s="19">
        <f t="shared" si="18"/>
        <v>6</v>
      </c>
      <c r="T802" s="19" t="str">
        <f>IF(EXACT(Q802,'טבלת פרמטרים'!$O$2),'טבלת פרמטרים'!$P$2,IF(EXACT(Q802,'טבלת פרמטרים'!$O$3),'טבלת פרמטרים'!$P$3,IF(EXACT(Q802,'טבלת פרמטרים'!$O$4),'טבלת פרמטרים'!$P$4,IF(EXACT(Q802,'טבלת פרמטרים'!$O$5),'טבלת פרמטרים'!$P$5,IF(EXACT(Q802,'טבלת פרמטרים'!$O$6),'טבלת פרמטרים'!$P$6,IF(EXACT(Q802,'טבלת פרמטרים'!$O$7),'טבלת פרמטרים'!$P$7,""))))))</f>
        <v/>
      </c>
    </row>
    <row r="803" spans="1:20" x14ac:dyDescent="0.2">
      <c r="A803" s="18">
        <v>803</v>
      </c>
      <c r="C803" s="30">
        <v>45888</v>
      </c>
      <c r="D803" s="21" t="s">
        <v>17</v>
      </c>
      <c r="E803" s="21" t="s">
        <v>21</v>
      </c>
      <c r="F803" s="21" t="s">
        <v>23</v>
      </c>
      <c r="G803" s="21" t="s">
        <v>26</v>
      </c>
      <c r="H803" s="21" t="s">
        <v>30</v>
      </c>
      <c r="M803" s="21" t="s">
        <v>53</v>
      </c>
      <c r="O803" s="19">
        <f>IF(ISBLANK(D803),"",IF(D803='טבלת פרמטרים'!$A$9,1,0)+IF(E803='טבלת פרמטרים'!$B$5,2,1)+IF(F803='טבלת פרמטרים'!$C$5,3,IF(F803='טבלת פרמטרים'!$C$4,1,0))+IF(G803='טבלת פרמטרים'!$D$3,2,0)+IF(M803='טבלת פרמטרים'!$J$4,2,IF(M803='טבלת פרמטרים'!$J$3,1,0))+IF(N803='טבלת פרמטרים'!$K$6,3,IF(OR(N803='טבלת פרמטרים'!$K$4,N803='טבלת פרמטרים'!$K$5),2,IF(N803='טבלת פרמטרים'!$K$3,1,0))))</f>
        <v>2</v>
      </c>
      <c r="R803" s="19">
        <f t="shared" si="18"/>
        <v>2</v>
      </c>
      <c r="T803" s="19" t="str">
        <f>IF(EXACT(Q803,'טבלת פרמטרים'!$O$2),'טבלת פרמטרים'!$P$2,IF(EXACT(Q803,'טבלת פרמטרים'!$O$3),'טבלת פרמטרים'!$P$3,IF(EXACT(Q803,'טבלת פרמטרים'!$O$4),'טבלת פרמטרים'!$P$4,IF(EXACT(Q803,'טבלת פרמטרים'!$O$5),'טבלת פרמטרים'!$P$5,IF(EXACT(Q803,'טבלת פרמטרים'!$O$6),'טבלת פרמטרים'!$P$6,IF(EXACT(Q803,'טבלת פרמטרים'!$O$7),'טבלת פרמטרים'!$P$7,""))))))</f>
        <v/>
      </c>
    </row>
    <row r="804" spans="1:20" x14ac:dyDescent="0.2">
      <c r="A804" s="18">
        <v>804</v>
      </c>
      <c r="C804" s="30">
        <v>45888</v>
      </c>
      <c r="D804" s="21" t="s">
        <v>17</v>
      </c>
      <c r="E804" s="21" t="s">
        <v>21</v>
      </c>
      <c r="F804" s="21" t="s">
        <v>23</v>
      </c>
      <c r="G804" s="21" t="s">
        <v>26</v>
      </c>
      <c r="H804" s="21" t="s">
        <v>30</v>
      </c>
      <c r="M804" s="21" t="s">
        <v>53</v>
      </c>
      <c r="O804" s="19">
        <f>IF(ISBLANK(D804),"",IF(D804='טבלת פרמטרים'!$A$9,1,0)+IF(E804='טבלת פרמטרים'!$B$5,2,1)+IF(F804='טבלת פרמטרים'!$C$5,3,IF(F804='טבלת פרמטרים'!$C$4,1,0))+IF(G804='טבלת פרמטרים'!$D$3,2,0)+IF(M804='טבלת פרמטרים'!$J$4,2,IF(M804='טבלת פרמטרים'!$J$3,1,0))+IF(N804='טבלת פרמטרים'!$K$6,3,IF(OR(N804='טבלת פרמטרים'!$K$4,N804='טבלת פרמטרים'!$K$5),2,IF(N804='טבלת פרמטרים'!$K$3,1,0))))</f>
        <v>2</v>
      </c>
      <c r="R804" s="19">
        <f t="shared" si="18"/>
        <v>2</v>
      </c>
      <c r="T804" s="19" t="str">
        <f>IF(EXACT(Q804,'טבלת פרמטרים'!$O$2),'טבלת פרמטרים'!$P$2,IF(EXACT(Q804,'טבלת פרמטרים'!$O$3),'טבלת פרמטרים'!$P$3,IF(EXACT(Q804,'טבלת פרמטרים'!$O$4),'טבלת פרמטרים'!$P$4,IF(EXACT(Q804,'טבלת פרמטרים'!$O$5),'טבלת פרמטרים'!$P$5,IF(EXACT(Q804,'טבלת פרמטרים'!$O$6),'טבלת פרמטרים'!$P$6,IF(EXACT(Q804,'טבלת פרמטרים'!$O$7),'טבלת פרמטרים'!$P$7,""))))))</f>
        <v/>
      </c>
    </row>
    <row r="805" spans="1:20" x14ac:dyDescent="0.2">
      <c r="A805" s="18">
        <v>805</v>
      </c>
      <c r="C805" s="30">
        <v>45893</v>
      </c>
      <c r="D805" s="21" t="s">
        <v>15</v>
      </c>
      <c r="E805" s="21" t="s">
        <v>21</v>
      </c>
      <c r="F805" s="21" t="s">
        <v>23</v>
      </c>
      <c r="G805" s="21" t="s">
        <v>26</v>
      </c>
      <c r="H805" s="21" t="s">
        <v>32</v>
      </c>
      <c r="M805" s="21" t="s">
        <v>53</v>
      </c>
      <c r="O805" s="19">
        <f>IF(ISBLANK(D805),"",IF(D805='טבלת פרמטרים'!$A$9,1,0)+IF(E805='טבלת פרמטרים'!$B$5,2,1)+IF(F805='טבלת פרמטרים'!$C$5,3,IF(F805='טבלת פרמטרים'!$C$4,1,0))+IF(G805='טבלת פרמטרים'!$D$3,2,0)+IF(M805='טבלת פרמטרים'!$J$4,2,IF(M805='טבלת פרמטרים'!$J$3,1,0))+IF(N805='טבלת פרמטרים'!$K$6,3,IF(OR(N805='טבלת פרמטרים'!$K$4,N805='טבלת פרמטרים'!$K$5),2,IF(N805='טבלת פרמטרים'!$K$3,1,0))))</f>
        <v>1</v>
      </c>
      <c r="R805" s="19">
        <f t="shared" si="18"/>
        <v>1</v>
      </c>
      <c r="T805" s="19" t="str">
        <f>IF(EXACT(Q805,'טבלת פרמטרים'!$O$2),'טבלת פרמטרים'!$P$2,IF(EXACT(Q805,'טבלת פרמטרים'!$O$3),'טבלת פרמטרים'!$P$3,IF(EXACT(Q805,'טבלת פרמטרים'!$O$4),'טבלת פרמטרים'!$P$4,IF(EXACT(Q805,'טבלת פרמטרים'!$O$5),'טבלת פרמטרים'!$P$5,IF(EXACT(Q805,'טבלת פרמטרים'!$O$6),'טבלת פרמטרים'!$P$6,IF(EXACT(Q805,'טבלת פרמטרים'!$O$7),'טבלת פרמטרים'!$P$7,""))))))</f>
        <v/>
      </c>
    </row>
    <row r="806" spans="1:20" x14ac:dyDescent="0.2">
      <c r="A806" s="18">
        <v>806</v>
      </c>
      <c r="C806" s="30">
        <v>45893</v>
      </c>
      <c r="D806" s="21" t="s">
        <v>17</v>
      </c>
      <c r="E806" s="21" t="s">
        <v>111</v>
      </c>
      <c r="F806" s="21" t="s">
        <v>23</v>
      </c>
      <c r="G806" s="21" t="s">
        <v>26</v>
      </c>
      <c r="H806" s="21" t="s">
        <v>30</v>
      </c>
      <c r="J806" s="21" t="s">
        <v>33</v>
      </c>
      <c r="L806" s="21" t="s">
        <v>49</v>
      </c>
      <c r="M806" s="21" t="s">
        <v>55</v>
      </c>
      <c r="O806" s="19">
        <f>IF(ISBLANK(D806),"",IF(D806='טבלת פרמטרים'!$A$9,1,0)+IF(E806='טבלת פרמטרים'!$B$5,2,1)+IF(F806='טבלת פרמטרים'!$C$5,3,IF(F806='טבלת פרמטרים'!$C$4,1,0))+IF(G806='טבלת פרמטרים'!$D$3,2,0)+IF(M806='טבלת פרמטרים'!$J$4,2,IF(M806='טבלת פרמטרים'!$J$3,1,0))+IF(N806='טבלת פרמטרים'!$K$6,3,IF(OR(N806='טבלת פרמטרים'!$K$4,N806='טבלת פרמטרים'!$K$5),2,IF(N806='טבלת פרמטרים'!$K$3,1,0))))</f>
        <v>4</v>
      </c>
      <c r="R806" s="19">
        <f t="shared" si="18"/>
        <v>4</v>
      </c>
      <c r="T806" s="19" t="str">
        <f>IF(EXACT(Q806,'טבלת פרמטרים'!$O$2),'טבלת פרמטרים'!$P$2,IF(EXACT(Q806,'טבלת פרמטרים'!$O$3),'טבלת פרמטרים'!$P$3,IF(EXACT(Q806,'טבלת פרמטרים'!$O$4),'טבלת פרמטרים'!$P$4,IF(EXACT(Q806,'טבלת פרמטרים'!$O$5),'טבלת פרמטרים'!$P$5,IF(EXACT(Q806,'טבלת פרמטרים'!$O$6),'טבלת פרמטרים'!$P$6,IF(EXACT(Q806,'טבלת פרמטרים'!$O$7),'טבלת פרמטרים'!$P$7,""))))))</f>
        <v/>
      </c>
    </row>
    <row r="807" spans="1:20" x14ac:dyDescent="0.2">
      <c r="A807" s="18">
        <v>807</v>
      </c>
      <c r="C807" s="30">
        <v>45894</v>
      </c>
      <c r="D807" s="21" t="s">
        <v>16</v>
      </c>
      <c r="E807" s="21" t="s">
        <v>111</v>
      </c>
      <c r="F807" s="21" t="s">
        <v>23</v>
      </c>
      <c r="G807" s="21" t="s">
        <v>26</v>
      </c>
      <c r="H807" s="21" t="s">
        <v>32</v>
      </c>
      <c r="M807" s="21" t="s">
        <v>54</v>
      </c>
      <c r="O807" s="19">
        <f>IF(ISBLANK(D807),"",IF(D807='טבלת פרמטרים'!$A$9,1,0)+IF(E807='טבלת פרמטרים'!$B$5,2,1)+IF(F807='טבלת פרמטרים'!$C$5,3,IF(F807='טבלת פרמטרים'!$C$4,1,0))+IF(G807='טבלת פרמטרים'!$D$3,2,0)+IF(M807='טבלת פרמטרים'!$J$4,2,IF(M807='טבלת פרמטרים'!$J$3,1,0))+IF(N807='טבלת פרמטרים'!$K$6,3,IF(OR(N807='טבלת פרמטרים'!$K$4,N807='טבלת פרמטרים'!$K$5),2,IF(N807='טבלת פרמטרים'!$K$3,1,0))))</f>
        <v>2</v>
      </c>
      <c r="R807" s="19">
        <f t="shared" si="18"/>
        <v>2</v>
      </c>
      <c r="T807" s="19" t="str">
        <f>IF(EXACT(Q807,'טבלת פרמטרים'!$O$2),'טבלת פרמטרים'!$P$2,IF(EXACT(Q807,'טבלת פרמטרים'!$O$3),'טבלת פרמטרים'!$P$3,IF(EXACT(Q807,'טבלת פרמטרים'!$O$4),'טבלת פרמטרים'!$P$4,IF(EXACT(Q807,'טבלת פרמטרים'!$O$5),'טבלת פרמטרים'!$P$5,IF(EXACT(Q807,'טבלת פרמטרים'!$O$6),'טבלת פרמטרים'!$P$6,IF(EXACT(Q807,'טבלת פרמטרים'!$O$7),'טבלת פרמטרים'!$P$7,""))))))</f>
        <v/>
      </c>
    </row>
    <row r="808" spans="1:20" x14ac:dyDescent="0.2">
      <c r="A808" s="18">
        <v>808</v>
      </c>
      <c r="C808" s="30">
        <v>45929</v>
      </c>
      <c r="D808" s="21" t="s">
        <v>10</v>
      </c>
      <c r="E808" s="21" t="s">
        <v>111</v>
      </c>
      <c r="F808" s="21" t="s">
        <v>23</v>
      </c>
      <c r="G808" s="21" t="s">
        <v>26</v>
      </c>
      <c r="H808" s="21" t="s">
        <v>30</v>
      </c>
      <c r="M808" s="21" t="s">
        <v>53</v>
      </c>
      <c r="O808" s="19">
        <f>IF(ISBLANK(D808),"",IF(D808='טבלת פרמטרים'!$A$9,1,0)+IF(E808='טבלת פרמטרים'!$B$5,2,1)+IF(F808='טבלת פרמטרים'!$C$5,3,IF(F808='טבלת פרמטרים'!$C$4,1,0))+IF(G808='טבלת פרמטרים'!$D$3,2,0)+IF(M808='טבלת פרמטרים'!$J$4,2,IF(M808='טבלת פרמטרים'!$J$3,1,0))+IF(N808='טבלת פרמטרים'!$K$6,3,IF(OR(N808='טבלת פרמטרים'!$K$4,N808='טבלת פרמטרים'!$K$5),2,IF(N808='טבלת פרמטרים'!$K$3,1,0))))</f>
        <v>1</v>
      </c>
      <c r="R808" s="19">
        <f t="shared" si="18"/>
        <v>1</v>
      </c>
      <c r="T808" s="19" t="str">
        <f>IF(EXACT(Q808,'טבלת פרמטרים'!$O$2),'טבלת פרמטרים'!$P$2,IF(EXACT(Q808,'טבלת פרמטרים'!$O$3),'טבלת פרמטרים'!$P$3,IF(EXACT(Q808,'טבלת פרמטרים'!$O$4),'טבלת פרמטרים'!$P$4,IF(EXACT(Q808,'טבלת פרמטרים'!$O$5),'טבלת פרמטרים'!$P$5,IF(EXACT(Q808,'טבלת פרמטרים'!$O$6),'טבלת פרמטרים'!$P$6,IF(EXACT(Q808,'טבלת פרמטרים'!$O$7),'טבלת פרמטרים'!$P$7,""))))))</f>
        <v/>
      </c>
    </row>
    <row r="809" spans="1:20" x14ac:dyDescent="0.2">
      <c r="A809" s="18">
        <v>809</v>
      </c>
      <c r="C809" s="30">
        <v>45930</v>
      </c>
      <c r="D809" s="21" t="s">
        <v>10</v>
      </c>
      <c r="E809" s="21" t="s">
        <v>111</v>
      </c>
      <c r="F809" s="21" t="s">
        <v>23</v>
      </c>
      <c r="G809" s="21" t="s">
        <v>26</v>
      </c>
      <c r="H809" s="21" t="s">
        <v>30</v>
      </c>
      <c r="M809" s="21" t="s">
        <v>53</v>
      </c>
      <c r="O809" s="19">
        <f>IF(ISBLANK(D809),"",IF(D809='טבלת פרמטרים'!$A$9,1,0)+IF(E809='טבלת פרמטרים'!$B$5,2,1)+IF(F809='טבלת פרמטרים'!$C$5,3,IF(F809='טבלת פרמטרים'!$C$4,1,0))+IF(G809='טבלת פרמטרים'!$D$3,2,0)+IF(M809='טבלת פרמטרים'!$J$4,2,IF(M809='טבלת פרמטרים'!$J$3,1,0))+IF(N809='טבלת פרמטרים'!$K$6,3,IF(OR(N809='טבלת פרמטרים'!$K$4,N809='טבלת פרמטרים'!$K$5),2,IF(N809='טבלת פרמטרים'!$K$3,1,0))))</f>
        <v>1</v>
      </c>
      <c r="R809" s="19">
        <f t="shared" si="18"/>
        <v>1</v>
      </c>
      <c r="T809" s="19" t="str">
        <f>IF(EXACT(Q809,'טבלת פרמטרים'!$O$2),'טבלת פרמטרים'!$P$2,IF(EXACT(Q809,'טבלת פרמטרים'!$O$3),'טבלת פרמטרים'!$P$3,IF(EXACT(Q809,'טבלת פרמטרים'!$O$4),'טבלת פרמטרים'!$P$4,IF(EXACT(Q809,'טבלת פרמטרים'!$O$5),'טבלת פרמטרים'!$P$5,IF(EXACT(Q809,'טבלת פרמטרים'!$O$6),'טבלת פרמטרים'!$P$6,IF(EXACT(Q809,'טבלת פרמטרים'!$O$7),'טבלת פרמטרים'!$P$7,""))))))</f>
        <v/>
      </c>
    </row>
    <row r="810" spans="1:20" x14ac:dyDescent="0.2">
      <c r="A810" s="18">
        <v>810</v>
      </c>
      <c r="C810" s="30">
        <v>45930</v>
      </c>
      <c r="D810" s="21" t="s">
        <v>15</v>
      </c>
      <c r="E810" s="21" t="s">
        <v>21</v>
      </c>
      <c r="F810" s="21" t="s">
        <v>23</v>
      </c>
      <c r="G810" s="21" t="s">
        <v>26</v>
      </c>
      <c r="H810" s="21" t="s">
        <v>31</v>
      </c>
      <c r="M810" s="21" t="s">
        <v>54</v>
      </c>
      <c r="O810" s="19">
        <f>IF(ISBLANK(D810),"",IF(D810='טבלת פרמטרים'!$A$9,1,0)+IF(E810='טבלת פרמטרים'!$B$5,2,1)+IF(F810='טבלת פרמטרים'!$C$5,3,IF(F810='טבלת פרמטרים'!$C$4,1,0))+IF(G810='טבלת פרמטרים'!$D$3,2,0)+IF(M810='טבלת פרמטרים'!$J$4,2,IF(M810='טבלת פרמטרים'!$J$3,1,0))+IF(N810='טבלת פרמטרים'!$K$6,3,IF(OR(N810='טבלת פרמטרים'!$K$4,N810='טבלת פרמטרים'!$K$5),2,IF(N810='טבלת פרמטרים'!$K$3,1,0))))</f>
        <v>2</v>
      </c>
      <c r="R810" s="19">
        <f t="shared" si="18"/>
        <v>2</v>
      </c>
      <c r="T810" s="19" t="str">
        <f>IF(EXACT(Q810,'טבלת פרמטרים'!$O$2),'טבלת פרמטרים'!$P$2,IF(EXACT(Q810,'טבלת פרמטרים'!$O$3),'טבלת פרמטרים'!$P$3,IF(EXACT(Q810,'טבלת פרמטרים'!$O$4),'טבלת פרמטרים'!$P$4,IF(EXACT(Q810,'טבלת פרמטרים'!$O$5),'טבלת פרמטרים'!$P$5,IF(EXACT(Q810,'טבלת פרמטרים'!$O$6),'טבלת פרמטרים'!$P$6,IF(EXACT(Q810,'טבלת פרמטרים'!$O$7),'טבלת פרמטרים'!$P$7,""))))))</f>
        <v/>
      </c>
    </row>
    <row r="811" spans="1:20" x14ac:dyDescent="0.2">
      <c r="A811" s="18">
        <v>811</v>
      </c>
      <c r="C811" s="30">
        <v>45933</v>
      </c>
      <c r="D811" s="21" t="s">
        <v>11</v>
      </c>
      <c r="E811" s="21" t="s">
        <v>20</v>
      </c>
      <c r="F811" s="21" t="s">
        <v>23</v>
      </c>
      <c r="G811" s="21" t="s">
        <v>26</v>
      </c>
      <c r="H811" s="21" t="s">
        <v>29</v>
      </c>
      <c r="K811" s="21" t="s">
        <v>46</v>
      </c>
      <c r="M811" s="21" t="s">
        <v>53</v>
      </c>
      <c r="O811" s="19">
        <f>IF(ISBLANK(D811),"",IF(D811='טבלת פרמטרים'!$A$9,1,0)+IF(E811='טבלת פרמטרים'!$B$5,2,1)+IF(F811='טבלת פרמטרים'!$C$5,3,IF(F811='טבלת פרמטרים'!$C$4,1,0))+IF(G811='טבלת פרמטרים'!$D$3,2,0)+IF(M811='טבלת פרמטרים'!$J$4,2,IF(M811='טבלת פרמטרים'!$J$3,1,0))+IF(N811='טבלת פרמטרים'!$K$6,3,IF(OR(N811='טבלת פרמטרים'!$K$4,N811='טבלת פרמטרים'!$K$5),2,IF(N811='טבלת פרמטרים'!$K$3,1,0))))</f>
        <v>1</v>
      </c>
      <c r="R811" s="19">
        <f t="shared" si="18"/>
        <v>1</v>
      </c>
      <c r="T811" s="19" t="str">
        <f>IF(EXACT(Q811,'טבלת פרמטרים'!$O$2),'טבלת פרמטרים'!$P$2,IF(EXACT(Q811,'טבלת פרמטרים'!$O$3),'טבלת פרמטרים'!$P$3,IF(EXACT(Q811,'טבלת פרמטרים'!$O$4),'טבלת פרמטרים'!$P$4,IF(EXACT(Q811,'טבלת פרמטרים'!$O$5),'טבלת פרמטרים'!$P$5,IF(EXACT(Q811,'טבלת פרמטרים'!$O$6),'טבלת פרמטרים'!$P$6,IF(EXACT(Q811,'טבלת פרמטרים'!$O$7),'טבלת פרמטרים'!$P$7,""))))))</f>
        <v/>
      </c>
    </row>
    <row r="812" spans="1:20" x14ac:dyDescent="0.2">
      <c r="A812" s="18">
        <v>812</v>
      </c>
      <c r="C812" s="30">
        <v>45936</v>
      </c>
      <c r="D812" s="21" t="s">
        <v>16</v>
      </c>
      <c r="E812" s="21" t="s">
        <v>20</v>
      </c>
      <c r="F812" s="21" t="s">
        <v>23</v>
      </c>
      <c r="G812" s="21" t="s">
        <v>26</v>
      </c>
      <c r="H812" s="21" t="s">
        <v>31</v>
      </c>
      <c r="M812" s="21" t="s">
        <v>55</v>
      </c>
      <c r="O812" s="19">
        <f>IF(ISBLANK(D812),"",IF(D812='טבלת פרמטרים'!$A$9,1,0)+IF(E812='טבלת פרמטרים'!$B$5,2,1)+IF(F812='טבלת פרמטרים'!$C$5,3,IF(F812='טבלת פרמטרים'!$C$4,1,0))+IF(G812='טבלת פרמטרים'!$D$3,2,0)+IF(M812='טבלת פרמטרים'!$J$4,2,IF(M812='טבלת פרמטרים'!$J$3,1,0))+IF(N812='טבלת פרמטרים'!$K$6,3,IF(OR(N812='טבלת פרמטרים'!$K$4,N812='טבלת פרמטרים'!$K$5),2,IF(N812='טבלת פרמטרים'!$K$3,1,0))))</f>
        <v>3</v>
      </c>
      <c r="R812" s="19">
        <f t="shared" si="18"/>
        <v>3</v>
      </c>
      <c r="T812" s="19" t="str">
        <f>IF(EXACT(Q812,'טבלת פרמטרים'!$O$2),'טבלת פרמטרים'!$P$2,IF(EXACT(Q812,'טבלת פרמטרים'!$O$3),'טבלת פרמטרים'!$P$3,IF(EXACT(Q812,'טבלת פרמטרים'!$O$4),'טבלת פרמטרים'!$P$4,IF(EXACT(Q812,'טבלת פרמטרים'!$O$5),'טבלת פרמטרים'!$P$5,IF(EXACT(Q812,'טבלת פרמטרים'!$O$6),'טבלת פרמטרים'!$P$6,IF(EXACT(Q812,'טבלת פרמטרים'!$O$7),'טבלת פרמטרים'!$P$7,""))))))</f>
        <v/>
      </c>
    </row>
    <row r="813" spans="1:20" x14ac:dyDescent="0.2">
      <c r="A813" s="18">
        <v>813</v>
      </c>
      <c r="C813" s="30">
        <v>45938</v>
      </c>
      <c r="D813" s="21" t="s">
        <v>17</v>
      </c>
      <c r="E813" s="21" t="s">
        <v>20</v>
      </c>
      <c r="F813" s="21" t="s">
        <v>23</v>
      </c>
      <c r="G813" s="21" t="s">
        <v>26</v>
      </c>
      <c r="H813" s="21" t="s">
        <v>29</v>
      </c>
      <c r="M813" s="21" t="s">
        <v>53</v>
      </c>
      <c r="O813" s="19">
        <f>IF(ISBLANK(D813),"",IF(D813='טבלת פרמטרים'!$A$9,1,0)+IF(E813='טבלת פרמטרים'!$B$5,2,1)+IF(F813='טבלת פרמטרים'!$C$5,3,IF(F813='טבלת פרמטרים'!$C$4,1,0))+IF(G813='טבלת פרמטרים'!$D$3,2,0)+IF(M813='טבלת פרמטרים'!$J$4,2,IF(M813='טבלת פרמטרים'!$J$3,1,0))+IF(N813='טבלת פרמטרים'!$K$6,3,IF(OR(N813='טבלת פרמטרים'!$K$4,N813='טבלת פרמטרים'!$K$5),2,IF(N813='טבלת פרמטרים'!$K$3,1,0))))</f>
        <v>2</v>
      </c>
      <c r="R813" s="19">
        <f t="shared" si="18"/>
        <v>2</v>
      </c>
      <c r="T813" s="19" t="str">
        <f>IF(EXACT(Q813,'טבלת פרמטרים'!$O$2),'טבלת פרמטרים'!$P$2,IF(EXACT(Q813,'טבלת פרמטרים'!$O$3),'טבלת פרמטרים'!$P$3,IF(EXACT(Q813,'טבלת פרמטרים'!$O$4),'טבלת פרמטרים'!$P$4,IF(EXACT(Q813,'טבלת פרמטרים'!$O$5),'טבלת פרמטרים'!$P$5,IF(EXACT(Q813,'טבלת פרמטרים'!$O$6),'טבלת פרמטרים'!$P$6,IF(EXACT(Q813,'טבלת פרמטרים'!$O$7),'טבלת פרמטרים'!$P$7,""))))))</f>
        <v/>
      </c>
    </row>
    <row r="814" spans="1:20" x14ac:dyDescent="0.2">
      <c r="A814" s="18">
        <v>814</v>
      </c>
      <c r="C814" s="30">
        <v>45939</v>
      </c>
      <c r="D814" s="21" t="s">
        <v>11</v>
      </c>
      <c r="E814" s="21" t="s">
        <v>20</v>
      </c>
      <c r="F814" s="21" t="s">
        <v>23</v>
      </c>
      <c r="G814" s="21" t="s">
        <v>26</v>
      </c>
      <c r="H814" s="21" t="s">
        <v>30</v>
      </c>
      <c r="J814" s="21" t="s">
        <v>11</v>
      </c>
      <c r="M814" s="21" t="s">
        <v>55</v>
      </c>
      <c r="O814" s="19">
        <f>IF(ISBLANK(D814),"",IF(D814='טבלת פרמטרים'!$A$9,1,0)+IF(E814='טבלת פרמטרים'!$B$5,2,1)+IF(F814='טבלת פרמטרים'!$C$5,3,IF(F814='טבלת פרמטרים'!$C$4,1,0))+IF(G814='טבלת פרמטרים'!$D$3,2,0)+IF(M814='טבלת פרמטרים'!$J$4,2,IF(M814='טבלת פרמטרים'!$J$3,1,0))+IF(N814='טבלת פרמטרים'!$K$6,3,IF(OR(N814='טבלת פרמטרים'!$K$4,N814='טבלת פרמטרים'!$K$5),2,IF(N814='טבלת פרמטרים'!$K$3,1,0))))</f>
        <v>3</v>
      </c>
      <c r="R814" s="19">
        <f t="shared" si="18"/>
        <v>3</v>
      </c>
      <c r="T814" s="19" t="str">
        <f>IF(EXACT(Q814,'טבלת פרמטרים'!$O$2),'טבלת פרמטרים'!$P$2,IF(EXACT(Q814,'טבלת פרמטרים'!$O$3),'טבלת פרמטרים'!$P$3,IF(EXACT(Q814,'טבלת פרמטרים'!$O$4),'טבלת פרמטרים'!$P$4,IF(EXACT(Q814,'טבלת פרמטרים'!$O$5),'טבלת פרמטרים'!$P$5,IF(EXACT(Q814,'טבלת פרמטרים'!$O$6),'טבלת פרמטרים'!$P$6,IF(EXACT(Q814,'טבלת פרמטרים'!$O$7),'טבלת פרמטרים'!$P$7,""))))))</f>
        <v/>
      </c>
    </row>
    <row r="815" spans="1:20" x14ac:dyDescent="0.2">
      <c r="A815" s="18">
        <v>815</v>
      </c>
      <c r="C815" s="30">
        <v>45950</v>
      </c>
      <c r="D815" s="21" t="s">
        <v>11</v>
      </c>
      <c r="E815" s="21" t="s">
        <v>22</v>
      </c>
      <c r="F815" s="21" t="s">
        <v>24</v>
      </c>
      <c r="G815" s="21" t="s">
        <v>26</v>
      </c>
      <c r="H815" s="21" t="s">
        <v>19</v>
      </c>
      <c r="M815" s="21" t="s">
        <v>55</v>
      </c>
      <c r="O815" s="19">
        <f>IF(ISBLANK(D815),"",IF(D815='טבלת פרמטרים'!$A$9,1,0)+IF(E815='טבלת פרמטרים'!$B$5,2,1)+IF(F815='טבלת פרמטרים'!$C$5,3,IF(F815='טבלת פרמטרים'!$C$4,1,0))+IF(G815='טבלת פרמטרים'!$D$3,2,0)+IF(M815='טבלת פרמטרים'!$J$4,2,IF(M815='טבלת פרמטרים'!$J$3,1,0))+IF(N815='טבלת פרמטרים'!$K$6,3,IF(OR(N815='טבלת פרמטרים'!$K$4,N815='טבלת פרמטרים'!$K$5),2,IF(N815='טבלת פרמטרים'!$K$3,1,0))))</f>
        <v>5</v>
      </c>
      <c r="R815" s="19">
        <f t="shared" si="18"/>
        <v>5</v>
      </c>
      <c r="T815" s="19" t="str">
        <f>IF(EXACT(Q815,'טבלת פרמטרים'!$O$2),'טבלת פרמטרים'!$P$2,IF(EXACT(Q815,'טבלת פרמטרים'!$O$3),'טבלת פרמטרים'!$P$3,IF(EXACT(Q815,'טבלת פרמטרים'!$O$4),'טבלת פרמטרים'!$P$4,IF(EXACT(Q815,'טבלת פרמטרים'!$O$5),'טבלת פרמטרים'!$P$5,IF(EXACT(Q815,'טבלת פרמטרים'!$O$6),'טבלת פרמטרים'!$P$6,IF(EXACT(Q815,'טבלת פרמטרים'!$O$7),'טבלת פרמטרים'!$P$7,""))))))</f>
        <v/>
      </c>
    </row>
    <row r="816" spans="1:20" x14ac:dyDescent="0.2">
      <c r="A816" s="18">
        <v>816</v>
      </c>
      <c r="C816" s="30">
        <v>45950</v>
      </c>
      <c r="D816" s="21" t="s">
        <v>17</v>
      </c>
      <c r="E816" s="21" t="s">
        <v>20</v>
      </c>
      <c r="F816" s="21" t="s">
        <v>23</v>
      </c>
      <c r="G816" s="21" t="s">
        <v>26</v>
      </c>
      <c r="H816" s="21" t="s">
        <v>31</v>
      </c>
      <c r="M816" s="21" t="s">
        <v>54</v>
      </c>
      <c r="O816" s="19">
        <f>IF(ISBLANK(D816),"",IF(D816='טבלת פרמטרים'!$A$9,1,0)+IF(E816='טבלת פרמטרים'!$B$5,2,1)+IF(F816='טבלת פרמטרים'!$C$5,3,IF(F816='טבלת פרמטרים'!$C$4,1,0))+IF(G816='טבלת פרמטרים'!$D$3,2,0)+IF(M816='טבלת פרמטרים'!$J$4,2,IF(M816='טבלת פרמטרים'!$J$3,1,0))+IF(N816='טבלת פרמטרים'!$K$6,3,IF(OR(N816='טבלת פרמטרים'!$K$4,N816='טבלת פרמטרים'!$K$5),2,IF(N816='טבלת פרמטרים'!$K$3,1,0))))</f>
        <v>3</v>
      </c>
      <c r="R816" s="19">
        <f t="shared" si="18"/>
        <v>3</v>
      </c>
      <c r="T816" s="19" t="str">
        <f>IF(EXACT(Q816,'טבלת פרמטרים'!$O$2),'טבלת פרמטרים'!$P$2,IF(EXACT(Q816,'טבלת פרמטרים'!$O$3),'טבלת פרמטרים'!$P$3,IF(EXACT(Q816,'טבלת פרמטרים'!$O$4),'טבלת פרמטרים'!$P$4,IF(EXACT(Q816,'טבלת פרמטרים'!$O$5),'טבלת פרמטרים'!$P$5,IF(EXACT(Q816,'טבלת פרמטרים'!$O$6),'טבלת פרמטרים'!$P$6,IF(EXACT(Q816,'טבלת פרמטרים'!$O$7),'טבלת פרמטרים'!$P$7,""))))))</f>
        <v/>
      </c>
    </row>
    <row r="817" spans="1:20" x14ac:dyDescent="0.2">
      <c r="A817" s="18">
        <v>817</v>
      </c>
      <c r="C817" s="30">
        <v>45956</v>
      </c>
      <c r="D817" s="21" t="s">
        <v>15</v>
      </c>
      <c r="E817" s="21" t="s">
        <v>111</v>
      </c>
      <c r="F817" s="21" t="s">
        <v>23</v>
      </c>
      <c r="G817" s="21" t="s">
        <v>26</v>
      </c>
      <c r="H817" s="21" t="s">
        <v>32</v>
      </c>
      <c r="M817" s="21" t="s">
        <v>54</v>
      </c>
      <c r="O817" s="19">
        <f>IF(ISBLANK(D817),"",IF(D817='טבלת פרמטרים'!$A$9,1,0)+IF(E817='טבלת פרמטרים'!$B$5,2,1)+IF(F817='טבלת פרמטרים'!$C$5,3,IF(F817='טבלת פרמטרים'!$C$4,1,0))+IF(G817='טבלת פרמטרים'!$D$3,2,0)+IF(M817='טבלת פרמטרים'!$J$4,2,IF(M817='טבלת פרמטרים'!$J$3,1,0))+IF(N817='טבלת פרמטרים'!$K$6,3,IF(OR(N817='טבלת פרמטרים'!$K$4,N817='טבלת פרמטרים'!$K$5),2,IF(N817='טבלת פרמטרים'!$K$3,1,0))))</f>
        <v>2</v>
      </c>
      <c r="R817" s="19">
        <f t="shared" si="18"/>
        <v>2</v>
      </c>
      <c r="T817" s="19" t="str">
        <f>IF(EXACT(Q817,'טבלת פרמטרים'!$O$2),'טבלת פרמטרים'!$P$2,IF(EXACT(Q817,'טבלת פרמטרים'!$O$3),'טבלת פרמטרים'!$P$3,IF(EXACT(Q817,'טבלת פרמטרים'!$O$4),'טבלת פרמטרים'!$P$4,IF(EXACT(Q817,'טבלת פרמטרים'!$O$5),'טבלת פרמטרים'!$P$5,IF(EXACT(Q817,'טבלת פרמטרים'!$O$6),'טבלת פרמטרים'!$P$6,IF(EXACT(Q817,'טבלת פרמטרים'!$O$7),'טבלת פרמטרים'!$P$7,""))))))</f>
        <v/>
      </c>
    </row>
    <row r="818" spans="1:20" x14ac:dyDescent="0.2">
      <c r="A818" s="18">
        <v>818</v>
      </c>
      <c r="C818" s="30">
        <v>45956</v>
      </c>
      <c r="D818" s="21" t="s">
        <v>15</v>
      </c>
      <c r="E818" s="21" t="s">
        <v>111</v>
      </c>
      <c r="F818" s="21" t="s">
        <v>23</v>
      </c>
      <c r="G818" s="21" t="s">
        <v>26</v>
      </c>
      <c r="H818" s="21" t="s">
        <v>31</v>
      </c>
      <c r="M818" s="21" t="s">
        <v>54</v>
      </c>
      <c r="O818" s="19">
        <f>IF(ISBLANK(D818),"",IF(D818='טבלת פרמטרים'!$A$9,1,0)+IF(E818='טבלת פרמטרים'!$B$5,2,1)+IF(F818='טבלת פרמטרים'!$C$5,3,IF(F818='טבלת פרמטרים'!$C$4,1,0))+IF(G818='טבלת פרמטרים'!$D$3,2,0)+IF(M818='טבלת פרמטרים'!$J$4,2,IF(M818='טבלת פרמטרים'!$J$3,1,0))+IF(N818='טבלת פרמטרים'!$K$6,3,IF(OR(N818='טבלת פרמטרים'!$K$4,N818='טבלת פרמטרים'!$K$5),2,IF(N818='טבלת פרמטרים'!$K$3,1,0))))</f>
        <v>2</v>
      </c>
      <c r="R818" s="19">
        <f t="shared" si="18"/>
        <v>2</v>
      </c>
      <c r="T818" s="19" t="str">
        <f>IF(EXACT(Q818,'טבלת פרמטרים'!$O$2),'טבלת פרמטרים'!$P$2,IF(EXACT(Q818,'טבלת פרמטרים'!$O$3),'טבלת פרמטרים'!$P$3,IF(EXACT(Q818,'טבלת פרמטרים'!$O$4),'טבלת פרמטרים'!$P$4,IF(EXACT(Q818,'טבלת פרמטרים'!$O$5),'טבלת פרמטרים'!$P$5,IF(EXACT(Q818,'טבלת פרמטרים'!$O$6),'טבלת פרמטרים'!$P$6,IF(EXACT(Q818,'טבלת פרמטרים'!$O$7),'טבלת פרמטרים'!$P$7,""))))))</f>
        <v/>
      </c>
    </row>
    <row r="819" spans="1:20" x14ac:dyDescent="0.2">
      <c r="A819" s="18">
        <v>819</v>
      </c>
      <c r="C819" s="30">
        <v>45956</v>
      </c>
      <c r="D819" s="21" t="s">
        <v>15</v>
      </c>
      <c r="E819" s="21" t="s">
        <v>111</v>
      </c>
      <c r="F819" s="21" t="s">
        <v>23</v>
      </c>
      <c r="G819" s="21" t="s">
        <v>26</v>
      </c>
      <c r="H819" s="21" t="s">
        <v>31</v>
      </c>
      <c r="M819" s="21" t="s">
        <v>54</v>
      </c>
      <c r="O819" s="19">
        <f>IF(ISBLANK(D819),"",IF(D819='טבלת פרמטרים'!$A$9,1,0)+IF(E819='טבלת פרמטרים'!$B$5,2,1)+IF(F819='טבלת פרמטרים'!$C$5,3,IF(F819='טבלת פרמטרים'!$C$4,1,0))+IF(G819='טבלת פרמטרים'!$D$3,2,0)+IF(M819='טבלת פרמטרים'!$J$4,2,IF(M819='טבלת פרמטרים'!$J$3,1,0))+IF(N819='טבלת פרמטרים'!$K$6,3,IF(OR(N819='טבלת פרמטרים'!$K$4,N819='טבלת פרמטרים'!$K$5),2,IF(N819='טבלת פרמטרים'!$K$3,1,0))))</f>
        <v>2</v>
      </c>
      <c r="R819" s="19">
        <f t="shared" si="18"/>
        <v>2</v>
      </c>
      <c r="T819" s="19" t="str">
        <f>IF(EXACT(Q819,'טבלת פרמטרים'!$O$2),'טבלת פרמטרים'!$P$2,IF(EXACT(Q819,'טבלת פרמטרים'!$O$3),'טבלת פרמטרים'!$P$3,IF(EXACT(Q819,'טבלת פרמטרים'!$O$4),'טבלת פרמטרים'!$P$4,IF(EXACT(Q819,'טבלת פרמטרים'!$O$5),'טבלת פרמטרים'!$P$5,IF(EXACT(Q819,'טבלת פרמטרים'!$O$6),'טבלת פרמטרים'!$P$6,IF(EXACT(Q819,'טבלת פרמטרים'!$O$7),'טבלת פרמטרים'!$P$7,""))))))</f>
        <v/>
      </c>
    </row>
    <row r="820" spans="1:20" ht="28.5" x14ac:dyDescent="0.2">
      <c r="A820" s="18">
        <v>820</v>
      </c>
      <c r="B820" s="30">
        <v>45957</v>
      </c>
      <c r="C820" s="30">
        <v>45960</v>
      </c>
      <c r="D820" s="21" t="s">
        <v>17</v>
      </c>
      <c r="E820" s="21" t="s">
        <v>22</v>
      </c>
      <c r="F820" s="21" t="s">
        <v>24</v>
      </c>
      <c r="G820" s="21" t="s">
        <v>27</v>
      </c>
      <c r="H820" s="21" t="s">
        <v>31</v>
      </c>
      <c r="M820" s="21" t="s">
        <v>54</v>
      </c>
      <c r="O820" s="19">
        <f>IF(ISBLANK(D820),"",IF(D820='טבלת פרמטרים'!$A$9,1,0)+IF(E820='טבלת פרמטרים'!$B$5,2,1)+IF(F820='טבלת פרמטרים'!$C$5,3,IF(F820='טבלת פרמטרים'!$C$4,1,0))+IF(G820='טבלת פרמטרים'!$D$3,2,0)+IF(M820='טבלת פרמטרים'!$J$4,2,IF(M820='טבלת פרמטרים'!$J$3,1,0))+IF(N820='טבלת פרמטרים'!$K$6,3,IF(OR(N820='טבלת פרמטרים'!$K$4,N820='טבלת פרמטרים'!$K$5),2,IF(N820='טבלת פרמטרים'!$K$3,1,0))))</f>
        <v>7</v>
      </c>
      <c r="Q820" s="20" t="s">
        <v>331</v>
      </c>
      <c r="R820" s="19">
        <f t="shared" si="18"/>
        <v>13</v>
      </c>
      <c r="T820" s="19">
        <f>IF(EXACT(Q820,'טבלת פרמטרים'!$O$2),'טבלת פרמטרים'!$P$2,IF(EXACT(Q820,'טבלת פרמטרים'!$O$3),'טבלת פרמטרים'!$P$3,IF(EXACT(Q820,'טבלת פרמטרים'!$O$4),'טבלת פרמטרים'!$P$4,IF(EXACT(Q820,'טבלת פרמטרים'!$O$5),'טבלת פרמטרים'!$P$5,IF(EXACT(Q820,'טבלת פרמטרים'!$O$6),'טבלת פרמטרים'!$P$6,IF(EXACT(Q820,'טבלת פרמטרים'!$O$7),'טבלת פרמטרים'!$P$7,""))))))</f>
        <v>6</v>
      </c>
    </row>
    <row r="821" spans="1:20" ht="28.5" x14ac:dyDescent="0.2">
      <c r="A821" s="18">
        <v>821</v>
      </c>
      <c r="B821" s="30">
        <v>45958</v>
      </c>
      <c r="C821" s="30">
        <v>45960</v>
      </c>
      <c r="D821" s="21" t="s">
        <v>17</v>
      </c>
      <c r="E821" s="21" t="s">
        <v>22</v>
      </c>
      <c r="F821" s="21" t="s">
        <v>24</v>
      </c>
      <c r="G821" s="21" t="s">
        <v>26</v>
      </c>
      <c r="H821" s="21" t="s">
        <v>29</v>
      </c>
      <c r="M821" s="21" t="s">
        <v>55</v>
      </c>
      <c r="O821" s="19">
        <f>IF(ISBLANK(D821),"",IF(D821='טבלת פרמטרים'!$A$9,1,0)+IF(E821='טבלת פרמטרים'!$B$5,2,1)+IF(F821='טבלת פרמטרים'!$C$5,3,IF(F821='טבלת פרמטרים'!$C$4,1,0))+IF(G821='טבלת פרמטרים'!$D$3,2,0)+IF(M821='טבלת פרמטרים'!$J$4,2,IF(M821='טבלת פרמטרים'!$J$3,1,0))+IF(N821='טבלת פרמטרים'!$K$6,3,IF(OR(N821='טבלת פרמטרים'!$K$4,N821='טבלת פרמטרים'!$K$5),2,IF(N821='טבלת פרמטרים'!$K$3,1,0))))</f>
        <v>6</v>
      </c>
      <c r="Q821" s="20" t="s">
        <v>329</v>
      </c>
      <c r="R821" s="19">
        <f t="shared" si="18"/>
        <v>7</v>
      </c>
      <c r="T821" s="19">
        <f>IF(EXACT(Q821,'טבלת פרמטרים'!$O$2),'טבלת פרמטרים'!$P$2,IF(EXACT(Q821,'טבלת פרמטרים'!$O$3),'טבלת פרמטרים'!$P$3,IF(EXACT(Q821,'טבלת פרמטרים'!$O$4),'טבלת פרמטרים'!$P$4,IF(EXACT(Q821,'טבלת פרמטרים'!$O$5),'טבלת פרמטרים'!$P$5,IF(EXACT(Q821,'טבלת פרמטרים'!$O$6),'טבלת פרמטרים'!$P$6,IF(EXACT(Q821,'טבלת פרמטרים'!$O$7),'טבלת פרמטרים'!$P$7,""))))))</f>
        <v>1</v>
      </c>
    </row>
    <row r="822" spans="1:20" x14ac:dyDescent="0.2">
      <c r="A822" s="18">
        <v>822</v>
      </c>
      <c r="C822" s="30">
        <v>45971</v>
      </c>
      <c r="D822" s="21" t="s">
        <v>17</v>
      </c>
      <c r="E822" s="21" t="s">
        <v>20</v>
      </c>
      <c r="F822" s="21" t="s">
        <v>23</v>
      </c>
      <c r="G822" s="21" t="s">
        <v>26</v>
      </c>
      <c r="H822" s="21" t="s">
        <v>30</v>
      </c>
      <c r="M822" s="21" t="s">
        <v>55</v>
      </c>
      <c r="O822" s="19">
        <f>IF(ISBLANK(D822),"",IF(D822='טבלת פרמטרים'!$A$9,1,0)+IF(E822='טבלת פרמטרים'!$B$5,2,1)+IF(F822='טבלת פרמטרים'!$C$5,3,IF(F822='טבלת פרמטרים'!$C$4,1,0))+IF(G822='טבלת פרמטרים'!$D$3,2,0)+IF(M822='טבלת פרמטרים'!$J$4,2,IF(M822='טבלת פרמטרים'!$J$3,1,0))+IF(N822='טבלת פרמטרים'!$K$6,3,IF(OR(N822='טבלת פרמטרים'!$K$4,N822='טבלת פרמטרים'!$K$5),2,IF(N822='טבלת פרמטרים'!$K$3,1,0))))</f>
        <v>4</v>
      </c>
      <c r="R822" s="19">
        <f t="shared" si="18"/>
        <v>4</v>
      </c>
      <c r="T822" s="19" t="str">
        <f>IF(EXACT(Q822,'טבלת פרמטרים'!$O$2),'טבלת פרמטרים'!$P$2,IF(EXACT(Q822,'טבלת פרמטרים'!$O$3),'טבלת פרמטרים'!$P$3,IF(EXACT(Q822,'טבלת פרמטרים'!$O$4),'טבלת פרמטרים'!$P$4,IF(EXACT(Q822,'טבלת פרמטרים'!$O$5),'טבלת פרמטרים'!$P$5,IF(EXACT(Q822,'טבלת פרמטרים'!$O$6),'טבלת פרמטרים'!$P$6,IF(EXACT(Q822,'טבלת פרמטרים'!$O$7),'טבלת פרמטרים'!$P$7,""))))))</f>
        <v/>
      </c>
    </row>
    <row r="823" spans="1:20" x14ac:dyDescent="0.2">
      <c r="A823" s="18">
        <v>823</v>
      </c>
      <c r="C823" s="30">
        <v>45974</v>
      </c>
      <c r="D823" s="21" t="s">
        <v>19</v>
      </c>
      <c r="E823" s="21" t="s">
        <v>111</v>
      </c>
      <c r="F823" s="21" t="s">
        <v>23</v>
      </c>
      <c r="G823" s="21" t="s">
        <v>26</v>
      </c>
      <c r="H823" s="21" t="s">
        <v>31</v>
      </c>
      <c r="M823" s="21" t="s">
        <v>54</v>
      </c>
      <c r="O823" s="19">
        <f>IF(ISBLANK(D823),"",IF(D823='טבלת פרמטרים'!$A$9,1,0)+IF(E823='טבלת פרמטרים'!$B$5,2,1)+IF(F823='טבלת פרמטרים'!$C$5,3,IF(F823='טבלת פרמטרים'!$C$4,1,0))+IF(G823='טבלת פרמטרים'!$D$3,2,0)+IF(M823='טבלת פרמטרים'!$J$4,2,IF(M823='טבלת פרמטרים'!$J$3,1,0))+IF(N823='טבלת פרמטרים'!$K$6,3,IF(OR(N823='טבלת פרמטרים'!$K$4,N823='טבלת פרמטרים'!$K$5),2,IF(N823='טבלת פרמטרים'!$K$3,1,0))))</f>
        <v>2</v>
      </c>
      <c r="R823" s="19">
        <f t="shared" si="18"/>
        <v>2</v>
      </c>
      <c r="T823" s="19" t="str">
        <f>IF(EXACT(Q823,'טבלת פרמטרים'!$O$2),'טבלת פרמטרים'!$P$2,IF(EXACT(Q823,'טבלת פרמטרים'!$O$3),'טבלת פרמטרים'!$P$3,IF(EXACT(Q823,'טבלת פרמטרים'!$O$4),'טבלת פרמטרים'!$P$4,IF(EXACT(Q823,'טבלת פרמטרים'!$O$5),'טבלת פרמטרים'!$P$5,IF(EXACT(Q823,'טבלת פרמטרים'!$O$6),'טבלת פרמטרים'!$P$6,IF(EXACT(Q823,'טבלת פרמטרים'!$O$7),'טבלת פרמטרים'!$P$7,""))))))</f>
        <v/>
      </c>
    </row>
    <row r="824" spans="1:20" x14ac:dyDescent="0.2">
      <c r="A824" s="18">
        <v>824</v>
      </c>
      <c r="B824" s="30">
        <v>46005</v>
      </c>
      <c r="C824" s="30">
        <v>46005</v>
      </c>
      <c r="D824" s="21" t="s">
        <v>17</v>
      </c>
      <c r="E824" s="21" t="s">
        <v>20</v>
      </c>
      <c r="F824" s="21" t="s">
        <v>23</v>
      </c>
      <c r="G824" s="21" t="s">
        <v>26</v>
      </c>
      <c r="H824" s="21" t="s">
        <v>31</v>
      </c>
      <c r="I824" s="21" t="s">
        <v>126</v>
      </c>
      <c r="J824" s="21" t="s">
        <v>33</v>
      </c>
      <c r="K824" s="21" t="s">
        <v>44</v>
      </c>
      <c r="L824" s="21" t="s">
        <v>51</v>
      </c>
      <c r="M824" s="21" t="s">
        <v>54</v>
      </c>
      <c r="O824" s="19">
        <f>IF(ISBLANK(D824),"",IF(D824='טבלת פרמטרים'!$A$9,1,0)+IF(E824='טבלת פרמטרים'!$B$5,2,1)+IF(F824='טבלת פרמטרים'!$C$5,3,IF(F824='טבלת פרמטרים'!$C$4,1,0))+IF(G824='טבלת פרמטרים'!$D$3,2,0)+IF(M824='טבלת פרמטרים'!$J$4,2,IF(M824='טבלת פרמטרים'!$J$3,1,0))+IF(N824='טבלת פרמטרים'!$K$6,3,IF(OR(N824='טבלת פרמטרים'!$K$4,N824='טבלת פרמטרים'!$K$5),2,IF(N824='טבלת פרמטרים'!$K$3,1,0))))</f>
        <v>3</v>
      </c>
      <c r="R824" s="19">
        <f t="shared" si="18"/>
        <v>3</v>
      </c>
      <c r="T824" s="19" t="str">
        <f>IF(EXACT(Q824,'טבלת פרמטרים'!$O$2),'טבלת פרמטרים'!$P$2,IF(EXACT(Q824,'טבלת פרמטרים'!$O$3),'טבלת פרמטרים'!$P$3,IF(EXACT(Q824,'טבלת פרמטרים'!$O$4),'טבלת פרמטרים'!$P$4,IF(EXACT(Q824,'טבלת פרמטרים'!$O$5),'טבלת פרמטרים'!$P$5,IF(EXACT(Q824,'טבלת פרמטרים'!$O$6),'טבלת פרמטרים'!$P$6,IF(EXACT(Q824,'טבלת פרמטרים'!$O$7),'טבלת פרמטרים'!$P$7,""))))))</f>
        <v/>
      </c>
    </row>
    <row r="825" spans="1:20" x14ac:dyDescent="0.2">
      <c r="A825" s="18">
        <v>825</v>
      </c>
      <c r="C825" s="30">
        <v>46014</v>
      </c>
      <c r="D825" s="21" t="s">
        <v>15</v>
      </c>
      <c r="E825" s="21" t="s">
        <v>21</v>
      </c>
      <c r="F825" s="21" t="s">
        <v>23</v>
      </c>
      <c r="G825" s="21" t="s">
        <v>26</v>
      </c>
      <c r="H825" s="21" t="s">
        <v>30</v>
      </c>
      <c r="K825" s="21" t="s">
        <v>45</v>
      </c>
      <c r="L825" s="21" t="s">
        <v>51</v>
      </c>
      <c r="M825" s="21" t="s">
        <v>55</v>
      </c>
      <c r="O825" s="19">
        <f>IF(ISBLANK(D825),"",IF(D825='טבלת פרמטרים'!$A$9,1,0)+IF(E825='טבלת פרמטרים'!$B$5,2,1)+IF(F825='טבלת פרמטרים'!$C$5,3,IF(F825='טבלת פרמטרים'!$C$4,1,0))+IF(G825='טבלת פרמטרים'!$D$3,2,0)+IF(M825='טבלת פרמטרים'!$J$4,2,IF(M825='טבלת פרמטרים'!$J$3,1,0))+IF(N825='טבלת פרמטרים'!$K$6,3,IF(OR(N825='טבלת פרמטרים'!$K$4,N825='טבלת פרמטרים'!$K$5),2,IF(N825='טבלת פרמטרים'!$K$3,1,0))))</f>
        <v>3</v>
      </c>
      <c r="R825" s="19">
        <f t="shared" si="18"/>
        <v>3</v>
      </c>
      <c r="T825" s="19" t="str">
        <f>IF(EXACT(Q825,'טבלת פרמטרים'!$O$2),'טבלת פרמטרים'!$P$2,IF(EXACT(Q825,'טבלת פרמטרים'!$O$3),'טבלת פרמטרים'!$P$3,IF(EXACT(Q825,'טבלת פרמטרים'!$O$4),'טבלת פרמטרים'!$P$4,IF(EXACT(Q825,'טבלת פרמטרים'!$O$5),'טבלת פרמטרים'!$P$5,IF(EXACT(Q825,'טבלת פרמטרים'!$O$6),'טבלת פרמטרים'!$P$6,IF(EXACT(Q825,'טבלת פרמטרים'!$O$7),'טבלת פרמטרים'!$P$7,""))))))</f>
        <v/>
      </c>
    </row>
    <row r="826" spans="1:20" x14ac:dyDescent="0.2">
      <c r="A826" s="18">
        <v>826</v>
      </c>
      <c r="C826" s="30">
        <v>46014</v>
      </c>
      <c r="D826" s="21" t="s">
        <v>17</v>
      </c>
      <c r="E826" s="21" t="s">
        <v>20</v>
      </c>
      <c r="F826" s="21" t="s">
        <v>23</v>
      </c>
      <c r="G826" s="21" t="s">
        <v>26</v>
      </c>
      <c r="H826" s="21" t="s">
        <v>29</v>
      </c>
      <c r="M826" s="21" t="s">
        <v>53</v>
      </c>
      <c r="O826" s="19">
        <f>IF(ISBLANK(D826),"",IF(D826='טבלת פרמטרים'!$A$9,1,0)+IF(E826='טבלת פרמטרים'!$B$5,2,1)+IF(F826='טבלת פרמטרים'!$C$5,3,IF(F826='טבלת פרמטרים'!$C$4,1,0))+IF(G826='טבלת פרמטרים'!$D$3,2,0)+IF(M826='טבלת פרמטרים'!$J$4,2,IF(M826='טבלת פרמטרים'!$J$3,1,0))+IF(N826='טבלת פרמטרים'!$K$6,3,IF(OR(N826='טבלת פרמטרים'!$K$4,N826='טבלת פרמטרים'!$K$5),2,IF(N826='טבלת פרמטרים'!$K$3,1,0))))</f>
        <v>2</v>
      </c>
      <c r="R826" s="19">
        <f t="shared" si="18"/>
        <v>2</v>
      </c>
      <c r="T826" s="19" t="str">
        <f>IF(EXACT(Q826,'טבלת פרמטרים'!$O$2),'טבלת פרמטרים'!$P$2,IF(EXACT(Q826,'טבלת פרמטרים'!$O$3),'טבלת פרמטרים'!$P$3,IF(EXACT(Q826,'טבלת פרמטרים'!$O$4),'טבלת פרמטרים'!$P$4,IF(EXACT(Q826,'טבלת פרמטרים'!$O$5),'טבלת פרמטרים'!$P$5,IF(EXACT(Q826,'טבלת פרמטרים'!$O$6),'טבלת פרמטרים'!$P$6,IF(EXACT(Q826,'טבלת פרמטרים'!$O$7),'טבלת פרמטרים'!$P$7,""))))))</f>
        <v/>
      </c>
    </row>
    <row r="827" spans="1:20" ht="28.5" x14ac:dyDescent="0.2">
      <c r="A827" s="18">
        <v>827</v>
      </c>
      <c r="C827" s="30">
        <v>46014</v>
      </c>
      <c r="D827" s="21" t="s">
        <v>17</v>
      </c>
      <c r="E827" s="21" t="s">
        <v>22</v>
      </c>
      <c r="F827" s="21" t="s">
        <v>24</v>
      </c>
      <c r="G827" s="21" t="s">
        <v>26</v>
      </c>
      <c r="H827" s="21" t="s">
        <v>28</v>
      </c>
      <c r="M827" s="21" t="s">
        <v>55</v>
      </c>
      <c r="O827" s="19">
        <f>IF(ISBLANK(D827),"",IF(D827='טבלת פרמטרים'!$A$9,1,0)+IF(E827='טבלת פרמטרים'!$B$5,2,1)+IF(F827='טבלת פרמטרים'!$C$5,3,IF(F827='טבלת פרמטרים'!$C$4,1,0))+IF(G827='טבלת פרמטרים'!$D$3,2,0)+IF(M827='טבלת פרמטרים'!$J$4,2,IF(M827='טבלת פרמטרים'!$J$3,1,0))+IF(N827='טבלת פרמטרים'!$K$6,3,IF(OR(N827='טבלת פרמטרים'!$K$4,N827='טבלת פרמטרים'!$K$5),2,IF(N827='טבלת פרמטרים'!$K$3,1,0))))</f>
        <v>6</v>
      </c>
      <c r="Q827" s="20" t="s">
        <v>329</v>
      </c>
      <c r="R827" s="19">
        <f t="shared" si="18"/>
        <v>7</v>
      </c>
      <c r="T827" s="19">
        <f>IF(EXACT(Q827,'טבלת פרמטרים'!$O$2),'טבלת פרמטרים'!$P$2,IF(EXACT(Q827,'טבלת פרמטרים'!$O$3),'טבלת פרמטרים'!$P$3,IF(EXACT(Q827,'טבלת פרמטרים'!$O$4),'טבלת פרמטרים'!$P$4,IF(EXACT(Q827,'טבלת פרמטרים'!$O$5),'טבלת פרמטרים'!$P$5,IF(EXACT(Q827,'טבלת פרמטרים'!$O$6),'טבלת פרמטרים'!$P$6,IF(EXACT(Q827,'טבלת פרמטרים'!$O$7),'טבלת פרמטרים'!$P$7,""))))))</f>
        <v>1</v>
      </c>
    </row>
    <row r="828" spans="1:20" x14ac:dyDescent="0.2">
      <c r="A828" s="18">
        <v>828</v>
      </c>
      <c r="C828" s="30">
        <v>46019</v>
      </c>
      <c r="D828" s="21" t="s">
        <v>15</v>
      </c>
      <c r="E828" s="21" t="s">
        <v>111</v>
      </c>
      <c r="F828" s="21" t="s">
        <v>23</v>
      </c>
      <c r="G828" s="21" t="s">
        <v>26</v>
      </c>
      <c r="H828" s="21" t="s">
        <v>30</v>
      </c>
      <c r="M828" s="21" t="s">
        <v>54</v>
      </c>
      <c r="O828" s="19">
        <f>IF(ISBLANK(D828),"",IF(D828='טבלת פרמטרים'!$A$9,1,0)+IF(E828='טבלת פרמטרים'!$B$5,2,1)+IF(F828='טבלת פרמטרים'!$C$5,3,IF(F828='טבלת פרמטרים'!$C$4,1,0))+IF(G828='טבלת פרמטרים'!$D$3,2,0)+IF(M828='טבלת פרמטרים'!$J$4,2,IF(M828='טבלת פרמטרים'!$J$3,1,0))+IF(N828='טבלת פרמטרים'!$K$6,3,IF(OR(N828='טבלת פרמטרים'!$K$4,N828='טבלת פרמטרים'!$K$5),2,IF(N828='טבלת פרמטרים'!$K$3,1,0))))</f>
        <v>2</v>
      </c>
      <c r="R828" s="19">
        <f t="shared" si="18"/>
        <v>2</v>
      </c>
      <c r="T828" s="19" t="str">
        <f>IF(EXACT(Q828,'טבלת פרמטרים'!$O$2),'טבלת פרמטרים'!$P$2,IF(EXACT(Q828,'טבלת פרמטרים'!$O$3),'טבלת פרמטרים'!$P$3,IF(EXACT(Q828,'טבלת פרמטרים'!$O$4),'טבלת פרמטרים'!$P$4,IF(EXACT(Q828,'טבלת פרמטרים'!$O$5),'טבלת פרמטרים'!$P$5,IF(EXACT(Q828,'טבלת פרמטרים'!$O$6),'טבלת פרמטרים'!$P$6,IF(EXACT(Q828,'טבלת פרמטרים'!$O$7),'טבלת פרמטרים'!$P$7,""))))))</f>
        <v/>
      </c>
    </row>
    <row r="829" spans="1:20" x14ac:dyDescent="0.2">
      <c r="A829" s="18">
        <v>829</v>
      </c>
      <c r="C829" s="30">
        <v>46019</v>
      </c>
      <c r="D829" s="21" t="s">
        <v>15</v>
      </c>
      <c r="E829" s="21" t="s">
        <v>111</v>
      </c>
      <c r="F829" s="21" t="s">
        <v>23</v>
      </c>
      <c r="G829" s="21" t="s">
        <v>26</v>
      </c>
      <c r="H829" s="21" t="s">
        <v>30</v>
      </c>
      <c r="M829" s="21" t="s">
        <v>54</v>
      </c>
      <c r="O829" s="19">
        <f>IF(ISBLANK(D829),"",IF(D829='טבלת פרמטרים'!$A$9,1,0)+IF(E829='טבלת פרמטרים'!$B$5,2,1)+IF(F829='טבלת פרמטרים'!$C$5,3,IF(F829='טבלת פרמטרים'!$C$4,1,0))+IF(G829='טבלת פרמטרים'!$D$3,2,0)+IF(M829='טבלת פרמטרים'!$J$4,2,IF(M829='טבלת פרמטרים'!$J$3,1,0))+IF(N829='טבלת פרמטרים'!$K$6,3,IF(OR(N829='טבלת פרמטרים'!$K$4,N829='טבלת פרמטרים'!$K$5),2,IF(N829='טבלת פרמטרים'!$K$3,1,0))))</f>
        <v>2</v>
      </c>
      <c r="R829" s="19">
        <f t="shared" si="18"/>
        <v>2</v>
      </c>
      <c r="T829" s="19" t="str">
        <f>IF(EXACT(Q829,'טבלת פרמטרים'!$O$2),'טבלת פרמטרים'!$P$2,IF(EXACT(Q829,'טבלת פרמטרים'!$O$3),'טבלת פרמטרים'!$P$3,IF(EXACT(Q829,'טבלת פרמטרים'!$O$4),'טבלת פרמטרים'!$P$4,IF(EXACT(Q829,'טבלת פרמטרים'!$O$5),'טבלת פרמטרים'!$P$5,IF(EXACT(Q829,'טבלת פרמטרים'!$O$6),'טבלת פרמטרים'!$P$6,IF(EXACT(Q829,'טבלת פרמטרים'!$O$7),'טבלת פרמטרים'!$P$7,""))))))</f>
        <v/>
      </c>
    </row>
    <row r="830" spans="1:20" x14ac:dyDescent="0.2">
      <c r="A830" s="18">
        <v>830</v>
      </c>
      <c r="C830" s="30">
        <v>46019</v>
      </c>
      <c r="D830" s="21" t="s">
        <v>17</v>
      </c>
      <c r="E830" s="21" t="s">
        <v>22</v>
      </c>
      <c r="F830" s="21" t="s">
        <v>24</v>
      </c>
      <c r="G830" s="21" t="s">
        <v>26</v>
      </c>
      <c r="H830" s="21" t="s">
        <v>29</v>
      </c>
      <c r="M830" s="21" t="s">
        <v>53</v>
      </c>
      <c r="O830" s="19">
        <f>IF(ISBLANK(D830),"",IF(D830='טבלת פרמטרים'!$A$9,1,0)+IF(E830='טבלת פרמטרים'!$B$5,2,1)+IF(F830='טבלת פרמטרים'!$C$5,3,IF(F830='טבלת פרמטרים'!$C$4,1,0))+IF(G830='טבלת פרמטרים'!$D$3,2,0)+IF(M830='טבלת פרמטרים'!$J$4,2,IF(M830='טבלת פרמטרים'!$J$3,1,0))+IF(N830='טבלת פרמטרים'!$K$6,3,IF(OR(N830='טבלת פרמטרים'!$K$4,N830='טבלת פרמטרים'!$K$5),2,IF(N830='טבלת פרמטרים'!$K$3,1,0))))</f>
        <v>4</v>
      </c>
      <c r="Q830" s="20" t="s">
        <v>123</v>
      </c>
      <c r="R830" s="19">
        <f t="shared" si="18"/>
        <v>4</v>
      </c>
      <c r="T830" s="19">
        <f>IF(EXACT(Q830,'טבלת פרמטרים'!$O$2),'טבלת פרמטרים'!$P$2,IF(EXACT(Q830,'טבלת פרמטרים'!$O$3),'טבלת פרמטרים'!$P$3,IF(EXACT(Q830,'טבלת פרמטרים'!$O$4),'טבלת פרמטרים'!$P$4,IF(EXACT(Q830,'טבלת פרמטרים'!$O$5),'טבלת פרמטרים'!$P$5,IF(EXACT(Q830,'טבלת פרמטרים'!$O$6),'טבלת פרמטרים'!$P$6,IF(EXACT(Q830,'טבלת פרמטרים'!$O$7),'טבלת פרמטרים'!$P$7,""))))))</f>
        <v>0</v>
      </c>
    </row>
    <row r="831" spans="1:20" x14ac:dyDescent="0.2">
      <c r="A831" s="18">
        <v>831</v>
      </c>
      <c r="C831" s="30">
        <v>46020</v>
      </c>
      <c r="D831" s="21" t="s">
        <v>15</v>
      </c>
      <c r="E831" s="21" t="s">
        <v>111</v>
      </c>
      <c r="F831" s="21" t="s">
        <v>23</v>
      </c>
      <c r="G831" s="21" t="s">
        <v>26</v>
      </c>
      <c r="H831" s="21" t="s">
        <v>29</v>
      </c>
      <c r="M831" s="21" t="s">
        <v>55</v>
      </c>
      <c r="O831" s="19">
        <f>IF(ISBLANK(D831),"",IF(D831='טבלת פרמטרים'!$A$9,1,0)+IF(E831='טבלת פרמטרים'!$B$5,2,1)+IF(F831='טבלת פרמטרים'!$C$5,3,IF(F831='טבלת פרמטרים'!$C$4,1,0))+IF(G831='טבלת פרמטרים'!$D$3,2,0)+IF(M831='טבלת פרמטרים'!$J$4,2,IF(M831='טבלת פרמטרים'!$J$3,1,0))+IF(N831='טבלת פרמטרים'!$K$6,3,IF(OR(N831='טבלת פרמטרים'!$K$4,N831='טבלת פרמטרים'!$K$5),2,IF(N831='טבלת פרמטרים'!$K$3,1,0))))</f>
        <v>3</v>
      </c>
      <c r="R831" s="19">
        <f t="shared" si="18"/>
        <v>3</v>
      </c>
      <c r="T831" s="19" t="str">
        <f>IF(EXACT(Q831,'טבלת פרמטרים'!$O$2),'טבלת פרמטרים'!$P$2,IF(EXACT(Q831,'טבלת פרמטרים'!$O$3),'טבלת פרמטרים'!$P$3,IF(EXACT(Q831,'טבלת פרמטרים'!$O$4),'טבלת פרמטרים'!$P$4,IF(EXACT(Q831,'טבלת פרמטרים'!$O$5),'טבלת פרמטרים'!$P$5,IF(EXACT(Q831,'טבלת פרמטרים'!$O$6),'טבלת פרמטרים'!$P$6,IF(EXACT(Q831,'טבלת פרמטרים'!$O$7),'טבלת פרמטרים'!$P$7,""))))))</f>
        <v/>
      </c>
    </row>
    <row r="832" spans="1:20" x14ac:dyDescent="0.2">
      <c r="A832" s="18">
        <v>832</v>
      </c>
      <c r="C832" s="30">
        <v>46052</v>
      </c>
      <c r="D832" s="21" t="s">
        <v>17</v>
      </c>
      <c r="E832" s="21" t="s">
        <v>111</v>
      </c>
      <c r="F832" s="21" t="s">
        <v>23</v>
      </c>
      <c r="G832" s="21" t="s">
        <v>26</v>
      </c>
      <c r="H832" s="21" t="s">
        <v>31</v>
      </c>
      <c r="I832" s="21" t="s">
        <v>126</v>
      </c>
      <c r="J832" s="21" t="s">
        <v>34</v>
      </c>
      <c r="K832" s="21" t="s">
        <v>45</v>
      </c>
      <c r="L832" s="21" t="s">
        <v>51</v>
      </c>
      <c r="M832" s="21" t="s">
        <v>53</v>
      </c>
      <c r="O832" s="19">
        <f>IF(ISBLANK(D832),"",IF(D832='טבלת פרמטרים'!$A$9,1,0)+IF(E832='טבלת פרמטרים'!$B$5,2,1)+IF(F832='טבלת פרמטרים'!$C$5,3,IF(F832='טבלת פרמטרים'!$C$4,1,0))+IF(G832='טבלת פרמטרים'!$D$3,2,0)+IF(M832='טבלת פרמטרים'!$J$4,2,IF(M832='טבלת פרמטרים'!$J$3,1,0))+IF(N832='טבלת פרמטרים'!$K$6,3,IF(OR(N832='טבלת פרמטרים'!$K$4,N832='טבלת פרמטרים'!$K$5),2,IF(N832='טבלת פרמטרים'!$K$3,1,0))))</f>
        <v>2</v>
      </c>
      <c r="R832" s="19">
        <f t="shared" si="18"/>
        <v>2</v>
      </c>
      <c r="T832" s="19" t="str">
        <f>IF(EXACT(Q832,'טבלת פרמטרים'!$O$2),'טבלת פרמטרים'!$P$2,IF(EXACT(Q832,'טבלת פרמטרים'!$O$3),'טבלת פרמטרים'!$P$3,IF(EXACT(Q832,'טבלת פרמטרים'!$O$4),'טבלת פרמטרים'!$P$4,IF(EXACT(Q832,'טבלת פרמטרים'!$O$5),'טבלת פרמטרים'!$P$5,IF(EXACT(Q832,'טבלת פרמטרים'!$O$6),'טבלת פרמטרים'!$P$6,IF(EXACT(Q832,'טבלת פרמטרים'!$O$7),'טבלת פרמטרים'!$P$7,""))))))</f>
        <v/>
      </c>
    </row>
    <row r="833" spans="1:20" x14ac:dyDescent="0.2">
      <c r="A833" s="18">
        <v>833</v>
      </c>
      <c r="C833" s="30">
        <v>46054</v>
      </c>
      <c r="D833" s="21" t="s">
        <v>16</v>
      </c>
      <c r="E833" s="21" t="s">
        <v>21</v>
      </c>
      <c r="F833" s="21" t="s">
        <v>23</v>
      </c>
      <c r="G833" s="21" t="s">
        <v>26</v>
      </c>
      <c r="H833" s="21" t="s">
        <v>29</v>
      </c>
      <c r="I833" s="21" t="s">
        <v>126</v>
      </c>
      <c r="J833" s="21" t="s">
        <v>33</v>
      </c>
      <c r="K833" s="21" t="s">
        <v>45</v>
      </c>
      <c r="L833" s="21" t="s">
        <v>51</v>
      </c>
      <c r="M833" s="21" t="s">
        <v>54</v>
      </c>
      <c r="O833" s="19">
        <f>IF(ISBLANK(D833),"",IF(D833='טבלת פרמטרים'!$A$9,1,0)+IF(E833='טבלת פרמטרים'!$B$5,2,1)+IF(F833='טבלת פרמטרים'!$C$5,3,IF(F833='טבלת פרמטרים'!$C$4,1,0))+IF(G833='טבלת פרמטרים'!$D$3,2,0)+IF(M833='טבלת פרמטרים'!$J$4,2,IF(M833='טבלת פרמטרים'!$J$3,1,0))+IF(N833='טבלת פרמטרים'!$K$6,3,IF(OR(N833='טבלת פרמטרים'!$K$4,N833='טבלת פרמטרים'!$K$5),2,IF(N833='טבלת פרמטרים'!$K$3,1,0))))</f>
        <v>2</v>
      </c>
      <c r="R833" s="19">
        <f t="shared" si="18"/>
        <v>2</v>
      </c>
      <c r="T833" s="19" t="str">
        <f>IF(EXACT(Q833,'טבלת פרמטרים'!$O$2),'טבלת פרמטרים'!$P$2,IF(EXACT(Q833,'טבלת פרמטרים'!$O$3),'טבלת פרמטרים'!$P$3,IF(EXACT(Q833,'טבלת פרמטרים'!$O$4),'טבלת פרמטרים'!$P$4,IF(EXACT(Q833,'טבלת פרמטרים'!$O$5),'טבלת פרמטרים'!$P$5,IF(EXACT(Q833,'טבלת פרמטרים'!$O$6),'טבלת פרמטרים'!$P$6,IF(EXACT(Q833,'טבלת פרמטרים'!$O$7),'טבלת פרמטרים'!$P$7,""))))))</f>
        <v/>
      </c>
    </row>
    <row r="834" spans="1:20" x14ac:dyDescent="0.2">
      <c r="A834" s="18">
        <v>834</v>
      </c>
      <c r="C834" s="30">
        <v>46054</v>
      </c>
      <c r="D834" s="21" t="s">
        <v>17</v>
      </c>
      <c r="E834" s="21" t="s">
        <v>21</v>
      </c>
      <c r="F834" s="21" t="s">
        <v>23</v>
      </c>
      <c r="G834" s="21" t="s">
        <v>26</v>
      </c>
      <c r="H834" s="21" t="s">
        <v>29</v>
      </c>
      <c r="I834" s="21" t="s">
        <v>126</v>
      </c>
      <c r="J834" s="21" t="s">
        <v>1992</v>
      </c>
      <c r="K834" s="21" t="s">
        <v>45</v>
      </c>
      <c r="L834" s="21" t="s">
        <v>51</v>
      </c>
      <c r="M834" s="21" t="s">
        <v>54</v>
      </c>
      <c r="O834" s="19">
        <f>IF(ISBLANK(D834),"",IF(D834='טבלת פרמטרים'!$A$9,1,0)+IF(E834='טבלת פרמטרים'!$B$5,2,1)+IF(F834='טבלת פרמטרים'!$C$5,3,IF(F834='טבלת פרמטרים'!$C$4,1,0))+IF(G834='טבלת פרמטרים'!$D$3,2,0)+IF(M834='טבלת פרמטרים'!$J$4,2,IF(M834='טבלת פרמטרים'!$J$3,1,0))+IF(N834='טבלת פרמטרים'!$K$6,3,IF(OR(N834='טבלת פרמטרים'!$K$4,N834='טבלת פרמטרים'!$K$5),2,IF(N834='טבלת פרמטרים'!$K$3,1,0))))</f>
        <v>3</v>
      </c>
      <c r="R834" s="19">
        <f t="shared" si="18"/>
        <v>3</v>
      </c>
      <c r="T834" s="19" t="str">
        <f>IF(EXACT(Q834,'טבלת פרמטרים'!$O$2),'טבלת פרמטרים'!$P$2,IF(EXACT(Q834,'טבלת פרמטרים'!$O$3),'טבלת פרמטרים'!$P$3,IF(EXACT(Q834,'טבלת פרמטרים'!$O$4),'טבלת פרמטרים'!$P$4,IF(EXACT(Q834,'טבלת פרמטרים'!$O$5),'טבלת פרמטרים'!$P$5,IF(EXACT(Q834,'טבלת פרמטרים'!$O$6),'טבלת פרמטרים'!$P$6,IF(EXACT(Q834,'טבלת פרמטרים'!$O$7),'טבלת פרמטרים'!$P$7,""))))))</f>
        <v/>
      </c>
    </row>
    <row r="835" spans="1:20" x14ac:dyDescent="0.2">
      <c r="A835" s="18">
        <v>835</v>
      </c>
      <c r="C835" s="30">
        <v>46061</v>
      </c>
      <c r="D835" s="21" t="s">
        <v>14</v>
      </c>
      <c r="E835" s="21" t="s">
        <v>111</v>
      </c>
      <c r="F835" s="21" t="s">
        <v>23</v>
      </c>
      <c r="G835" s="21" t="s">
        <v>26</v>
      </c>
      <c r="H835" s="21" t="s">
        <v>30</v>
      </c>
      <c r="M835" s="21" t="s">
        <v>55</v>
      </c>
      <c r="O835" s="19">
        <f>IF(ISBLANK(D835),"",IF(D835='טבלת פרמטרים'!$A$9,1,0)+IF(E835='טבלת פרמטרים'!$B$5,2,1)+IF(F835='טבלת פרמטרים'!$C$5,3,IF(F835='טבלת פרמטרים'!$C$4,1,0))+IF(G835='טבלת פרמטרים'!$D$3,2,0)+IF(M835='טבלת פרמטרים'!$J$4,2,IF(M835='טבלת פרמטרים'!$J$3,1,0))+IF(N835='טבלת פרמטרים'!$K$6,3,IF(OR(N835='טבלת פרמטרים'!$K$4,N835='טבלת פרמטרים'!$K$5),2,IF(N835='טבלת פרמטרים'!$K$3,1,0))))</f>
        <v>3</v>
      </c>
      <c r="R835" s="19">
        <f t="shared" si="18"/>
        <v>3</v>
      </c>
      <c r="T835" s="19" t="str">
        <f>IF(EXACT(Q835,'טבלת פרמטרים'!$O$2),'טבלת פרמטרים'!$P$2,IF(EXACT(Q835,'טבלת פרמטרים'!$O$3),'טבלת פרמטרים'!$P$3,IF(EXACT(Q835,'טבלת פרמטרים'!$O$4),'טבלת פרמטרים'!$P$4,IF(EXACT(Q835,'טבלת פרמטרים'!$O$5),'טבלת פרמטרים'!$P$5,IF(EXACT(Q835,'טבלת פרמטרים'!$O$6),'טבלת פרמטרים'!$P$6,IF(EXACT(Q835,'טבלת פרמטרים'!$O$7),'טבלת פרמטרים'!$P$7,""))))))</f>
        <v/>
      </c>
    </row>
    <row r="836" spans="1:20" x14ac:dyDescent="0.2">
      <c r="A836" s="18">
        <v>836</v>
      </c>
      <c r="C836" s="30">
        <v>46075</v>
      </c>
      <c r="D836" s="21" t="s">
        <v>11</v>
      </c>
      <c r="E836" s="21" t="s">
        <v>21</v>
      </c>
      <c r="F836" s="21" t="s">
        <v>23</v>
      </c>
      <c r="G836" s="21" t="s">
        <v>26</v>
      </c>
      <c r="H836" s="21" t="s">
        <v>31</v>
      </c>
      <c r="I836" s="21" t="s">
        <v>126</v>
      </c>
      <c r="J836" s="21" t="s">
        <v>11</v>
      </c>
      <c r="K836" s="21" t="s">
        <v>45</v>
      </c>
      <c r="L836" s="21" t="s">
        <v>51</v>
      </c>
      <c r="M836" s="21" t="s">
        <v>55</v>
      </c>
      <c r="O836" s="19">
        <f>IF(ISBLANK(D836),"",IF(D836='טבלת פרמטרים'!$A$9,1,0)+IF(E836='טבלת פרמטרים'!$B$5,2,1)+IF(F836='טבלת פרמטרים'!$C$5,3,IF(F836='טבלת פרמטרים'!$C$4,1,0))+IF(G836='טבלת פרמטרים'!$D$3,2,0)+IF(M836='טבלת פרמטרים'!$J$4,2,IF(M836='טבלת פרמטרים'!$J$3,1,0))+IF(N836='טבלת פרמטרים'!$K$6,3,IF(OR(N836='טבלת פרמטרים'!$K$4,N836='טבלת פרמטרים'!$K$5),2,IF(N836='טבלת פרמטרים'!$K$3,1,0))))</f>
        <v>3</v>
      </c>
      <c r="R836" s="19">
        <f t="shared" si="18"/>
        <v>3</v>
      </c>
      <c r="T836" s="19" t="str">
        <f>IF(EXACT(Q836,'טבלת פרמטרים'!$O$2),'טבלת פרמטרים'!$P$2,IF(EXACT(Q836,'טבלת פרמטרים'!$O$3),'טבלת פרמטרים'!$P$3,IF(EXACT(Q836,'טבלת פרמטרים'!$O$4),'טבלת פרמטרים'!$P$4,IF(EXACT(Q836,'טבלת פרמטרים'!$O$5),'טבלת פרמטרים'!$P$5,IF(EXACT(Q836,'טבלת פרמטרים'!$O$6),'טבלת פרמטרים'!$P$6,IF(EXACT(Q836,'טבלת פרמטרים'!$O$7),'טבלת פרמטרים'!$P$7,""))))))</f>
        <v/>
      </c>
    </row>
    <row r="837" spans="1:20" x14ac:dyDescent="0.2">
      <c r="A837" s="18">
        <v>837</v>
      </c>
      <c r="C837" s="30">
        <v>46077</v>
      </c>
      <c r="D837" s="21" t="s">
        <v>11</v>
      </c>
      <c r="E837" s="21" t="s">
        <v>20</v>
      </c>
      <c r="F837" s="21" t="s">
        <v>23</v>
      </c>
      <c r="G837" s="21" t="s">
        <v>26</v>
      </c>
      <c r="H837" s="21" t="s">
        <v>30</v>
      </c>
      <c r="I837" s="21" t="s">
        <v>126</v>
      </c>
      <c r="J837" s="21" t="s">
        <v>11</v>
      </c>
      <c r="L837" s="21" t="s">
        <v>51</v>
      </c>
      <c r="M837" s="21" t="s">
        <v>55</v>
      </c>
      <c r="O837" s="19">
        <f>IF(ISBLANK(D837),"",IF(D837='טבלת פרמטרים'!$A$9,1,0)+IF(E837='טבלת פרמטרים'!$B$5,2,1)+IF(F837='טבלת פרמטרים'!$C$5,3,IF(F837='טבלת פרמטרים'!$C$4,1,0))+IF(G837='טבלת פרמטרים'!$D$3,2,0)+IF(M837='טבלת פרמטרים'!$J$4,2,IF(M837='טבלת פרמטרים'!$J$3,1,0))+IF(N837='טבלת פרמטרים'!$K$6,3,IF(OR(N837='טבלת פרמטרים'!$K$4,N837='טבלת פרמטרים'!$K$5),2,IF(N837='טבלת פרמטרים'!$K$3,1,0))))</f>
        <v>3</v>
      </c>
      <c r="R837" s="19">
        <f t="shared" si="18"/>
        <v>3</v>
      </c>
      <c r="T837" s="19" t="str">
        <f>IF(EXACT(Q837,'טבלת פרמטרים'!$O$2),'טבלת פרמטרים'!$P$2,IF(EXACT(Q837,'טבלת פרמטרים'!$O$3),'טבלת פרמטרים'!$P$3,IF(EXACT(Q837,'טבלת פרמטרים'!$O$4),'טבלת פרמטרים'!$P$4,IF(EXACT(Q837,'טבלת פרמטרים'!$O$5),'טבלת פרמטרים'!$P$5,IF(EXACT(Q837,'טבלת פרמטרים'!$O$6),'טבלת פרמטרים'!$P$6,IF(EXACT(Q837,'טבלת פרמטרים'!$O$7),'טבלת פרמטרים'!$P$7,""))))))</f>
        <v/>
      </c>
    </row>
    <row r="838" spans="1:20" x14ac:dyDescent="0.2">
      <c r="A838" s="18">
        <v>838</v>
      </c>
      <c r="C838" s="30">
        <v>46077</v>
      </c>
      <c r="D838" s="21" t="s">
        <v>11</v>
      </c>
      <c r="E838" s="21" t="s">
        <v>21</v>
      </c>
      <c r="F838" s="21" t="s">
        <v>23</v>
      </c>
      <c r="G838" s="21" t="s">
        <v>26</v>
      </c>
      <c r="H838" s="21" t="s">
        <v>29</v>
      </c>
      <c r="I838" s="21" t="s">
        <v>126</v>
      </c>
      <c r="J838" s="21" t="s">
        <v>11</v>
      </c>
      <c r="K838" s="21" t="s">
        <v>45</v>
      </c>
      <c r="L838" s="21" t="s">
        <v>51</v>
      </c>
      <c r="M838" s="21" t="s">
        <v>55</v>
      </c>
      <c r="O838" s="19">
        <f>IF(ISBLANK(D838),"",IF(D838='טבלת פרמטרים'!$A$9,1,0)+IF(E838='טבלת פרמטרים'!$B$5,2,1)+IF(F838='טבלת פרמטרים'!$C$5,3,IF(F838='טבלת פרמטרים'!$C$4,1,0))+IF(G838='טבלת פרמטרים'!$D$3,2,0)+IF(M838='טבלת פרמטרים'!$J$4,2,IF(M838='טבלת פרמטרים'!$J$3,1,0))+IF(N838='טבלת פרמטרים'!$K$6,3,IF(OR(N838='טבלת פרמטרים'!$K$4,N838='טבלת פרמטרים'!$K$5),2,IF(N838='טבלת פרמטרים'!$K$3,1,0))))</f>
        <v>3</v>
      </c>
      <c r="R838" s="19">
        <f t="shared" si="18"/>
        <v>3</v>
      </c>
      <c r="T838" s="19" t="str">
        <f>IF(EXACT(Q838,'טבלת פרמטרים'!$O$2),'טבלת פרמטרים'!$P$2,IF(EXACT(Q838,'טבלת פרמטרים'!$O$3),'טבלת פרמטרים'!$P$3,IF(EXACT(Q838,'טבלת פרמטרים'!$O$4),'טבלת פרמטרים'!$P$4,IF(EXACT(Q838,'טבלת פרמטרים'!$O$5),'טבלת פרמטרים'!$P$5,IF(EXACT(Q838,'טבלת פרמטרים'!$O$6),'טבלת פרמטרים'!$P$6,IF(EXACT(Q838,'טבלת פרמטרים'!$O$7),'טבלת פרמטרים'!$P$7,""))))))</f>
        <v/>
      </c>
    </row>
    <row r="839" spans="1:20" x14ac:dyDescent="0.2">
      <c r="A839" s="18">
        <v>839</v>
      </c>
      <c r="C839" s="30">
        <v>46077</v>
      </c>
      <c r="D839" s="21" t="s">
        <v>17</v>
      </c>
      <c r="E839" s="21" t="s">
        <v>21</v>
      </c>
      <c r="F839" s="21" t="s">
        <v>23</v>
      </c>
      <c r="G839" s="21" t="s">
        <v>26</v>
      </c>
      <c r="H839" s="21" t="s">
        <v>29</v>
      </c>
      <c r="I839" s="21" t="s">
        <v>126</v>
      </c>
      <c r="J839" s="21" t="s">
        <v>33</v>
      </c>
      <c r="K839" s="21" t="s">
        <v>44</v>
      </c>
      <c r="L839" s="21" t="s">
        <v>51</v>
      </c>
      <c r="M839" s="21" t="s">
        <v>54</v>
      </c>
      <c r="O839" s="19">
        <f>IF(ISBLANK(D839),"",IF(D839='טבלת פרמטרים'!$A$9,1,0)+IF(E839='טבלת פרמטרים'!$B$5,2,1)+IF(F839='טבלת פרמטרים'!$C$5,3,IF(F839='טבלת פרמטרים'!$C$4,1,0))+IF(G839='טבלת פרמטרים'!$D$3,2,0)+IF(M839='טבלת פרמטרים'!$J$4,2,IF(M839='טבלת פרמטרים'!$J$3,1,0))+IF(N839='טבלת פרמטרים'!$K$6,3,IF(OR(N839='טבלת פרמטרים'!$K$4,N839='טבלת פרמטרים'!$K$5),2,IF(N839='טבלת פרמטרים'!$K$3,1,0))))</f>
        <v>3</v>
      </c>
      <c r="R839" s="19">
        <f t="shared" si="18"/>
        <v>3</v>
      </c>
      <c r="T839" s="19" t="str">
        <f>IF(EXACT(Q839,'טבלת פרמטרים'!$O$2),'טבלת פרמטרים'!$P$2,IF(EXACT(Q839,'טבלת פרמטרים'!$O$3),'טבלת פרמטרים'!$P$3,IF(EXACT(Q839,'טבלת פרמטרים'!$O$4),'טבלת פרמטרים'!$P$4,IF(EXACT(Q839,'טבלת פרמטרים'!$O$5),'טבלת פרמטרים'!$P$5,IF(EXACT(Q839,'טבלת פרמטרים'!$O$6),'טבלת פרמטרים'!$P$6,IF(EXACT(Q839,'טבלת פרמטרים'!$O$7),'טבלת פרמטרים'!$P$7,""))))))</f>
        <v/>
      </c>
    </row>
    <row r="840" spans="1:20" x14ac:dyDescent="0.2">
      <c r="A840" s="18">
        <v>840</v>
      </c>
      <c r="C840" s="30">
        <v>46078</v>
      </c>
      <c r="D840" s="21" t="s">
        <v>15</v>
      </c>
      <c r="E840" s="21" t="s">
        <v>20</v>
      </c>
      <c r="F840" s="21" t="s">
        <v>23</v>
      </c>
      <c r="G840" s="21" t="s">
        <v>26</v>
      </c>
      <c r="H840" s="21" t="s">
        <v>32</v>
      </c>
      <c r="M840" s="21" t="s">
        <v>55</v>
      </c>
      <c r="O840" s="19">
        <f>IF(ISBLANK(D840),"",IF(D840='טבלת פרמטרים'!$A$9,1,0)+IF(E840='טבלת פרמטרים'!$B$5,2,1)+IF(F840='טבלת פרמטרים'!$C$5,3,IF(F840='טבלת פרמטרים'!$C$4,1,0))+IF(G840='טבלת פרמטרים'!$D$3,2,0)+IF(M840='טבלת פרמטרים'!$J$4,2,IF(M840='טבלת פרמטרים'!$J$3,1,0))+IF(N840='טבלת פרמטרים'!$K$6,3,IF(OR(N840='טבלת פרמטרים'!$K$4,N840='טבלת פרמטרים'!$K$5),2,IF(N840='טבלת פרמטרים'!$K$3,1,0))))</f>
        <v>3</v>
      </c>
      <c r="R840" s="19">
        <f t="shared" si="18"/>
        <v>3</v>
      </c>
      <c r="T840" s="19" t="str">
        <f>IF(EXACT(Q840,'טבלת פרמטרים'!$O$2),'טבלת פרמטרים'!$P$2,IF(EXACT(Q840,'טבלת פרמטרים'!$O$3),'טבלת פרמטרים'!$P$3,IF(EXACT(Q840,'טבלת פרמטרים'!$O$4),'טבלת פרמטרים'!$P$4,IF(EXACT(Q840,'טבלת פרמטרים'!$O$5),'טבלת פרמטרים'!$P$5,IF(EXACT(Q840,'טבלת פרמטרים'!$O$6),'טבלת פרמטרים'!$P$6,IF(EXACT(Q840,'טבלת פרמטרים'!$O$7),'טבלת פרמטרים'!$P$7,""))))))</f>
        <v/>
      </c>
    </row>
    <row r="841" spans="1:20" x14ac:dyDescent="0.2">
      <c r="A841" s="18">
        <v>841</v>
      </c>
      <c r="C841" s="30">
        <v>46078</v>
      </c>
      <c r="D841" s="21" t="s">
        <v>15</v>
      </c>
      <c r="E841" s="21" t="s">
        <v>20</v>
      </c>
      <c r="F841" s="21" t="s">
        <v>23</v>
      </c>
      <c r="G841" s="21" t="s">
        <v>26</v>
      </c>
      <c r="H841" s="21" t="s">
        <v>32</v>
      </c>
      <c r="M841" s="21" t="s">
        <v>55</v>
      </c>
      <c r="O841" s="19">
        <f>IF(ISBLANK(D841),"",IF(D841='טבלת פרמטרים'!$A$9,1,0)+IF(E841='טבלת פרמטרים'!$B$5,2,1)+IF(F841='טבלת פרמטרים'!$C$5,3,IF(F841='טבלת פרמטרים'!$C$4,1,0))+IF(G841='טבלת פרמטרים'!$D$3,2,0)+IF(M841='טבלת פרמטרים'!$J$4,2,IF(M841='טבלת פרמטרים'!$J$3,1,0))+IF(N841='טבלת פרמטרים'!$K$6,3,IF(OR(N841='טבלת פרמטרים'!$K$4,N841='טבלת פרמטרים'!$K$5),2,IF(N841='טבלת פרמטרים'!$K$3,1,0))))</f>
        <v>3</v>
      </c>
      <c r="R841" s="19">
        <f t="shared" si="18"/>
        <v>3</v>
      </c>
      <c r="T841" s="19" t="str">
        <f>IF(EXACT(Q841,'טבלת פרמטרים'!$O$2),'טבלת פרמטרים'!$P$2,IF(EXACT(Q841,'טבלת פרמטרים'!$O$3),'טבלת פרמטרים'!$P$3,IF(EXACT(Q841,'טבלת פרמטרים'!$O$4),'טבלת פרמטרים'!$P$4,IF(EXACT(Q841,'טבלת פרמטרים'!$O$5),'טבלת פרמטרים'!$P$5,IF(EXACT(Q841,'טבלת פרמטרים'!$O$6),'טבלת פרמטרים'!$P$6,IF(EXACT(Q841,'טבלת פרמטרים'!$O$7),'טבלת פרמטרים'!$P$7,""))))))</f>
        <v/>
      </c>
    </row>
    <row r="842" spans="1:20" x14ac:dyDescent="0.2">
      <c r="A842" s="18">
        <v>842</v>
      </c>
      <c r="C842" s="30">
        <v>46083</v>
      </c>
      <c r="D842" s="21" t="s">
        <v>11</v>
      </c>
      <c r="E842" s="21" t="s">
        <v>21</v>
      </c>
      <c r="F842" s="21" t="s">
        <v>23</v>
      </c>
      <c r="G842" s="21" t="s">
        <v>26</v>
      </c>
      <c r="H842" s="21" t="s">
        <v>32</v>
      </c>
      <c r="I842" s="21" t="s">
        <v>126</v>
      </c>
      <c r="J842" s="21" t="s">
        <v>11</v>
      </c>
      <c r="L842" s="21" t="s">
        <v>51</v>
      </c>
      <c r="M842" s="21" t="s">
        <v>55</v>
      </c>
      <c r="O842" s="19">
        <f>IF(ISBLANK(D842),"",IF(D842='טבלת פרמטרים'!$A$9,1,0)+IF(E842='טבלת פרמטרים'!$B$5,2,1)+IF(F842='טבלת פרמטרים'!$C$5,3,IF(F842='טבלת פרמטרים'!$C$4,1,0))+IF(G842='טבלת פרמטרים'!$D$3,2,0)+IF(M842='טבלת פרמטרים'!$J$4,2,IF(M842='טבלת פרמטרים'!$J$3,1,0))+IF(N842='טבלת פרמטרים'!$K$6,3,IF(OR(N842='טבלת פרמטרים'!$K$4,N842='טבלת פרמטרים'!$K$5),2,IF(N842='טבלת פרמטרים'!$K$3,1,0))))</f>
        <v>3</v>
      </c>
      <c r="R842" s="19">
        <f t="shared" si="18"/>
        <v>3</v>
      </c>
      <c r="T842" s="19" t="str">
        <f>IF(EXACT(Q842,'טבלת פרמטרים'!$O$2),'טבלת פרמטרים'!$P$2,IF(EXACT(Q842,'טבלת פרמטרים'!$O$3),'טבלת פרמטרים'!$P$3,IF(EXACT(Q842,'טבלת פרמטרים'!$O$4),'טבלת פרמטרים'!$P$4,IF(EXACT(Q842,'טבלת פרמטרים'!$O$5),'טבלת פרמטרים'!$P$5,IF(EXACT(Q842,'טבלת פרמטרים'!$O$6),'טבלת פרמטרים'!$P$6,IF(EXACT(Q842,'טבלת פרמטרים'!$O$7),'טבלת פרמטרים'!$P$7,""))))))</f>
        <v/>
      </c>
    </row>
    <row r="843" spans="1:20" x14ac:dyDescent="0.2">
      <c r="A843" s="18">
        <v>843</v>
      </c>
      <c r="C843" s="30">
        <v>46084</v>
      </c>
      <c r="D843" s="21" t="s">
        <v>16</v>
      </c>
      <c r="E843" s="21" t="s">
        <v>20</v>
      </c>
      <c r="F843" s="21" t="s">
        <v>23</v>
      </c>
      <c r="G843" s="21" t="s">
        <v>26</v>
      </c>
      <c r="H843" s="21" t="s">
        <v>29</v>
      </c>
      <c r="M843" s="21" t="s">
        <v>53</v>
      </c>
      <c r="O843" s="19">
        <f>IF(ISBLANK(D843),"",IF(D843='טבלת פרמטרים'!$A$9,1,0)+IF(E843='טבלת פרמטרים'!$B$5,2,1)+IF(F843='טבלת פרמטרים'!$C$5,3,IF(F843='טבלת פרמטרים'!$C$4,1,0))+IF(G843='טבלת פרמטרים'!$D$3,2,0)+IF(M843='טבלת פרמטרים'!$J$4,2,IF(M843='טבלת פרמטרים'!$J$3,1,0))+IF(N843='טבלת פרמטרים'!$K$6,3,IF(OR(N843='טבלת פרמטרים'!$K$4,N843='טבלת פרמטרים'!$K$5),2,IF(N843='טבלת פרמטרים'!$K$3,1,0))))</f>
        <v>1</v>
      </c>
      <c r="R843" s="19">
        <f t="shared" si="18"/>
        <v>1</v>
      </c>
      <c r="T843" s="19" t="str">
        <f>IF(EXACT(Q843,'טבלת פרמטרים'!$O$2),'טבלת פרמטרים'!$P$2,IF(EXACT(Q843,'טבלת פרמטרים'!$O$3),'טבלת פרמטרים'!$P$3,IF(EXACT(Q843,'טבלת פרמטרים'!$O$4),'טבלת פרמטרים'!$P$4,IF(EXACT(Q843,'טבלת פרמטרים'!$O$5),'טבלת פרמטרים'!$P$5,IF(EXACT(Q843,'טבלת פרמטרים'!$O$6),'טבלת פרמטרים'!$P$6,IF(EXACT(Q843,'טבלת פרמטרים'!$O$7),'טבלת פרמטרים'!$P$7,""))))))</f>
        <v/>
      </c>
    </row>
    <row r="844" spans="1:20" x14ac:dyDescent="0.2">
      <c r="A844" s="18">
        <v>844</v>
      </c>
      <c r="C844" s="30">
        <v>46086</v>
      </c>
      <c r="D844" s="21" t="s">
        <v>17</v>
      </c>
      <c r="E844" s="21" t="s">
        <v>22</v>
      </c>
      <c r="F844" s="21" t="s">
        <v>24</v>
      </c>
      <c r="G844" s="21" t="s">
        <v>26</v>
      </c>
      <c r="H844" s="21" t="s">
        <v>29</v>
      </c>
      <c r="I844" s="21" t="s">
        <v>126</v>
      </c>
      <c r="J844" s="21" t="s">
        <v>33</v>
      </c>
      <c r="K844" s="21" t="s">
        <v>1673</v>
      </c>
      <c r="L844" s="21" t="s">
        <v>51</v>
      </c>
      <c r="O844" s="19">
        <f>IF(ISBLANK(D844),"",IF(D844='טבלת פרמטרים'!$A$9,1,0)+IF(E844='טבלת פרמטרים'!$B$5,2,1)+IF(F844='טבלת פרמטרים'!$C$5,3,IF(F844='טבלת פרמטרים'!$C$4,1,0))+IF(G844='טבלת פרמטרים'!$D$3,2,0)+IF(M844='טבלת פרמטרים'!$J$4,2,IF(M844='טבלת פרמטרים'!$J$3,1,0))+IF(N844='טבלת פרמטרים'!$K$6,3,IF(OR(N844='טבלת פרמטרים'!$K$4,N844='טבלת פרמטרים'!$K$5),2,IF(N844='טבלת פרמטרים'!$K$3,1,0))))</f>
        <v>4</v>
      </c>
      <c r="R844" s="19">
        <f t="shared" si="18"/>
        <v>4</v>
      </c>
      <c r="T844" s="19" t="str">
        <f>IF(EXACT(Q844,'טבלת פרמטרים'!$O$2),'טבלת פרמטרים'!$P$2,IF(EXACT(Q844,'טבלת פרמטרים'!$O$3),'טבלת פרמטרים'!$P$3,IF(EXACT(Q844,'טבלת פרמטרים'!$O$4),'טבלת פרמטרים'!$P$4,IF(EXACT(Q844,'טבלת פרמטרים'!$O$5),'טבלת פרמטרים'!$P$5,IF(EXACT(Q844,'טבלת פרמטרים'!$O$6),'טבלת פרמטרים'!$P$6,IF(EXACT(Q844,'טבלת פרמטרים'!$O$7),'טבלת פרמטרים'!$P$7,""))))))</f>
        <v/>
      </c>
    </row>
    <row r="845" spans="1:20" x14ac:dyDescent="0.2">
      <c r="A845" s="18">
        <v>845</v>
      </c>
      <c r="C845" s="30">
        <v>46092</v>
      </c>
      <c r="D845" s="21" t="s">
        <v>19</v>
      </c>
      <c r="E845" s="21" t="s">
        <v>111</v>
      </c>
      <c r="F845" s="21" t="s">
        <v>23</v>
      </c>
      <c r="G845" s="21" t="s">
        <v>27</v>
      </c>
      <c r="H845" s="21" t="s">
        <v>32</v>
      </c>
      <c r="J845" s="21" t="s">
        <v>34</v>
      </c>
      <c r="K845" s="21" t="s">
        <v>19</v>
      </c>
      <c r="L845" s="21" t="s">
        <v>49</v>
      </c>
      <c r="M845" s="21" t="s">
        <v>55</v>
      </c>
      <c r="O845" s="19">
        <f>IF(ISBLANK(D845),"",IF(D845='טבלת פרמטרים'!$A$9,1,0)+IF(E845='טבלת פרמטרים'!$B$5,2,1)+IF(F845='טבלת פרמטרים'!$C$5,3,IF(F845='טבלת פרמטרים'!$C$4,1,0))+IF(G845='טבלת פרמטרים'!$D$3,2,0)+IF(M845='טבלת פרמטרים'!$J$4,2,IF(M845='טבלת פרמטרים'!$J$3,1,0))+IF(N845='טבלת פרמטרים'!$K$6,3,IF(OR(N845='טבלת פרמטרים'!$K$4,N845='טבלת פרמטרים'!$K$5),2,IF(N845='טבלת פרמטרים'!$K$3,1,0))))</f>
        <v>5</v>
      </c>
      <c r="R845" s="19">
        <f t="shared" si="18"/>
        <v>5</v>
      </c>
      <c r="T845" s="19" t="str">
        <f>IF(EXACT(Q845,'טבלת פרמטרים'!$O$2),'טבלת פרמטרים'!$P$2,IF(EXACT(Q845,'טבלת פרמטרים'!$O$3),'טבלת פרמטרים'!$P$3,IF(EXACT(Q845,'טבלת פרמטרים'!$O$4),'טבלת פרמטרים'!$P$4,IF(EXACT(Q845,'טבלת פרמטרים'!$O$5),'טבלת פרמטרים'!$P$5,IF(EXACT(Q845,'טבלת פרמטרים'!$O$6),'טבלת פרמטרים'!$P$6,IF(EXACT(Q845,'טבלת פרמטרים'!$O$7),'טבלת פרמטרים'!$P$7,""))))))</f>
        <v/>
      </c>
    </row>
    <row r="846" spans="1:20" x14ac:dyDescent="0.2">
      <c r="A846" s="18">
        <v>846</v>
      </c>
      <c r="C846" s="30">
        <v>46103</v>
      </c>
      <c r="D846" s="21" t="s">
        <v>12</v>
      </c>
      <c r="E846" s="21" t="s">
        <v>20</v>
      </c>
      <c r="F846" s="21" t="s">
        <v>23</v>
      </c>
      <c r="G846" s="21" t="s">
        <v>26</v>
      </c>
      <c r="H846" s="21" t="s">
        <v>29</v>
      </c>
      <c r="L846" s="21" t="s">
        <v>51</v>
      </c>
      <c r="M846" s="21" t="s">
        <v>53</v>
      </c>
      <c r="N846" s="21" t="s">
        <v>58</v>
      </c>
      <c r="O846" s="19">
        <f>IF(ISBLANK(D846),"",IF(D846='טבלת פרמטרים'!$A$9,1,0)+IF(E846='טבלת פרמטרים'!$B$5,2,1)+IF(F846='טבלת פרמטרים'!$C$5,3,IF(F846='טבלת פרמטרים'!$C$4,1,0))+IF(G846='טבלת פרמטרים'!$D$3,2,0)+IF(M846='טבלת פרמטרים'!$J$4,2,IF(M846='טבלת פרמטרים'!$J$3,1,0))+IF(N846='טבלת פרמטרים'!$K$6,3,IF(OR(N846='טבלת פרמטרים'!$K$4,N846='טבלת פרמטרים'!$K$5),2,IF(N846='טבלת פרמטרים'!$K$3,1,0))))</f>
        <v>2</v>
      </c>
      <c r="Q846" s="20" t="s">
        <v>123</v>
      </c>
      <c r="R846" s="19">
        <f t="shared" si="18"/>
        <v>2</v>
      </c>
      <c r="T846" s="19">
        <f>IF(EXACT(Q846,'טבלת פרמטרים'!$O$2),'טבלת פרמטרים'!$P$2,IF(EXACT(Q846,'טבלת פרמטרים'!$O$3),'טבלת פרמטרים'!$P$3,IF(EXACT(Q846,'טבלת פרמטרים'!$O$4),'טבלת פרמטרים'!$P$4,IF(EXACT(Q846,'טבלת פרמטרים'!$O$5),'טבלת פרמטרים'!$P$5,IF(EXACT(Q846,'טבלת פרמטרים'!$O$6),'טבלת פרמטרים'!$P$6,IF(EXACT(Q846,'טבלת פרמטרים'!$O$7),'טבלת פרמטרים'!$P$7,""))))))</f>
        <v>0</v>
      </c>
    </row>
    <row r="847" spans="1:20" x14ac:dyDescent="0.2">
      <c r="A847" s="18">
        <v>847</v>
      </c>
      <c r="C847" s="30">
        <v>46100</v>
      </c>
      <c r="D847" s="21" t="s">
        <v>11</v>
      </c>
      <c r="N847" s="21" t="s">
        <v>57</v>
      </c>
      <c r="O847" s="19">
        <f>IF(ISBLANK(D847),"",IF(D847='טבלת פרמטרים'!$A$9,1,0)+IF(E847='טבלת פרמטרים'!$B$5,2,1)+IF(F847='טבלת פרמטרים'!$C$5,3,IF(F847='טבלת פרמטרים'!$C$4,1,0))+IF(G847='טבלת פרמטרים'!$D$3,2,0)+IF(M847='טבלת פרמטרים'!$J$4,2,IF(M847='טבלת פרמטרים'!$J$3,1,0))+IF(N847='טבלת פרמטרים'!$K$6,3,IF(OR(N847='טבלת פרמטרים'!$K$4,N847='טבלת פרמטרים'!$K$5),2,IF(N847='טבלת פרמטרים'!$K$3,1,0))))</f>
        <v>1</v>
      </c>
      <c r="Q847" s="20" t="s">
        <v>123</v>
      </c>
      <c r="R847" s="19">
        <f t="shared" si="18"/>
        <v>1</v>
      </c>
      <c r="T847" s="19">
        <f>IF(EXACT(Q847,'טבלת פרמטרים'!$O$2),'טבלת פרמטרים'!$P$2,IF(EXACT(Q847,'טבלת פרמטרים'!$O$3),'טבלת פרמטרים'!$P$3,IF(EXACT(Q847,'טבלת פרמטרים'!$O$4),'טבלת פרמטרים'!$P$4,IF(EXACT(Q847,'טבלת פרמטרים'!$O$5),'טבלת פרמטרים'!$P$5,IF(EXACT(Q847,'טבלת פרמטרים'!$O$6),'טבלת פרמטרים'!$P$6,IF(EXACT(Q847,'טבלת פרמטרים'!$O$7),'טבלת פרמטרים'!$P$7,""))))))</f>
        <v>0</v>
      </c>
    </row>
    <row r="848" spans="1:20" x14ac:dyDescent="0.2">
      <c r="A848" s="18">
        <v>848</v>
      </c>
      <c r="C848" s="30">
        <v>46103</v>
      </c>
      <c r="D848" s="21" t="s">
        <v>15</v>
      </c>
      <c r="E848" s="21" t="s">
        <v>111</v>
      </c>
      <c r="F848" s="21" t="s">
        <v>23</v>
      </c>
      <c r="G848" s="21" t="s">
        <v>26</v>
      </c>
      <c r="H848" s="21" t="s">
        <v>30</v>
      </c>
      <c r="K848" s="21" t="s">
        <v>44</v>
      </c>
      <c r="L848" s="21" t="s">
        <v>51</v>
      </c>
      <c r="M848" s="21" t="s">
        <v>54</v>
      </c>
      <c r="N848" s="21" t="s">
        <v>59</v>
      </c>
      <c r="O848" s="19">
        <f>IF(ISBLANK(D848),"",IF(D848='טבלת פרמטרים'!$A$9,1,0)+IF(E848='טבלת פרמטרים'!$B$5,2,1)+IF(F848='טבלת פרמטרים'!$C$5,3,IF(F848='טבלת פרמטרים'!$C$4,1,0))+IF(G848='טבלת פרמטרים'!$D$3,2,0)+IF(M848='טבלת פרמטרים'!$J$4,2,IF(M848='טבלת פרמטרים'!$J$3,1,0))+IF(N848='טבלת פרמטרים'!$K$6,3,IF(OR(N848='טבלת פרמטרים'!$K$4,N848='טבלת פרמטרים'!$K$5),2,IF(N848='טבלת פרמטרים'!$K$3,1,0))))</f>
        <v>4</v>
      </c>
      <c r="Q848" s="20" t="s">
        <v>123</v>
      </c>
      <c r="R848" s="19">
        <f t="shared" si="18"/>
        <v>4</v>
      </c>
      <c r="T848" s="19">
        <f>IF(EXACT(Q848,'טבלת פרמטרים'!$O$2),'טבלת פרמטרים'!$P$2,IF(EXACT(Q848,'טבלת פרמטרים'!$O$3),'טבלת פרמטרים'!$P$3,IF(EXACT(Q848,'טבלת פרמטרים'!$O$4),'טבלת פרמטרים'!$P$4,IF(EXACT(Q848,'טבלת פרמטרים'!$O$5),'טבלת פרמטרים'!$P$5,IF(EXACT(Q848,'טבלת פרמטרים'!$O$6),'טבלת פרמטרים'!$P$6,IF(EXACT(Q848,'טבלת פרמטרים'!$O$7),'טבלת פרמטרים'!$P$7,""))))))</f>
        <v>0</v>
      </c>
    </row>
    <row r="849" spans="1:20" x14ac:dyDescent="0.2">
      <c r="A849" s="18">
        <v>849</v>
      </c>
      <c r="C849" s="30">
        <v>46105</v>
      </c>
      <c r="D849" s="21" t="s">
        <v>15</v>
      </c>
      <c r="E849" s="21" t="s">
        <v>111</v>
      </c>
      <c r="F849" s="21" t="s">
        <v>23</v>
      </c>
      <c r="G849" s="21" t="s">
        <v>26</v>
      </c>
      <c r="H849" s="21" t="s">
        <v>30</v>
      </c>
      <c r="M849" s="21" t="s">
        <v>54</v>
      </c>
      <c r="N849" s="21" t="s">
        <v>58</v>
      </c>
      <c r="O849" s="19">
        <f>IF(ISBLANK(D849),"",IF(D849='טבלת פרמטרים'!$A$9,1,0)+IF(E849='טבלת פרמטרים'!$B$5,2,1)+IF(F849='טבלת פרמטרים'!$C$5,3,IF(F849='טבלת פרמטרים'!$C$4,1,0))+IF(G849='טבלת פרמטרים'!$D$3,2,0)+IF(M849='טבלת פרמטרים'!$J$4,2,IF(M849='טבלת פרמטרים'!$J$3,1,0))+IF(N849='טבלת פרמטרים'!$K$6,3,IF(OR(N849='טבלת פרמטרים'!$K$4,N849='טבלת פרמטרים'!$K$5),2,IF(N849='טבלת פרמטרים'!$K$3,1,0))))</f>
        <v>3</v>
      </c>
      <c r="Q849" s="20" t="s">
        <v>123</v>
      </c>
      <c r="R849" s="19">
        <f t="shared" si="18"/>
        <v>3</v>
      </c>
      <c r="T849" s="19">
        <f>IF(EXACT(Q849,'טבלת פרמטרים'!$O$2),'טבלת פרמטרים'!$P$2,IF(EXACT(Q849,'טבלת פרמטרים'!$O$3),'טבלת פרמטרים'!$P$3,IF(EXACT(Q849,'טבלת פרמטרים'!$O$4),'טבלת פרמטרים'!$P$4,IF(EXACT(Q849,'טבלת פרמטרים'!$O$5),'טבלת פרמטרים'!$P$5,IF(EXACT(Q849,'טבלת פרמטרים'!$O$6),'טבלת פרמטרים'!$P$6,IF(EXACT(Q849,'טבלת פרמטרים'!$O$7),'טבלת פרמטרים'!$P$7,""))))))</f>
        <v>0</v>
      </c>
    </row>
    <row r="850" spans="1:20" x14ac:dyDescent="0.2">
      <c r="A850" s="18">
        <v>850</v>
      </c>
      <c r="C850" s="30">
        <v>46106</v>
      </c>
      <c r="D850" s="21" t="s">
        <v>17</v>
      </c>
      <c r="E850" s="21" t="s">
        <v>20</v>
      </c>
      <c r="F850" s="21" t="s">
        <v>23</v>
      </c>
      <c r="G850" s="21" t="s">
        <v>26</v>
      </c>
      <c r="H850" s="21" t="s">
        <v>31</v>
      </c>
      <c r="I850" s="21" t="s">
        <v>127</v>
      </c>
      <c r="M850" s="21" t="s">
        <v>55</v>
      </c>
      <c r="N850" s="21" t="s">
        <v>58</v>
      </c>
      <c r="O850" s="19">
        <f>IF(ISBLANK(D850),"",IF(D850='טבלת פרמטרים'!$A$9,1,0)+IF(E850='טבלת פרמטרים'!$B$5,2,1)+IF(F850='טבלת פרמטרים'!$C$5,3,IF(F850='טבלת פרמטרים'!$C$4,1,0))+IF(G850='טבלת פרמטרים'!$D$3,2,0)+IF(M850='טבלת פרמטרים'!$J$4,2,IF(M850='טבלת פרמטרים'!$J$3,1,0))+IF(N850='טבלת פרמטרים'!$K$6,3,IF(OR(N850='טבלת פרמטרים'!$K$4,N850='טבלת פרמטרים'!$K$5),2,IF(N850='טבלת פרמטרים'!$K$3,1,0))))</f>
        <v>5</v>
      </c>
      <c r="Q850" s="20" t="s">
        <v>123</v>
      </c>
      <c r="R850" s="19">
        <f t="shared" si="18"/>
        <v>5</v>
      </c>
      <c r="T850" s="19">
        <f>IF(EXACT(Q850,'טבלת פרמטרים'!$O$2),'טבלת פרמטרים'!$P$2,IF(EXACT(Q850,'טבלת פרמטרים'!$O$3),'טבלת פרמטרים'!$P$3,IF(EXACT(Q850,'טבלת פרמטרים'!$O$4),'טבלת פרמטרים'!$P$4,IF(EXACT(Q850,'טבלת פרמטרים'!$O$5),'טבלת פרמטרים'!$P$5,IF(EXACT(Q850,'טבלת פרמטרים'!$O$6),'טבלת פרמטרים'!$P$6,IF(EXACT(Q850,'טבלת פרמטרים'!$O$7),'טבלת פרמטרים'!$P$7,""))))))</f>
        <v>0</v>
      </c>
    </row>
    <row r="851" spans="1:20" x14ac:dyDescent="0.2">
      <c r="A851" s="18">
        <v>851</v>
      </c>
      <c r="C851" s="30">
        <v>46118</v>
      </c>
      <c r="D851" s="21" t="s">
        <v>17</v>
      </c>
      <c r="E851" s="21" t="s">
        <v>21</v>
      </c>
      <c r="F851" s="21" t="s">
        <v>23</v>
      </c>
      <c r="G851" s="21" t="s">
        <v>26</v>
      </c>
      <c r="H851" s="21" t="s">
        <v>31</v>
      </c>
      <c r="I851" s="21" t="s">
        <v>126</v>
      </c>
      <c r="J851" s="21" t="s">
        <v>33</v>
      </c>
      <c r="K851" s="21" t="s">
        <v>45</v>
      </c>
      <c r="M851" s="21" t="s">
        <v>55</v>
      </c>
      <c r="N851" s="21" t="s">
        <v>58</v>
      </c>
      <c r="O851" s="19">
        <f>IF(ISBLANK(D851),"",IF(D851='טבלת פרמטרים'!$A$9,1,0)+IF(E851='טבלת פרמטרים'!$B$5,2,1)+IF(F851='טבלת פרמטרים'!$C$5,3,IF(F851='טבלת פרמטרים'!$C$4,1,0))+IF(G851='טבלת פרמטרים'!$D$3,2,0)+IF(M851='טבלת פרמטרים'!$J$4,2,IF(M851='טבלת פרמטרים'!$J$3,1,0))+IF(N851='טבלת פרמטרים'!$K$6,3,IF(OR(N851='טבלת פרמטרים'!$K$4,N851='טבלת פרמטרים'!$K$5),2,IF(N851='טבלת פרמטרים'!$K$3,1,0))))</f>
        <v>5</v>
      </c>
      <c r="Q851" s="20" t="s">
        <v>123</v>
      </c>
      <c r="R851" s="19">
        <f t="shared" si="18"/>
        <v>5</v>
      </c>
      <c r="T851" s="19">
        <f>IF(EXACT(Q851,'טבלת פרמטרים'!$O$2),'טבלת פרמטרים'!$P$2,IF(EXACT(Q851,'טבלת פרמטרים'!$O$3),'טבלת פרמטרים'!$P$3,IF(EXACT(Q851,'טבלת פרמטרים'!$O$4),'טבלת פרמטרים'!$P$4,IF(EXACT(Q851,'טבלת פרמטרים'!$O$5),'טבלת פרמטרים'!$P$5,IF(EXACT(Q851,'טבלת פרמטרים'!$O$6),'טבלת פרמטרים'!$P$6,IF(EXACT(Q851,'טבלת פרמטרים'!$O$7),'טבלת פרמטרים'!$P$7,""))))))</f>
        <v>0</v>
      </c>
    </row>
    <row r="852" spans="1:20" x14ac:dyDescent="0.2">
      <c r="A852" s="18">
        <v>852</v>
      </c>
      <c r="C852" s="30">
        <v>46121</v>
      </c>
      <c r="D852" s="21" t="s">
        <v>11</v>
      </c>
      <c r="E852" s="21" t="s">
        <v>20</v>
      </c>
      <c r="F852" s="21" t="s">
        <v>23</v>
      </c>
      <c r="G852" s="21" t="s">
        <v>26</v>
      </c>
      <c r="H852" s="21" t="s">
        <v>29</v>
      </c>
      <c r="J852" s="21" t="s">
        <v>11</v>
      </c>
      <c r="K852" s="21" t="s">
        <v>44</v>
      </c>
      <c r="L852" s="21" t="s">
        <v>51</v>
      </c>
      <c r="M852" s="21" t="s">
        <v>54</v>
      </c>
      <c r="N852" s="21" t="s">
        <v>57</v>
      </c>
      <c r="O852" s="19">
        <f>IF(ISBLANK(D852),"",IF(D852='טבלת פרמטרים'!$A$9,1,0)+IF(E852='טבלת פרמטרים'!$B$5,2,1)+IF(F852='טבלת פרמטרים'!$C$5,3,IF(F852='טבלת פרמטרים'!$C$4,1,0))+IF(G852='טבלת פרמטרים'!$D$3,2,0)+IF(M852='טבלת פרמטרים'!$J$4,2,IF(M852='טבלת פרמטרים'!$J$3,1,0))+IF(N852='טבלת פרמטרים'!$K$6,3,IF(OR(N852='טבלת פרמטרים'!$K$4,N852='טבלת פרמטרים'!$K$5),2,IF(N852='טבלת פרמטרים'!$K$3,1,0))))</f>
        <v>2</v>
      </c>
      <c r="Q852" s="20" t="s">
        <v>123</v>
      </c>
      <c r="R852" s="19">
        <f t="shared" si="18"/>
        <v>2</v>
      </c>
      <c r="T852" s="19">
        <f>IF(EXACT(Q852,'טבלת פרמטרים'!$O$2),'טבלת פרמטרים'!$P$2,IF(EXACT(Q852,'טבלת פרמטרים'!$O$3),'טבלת פרמטרים'!$P$3,IF(EXACT(Q852,'טבלת פרמטרים'!$O$4),'טבלת פרמטרים'!$P$4,IF(EXACT(Q852,'טבלת פרמטרים'!$O$5),'טבלת פרמטרים'!$P$5,IF(EXACT(Q852,'טבלת פרמטרים'!$O$6),'טבלת פרמטרים'!$P$6,IF(EXACT(Q852,'טבלת פרמטרים'!$O$7),'טבלת פרמטרים'!$P$7,""))))))</f>
        <v>0</v>
      </c>
    </row>
    <row r="853" spans="1:20" x14ac:dyDescent="0.2">
      <c r="A853" s="18">
        <v>853</v>
      </c>
      <c r="C853" s="30">
        <v>46124</v>
      </c>
      <c r="D853" s="21" t="s">
        <v>17</v>
      </c>
      <c r="E853" s="21" t="s">
        <v>20</v>
      </c>
      <c r="F853" s="21" t="s">
        <v>23</v>
      </c>
      <c r="G853" s="21" t="s">
        <v>26</v>
      </c>
      <c r="H853" s="21" t="s">
        <v>32</v>
      </c>
      <c r="M853" s="21" t="s">
        <v>53</v>
      </c>
      <c r="N853" s="21" t="s">
        <v>58</v>
      </c>
      <c r="O853" s="19">
        <f>IF(ISBLANK(D853),"",IF(D853='טבלת פרמטרים'!$A$9,1,0)+IF(E853='טבלת פרמטרים'!$B$5,2,1)+IF(F853='טבלת פרמטרים'!$C$5,3,IF(F853='טבלת פרמטרים'!$C$4,1,0))+IF(G853='טבלת פרמטרים'!$D$3,2,0)+IF(M853='טבלת פרמטרים'!$J$4,2,IF(M853='טבלת פרמטרים'!$J$3,1,0))+IF(N853='טבלת פרמטרים'!$K$6,3,IF(OR(N853='טבלת פרמטרים'!$K$4,N853='טבלת פרמטרים'!$K$5),2,IF(N853='טבלת פרמטרים'!$K$3,1,0))))</f>
        <v>3</v>
      </c>
      <c r="Q853" s="20" t="s">
        <v>123</v>
      </c>
      <c r="R853" s="19">
        <f t="shared" ref="R853:R916" si="19">IF(ISNUMBER(T853),T853+O853,O853)</f>
        <v>3</v>
      </c>
      <c r="T853" s="19">
        <f>IF(EXACT(Q853,'טבלת פרמטרים'!$O$2),'טבלת פרמטרים'!$P$2,IF(EXACT(Q853,'טבלת פרמטרים'!$O$3),'טבלת פרמטרים'!$P$3,IF(EXACT(Q853,'טבלת פרמטרים'!$O$4),'טבלת פרמטרים'!$P$4,IF(EXACT(Q853,'טבלת פרמטרים'!$O$5),'טבלת פרמטרים'!$P$5,IF(EXACT(Q853,'טבלת פרמטרים'!$O$6),'טבלת פרמטרים'!$P$6,IF(EXACT(Q853,'טבלת פרמטרים'!$O$7),'טבלת פרמטרים'!$P$7,""))))))</f>
        <v>0</v>
      </c>
    </row>
    <row r="854" spans="1:20" x14ac:dyDescent="0.2">
      <c r="A854" s="18">
        <v>854</v>
      </c>
      <c r="C854" s="30">
        <v>46124</v>
      </c>
      <c r="D854" s="21" t="s">
        <v>17</v>
      </c>
      <c r="E854" s="21" t="s">
        <v>20</v>
      </c>
      <c r="F854" s="21" t="s">
        <v>23</v>
      </c>
      <c r="G854" s="21" t="s">
        <v>26</v>
      </c>
      <c r="H854" s="21" t="s">
        <v>32</v>
      </c>
      <c r="M854" s="21" t="s">
        <v>53</v>
      </c>
      <c r="N854" s="21" t="s">
        <v>58</v>
      </c>
      <c r="O854" s="19">
        <f>IF(ISBLANK(D854),"",IF(D854='טבלת פרמטרים'!$A$9,1,0)+IF(E854='טבלת פרמטרים'!$B$5,2,1)+IF(F854='טבלת פרמטרים'!$C$5,3,IF(F854='טבלת פרמטרים'!$C$4,1,0))+IF(G854='טבלת פרמטרים'!$D$3,2,0)+IF(M854='טבלת פרמטרים'!$J$4,2,IF(M854='טבלת פרמטרים'!$J$3,1,0))+IF(N854='טבלת פרמטרים'!$K$6,3,IF(OR(N854='טבלת פרמטרים'!$K$4,N854='טבלת פרמטרים'!$K$5),2,IF(N854='טבלת פרמטרים'!$K$3,1,0))))</f>
        <v>3</v>
      </c>
      <c r="Q854" s="20" t="s">
        <v>123</v>
      </c>
      <c r="R854" s="19">
        <f t="shared" si="19"/>
        <v>3</v>
      </c>
      <c r="T854" s="19">
        <f>IF(EXACT(Q854,'טבלת פרמטרים'!$O$2),'טבלת פרמטרים'!$P$2,IF(EXACT(Q854,'טבלת פרמטרים'!$O$3),'טבלת פרמטרים'!$P$3,IF(EXACT(Q854,'טבלת פרמטרים'!$O$4),'טבלת פרמטרים'!$P$4,IF(EXACT(Q854,'טבלת פרמטרים'!$O$5),'טבלת פרמטרים'!$P$5,IF(EXACT(Q854,'טבלת פרמטרים'!$O$6),'טבלת פרמטרים'!$P$6,IF(EXACT(Q854,'טבלת פרמטרים'!$O$7),'טבלת פרמטרים'!$P$7,""))))))</f>
        <v>0</v>
      </c>
    </row>
    <row r="855" spans="1:20" x14ac:dyDescent="0.2">
      <c r="A855" s="18">
        <v>855</v>
      </c>
      <c r="C855" s="30">
        <v>46124</v>
      </c>
      <c r="D855" s="21" t="s">
        <v>17</v>
      </c>
      <c r="E855" s="21" t="s">
        <v>20</v>
      </c>
      <c r="F855" s="21" t="s">
        <v>23</v>
      </c>
      <c r="G855" s="21" t="s">
        <v>26</v>
      </c>
      <c r="H855" s="21" t="s">
        <v>32</v>
      </c>
      <c r="M855" s="21" t="s">
        <v>54</v>
      </c>
      <c r="N855" s="21" t="s">
        <v>58</v>
      </c>
      <c r="O855" s="19">
        <f>IF(ISBLANK(D855),"",IF(D855='טבלת פרמטרים'!$A$9,1,0)+IF(E855='טבלת פרמטרים'!$B$5,2,1)+IF(F855='טבלת פרמטרים'!$C$5,3,IF(F855='טבלת פרמטרים'!$C$4,1,0))+IF(G855='טבלת פרמטרים'!$D$3,2,0)+IF(M855='טבלת פרמטרים'!$J$4,2,IF(M855='טבלת פרמטרים'!$J$3,1,0))+IF(N855='טבלת פרמטרים'!$K$6,3,IF(OR(N855='טבלת פרמטרים'!$K$4,N855='טבלת פרמטרים'!$K$5),2,IF(N855='טבלת פרמטרים'!$K$3,1,0))))</f>
        <v>4</v>
      </c>
      <c r="Q855" s="20" t="s">
        <v>123</v>
      </c>
      <c r="R855" s="19">
        <f t="shared" si="19"/>
        <v>4</v>
      </c>
      <c r="T855" s="19">
        <f>IF(EXACT(Q855,'טבלת פרמטרים'!$O$2),'טבלת פרמטרים'!$P$2,IF(EXACT(Q855,'טבלת פרמטרים'!$O$3),'טבלת פרמטרים'!$P$3,IF(EXACT(Q855,'טבלת פרמטרים'!$O$4),'טבלת פרמטרים'!$P$4,IF(EXACT(Q855,'טבלת פרמטרים'!$O$5),'טבלת פרמטרים'!$P$5,IF(EXACT(Q855,'טבלת פרמטרים'!$O$6),'טבלת פרמטרים'!$P$6,IF(EXACT(Q855,'טבלת פרמטרים'!$O$7),'טבלת פרמטרים'!$P$7,""))))))</f>
        <v>0</v>
      </c>
    </row>
    <row r="856" spans="1:20" x14ac:dyDescent="0.2">
      <c r="A856" s="18">
        <v>856</v>
      </c>
      <c r="C856" s="30">
        <v>46141</v>
      </c>
      <c r="D856" s="21" t="s">
        <v>11</v>
      </c>
      <c r="E856" s="21" t="s">
        <v>21</v>
      </c>
      <c r="F856" s="21" t="s">
        <v>23</v>
      </c>
      <c r="G856" s="21" t="s">
        <v>26</v>
      </c>
      <c r="H856" s="21" t="s">
        <v>29</v>
      </c>
      <c r="M856" s="21" t="s">
        <v>54</v>
      </c>
      <c r="N856" s="21" t="s">
        <v>58</v>
      </c>
      <c r="O856" s="19">
        <f>IF(ISBLANK(D856),"",IF(D856='טבלת פרמטרים'!$A$9,1,0)+IF(E856='טבלת פרמטרים'!$B$5,2,1)+IF(F856='טבלת פרמטרים'!$C$5,3,IF(F856='טבלת פרמטרים'!$C$4,1,0))+IF(G856='טבלת פרמטרים'!$D$3,2,0)+IF(M856='טבלת פרמטרים'!$J$4,2,IF(M856='טבלת פרמטרים'!$J$3,1,0))+IF(N856='טבלת פרמטרים'!$K$6,3,IF(OR(N856='טבלת פרמטרים'!$K$4,N856='טבלת פרמטרים'!$K$5),2,IF(N856='טבלת פרמטרים'!$K$3,1,0))))</f>
        <v>3</v>
      </c>
      <c r="Q856" s="20" t="s">
        <v>123</v>
      </c>
      <c r="R856" s="19">
        <f t="shared" si="19"/>
        <v>3</v>
      </c>
      <c r="T856" s="19">
        <f>IF(EXACT(Q856,'טבלת פרמטרים'!$O$2),'טבלת פרמטרים'!$P$2,IF(EXACT(Q856,'טבלת פרמטרים'!$O$3),'טבלת פרמטרים'!$P$3,IF(EXACT(Q856,'טבלת פרמטרים'!$O$4),'טבלת פרמטרים'!$P$4,IF(EXACT(Q856,'טבלת פרמטרים'!$O$5),'טבלת פרמטרים'!$P$5,IF(EXACT(Q856,'טבלת פרמטרים'!$O$6),'טבלת פרמטרים'!$P$6,IF(EXACT(Q856,'טבלת פרמטרים'!$O$7),'טבלת פרמטרים'!$P$7,""))))))</f>
        <v>0</v>
      </c>
    </row>
    <row r="857" spans="1:20" x14ac:dyDescent="0.2">
      <c r="A857" s="18">
        <v>857</v>
      </c>
      <c r="C857" s="30">
        <v>46135</v>
      </c>
      <c r="D857" s="21" t="s">
        <v>17</v>
      </c>
      <c r="E857" s="21" t="s">
        <v>21</v>
      </c>
      <c r="F857" s="21" t="s">
        <v>23</v>
      </c>
      <c r="G857" s="21" t="s">
        <v>26</v>
      </c>
      <c r="H857" s="21" t="s">
        <v>29</v>
      </c>
      <c r="I857" s="21" t="s">
        <v>126</v>
      </c>
      <c r="J857" s="21" t="s">
        <v>35</v>
      </c>
      <c r="K857" s="21" t="s">
        <v>43</v>
      </c>
      <c r="L857" s="21" t="s">
        <v>51</v>
      </c>
      <c r="M857" s="21" t="s">
        <v>53</v>
      </c>
      <c r="N857" s="21" t="s">
        <v>58</v>
      </c>
      <c r="O857" s="19">
        <f>IF(ISBLANK(D857),"",IF(D857='טבלת פרמטרים'!$A$9,1,0)+IF(E857='טבלת פרמטרים'!$B$5,2,1)+IF(F857='טבלת פרמטרים'!$C$5,3,IF(F857='טבלת פרמטרים'!$C$4,1,0))+IF(G857='טבלת פרמטרים'!$D$3,2,0)+IF(M857='טבלת פרמטרים'!$J$4,2,IF(M857='טבלת פרמטרים'!$J$3,1,0))+IF(N857='טבלת פרמטרים'!$K$6,3,IF(OR(N857='טבלת פרמטרים'!$K$4,N857='טבלת פרמטרים'!$K$5),2,IF(N857='טבלת פרמטרים'!$K$3,1,0))))</f>
        <v>3</v>
      </c>
      <c r="Q857" s="20" t="s">
        <v>123</v>
      </c>
      <c r="R857" s="19">
        <f t="shared" si="19"/>
        <v>3</v>
      </c>
      <c r="T857" s="19">
        <f>IF(EXACT(Q857,'טבלת פרמטרים'!$O$2),'טבלת פרמטרים'!$P$2,IF(EXACT(Q857,'טבלת פרמטרים'!$O$3),'טבלת פרמטרים'!$P$3,IF(EXACT(Q857,'טבלת פרמטרים'!$O$4),'טבלת פרמטרים'!$P$4,IF(EXACT(Q857,'טבלת פרמטרים'!$O$5),'טבלת פרמטרים'!$P$5,IF(EXACT(Q857,'טבלת פרמטרים'!$O$6),'טבלת פרמטרים'!$P$6,IF(EXACT(Q857,'טבלת פרמטרים'!$O$7),'טבלת פרמטרים'!$P$7,""))))))</f>
        <v>0</v>
      </c>
    </row>
    <row r="858" spans="1:20" x14ac:dyDescent="0.2">
      <c r="A858" s="18">
        <v>858</v>
      </c>
      <c r="C858" s="30">
        <v>46140</v>
      </c>
      <c r="D858" s="21" t="s">
        <v>11</v>
      </c>
      <c r="E858" s="21" t="s">
        <v>21</v>
      </c>
      <c r="F858" s="21" t="s">
        <v>23</v>
      </c>
      <c r="G858" s="21" t="s">
        <v>26</v>
      </c>
      <c r="H858" s="21" t="s">
        <v>29</v>
      </c>
      <c r="I858" s="21" t="s">
        <v>126</v>
      </c>
      <c r="J858" s="21" t="s">
        <v>11</v>
      </c>
      <c r="L858" s="21" t="s">
        <v>51</v>
      </c>
      <c r="M858" s="21" t="s">
        <v>54</v>
      </c>
      <c r="N858" s="21" t="s">
        <v>58</v>
      </c>
      <c r="O858" s="19">
        <f>IF(ISBLANK(D858),"",IF(D858='טבלת פרמטרים'!$A$9,1,0)+IF(E858='טבלת פרמטרים'!$B$5,2,1)+IF(F858='טבלת פרמטרים'!$C$5,3,IF(F858='טבלת פרמטרים'!$C$4,1,0))+IF(G858='טבלת פרמטרים'!$D$3,2,0)+IF(M858='טבלת פרמטרים'!$J$4,2,IF(M858='טבלת פרמטרים'!$J$3,1,0))+IF(N858='טבלת פרמטרים'!$K$6,3,IF(OR(N858='טבלת פרמטרים'!$K$4,N858='טבלת פרמטרים'!$K$5),2,IF(N858='טבלת פרמטרים'!$K$3,1,0))))</f>
        <v>3</v>
      </c>
      <c r="Q858" s="20" t="s">
        <v>123</v>
      </c>
      <c r="R858" s="19">
        <f t="shared" si="19"/>
        <v>3</v>
      </c>
      <c r="T858" s="19">
        <f>IF(EXACT(Q858,'טבלת פרמטרים'!$O$2),'טבלת פרמטרים'!$P$2,IF(EXACT(Q858,'טבלת פרמטרים'!$O$3),'טבלת פרמטרים'!$P$3,IF(EXACT(Q858,'טבלת פרמטרים'!$O$4),'טבלת פרמטרים'!$P$4,IF(EXACT(Q858,'טבלת פרמטרים'!$O$5),'טבלת פרמטרים'!$P$5,IF(EXACT(Q858,'טבלת פרמטרים'!$O$6),'טבלת פרמטרים'!$P$6,IF(EXACT(Q858,'טבלת פרמטרים'!$O$7),'טבלת פרמטרים'!$P$7,""))))))</f>
        <v>0</v>
      </c>
    </row>
    <row r="859" spans="1:20" x14ac:dyDescent="0.2">
      <c r="A859" s="18">
        <v>859</v>
      </c>
      <c r="C859" s="30">
        <v>46145</v>
      </c>
      <c r="D859" s="21" t="s">
        <v>12</v>
      </c>
      <c r="E859" s="21" t="s">
        <v>111</v>
      </c>
      <c r="F859" s="21" t="s">
        <v>23</v>
      </c>
      <c r="G859" s="21" t="s">
        <v>26</v>
      </c>
      <c r="H859" s="21" t="s">
        <v>30</v>
      </c>
      <c r="M859" s="21" t="s">
        <v>54</v>
      </c>
      <c r="N859" s="21" t="s">
        <v>59</v>
      </c>
      <c r="O859" s="19">
        <f>IF(ISBLANK(D859),"",IF(D859='טבלת פרמטרים'!$A$9,1,0)+IF(E859='טבלת פרמטרים'!$B$5,2,1)+IF(F859='טבלת פרמטרים'!$C$5,3,IF(F859='טבלת פרמטרים'!$C$4,1,0))+IF(G859='טבלת פרמטרים'!$D$3,2,0)+IF(M859='טבלת פרמטרים'!$J$4,2,IF(M859='טבלת פרמטרים'!$J$3,1,0))+IF(N859='טבלת פרמטרים'!$K$6,3,IF(OR(N859='טבלת פרמטרים'!$K$4,N859='טבלת פרמטרים'!$K$5),2,IF(N859='טבלת פרמטרים'!$K$3,1,0))))</f>
        <v>4</v>
      </c>
      <c r="Q859" s="20" t="s">
        <v>123</v>
      </c>
      <c r="R859" s="19">
        <f t="shared" si="19"/>
        <v>4</v>
      </c>
      <c r="T859" s="19">
        <f>IF(EXACT(Q859,'טבלת פרמטרים'!$O$2),'טבלת פרמטרים'!$P$2,IF(EXACT(Q859,'טבלת פרמטרים'!$O$3),'טבלת פרמטרים'!$P$3,IF(EXACT(Q859,'טבלת פרמטרים'!$O$4),'טבלת פרמטרים'!$P$4,IF(EXACT(Q859,'טבלת פרמטרים'!$O$5),'טבלת פרמטרים'!$P$5,IF(EXACT(Q859,'טבלת פרמטרים'!$O$6),'טבלת פרמטרים'!$P$6,IF(EXACT(Q859,'טבלת פרמטרים'!$O$7),'טבלת פרמטרים'!$P$7,""))))))</f>
        <v>0</v>
      </c>
    </row>
    <row r="860" spans="1:20" x14ac:dyDescent="0.2">
      <c r="A860" s="18">
        <v>860</v>
      </c>
      <c r="C860" s="30">
        <v>46145</v>
      </c>
      <c r="D860" s="21" t="s">
        <v>14</v>
      </c>
      <c r="E860" s="21" t="s">
        <v>111</v>
      </c>
      <c r="F860" s="21" t="s">
        <v>23</v>
      </c>
      <c r="G860" s="21" t="s">
        <v>26</v>
      </c>
      <c r="H860" s="21" t="s">
        <v>32</v>
      </c>
      <c r="N860" s="21" t="s">
        <v>59</v>
      </c>
      <c r="O860" s="19">
        <f>IF(ISBLANK(D860),"",IF(D860='טבלת פרמטרים'!$A$9,1,0)+IF(E860='טבלת פרמטרים'!$B$5,2,1)+IF(F860='טבלת פרמטרים'!$C$5,3,IF(F860='טבלת פרמטרים'!$C$4,1,0))+IF(G860='טבלת פרמטרים'!$D$3,2,0)+IF(M860='טבלת פרמטרים'!$J$4,2,IF(M860='טבלת פרמטרים'!$J$3,1,0))+IF(N860='טבלת פרמטרים'!$K$6,3,IF(OR(N860='טבלת פרמטרים'!$K$4,N860='טבלת פרמטרים'!$K$5),2,IF(N860='טבלת פרמטרים'!$K$3,1,0))))</f>
        <v>3</v>
      </c>
      <c r="Q860" s="20" t="s">
        <v>123</v>
      </c>
      <c r="R860" s="19">
        <f t="shared" si="19"/>
        <v>3</v>
      </c>
      <c r="T860" s="19">
        <f>IF(EXACT(Q860,'טבלת פרמטרים'!$O$2),'טבלת פרמטרים'!$P$2,IF(EXACT(Q860,'טבלת פרמטרים'!$O$3),'טבלת פרמטרים'!$P$3,IF(EXACT(Q860,'טבלת פרמטרים'!$O$4),'טבלת פרמטרים'!$P$4,IF(EXACT(Q860,'טבלת פרמטרים'!$O$5),'טבלת פרמטרים'!$P$5,IF(EXACT(Q860,'טבלת פרמטרים'!$O$6),'טבלת פרמטרים'!$P$6,IF(EXACT(Q860,'טבלת פרמטרים'!$O$7),'טבלת פרמטרים'!$P$7,""))))))</f>
        <v>0</v>
      </c>
    </row>
    <row r="861" spans="1:20" x14ac:dyDescent="0.2">
      <c r="A861" s="18">
        <v>861</v>
      </c>
      <c r="C861" s="30">
        <v>46149</v>
      </c>
      <c r="D861" s="21" t="s">
        <v>15</v>
      </c>
      <c r="E861" s="21" t="s">
        <v>21</v>
      </c>
      <c r="F861" s="21" t="s">
        <v>23</v>
      </c>
      <c r="G861" s="21" t="s">
        <v>26</v>
      </c>
      <c r="H861" s="21" t="s">
        <v>31</v>
      </c>
      <c r="I861" s="21" t="s">
        <v>126</v>
      </c>
      <c r="K861" s="21" t="s">
        <v>43</v>
      </c>
      <c r="L861" s="21" t="s">
        <v>51</v>
      </c>
      <c r="M861" s="21" t="s">
        <v>54</v>
      </c>
      <c r="N861" s="21" t="s">
        <v>58</v>
      </c>
      <c r="O861" s="19">
        <f>IF(ISBLANK(D861),"",IF(D861='טבלת פרמטרים'!$A$9,1,0)+IF(E861='טבלת פרמטרים'!$B$5,2,1)+IF(F861='טבלת פרמטרים'!$C$5,3,IF(F861='טבלת פרמטרים'!$C$4,1,0))+IF(G861='טבלת פרמטרים'!$D$3,2,0)+IF(M861='טבלת פרמטרים'!$J$4,2,IF(M861='טבלת פרמטרים'!$J$3,1,0))+IF(N861='טבלת פרמטרים'!$K$6,3,IF(OR(N861='טבלת פרמטרים'!$K$4,N861='טבלת פרמטרים'!$K$5),2,IF(N861='טבלת פרמטרים'!$K$3,1,0))))</f>
        <v>3</v>
      </c>
      <c r="Q861" s="20" t="s">
        <v>123</v>
      </c>
      <c r="R861" s="19">
        <f t="shared" si="19"/>
        <v>3</v>
      </c>
      <c r="T861" s="19">
        <f>IF(EXACT(Q861,'טבלת פרמטרים'!$O$2),'טבלת פרמטרים'!$P$2,IF(EXACT(Q861,'טבלת פרמטרים'!$O$3),'טבלת פרמטרים'!$P$3,IF(EXACT(Q861,'טבלת פרמטרים'!$O$4),'טבלת פרמטרים'!$P$4,IF(EXACT(Q861,'טבלת פרמטרים'!$O$5),'טבלת פרמטרים'!$P$5,IF(EXACT(Q861,'טבלת פרמטרים'!$O$6),'טבלת פרמטרים'!$P$6,IF(EXACT(Q861,'טבלת פרמטרים'!$O$7),'טבלת פרמטרים'!$P$7,""))))))</f>
        <v>0</v>
      </c>
    </row>
    <row r="862" spans="1:20" x14ac:dyDescent="0.2">
      <c r="A862" s="18">
        <v>862</v>
      </c>
      <c r="C862" s="30">
        <v>46149</v>
      </c>
      <c r="D862" s="21" t="s">
        <v>17</v>
      </c>
      <c r="E862" s="21" t="s">
        <v>20</v>
      </c>
      <c r="F862" s="21" t="s">
        <v>23</v>
      </c>
      <c r="G862" s="21" t="s">
        <v>26</v>
      </c>
      <c r="H862" s="21" t="s">
        <v>30</v>
      </c>
      <c r="I862" s="21" t="s">
        <v>126</v>
      </c>
      <c r="J862" s="21" t="s">
        <v>33</v>
      </c>
      <c r="K862" s="21" t="s">
        <v>43</v>
      </c>
      <c r="L862" s="21" t="s">
        <v>49</v>
      </c>
      <c r="M862" s="21" t="s">
        <v>54</v>
      </c>
      <c r="N862" s="21" t="s">
        <v>58</v>
      </c>
      <c r="O862" s="19">
        <f>IF(ISBLANK(D862),"",IF(D862='טבלת פרמטרים'!$A$9,1,0)+IF(E862='טבלת פרמטרים'!$B$5,2,1)+IF(F862='טבלת פרמטרים'!$C$5,3,IF(F862='טבלת פרמטרים'!$C$4,1,0))+IF(G862='טבלת פרמטרים'!$D$3,2,0)+IF(M862='טבלת פרמטרים'!$J$4,2,IF(M862='טבלת פרמטרים'!$J$3,1,0))+IF(N862='טבלת פרמטרים'!$K$6,3,IF(OR(N862='טבלת פרמטרים'!$K$4,N862='טבלת פרמטרים'!$K$5),2,IF(N862='טבלת פרמטרים'!$K$3,1,0))))</f>
        <v>4</v>
      </c>
      <c r="Q862" s="20" t="s">
        <v>123</v>
      </c>
      <c r="R862" s="19">
        <f t="shared" si="19"/>
        <v>4</v>
      </c>
      <c r="T862" s="19">
        <f>IF(EXACT(Q862,'טבלת פרמטרים'!$O$2),'טבלת פרמטרים'!$P$2,IF(EXACT(Q862,'טבלת פרמטרים'!$O$3),'טבלת פרמטרים'!$P$3,IF(EXACT(Q862,'טבלת פרמטרים'!$O$4),'טבלת פרמטרים'!$P$4,IF(EXACT(Q862,'טבלת פרמטרים'!$O$5),'טבלת פרמטרים'!$P$5,IF(EXACT(Q862,'טבלת פרמטרים'!$O$6),'טבלת פרמטרים'!$P$6,IF(EXACT(Q862,'טבלת פרמטרים'!$O$7),'טבלת פרמטרים'!$P$7,""))))))</f>
        <v>0</v>
      </c>
    </row>
    <row r="863" spans="1:20" x14ac:dyDescent="0.2">
      <c r="A863" s="18">
        <v>863</v>
      </c>
      <c r="C863" s="30">
        <v>46152</v>
      </c>
      <c r="D863" s="21" t="s">
        <v>15</v>
      </c>
      <c r="E863" s="21" t="s">
        <v>20</v>
      </c>
      <c r="F863" s="21" t="s">
        <v>23</v>
      </c>
      <c r="G863" s="21" t="s">
        <v>26</v>
      </c>
      <c r="H863" s="21" t="s">
        <v>32</v>
      </c>
      <c r="M863" s="21" t="s">
        <v>55</v>
      </c>
      <c r="N863" s="21" t="s">
        <v>58</v>
      </c>
      <c r="O863" s="19">
        <f>IF(ISBLANK(D863),"",IF(D863='טבלת פרמטרים'!$A$9,1,0)+IF(E863='טבלת פרמטרים'!$B$5,2,1)+IF(F863='טבלת פרמטרים'!$C$5,3,IF(F863='טבלת פרמטרים'!$C$4,1,0))+IF(G863='טבלת פרמטרים'!$D$3,2,0)+IF(M863='טבלת פרמטרים'!$J$4,2,IF(M863='טבלת פרמטרים'!$J$3,1,0))+IF(N863='טבלת פרמטרים'!$K$6,3,IF(OR(N863='טבלת פרמטרים'!$K$4,N863='טבלת פרמטרים'!$K$5),2,IF(N863='טבלת פרמטרים'!$K$3,1,0))))</f>
        <v>4</v>
      </c>
      <c r="Q863" s="20" t="s">
        <v>123</v>
      </c>
      <c r="R863" s="19">
        <f t="shared" si="19"/>
        <v>4</v>
      </c>
      <c r="T863" s="19">
        <f>IF(EXACT(Q863,'טבלת פרמטרים'!$O$2),'טבלת פרמטרים'!$P$2,IF(EXACT(Q863,'טבלת פרמטרים'!$O$3),'טבלת פרמטרים'!$P$3,IF(EXACT(Q863,'טבלת פרמטרים'!$O$4),'טבלת פרמטרים'!$P$4,IF(EXACT(Q863,'טבלת פרמטרים'!$O$5),'טבלת פרמטרים'!$P$5,IF(EXACT(Q863,'טבלת פרמטרים'!$O$6),'טבלת פרמטרים'!$P$6,IF(EXACT(Q863,'טבלת פרמטרים'!$O$7),'טבלת פרמטרים'!$P$7,""))))))</f>
        <v>0</v>
      </c>
    </row>
    <row r="864" spans="1:20" x14ac:dyDescent="0.2">
      <c r="A864" s="18">
        <v>864</v>
      </c>
      <c r="C864" s="30">
        <v>46152</v>
      </c>
      <c r="D864" s="21" t="s">
        <v>15</v>
      </c>
      <c r="E864" s="21" t="s">
        <v>20</v>
      </c>
      <c r="F864" s="21" t="s">
        <v>23</v>
      </c>
      <c r="G864" s="21" t="s">
        <v>26</v>
      </c>
      <c r="H864" s="21" t="s">
        <v>29</v>
      </c>
      <c r="M864" s="21" t="s">
        <v>53</v>
      </c>
      <c r="N864" s="21" t="s">
        <v>58</v>
      </c>
      <c r="O864" s="19">
        <f>IF(ISBLANK(D864),"",IF(D864='טבלת פרמטרים'!$A$9,1,0)+IF(E864='טבלת פרמטרים'!$B$5,2,1)+IF(F864='טבלת פרמטרים'!$C$5,3,IF(F864='טבלת פרמטרים'!$C$4,1,0))+IF(G864='טבלת פרמטרים'!$D$3,2,0)+IF(M864='טבלת פרמטרים'!$J$4,2,IF(M864='טבלת פרמטרים'!$J$3,1,0))+IF(N864='טבלת פרמטרים'!$K$6,3,IF(OR(N864='טבלת פרמטרים'!$K$4,N864='טבלת פרמטרים'!$K$5),2,IF(N864='טבלת פרמטרים'!$K$3,1,0))))</f>
        <v>2</v>
      </c>
      <c r="Q864" s="20" t="s">
        <v>123</v>
      </c>
      <c r="R864" s="19">
        <f t="shared" si="19"/>
        <v>2</v>
      </c>
      <c r="T864" s="19">
        <f>IF(EXACT(Q864,'טבלת פרמטרים'!$O$2),'טבלת פרמטרים'!$P$2,IF(EXACT(Q864,'טבלת פרמטרים'!$O$3),'טבלת פרמטרים'!$P$3,IF(EXACT(Q864,'טבלת פרמטרים'!$O$4),'טבלת פרמטרים'!$P$4,IF(EXACT(Q864,'טבלת פרמטרים'!$O$5),'טבלת פרמטרים'!$P$5,IF(EXACT(Q864,'טבלת פרמטרים'!$O$6),'טבלת פרמטרים'!$P$6,IF(EXACT(Q864,'טבלת פרמטרים'!$O$7),'טבלת פרמטרים'!$P$7,""))))))</f>
        <v>0</v>
      </c>
    </row>
    <row r="865" spans="1:20" x14ac:dyDescent="0.2">
      <c r="A865" s="18">
        <v>865</v>
      </c>
      <c r="C865" s="30">
        <v>46154</v>
      </c>
      <c r="D865" s="21" t="s">
        <v>15</v>
      </c>
      <c r="E865" s="21" t="s">
        <v>20</v>
      </c>
      <c r="F865" s="21" t="s">
        <v>23</v>
      </c>
      <c r="G865" s="21" t="s">
        <v>26</v>
      </c>
      <c r="H865" s="21" t="s">
        <v>31</v>
      </c>
      <c r="M865" s="21" t="s">
        <v>54</v>
      </c>
      <c r="N865" s="21" t="s">
        <v>59</v>
      </c>
      <c r="O865" s="19">
        <f>IF(ISBLANK(D865),"",IF(D865='טבלת פרמטרים'!$A$9,1,0)+IF(E865='טבלת פרמטרים'!$B$5,2,1)+IF(F865='טבלת פרמטרים'!$C$5,3,IF(F865='טבלת פרמטרים'!$C$4,1,0))+IF(G865='טבלת פרמטרים'!$D$3,2,0)+IF(M865='טבלת פרמטרים'!$J$4,2,IF(M865='טבלת פרמטרים'!$J$3,1,0))+IF(N865='טבלת פרמטרים'!$K$6,3,IF(OR(N865='טבלת פרמטרים'!$K$4,N865='טבלת פרמטרים'!$K$5),2,IF(N865='טבלת פרמטרים'!$K$3,1,0))))</f>
        <v>4</v>
      </c>
      <c r="Q865" s="20" t="s">
        <v>123</v>
      </c>
      <c r="R865" s="19">
        <f t="shared" si="19"/>
        <v>4</v>
      </c>
      <c r="T865" s="19">
        <f>IF(EXACT(Q865,'טבלת פרמטרים'!$O$2),'טבלת פרמטרים'!$P$2,IF(EXACT(Q865,'טבלת פרמטרים'!$O$3),'טבלת פרמטרים'!$P$3,IF(EXACT(Q865,'טבלת פרמטרים'!$O$4),'טבלת פרמטרים'!$P$4,IF(EXACT(Q865,'טבלת פרמטרים'!$O$5),'טבלת פרמטרים'!$P$5,IF(EXACT(Q865,'טבלת פרמטרים'!$O$6),'טבלת פרמטרים'!$P$6,IF(EXACT(Q865,'טבלת פרמטרים'!$O$7),'טבלת פרמטרים'!$P$7,""))))))</f>
        <v>0</v>
      </c>
    </row>
    <row r="866" spans="1:20" x14ac:dyDescent="0.2">
      <c r="A866" s="18">
        <v>866</v>
      </c>
      <c r="B866" s="30">
        <v>46147</v>
      </c>
      <c r="C866" s="30">
        <v>46154</v>
      </c>
      <c r="D866" s="21" t="s">
        <v>17</v>
      </c>
      <c r="E866" s="21" t="s">
        <v>22</v>
      </c>
      <c r="F866" s="21" t="s">
        <v>24</v>
      </c>
      <c r="G866" s="21" t="s">
        <v>27</v>
      </c>
      <c r="H866" s="21" t="s">
        <v>32</v>
      </c>
      <c r="I866" s="21" t="s">
        <v>126</v>
      </c>
      <c r="J866" s="21" t="s">
        <v>35</v>
      </c>
      <c r="K866" s="21" t="s">
        <v>44</v>
      </c>
      <c r="L866" s="21" t="s">
        <v>51</v>
      </c>
      <c r="M866" s="21" t="s">
        <v>54</v>
      </c>
      <c r="N866" s="21" t="s">
        <v>59</v>
      </c>
      <c r="O866" s="19">
        <f>IF(ISBLANK(D866),"",IF(D866='טבלת פרמטרים'!$A$9,1,0)+IF(E866='טבלת פרמטרים'!$B$5,2,1)+IF(F866='טבלת פרמטרים'!$C$5,3,IF(F866='טבלת פרמטרים'!$C$4,1,0))+IF(G866='טבלת פרמטרים'!$D$3,2,0)+IF(M866='טבלת פרמטרים'!$J$4,2,IF(M866='טבלת פרמטרים'!$J$3,1,0))+IF(N866='טבלת פרמטרים'!$K$6,3,IF(OR(N866='טבלת פרמטרים'!$K$4,N866='טבלת פרמטרים'!$K$5),2,IF(N866='טבלת פרמטרים'!$K$3,1,0))))</f>
        <v>9</v>
      </c>
      <c r="Q866" s="20" t="s">
        <v>123</v>
      </c>
      <c r="R866" s="19">
        <f t="shared" si="19"/>
        <v>9</v>
      </c>
      <c r="T866" s="19">
        <f>IF(EXACT(Q866,'טבלת פרמטרים'!$O$2),'טבלת פרמטרים'!$P$2,IF(EXACT(Q866,'טבלת פרמטרים'!$O$3),'טבלת פרמטרים'!$P$3,IF(EXACT(Q866,'טבלת פרמטרים'!$O$4),'טבלת פרמטרים'!$P$4,IF(EXACT(Q866,'טבלת פרמטרים'!$O$5),'טבלת פרמטרים'!$P$5,IF(EXACT(Q866,'טבלת פרמטרים'!$O$6),'טבלת פרמטרים'!$P$6,IF(EXACT(Q866,'טבלת פרמטרים'!$O$7),'טבלת פרמטרים'!$P$7,""))))))</f>
        <v>0</v>
      </c>
    </row>
    <row r="867" spans="1:20" x14ac:dyDescent="0.2">
      <c r="A867" s="18">
        <v>867</v>
      </c>
      <c r="B867" s="30">
        <v>46147</v>
      </c>
      <c r="C867" s="30">
        <v>46154</v>
      </c>
      <c r="D867" s="21" t="s">
        <v>17</v>
      </c>
      <c r="E867" s="21" t="s">
        <v>20</v>
      </c>
      <c r="F867" s="21" t="s">
        <v>23</v>
      </c>
      <c r="G867" s="21" t="s">
        <v>26</v>
      </c>
      <c r="H867" s="21" t="s">
        <v>30</v>
      </c>
      <c r="M867" s="21" t="s">
        <v>54</v>
      </c>
      <c r="N867" s="21" t="s">
        <v>58</v>
      </c>
      <c r="O867" s="19">
        <f>IF(ISBLANK(D867),"",IF(D867='טבלת פרמטרים'!$A$9,1,0)+IF(E867='טבלת פרמטרים'!$B$5,2,1)+IF(F867='טבלת פרמטרים'!$C$5,3,IF(F867='טבלת פרמטרים'!$C$4,1,0))+IF(G867='טבלת פרמטרים'!$D$3,2,0)+IF(M867='טבלת פרמטרים'!$J$4,2,IF(M867='טבלת פרמטרים'!$J$3,1,0))+IF(N867='טבלת פרמטרים'!$K$6,3,IF(OR(N867='טבלת פרמטרים'!$K$4,N867='טבלת פרמטרים'!$K$5),2,IF(N867='טבלת פרמטרים'!$K$3,1,0))))</f>
        <v>4</v>
      </c>
      <c r="Q867" s="20" t="s">
        <v>123</v>
      </c>
      <c r="R867" s="19">
        <f t="shared" si="19"/>
        <v>4</v>
      </c>
      <c r="T867" s="19">
        <f>IF(EXACT(Q867,'טבלת פרמטרים'!$O$2),'טבלת פרמטרים'!$P$2,IF(EXACT(Q867,'טבלת פרמטרים'!$O$3),'טבלת פרמטרים'!$P$3,IF(EXACT(Q867,'טבלת פרמטרים'!$O$4),'טבלת פרמטרים'!$P$4,IF(EXACT(Q867,'טבלת פרמטרים'!$O$5),'טבלת פרמטרים'!$P$5,IF(EXACT(Q867,'טבלת פרמטרים'!$O$6),'טבלת פרמטרים'!$P$6,IF(EXACT(Q867,'טבלת פרמטרים'!$O$7),'טבלת פרמטרים'!$P$7,""))))))</f>
        <v>0</v>
      </c>
    </row>
    <row r="868" spans="1:20" x14ac:dyDescent="0.2">
      <c r="A868" s="18">
        <v>868</v>
      </c>
      <c r="C868" s="30">
        <v>46166</v>
      </c>
      <c r="D868" s="21" t="s">
        <v>16</v>
      </c>
      <c r="E868" s="21" t="s">
        <v>21</v>
      </c>
      <c r="F868" s="21" t="s">
        <v>23</v>
      </c>
      <c r="G868" s="21" t="s">
        <v>26</v>
      </c>
      <c r="H868" s="21" t="s">
        <v>30</v>
      </c>
      <c r="I868" s="21" t="s">
        <v>127</v>
      </c>
      <c r="K868" s="21" t="s">
        <v>45</v>
      </c>
      <c r="L868" s="21" t="s">
        <v>51</v>
      </c>
      <c r="M868" s="21" t="s">
        <v>54</v>
      </c>
      <c r="O868" s="19">
        <f>IF(ISBLANK(D868),"",IF(D868='טבלת פרמטרים'!$A$9,1,0)+IF(E868='טבלת פרמטרים'!$B$5,2,1)+IF(F868='טבלת פרמטרים'!$C$5,3,IF(F868='טבלת פרמטרים'!$C$4,1,0))+IF(G868='טבלת פרמטרים'!$D$3,2,0)+IF(M868='טבלת פרמטרים'!$J$4,2,IF(M868='טבלת פרמטרים'!$J$3,1,0))+IF(N868='טבלת פרמטרים'!$K$6,3,IF(OR(N868='טבלת פרמטרים'!$K$4,N868='טבלת פרמטרים'!$K$5),2,IF(N868='טבלת פרמטרים'!$K$3,1,0))))</f>
        <v>2</v>
      </c>
      <c r="R868" s="19">
        <f t="shared" si="19"/>
        <v>2</v>
      </c>
      <c r="T868" s="19" t="str">
        <f>IF(EXACT(Q868,'טבלת פרמטרים'!$O$2),'טבלת פרמטרים'!$P$2,IF(EXACT(Q868,'טבלת פרמטרים'!$O$3),'טבלת פרמטרים'!$P$3,IF(EXACT(Q868,'טבלת פרמטרים'!$O$4),'טבלת פרמטרים'!$P$4,IF(EXACT(Q868,'טבלת פרמטרים'!$O$5),'טבלת פרמטרים'!$P$5,IF(EXACT(Q868,'טבלת פרמטרים'!$O$6),'טבלת פרמטרים'!$P$6,IF(EXACT(Q868,'טבלת פרמטרים'!$O$7),'טבלת פרמטרים'!$P$7,""))))))</f>
        <v/>
      </c>
    </row>
    <row r="869" spans="1:20" x14ac:dyDescent="0.2">
      <c r="A869" s="18">
        <v>869</v>
      </c>
      <c r="C869" s="30">
        <v>46167</v>
      </c>
      <c r="D869" s="21" t="s">
        <v>15</v>
      </c>
      <c r="E869" s="21" t="s">
        <v>20</v>
      </c>
      <c r="F869" s="21" t="s">
        <v>23</v>
      </c>
      <c r="G869" s="21" t="s">
        <v>26</v>
      </c>
      <c r="H869" s="21" t="s">
        <v>32</v>
      </c>
      <c r="I869" s="21" t="s">
        <v>126</v>
      </c>
      <c r="M869" s="21" t="s">
        <v>54</v>
      </c>
      <c r="O869" s="19">
        <f>IF(ISBLANK(D869),"",IF(D869='טבלת פרמטרים'!$A$9,1,0)+IF(E869='טבלת פרמטרים'!$B$5,2,1)+IF(F869='טבלת פרמטרים'!$C$5,3,IF(F869='טבלת פרמטרים'!$C$4,1,0))+IF(G869='טבלת פרמטרים'!$D$3,2,0)+IF(M869='טבלת פרמטרים'!$J$4,2,IF(M869='טבלת פרמטרים'!$J$3,1,0))+IF(N869='טבלת פרמטרים'!$K$6,3,IF(OR(N869='טבלת פרמטרים'!$K$4,N869='טבלת פרמטרים'!$K$5),2,IF(N869='טבלת פרמטרים'!$K$3,1,0))))</f>
        <v>2</v>
      </c>
      <c r="R869" s="19">
        <f t="shared" si="19"/>
        <v>2</v>
      </c>
      <c r="T869" s="19" t="str">
        <f>IF(EXACT(Q869,'טבלת פרמטרים'!$O$2),'טבלת פרמטרים'!$P$2,IF(EXACT(Q869,'טבלת פרמטרים'!$O$3),'טבלת פרמטרים'!$P$3,IF(EXACT(Q869,'טבלת פרמטרים'!$O$4),'טבלת פרמטרים'!$P$4,IF(EXACT(Q869,'טבלת פרמטרים'!$O$5),'טבלת פרמטרים'!$P$5,IF(EXACT(Q869,'טבלת פרמטרים'!$O$6),'טבלת פרמטרים'!$P$6,IF(EXACT(Q869,'טבלת פרמטרים'!$O$7),'טבלת פרמטרים'!$P$7,""))))))</f>
        <v/>
      </c>
    </row>
    <row r="870" spans="1:20" x14ac:dyDescent="0.2">
      <c r="A870" s="18">
        <v>870</v>
      </c>
      <c r="C870" s="30">
        <v>46167</v>
      </c>
      <c r="D870" s="21" t="s">
        <v>15</v>
      </c>
      <c r="E870" s="21" t="s">
        <v>111</v>
      </c>
      <c r="F870" s="21" t="s">
        <v>23</v>
      </c>
      <c r="G870" s="21" t="s">
        <v>26</v>
      </c>
      <c r="H870" s="21" t="s">
        <v>30</v>
      </c>
      <c r="M870" s="21" t="s">
        <v>54</v>
      </c>
      <c r="O870" s="19">
        <f>IF(ISBLANK(D870),"",IF(D870='טבלת פרמטרים'!$A$9,1,0)+IF(E870='טבלת פרמטרים'!$B$5,2,1)+IF(F870='טבלת פרמטרים'!$C$5,3,IF(F870='טבלת פרמטרים'!$C$4,1,0))+IF(G870='טבלת פרמטרים'!$D$3,2,0)+IF(M870='טבלת פרמטרים'!$J$4,2,IF(M870='טבלת פרמטרים'!$J$3,1,0))+IF(N870='טבלת פרמטרים'!$K$6,3,IF(OR(N870='טבלת פרמטרים'!$K$4,N870='טבלת פרמטרים'!$K$5),2,IF(N870='טבלת פרמטרים'!$K$3,1,0))))</f>
        <v>2</v>
      </c>
      <c r="R870" s="19">
        <f t="shared" si="19"/>
        <v>2</v>
      </c>
      <c r="T870" s="19" t="str">
        <f>IF(EXACT(Q870,'טבלת פרמטרים'!$O$2),'טבלת פרמטרים'!$P$2,IF(EXACT(Q870,'טבלת פרמטרים'!$O$3),'טבלת פרמטרים'!$P$3,IF(EXACT(Q870,'טבלת פרמטרים'!$O$4),'טבלת פרמטרים'!$P$4,IF(EXACT(Q870,'טבלת פרמטרים'!$O$5),'טבלת פרמטרים'!$P$5,IF(EXACT(Q870,'טבלת פרמטרים'!$O$6),'טבלת פרמטרים'!$P$6,IF(EXACT(Q870,'טבלת פרמטרים'!$O$7),'טבלת פרמטרים'!$P$7,""))))))</f>
        <v/>
      </c>
    </row>
    <row r="871" spans="1:20" x14ac:dyDescent="0.2">
      <c r="A871" s="18">
        <v>871</v>
      </c>
      <c r="C871" s="30">
        <v>46174</v>
      </c>
      <c r="D871" s="21" t="s">
        <v>15</v>
      </c>
      <c r="E871" s="21" t="s">
        <v>21</v>
      </c>
      <c r="F871" s="21" t="s">
        <v>23</v>
      </c>
      <c r="G871" s="21" t="s">
        <v>26</v>
      </c>
      <c r="H871" s="21" t="s">
        <v>31</v>
      </c>
      <c r="L871" s="21" t="s">
        <v>51</v>
      </c>
      <c r="O871" s="19">
        <f>IF(ISBLANK(D871),"",IF(D871='טבלת פרמטרים'!$A$9,1,0)+IF(E871='טבלת פרמטרים'!$B$5,2,1)+IF(F871='טבלת פרמטרים'!$C$5,3,IF(F871='טבלת פרמטרים'!$C$4,1,0))+IF(G871='טבלת פרמטרים'!$D$3,2,0)+IF(M871='טבלת פרמטרים'!$J$4,2,IF(M871='טבלת פרמטרים'!$J$3,1,0))+IF(N871='טבלת פרמטרים'!$K$6,3,IF(OR(N871='טבלת פרמטרים'!$K$4,N871='טבלת פרמטרים'!$K$5),2,IF(N871='טבלת פרמטרים'!$K$3,1,0))))</f>
        <v>1</v>
      </c>
      <c r="R871" s="19">
        <f t="shared" si="19"/>
        <v>1</v>
      </c>
      <c r="T871" s="19" t="str">
        <f>IF(EXACT(Q871,'טבלת פרמטרים'!$O$2),'טבלת פרמטרים'!$P$2,IF(EXACT(Q871,'טבלת פרמטרים'!$O$3),'טבלת פרמטרים'!$P$3,IF(EXACT(Q871,'טבלת פרמטרים'!$O$4),'טבלת פרמטרים'!$P$4,IF(EXACT(Q871,'טבלת פרמטרים'!$O$5),'טבלת פרמטרים'!$P$5,IF(EXACT(Q871,'טבלת פרמטרים'!$O$6),'טבלת פרמטרים'!$P$6,IF(EXACT(Q871,'טבלת פרמטרים'!$O$7),'טבלת פרמטרים'!$P$7,""))))))</f>
        <v/>
      </c>
    </row>
    <row r="872" spans="1:20" x14ac:dyDescent="0.2">
      <c r="A872" s="18">
        <v>872</v>
      </c>
      <c r="C872" s="30">
        <v>46180</v>
      </c>
      <c r="D872" s="21" t="s">
        <v>17</v>
      </c>
      <c r="E872" s="21" t="s">
        <v>21</v>
      </c>
      <c r="F872" s="21" t="s">
        <v>23</v>
      </c>
      <c r="G872" s="21" t="s">
        <v>26</v>
      </c>
      <c r="H872" s="21" t="s">
        <v>29</v>
      </c>
      <c r="M872" s="21" t="s">
        <v>54</v>
      </c>
      <c r="O872" s="19">
        <f>IF(ISBLANK(D872),"",IF(D872='טבלת פרמטרים'!$A$9,1,0)+IF(E872='טבלת פרמטרים'!$B$5,2,1)+IF(F872='טבלת פרמטרים'!$C$5,3,IF(F872='טבלת פרמטרים'!$C$4,1,0))+IF(G872='טבלת פרמטרים'!$D$3,2,0)+IF(M872='טבלת פרמטרים'!$J$4,2,IF(M872='טבלת פרמטרים'!$J$3,1,0))+IF(N872='טבלת פרמטרים'!$K$6,3,IF(OR(N872='טבלת פרמטרים'!$K$4,N872='טבלת פרמטרים'!$K$5),2,IF(N872='טבלת פרמטרים'!$K$3,1,0))))</f>
        <v>3</v>
      </c>
      <c r="R872" s="19">
        <f t="shared" si="19"/>
        <v>3</v>
      </c>
      <c r="T872" s="19" t="str">
        <f>IF(EXACT(Q872,'טבלת פרמטרים'!$O$2),'טבלת פרמטרים'!$P$2,IF(EXACT(Q872,'טבלת פרמטרים'!$O$3),'טבלת פרמטרים'!$P$3,IF(EXACT(Q872,'טבלת פרמטרים'!$O$4),'טבלת פרמטרים'!$P$4,IF(EXACT(Q872,'טבלת פרמטרים'!$O$5),'טבלת פרמטרים'!$P$5,IF(EXACT(Q872,'טבלת פרמטרים'!$O$6),'טבלת פרמטרים'!$P$6,IF(EXACT(Q872,'טבלת פרמטרים'!$O$7),'טבלת פרמטרים'!$P$7,""))))))</f>
        <v/>
      </c>
    </row>
    <row r="873" spans="1:20" x14ac:dyDescent="0.2">
      <c r="A873" s="18">
        <v>873</v>
      </c>
      <c r="C873" s="30">
        <v>46181</v>
      </c>
      <c r="D873" s="21" t="s">
        <v>14</v>
      </c>
      <c r="E873" s="21" t="s">
        <v>21</v>
      </c>
      <c r="F873" s="21" t="s">
        <v>25</v>
      </c>
      <c r="G873" s="21" t="s">
        <v>26</v>
      </c>
      <c r="H873" s="21" t="s">
        <v>32</v>
      </c>
      <c r="M873" s="21" t="s">
        <v>54</v>
      </c>
      <c r="O873" s="19">
        <f>IF(ISBLANK(D873),"",IF(D873='טבלת פרמטרים'!$A$9,1,0)+IF(E873='טבלת פרמטרים'!$B$5,2,1)+IF(F873='טבלת פרמטרים'!$C$5,3,IF(F873='טבלת פרמטרים'!$C$4,1,0))+IF(G873='טבלת פרמטרים'!$D$3,2,0)+IF(M873='טבלת פרמטרים'!$J$4,2,IF(M873='טבלת פרמטרים'!$J$3,1,0))+IF(N873='טבלת פרמטרים'!$K$6,3,IF(OR(N873='טבלת פרמטרים'!$K$4,N873='טבלת פרמטרים'!$K$5),2,IF(N873='טבלת פרמטרים'!$K$3,1,0))))</f>
        <v>5</v>
      </c>
      <c r="R873" s="19">
        <f t="shared" si="19"/>
        <v>5</v>
      </c>
      <c r="T873" s="19" t="str">
        <f>IF(EXACT(Q873,'טבלת פרמטרים'!$O$2),'טבלת פרמטרים'!$P$2,IF(EXACT(Q873,'טבלת פרמטרים'!$O$3),'טבלת פרמטרים'!$P$3,IF(EXACT(Q873,'טבלת פרמטרים'!$O$4),'טבלת פרמטרים'!$P$4,IF(EXACT(Q873,'טבלת פרמטרים'!$O$5),'טבלת פרמטרים'!$P$5,IF(EXACT(Q873,'טבלת פרמטרים'!$O$6),'טבלת פרמטרים'!$P$6,IF(EXACT(Q873,'טבלת פרמטרים'!$O$7),'טבלת פרמטרים'!$P$7,""))))))</f>
        <v/>
      </c>
    </row>
    <row r="874" spans="1:20" x14ac:dyDescent="0.2">
      <c r="A874" s="18">
        <v>874</v>
      </c>
      <c r="C874" s="30">
        <v>46182</v>
      </c>
      <c r="O874" s="19" t="str">
        <f>IF(ISBLANK(D874),"",IF(D874='טבלת פרמטרים'!$A$9,1,0)+IF(E874='טבלת פרמטרים'!$B$5,2,1)+IF(F874='טבלת פרמטרים'!$C$5,3,IF(F874='טבלת פרמטרים'!$C$4,1,0))+IF(G874='טבלת פרמטרים'!$D$3,2,0)+IF(M874='טבלת פרמטרים'!$J$4,2,IF(M874='טבלת פרמטרים'!$J$3,1,0))+IF(N874='טבלת פרמטרים'!$K$6,3,IF(OR(N874='טבלת פרמטרים'!$K$4,N874='טבלת פרמטרים'!$K$5),2,IF(N874='טבלת פרמטרים'!$K$3,1,0))))</f>
        <v/>
      </c>
      <c r="R874" s="19" t="str">
        <f t="shared" si="19"/>
        <v/>
      </c>
      <c r="T874" s="19" t="str">
        <f>IF(EXACT(Q874,'טבלת פרמטרים'!$O$2),'טבלת פרמטרים'!$P$2,IF(EXACT(Q874,'טבלת פרמטרים'!$O$3),'טבלת פרמטרים'!$P$3,IF(EXACT(Q874,'טבלת פרמטרים'!$O$4),'טבלת פרמטרים'!$P$4,IF(EXACT(Q874,'טבלת פרמטרים'!$O$5),'טבלת פרמטרים'!$P$5,IF(EXACT(Q874,'טבלת פרמטרים'!$O$6),'טבלת פרמטרים'!$P$6,IF(EXACT(Q874,'טבלת פרמטרים'!$O$7),'טבלת פרמטרים'!$P$7,""))))))</f>
        <v/>
      </c>
    </row>
    <row r="875" spans="1:20" x14ac:dyDescent="0.2">
      <c r="A875" s="18">
        <v>875</v>
      </c>
      <c r="O875" s="19" t="str">
        <f>IF(ISBLANK(D875),"",IF(D875='טבלת פרמטרים'!$A$9,1,0)+IF(E875='טבלת פרמטרים'!$B$5,2,1)+IF(F875='טבלת פרמטרים'!$C$5,3,IF(F875='טבלת פרמטרים'!$C$4,1,0))+IF(G875='טבלת פרמטרים'!$D$3,2,0)+IF(M875='טבלת פרמטרים'!$J$4,2,IF(M875='טבלת פרמטרים'!$J$3,1,0))+IF(N875='טבלת פרמטרים'!$K$6,3,IF(OR(N875='טבלת פרמטרים'!$K$4,N875='טבלת פרמטרים'!$K$5),2,IF(N875='טבלת פרמטרים'!$K$3,1,0))))</f>
        <v/>
      </c>
      <c r="R875" s="19" t="str">
        <f t="shared" si="19"/>
        <v/>
      </c>
      <c r="T875" s="19" t="str">
        <f>IF(EXACT(Q875,'טבלת פרמטרים'!$O$2),'טבלת פרמטרים'!$P$2,IF(EXACT(Q875,'טבלת פרמטרים'!$O$3),'טבלת פרמטרים'!$P$3,IF(EXACT(Q875,'טבלת פרמטרים'!$O$4),'טבלת פרמטרים'!$P$4,IF(EXACT(Q875,'טבלת פרמטרים'!$O$5),'טבלת פרמטרים'!$P$5,IF(EXACT(Q875,'טבלת פרמטרים'!$O$6),'טבלת פרמטרים'!$P$6,IF(EXACT(Q875,'טבלת פרמטרים'!$O$7),'טבלת פרמטרים'!$P$7,""))))))</f>
        <v/>
      </c>
    </row>
    <row r="876" spans="1:20" x14ac:dyDescent="0.2">
      <c r="A876" s="18">
        <v>876</v>
      </c>
      <c r="O876" s="19" t="str">
        <f>IF(ISBLANK(D876),"",IF(D876='טבלת פרמטרים'!$A$9,1,0)+IF(E876='טבלת פרמטרים'!$B$5,2,1)+IF(F876='טבלת פרמטרים'!$C$5,3,IF(F876='טבלת פרמטרים'!$C$4,1,0))+IF(G876='טבלת פרמטרים'!$D$3,2,0)+IF(M876='טבלת פרמטרים'!$J$4,2,IF(M876='טבלת פרמטרים'!$J$3,1,0))+IF(N876='טבלת פרמטרים'!$K$6,3,IF(OR(N876='טבלת פרמטרים'!$K$4,N876='טבלת פרמטרים'!$K$5),2,IF(N876='טבלת פרמטרים'!$K$3,1,0))))</f>
        <v/>
      </c>
      <c r="R876" s="19" t="str">
        <f t="shared" si="19"/>
        <v/>
      </c>
      <c r="T876" s="19" t="str">
        <f>IF(EXACT(Q876,'טבלת פרמטרים'!$O$2),'טבלת פרמטרים'!$P$2,IF(EXACT(Q876,'טבלת פרמטרים'!$O$3),'טבלת פרמטרים'!$P$3,IF(EXACT(Q876,'טבלת פרמטרים'!$O$4),'טבלת פרמטרים'!$P$4,IF(EXACT(Q876,'טבלת פרמטרים'!$O$5),'טבלת פרמטרים'!$P$5,IF(EXACT(Q876,'טבלת פרמטרים'!$O$6),'טבלת פרמטרים'!$P$6,IF(EXACT(Q876,'טבלת פרמטרים'!$O$7),'טבלת פרמטרים'!$P$7,""))))))</f>
        <v/>
      </c>
    </row>
    <row r="877" spans="1:20" x14ac:dyDescent="0.2">
      <c r="A877" s="18">
        <v>877</v>
      </c>
      <c r="O877" s="19" t="str">
        <f>IF(ISBLANK(D877),"",IF(D877='טבלת פרמטרים'!$A$9,1,0)+IF(E877='טבלת פרמטרים'!$B$5,2,1)+IF(F877='טבלת פרמטרים'!$C$5,3,IF(F877='טבלת פרמטרים'!$C$4,1,0))+IF(G877='טבלת פרמטרים'!$D$3,2,0)+IF(M877='טבלת פרמטרים'!$J$4,2,IF(M877='טבלת פרמטרים'!$J$3,1,0))+IF(N877='טבלת פרמטרים'!$K$6,3,IF(OR(N877='טבלת פרמטרים'!$K$4,N877='טבלת פרמטרים'!$K$5),2,IF(N877='טבלת פרמטרים'!$K$3,1,0))))</f>
        <v/>
      </c>
      <c r="R877" s="19" t="str">
        <f t="shared" si="19"/>
        <v/>
      </c>
      <c r="T877" s="19" t="str">
        <f>IF(EXACT(Q877,'טבלת פרמטרים'!$O$2),'טבלת פרמטרים'!$P$2,IF(EXACT(Q877,'טבלת פרמטרים'!$O$3),'טבלת פרמטרים'!$P$3,IF(EXACT(Q877,'טבלת פרמטרים'!$O$4),'טבלת פרמטרים'!$P$4,IF(EXACT(Q877,'טבלת פרמטרים'!$O$5),'טבלת פרמטרים'!$P$5,IF(EXACT(Q877,'טבלת פרמטרים'!$O$6),'טבלת פרמטרים'!$P$6,IF(EXACT(Q877,'טבלת פרמטרים'!$O$7),'טבלת פרמטרים'!$P$7,""))))))</f>
        <v/>
      </c>
    </row>
    <row r="878" spans="1:20" x14ac:dyDescent="0.2">
      <c r="A878" s="18">
        <v>878</v>
      </c>
      <c r="O878" s="19" t="str">
        <f>IF(ISBLANK(D878),"",IF(D878='טבלת פרמטרים'!$A$9,1,0)+IF(E878='טבלת פרמטרים'!$B$5,2,1)+IF(F878='טבלת פרמטרים'!$C$5,3,IF(F878='טבלת פרמטרים'!$C$4,1,0))+IF(G878='טבלת פרמטרים'!$D$3,2,0)+IF(M878='טבלת פרמטרים'!$J$4,2,IF(M878='טבלת פרמטרים'!$J$3,1,0))+IF(N878='טבלת פרמטרים'!$K$6,3,IF(OR(N878='טבלת פרמטרים'!$K$4,N878='טבלת פרמטרים'!$K$5),2,IF(N878='טבלת פרמטרים'!$K$3,1,0))))</f>
        <v/>
      </c>
      <c r="R878" s="19" t="str">
        <f t="shared" si="19"/>
        <v/>
      </c>
      <c r="T878" s="19" t="str">
        <f>IF(EXACT(Q878,'טבלת פרמטרים'!$O$2),'טבלת פרמטרים'!$P$2,IF(EXACT(Q878,'טבלת פרמטרים'!$O$3),'טבלת פרמטרים'!$P$3,IF(EXACT(Q878,'טבלת פרמטרים'!$O$4),'טבלת פרמטרים'!$P$4,IF(EXACT(Q878,'טבלת פרמטרים'!$O$5),'טבלת פרמטרים'!$P$5,IF(EXACT(Q878,'טבלת פרמטרים'!$O$6),'טבלת פרמטרים'!$P$6,IF(EXACT(Q878,'טבלת פרמטרים'!$O$7),'טבלת פרמטרים'!$P$7,""))))))</f>
        <v/>
      </c>
    </row>
    <row r="879" spans="1:20" x14ac:dyDescent="0.2">
      <c r="A879" s="18">
        <v>879</v>
      </c>
      <c r="O879" s="19" t="str">
        <f>IF(ISBLANK(D879),"",IF(D879='טבלת פרמטרים'!$A$9,1,0)+IF(E879='טבלת פרמטרים'!$B$5,2,1)+IF(F879='טבלת פרמטרים'!$C$5,3,IF(F879='טבלת פרמטרים'!$C$4,1,0))+IF(G879='טבלת פרמטרים'!$D$3,2,0)+IF(M879='טבלת פרמטרים'!$J$4,2,IF(M879='טבלת פרמטרים'!$J$3,1,0))+IF(N879='טבלת פרמטרים'!$K$6,3,IF(OR(N879='טבלת פרמטרים'!$K$4,N879='טבלת פרמטרים'!$K$5),2,IF(N879='טבלת פרמטרים'!$K$3,1,0))))</f>
        <v/>
      </c>
      <c r="R879" s="19" t="str">
        <f t="shared" si="19"/>
        <v/>
      </c>
      <c r="T879" s="19" t="str">
        <f>IF(EXACT(Q879,'טבלת פרמטרים'!$O$2),'טבלת פרמטרים'!$P$2,IF(EXACT(Q879,'טבלת פרמטרים'!$O$3),'טבלת פרמטרים'!$P$3,IF(EXACT(Q879,'טבלת פרמטרים'!$O$4),'טבלת פרמטרים'!$P$4,IF(EXACT(Q879,'טבלת פרמטרים'!$O$5),'טבלת פרמטרים'!$P$5,IF(EXACT(Q879,'טבלת פרמטרים'!$O$6),'טבלת פרמטרים'!$P$6,IF(EXACT(Q879,'טבלת פרמטרים'!$O$7),'טבלת פרמטרים'!$P$7,""))))))</f>
        <v/>
      </c>
    </row>
    <row r="880" spans="1:20" x14ac:dyDescent="0.2">
      <c r="A880" s="18">
        <v>880</v>
      </c>
      <c r="O880" s="19" t="str">
        <f>IF(ISBLANK(D880),"",IF(D880='טבלת פרמטרים'!$A$9,1,0)+IF(E880='טבלת פרמטרים'!$B$5,2,1)+IF(F880='טבלת פרמטרים'!$C$5,3,IF(F880='טבלת פרמטרים'!$C$4,1,0))+IF(G880='טבלת פרמטרים'!$D$3,2,0)+IF(M880='טבלת פרמטרים'!$J$4,2,IF(M880='טבלת פרמטרים'!$J$3,1,0))+IF(N880='טבלת פרמטרים'!$K$6,3,IF(OR(N880='טבלת פרמטרים'!$K$4,N880='טבלת פרמטרים'!$K$5),2,IF(N880='טבלת פרמטרים'!$K$3,1,0))))</f>
        <v/>
      </c>
      <c r="R880" s="19" t="str">
        <f t="shared" si="19"/>
        <v/>
      </c>
      <c r="T880" s="19" t="str">
        <f>IF(EXACT(Q880,'טבלת פרמטרים'!$O$2),'טבלת פרמטרים'!$P$2,IF(EXACT(Q880,'טבלת פרמטרים'!$O$3),'טבלת פרמטרים'!$P$3,IF(EXACT(Q880,'טבלת פרמטרים'!$O$4),'טבלת פרמטרים'!$P$4,IF(EXACT(Q880,'טבלת פרמטרים'!$O$5),'טבלת פרמטרים'!$P$5,IF(EXACT(Q880,'טבלת פרמטרים'!$O$6),'טבלת פרמטרים'!$P$6,IF(EXACT(Q880,'טבלת פרמטרים'!$O$7),'טבלת פרמטרים'!$P$7,""))))))</f>
        <v/>
      </c>
    </row>
    <row r="881" spans="1:20" x14ac:dyDescent="0.2">
      <c r="A881" s="18">
        <v>881</v>
      </c>
      <c r="O881" s="19" t="str">
        <f>IF(ISBLANK(D881),"",IF(D881='טבלת פרמטרים'!$A$9,1,0)+IF(E881='טבלת פרמטרים'!$B$5,2,1)+IF(F881='טבלת פרמטרים'!$C$5,3,IF(F881='טבלת פרמטרים'!$C$4,1,0))+IF(G881='טבלת פרמטרים'!$D$3,2,0)+IF(M881='טבלת פרמטרים'!$J$4,2,IF(M881='טבלת פרמטרים'!$J$3,1,0))+IF(N881='טבלת פרמטרים'!$K$6,3,IF(OR(N881='טבלת פרמטרים'!$K$4,N881='טבלת פרמטרים'!$K$5),2,IF(N881='טבלת פרמטרים'!$K$3,1,0))))</f>
        <v/>
      </c>
      <c r="R881" s="19" t="str">
        <f t="shared" si="19"/>
        <v/>
      </c>
      <c r="T881" s="19" t="str">
        <f>IF(EXACT(Q881,'טבלת פרמטרים'!$O$2),'טבלת פרמטרים'!$P$2,IF(EXACT(Q881,'טבלת פרמטרים'!$O$3),'טבלת פרמטרים'!$P$3,IF(EXACT(Q881,'טבלת פרמטרים'!$O$4),'טבלת פרמטרים'!$P$4,IF(EXACT(Q881,'טבלת פרמטרים'!$O$5),'טבלת פרמטרים'!$P$5,IF(EXACT(Q881,'טבלת פרמטרים'!$O$6),'טבלת פרמטרים'!$P$6,IF(EXACT(Q881,'טבלת פרמטרים'!$O$7),'טבלת פרמטרים'!$P$7,""))))))</f>
        <v/>
      </c>
    </row>
    <row r="882" spans="1:20" x14ac:dyDescent="0.2">
      <c r="A882" s="18">
        <v>882</v>
      </c>
      <c r="O882" s="19" t="str">
        <f>IF(ISBLANK(D882),"",IF(D882='טבלת פרמטרים'!$A$9,1,0)+IF(E882='טבלת פרמטרים'!$B$5,2,1)+IF(F882='טבלת פרמטרים'!$C$5,3,IF(F882='טבלת פרמטרים'!$C$4,1,0))+IF(G882='טבלת פרמטרים'!$D$3,2,0)+IF(M882='טבלת פרמטרים'!$J$4,2,IF(M882='טבלת פרמטרים'!$J$3,1,0))+IF(N882='טבלת פרמטרים'!$K$6,3,IF(OR(N882='טבלת פרמטרים'!$K$4,N882='טבלת פרמטרים'!$K$5),2,IF(N882='טבלת פרמטרים'!$K$3,1,0))))</f>
        <v/>
      </c>
      <c r="R882" s="19" t="str">
        <f t="shared" si="19"/>
        <v/>
      </c>
      <c r="T882" s="19" t="str">
        <f>IF(EXACT(Q882,'טבלת פרמטרים'!$O$2),'טבלת פרמטרים'!$P$2,IF(EXACT(Q882,'טבלת פרמטרים'!$O$3),'טבלת פרמטרים'!$P$3,IF(EXACT(Q882,'טבלת פרמטרים'!$O$4),'טבלת פרמטרים'!$P$4,IF(EXACT(Q882,'טבלת פרמטרים'!$O$5),'טבלת פרמטרים'!$P$5,IF(EXACT(Q882,'טבלת פרמטרים'!$O$6),'טבלת פרמטרים'!$P$6,IF(EXACT(Q882,'טבלת פרמטרים'!$O$7),'טבלת פרמטרים'!$P$7,""))))))</f>
        <v/>
      </c>
    </row>
    <row r="883" spans="1:20" x14ac:dyDescent="0.2">
      <c r="A883" s="18">
        <v>883</v>
      </c>
      <c r="O883" s="19" t="str">
        <f>IF(ISBLANK(D883),"",IF(D883='טבלת פרמטרים'!$A$9,1,0)+IF(E883='טבלת פרמטרים'!$B$5,2,1)+IF(F883='טבלת פרמטרים'!$C$5,3,IF(F883='טבלת פרמטרים'!$C$4,1,0))+IF(G883='טבלת פרמטרים'!$D$3,2,0)+IF(M883='טבלת פרמטרים'!$J$4,2,IF(M883='טבלת פרמטרים'!$J$3,1,0))+IF(N883='טבלת פרמטרים'!$K$6,3,IF(OR(N883='טבלת פרמטרים'!$K$4,N883='טבלת פרמטרים'!$K$5),2,IF(N883='טבלת פרמטרים'!$K$3,1,0))))</f>
        <v/>
      </c>
      <c r="R883" s="19" t="str">
        <f t="shared" si="19"/>
        <v/>
      </c>
      <c r="T883" s="19" t="str">
        <f>IF(EXACT(Q883,'טבלת פרמטרים'!$O$2),'טבלת פרמטרים'!$P$2,IF(EXACT(Q883,'טבלת פרמטרים'!$O$3),'טבלת פרמטרים'!$P$3,IF(EXACT(Q883,'טבלת פרמטרים'!$O$4),'טבלת פרמטרים'!$P$4,IF(EXACT(Q883,'טבלת פרמטרים'!$O$5),'טבלת פרמטרים'!$P$5,IF(EXACT(Q883,'טבלת פרמטרים'!$O$6),'טבלת פרמטרים'!$P$6,IF(EXACT(Q883,'טבלת פרמטרים'!$O$7),'טבלת פרמטרים'!$P$7,""))))))</f>
        <v/>
      </c>
    </row>
    <row r="884" spans="1:20" x14ac:dyDescent="0.2">
      <c r="A884" s="18">
        <v>884</v>
      </c>
      <c r="O884" s="19" t="str">
        <f>IF(ISBLANK(D884),"",IF(D884='טבלת פרמטרים'!$A$9,1,0)+IF(E884='טבלת פרמטרים'!$B$5,2,1)+IF(F884='טבלת פרמטרים'!$C$5,3,IF(F884='טבלת פרמטרים'!$C$4,1,0))+IF(G884='טבלת פרמטרים'!$D$3,2,0)+IF(M884='טבלת פרמטרים'!$J$4,2,IF(M884='טבלת פרמטרים'!$J$3,1,0))+IF(N884='טבלת פרמטרים'!$K$6,3,IF(OR(N884='טבלת פרמטרים'!$K$4,N884='טבלת פרמטרים'!$K$5),2,IF(N884='טבלת פרמטרים'!$K$3,1,0))))</f>
        <v/>
      </c>
      <c r="R884" s="19" t="str">
        <f t="shared" si="19"/>
        <v/>
      </c>
      <c r="T884" s="19" t="str">
        <f>IF(EXACT(Q884,'טבלת פרמטרים'!$O$2),'טבלת פרמטרים'!$P$2,IF(EXACT(Q884,'טבלת פרמטרים'!$O$3),'טבלת פרמטרים'!$P$3,IF(EXACT(Q884,'טבלת פרמטרים'!$O$4),'טבלת פרמטרים'!$P$4,IF(EXACT(Q884,'טבלת פרמטרים'!$O$5),'טבלת פרמטרים'!$P$5,IF(EXACT(Q884,'טבלת פרמטרים'!$O$6),'טבלת פרמטרים'!$P$6,IF(EXACT(Q884,'טבלת פרמטרים'!$O$7),'טבלת פרמטרים'!$P$7,""))))))</f>
        <v/>
      </c>
    </row>
    <row r="885" spans="1:20" x14ac:dyDescent="0.2">
      <c r="A885" s="18">
        <v>885</v>
      </c>
      <c r="O885" s="19" t="str">
        <f>IF(ISBLANK(D885),"",IF(D885='טבלת פרמטרים'!$A$9,1,0)+IF(E885='טבלת פרמטרים'!$B$5,2,1)+IF(F885='טבלת פרמטרים'!$C$5,3,IF(F885='טבלת פרמטרים'!$C$4,1,0))+IF(G885='טבלת פרמטרים'!$D$3,2,0)+IF(M885='טבלת פרמטרים'!$J$4,2,IF(M885='טבלת פרמטרים'!$J$3,1,0))+IF(N885='טבלת פרמטרים'!$K$6,3,IF(OR(N885='טבלת פרמטרים'!$K$4,N885='טבלת פרמטרים'!$K$5),2,IF(N885='טבלת פרמטרים'!$K$3,1,0))))</f>
        <v/>
      </c>
      <c r="R885" s="19" t="str">
        <f t="shared" si="19"/>
        <v/>
      </c>
      <c r="T885" s="19" t="str">
        <f>IF(EXACT(Q885,'טבלת פרמטרים'!$O$2),'טבלת פרמטרים'!$P$2,IF(EXACT(Q885,'טבלת פרמטרים'!$O$3),'טבלת פרמטרים'!$P$3,IF(EXACT(Q885,'טבלת פרמטרים'!$O$4),'טבלת פרמטרים'!$P$4,IF(EXACT(Q885,'טבלת פרמטרים'!$O$5),'טבלת פרמטרים'!$P$5,IF(EXACT(Q885,'טבלת פרמטרים'!$O$6),'טבלת פרמטרים'!$P$6,IF(EXACT(Q885,'טבלת פרמטרים'!$O$7),'טבלת פרמטרים'!$P$7,""))))))</f>
        <v/>
      </c>
    </row>
    <row r="886" spans="1:20" x14ac:dyDescent="0.2">
      <c r="A886" s="18">
        <v>886</v>
      </c>
      <c r="O886" s="19" t="str">
        <f>IF(ISBLANK(D886),"",IF(D886='טבלת פרמטרים'!$A$9,1,0)+IF(E886='טבלת פרמטרים'!$B$5,2,1)+IF(F886='טבלת פרמטרים'!$C$5,3,IF(F886='טבלת פרמטרים'!$C$4,1,0))+IF(G886='טבלת פרמטרים'!$D$3,2,0)+IF(M886='טבלת פרמטרים'!$J$4,2,IF(M886='טבלת פרמטרים'!$J$3,1,0))+IF(N886='טבלת פרמטרים'!$K$6,3,IF(OR(N886='טבלת פרמטרים'!$K$4,N886='טבלת פרמטרים'!$K$5),2,IF(N886='טבלת פרמטרים'!$K$3,1,0))))</f>
        <v/>
      </c>
      <c r="R886" s="19" t="str">
        <f t="shared" si="19"/>
        <v/>
      </c>
      <c r="T886" s="19" t="str">
        <f>IF(EXACT(Q886,'טבלת פרמטרים'!$O$2),'טבלת פרמטרים'!$P$2,IF(EXACT(Q886,'טבלת פרמטרים'!$O$3),'טבלת פרמטרים'!$P$3,IF(EXACT(Q886,'טבלת פרמטרים'!$O$4),'טבלת פרמטרים'!$P$4,IF(EXACT(Q886,'טבלת פרמטרים'!$O$5),'טבלת פרמטרים'!$P$5,IF(EXACT(Q886,'טבלת פרמטרים'!$O$6),'טבלת פרמטרים'!$P$6,IF(EXACT(Q886,'טבלת פרמטרים'!$O$7),'טבלת פרמטרים'!$P$7,""))))))</f>
        <v/>
      </c>
    </row>
    <row r="887" spans="1:20" x14ac:dyDescent="0.2">
      <c r="A887" s="18">
        <v>887</v>
      </c>
      <c r="O887" s="19" t="str">
        <f>IF(ISBLANK(D887),"",IF(D887='טבלת פרמטרים'!$A$9,1,0)+IF(E887='טבלת פרמטרים'!$B$5,2,1)+IF(F887='טבלת פרמטרים'!$C$5,3,IF(F887='טבלת פרמטרים'!$C$4,1,0))+IF(G887='טבלת פרמטרים'!$D$3,2,0)+IF(M887='טבלת פרמטרים'!$J$4,2,IF(M887='טבלת פרמטרים'!$J$3,1,0))+IF(N887='טבלת פרמטרים'!$K$6,3,IF(OR(N887='טבלת פרמטרים'!$K$4,N887='טבלת פרמטרים'!$K$5),2,IF(N887='טבלת פרמטרים'!$K$3,1,0))))</f>
        <v/>
      </c>
      <c r="R887" s="19" t="str">
        <f t="shared" si="19"/>
        <v/>
      </c>
      <c r="T887" s="19" t="str">
        <f>IF(EXACT(Q887,'טבלת פרמטרים'!$O$2),'טבלת פרמטרים'!$P$2,IF(EXACT(Q887,'טבלת פרמטרים'!$O$3),'טבלת פרמטרים'!$P$3,IF(EXACT(Q887,'טבלת פרמטרים'!$O$4),'טבלת פרמטרים'!$P$4,IF(EXACT(Q887,'טבלת פרמטרים'!$O$5),'טבלת פרמטרים'!$P$5,IF(EXACT(Q887,'טבלת פרמטרים'!$O$6),'טבלת פרמטרים'!$P$6,IF(EXACT(Q887,'טבלת פרמטרים'!$O$7),'טבלת פרמטרים'!$P$7,""))))))</f>
        <v/>
      </c>
    </row>
    <row r="888" spans="1:20" x14ac:dyDescent="0.2">
      <c r="A888" s="18">
        <v>888</v>
      </c>
      <c r="O888" s="19" t="str">
        <f>IF(ISBLANK(D888),"",IF(D888='טבלת פרמטרים'!$A$9,1,0)+IF(E888='טבלת פרמטרים'!$B$5,2,1)+IF(F888='טבלת פרמטרים'!$C$5,3,IF(F888='טבלת פרמטרים'!$C$4,1,0))+IF(G888='טבלת פרמטרים'!$D$3,2,0)+IF(M888='טבלת פרמטרים'!$J$4,2,IF(M888='טבלת פרמטרים'!$J$3,1,0))+IF(N888='טבלת פרמטרים'!$K$6,3,IF(OR(N888='טבלת פרמטרים'!$K$4,N888='טבלת פרמטרים'!$K$5),2,IF(N888='טבלת פרמטרים'!$K$3,1,0))))</f>
        <v/>
      </c>
      <c r="R888" s="19" t="str">
        <f t="shared" si="19"/>
        <v/>
      </c>
      <c r="T888" s="19" t="str">
        <f>IF(EXACT(Q888,'טבלת פרמטרים'!$O$2),'טבלת פרמטרים'!$P$2,IF(EXACT(Q888,'טבלת פרמטרים'!$O$3),'טבלת פרמטרים'!$P$3,IF(EXACT(Q888,'טבלת פרמטרים'!$O$4),'טבלת פרמטרים'!$P$4,IF(EXACT(Q888,'טבלת פרמטרים'!$O$5),'טבלת פרמטרים'!$P$5,IF(EXACT(Q888,'טבלת פרמטרים'!$O$6),'טבלת פרמטרים'!$P$6,IF(EXACT(Q888,'טבלת פרמטרים'!$O$7),'טבלת פרמטרים'!$P$7,""))))))</f>
        <v/>
      </c>
    </row>
    <row r="889" spans="1:20" x14ac:dyDescent="0.2">
      <c r="A889" s="18">
        <v>889</v>
      </c>
      <c r="O889" s="19" t="str">
        <f>IF(ISBLANK(D889),"",IF(D889='טבלת פרמטרים'!$A$9,1,0)+IF(E889='טבלת פרמטרים'!$B$5,2,1)+IF(F889='טבלת פרמטרים'!$C$5,3,IF(F889='טבלת פרמטרים'!$C$4,1,0))+IF(G889='טבלת פרמטרים'!$D$3,2,0)+IF(M889='טבלת פרמטרים'!$J$4,2,IF(M889='טבלת פרמטרים'!$J$3,1,0))+IF(N889='טבלת פרמטרים'!$K$6,3,IF(OR(N889='טבלת פרמטרים'!$K$4,N889='טבלת פרמטרים'!$K$5),2,IF(N889='טבלת פרמטרים'!$K$3,1,0))))</f>
        <v/>
      </c>
      <c r="R889" s="19" t="str">
        <f t="shared" si="19"/>
        <v/>
      </c>
      <c r="T889" s="19" t="str">
        <f>IF(EXACT(Q889,'טבלת פרמטרים'!$O$2),'טבלת פרמטרים'!$P$2,IF(EXACT(Q889,'טבלת פרמטרים'!$O$3),'טבלת פרמטרים'!$P$3,IF(EXACT(Q889,'טבלת פרמטרים'!$O$4),'טבלת פרמטרים'!$P$4,IF(EXACT(Q889,'טבלת פרמטרים'!$O$5),'טבלת פרמטרים'!$P$5,IF(EXACT(Q889,'טבלת פרמטרים'!$O$6),'טבלת פרמטרים'!$P$6,IF(EXACT(Q889,'טבלת פרמטרים'!$O$7),'טבלת פרמטרים'!$P$7,""))))))</f>
        <v/>
      </c>
    </row>
    <row r="890" spans="1:20" x14ac:dyDescent="0.2">
      <c r="A890" s="18">
        <v>890</v>
      </c>
      <c r="O890" s="19" t="str">
        <f>IF(ISBLANK(D890),"",IF(D890='טבלת פרמטרים'!$A$9,1,0)+IF(E890='טבלת פרמטרים'!$B$5,2,1)+IF(F890='טבלת פרמטרים'!$C$5,3,IF(F890='טבלת פרמטרים'!$C$4,1,0))+IF(G890='טבלת פרמטרים'!$D$3,2,0)+IF(M890='טבלת פרמטרים'!$J$4,2,IF(M890='טבלת פרמטרים'!$J$3,1,0))+IF(N890='טבלת פרמטרים'!$K$6,3,IF(OR(N890='טבלת פרמטרים'!$K$4,N890='טבלת פרמטרים'!$K$5),2,IF(N890='טבלת פרמטרים'!$K$3,1,0))))</f>
        <v/>
      </c>
      <c r="R890" s="19" t="str">
        <f t="shared" si="19"/>
        <v/>
      </c>
      <c r="T890" s="19" t="str">
        <f>IF(EXACT(Q890,'טבלת פרמטרים'!$O$2),'טבלת פרמטרים'!$P$2,IF(EXACT(Q890,'טבלת פרמטרים'!$O$3),'טבלת פרמטרים'!$P$3,IF(EXACT(Q890,'טבלת פרמטרים'!$O$4),'טבלת פרמטרים'!$P$4,IF(EXACT(Q890,'טבלת פרמטרים'!$O$5),'טבלת פרמטרים'!$P$5,IF(EXACT(Q890,'טבלת פרמטרים'!$O$6),'טבלת פרמטרים'!$P$6,IF(EXACT(Q890,'טבלת פרמטרים'!$O$7),'טבלת פרמטרים'!$P$7,""))))))</f>
        <v/>
      </c>
    </row>
    <row r="891" spans="1:20" x14ac:dyDescent="0.2">
      <c r="A891" s="18">
        <v>891</v>
      </c>
      <c r="O891" s="19" t="str">
        <f>IF(ISBLANK(D891),"",IF(D891='טבלת פרמטרים'!$A$9,1,0)+IF(E891='טבלת פרמטרים'!$B$5,2,1)+IF(F891='טבלת פרמטרים'!$C$5,3,IF(F891='טבלת פרמטרים'!$C$4,1,0))+IF(G891='טבלת פרמטרים'!$D$3,2,0)+IF(M891='טבלת פרמטרים'!$J$4,2,IF(M891='טבלת פרמטרים'!$J$3,1,0))+IF(N891='טבלת פרמטרים'!$K$6,3,IF(OR(N891='טבלת פרמטרים'!$K$4,N891='טבלת פרמטרים'!$K$5),2,IF(N891='טבלת פרמטרים'!$K$3,1,0))))</f>
        <v/>
      </c>
      <c r="R891" s="19" t="str">
        <f t="shared" si="19"/>
        <v/>
      </c>
      <c r="T891" s="19" t="str">
        <f>IF(EXACT(Q891,'טבלת פרמטרים'!$O$2),'טבלת פרמטרים'!$P$2,IF(EXACT(Q891,'טבלת פרמטרים'!$O$3),'טבלת פרמטרים'!$P$3,IF(EXACT(Q891,'טבלת פרמטרים'!$O$4),'טבלת פרמטרים'!$P$4,IF(EXACT(Q891,'טבלת פרמטרים'!$O$5),'טבלת פרמטרים'!$P$5,IF(EXACT(Q891,'טבלת פרמטרים'!$O$6),'טבלת פרמטרים'!$P$6,IF(EXACT(Q891,'טבלת פרמטרים'!$O$7),'טבלת פרמטרים'!$P$7,""))))))</f>
        <v/>
      </c>
    </row>
    <row r="892" spans="1:20" x14ac:dyDescent="0.2">
      <c r="A892" s="18">
        <v>892</v>
      </c>
      <c r="O892" s="19" t="str">
        <f>IF(ISBLANK(D892),"",IF(D892='טבלת פרמטרים'!$A$9,1,0)+IF(E892='טבלת פרמטרים'!$B$5,2,1)+IF(F892='טבלת פרמטרים'!$C$5,3,IF(F892='טבלת פרמטרים'!$C$4,1,0))+IF(G892='טבלת פרמטרים'!$D$3,2,0)+IF(M892='טבלת פרמטרים'!$J$4,2,IF(M892='טבלת פרמטרים'!$J$3,1,0))+IF(N892='טבלת פרמטרים'!$K$6,3,IF(OR(N892='טבלת פרמטרים'!$K$4,N892='טבלת פרמטרים'!$K$5),2,IF(N892='טבלת פרמטרים'!$K$3,1,0))))</f>
        <v/>
      </c>
      <c r="R892" s="19" t="str">
        <f t="shared" si="19"/>
        <v/>
      </c>
      <c r="T892" s="19" t="str">
        <f>IF(EXACT(Q892,'טבלת פרמטרים'!$O$2),'טבלת פרמטרים'!$P$2,IF(EXACT(Q892,'טבלת פרמטרים'!$O$3),'טבלת פרמטרים'!$P$3,IF(EXACT(Q892,'טבלת פרמטרים'!$O$4),'טבלת פרמטרים'!$P$4,IF(EXACT(Q892,'טבלת פרמטרים'!$O$5),'טבלת פרמטרים'!$P$5,IF(EXACT(Q892,'טבלת פרמטרים'!$O$6),'טבלת פרמטרים'!$P$6,IF(EXACT(Q892,'טבלת פרמטרים'!$O$7),'טבלת פרמטרים'!$P$7,""))))))</f>
        <v/>
      </c>
    </row>
    <row r="893" spans="1:20" x14ac:dyDescent="0.2">
      <c r="A893" s="18">
        <v>893</v>
      </c>
      <c r="O893" s="19" t="str">
        <f>IF(ISBLANK(D893),"",IF(D893='טבלת פרמטרים'!$A$9,1,0)+IF(E893='טבלת פרמטרים'!$B$5,2,1)+IF(F893='טבלת פרמטרים'!$C$5,3,IF(F893='טבלת פרמטרים'!$C$4,1,0))+IF(G893='טבלת פרמטרים'!$D$3,2,0)+IF(M893='טבלת פרמטרים'!$J$4,2,IF(M893='טבלת פרמטרים'!$J$3,1,0))+IF(N893='טבלת פרמטרים'!$K$6,3,IF(OR(N893='טבלת פרמטרים'!$K$4,N893='טבלת פרמטרים'!$K$5),2,IF(N893='טבלת פרמטרים'!$K$3,1,0))))</f>
        <v/>
      </c>
      <c r="R893" s="19" t="str">
        <f t="shared" si="19"/>
        <v/>
      </c>
      <c r="T893" s="19" t="str">
        <f>IF(EXACT(Q893,'טבלת פרמטרים'!$O$2),'טבלת פרמטרים'!$P$2,IF(EXACT(Q893,'טבלת פרמטרים'!$O$3),'טבלת פרמטרים'!$P$3,IF(EXACT(Q893,'טבלת פרמטרים'!$O$4),'טבלת פרמטרים'!$P$4,IF(EXACT(Q893,'טבלת פרמטרים'!$O$5),'טבלת פרמטרים'!$P$5,IF(EXACT(Q893,'טבלת פרמטרים'!$O$6),'טבלת פרמטרים'!$P$6,IF(EXACT(Q893,'טבלת פרמטרים'!$O$7),'טבלת פרמטרים'!$P$7,""))))))</f>
        <v/>
      </c>
    </row>
    <row r="894" spans="1:20" x14ac:dyDescent="0.2">
      <c r="A894" s="18">
        <v>894</v>
      </c>
      <c r="O894" s="19" t="str">
        <f>IF(ISBLANK(D894),"",IF(D894='טבלת פרמטרים'!$A$9,1,0)+IF(E894='טבלת פרמטרים'!$B$5,2,1)+IF(F894='טבלת פרמטרים'!$C$5,3,IF(F894='טבלת פרמטרים'!$C$4,1,0))+IF(G894='טבלת פרמטרים'!$D$3,2,0)+IF(M894='טבלת פרמטרים'!$J$4,2,IF(M894='טבלת פרמטרים'!$J$3,1,0))+IF(N894='טבלת פרמטרים'!$K$6,3,IF(OR(N894='טבלת פרמטרים'!$K$4,N894='טבלת פרמטרים'!$K$5),2,IF(N894='טבלת פרמטרים'!$K$3,1,0))))</f>
        <v/>
      </c>
      <c r="R894" s="19" t="str">
        <f t="shared" si="19"/>
        <v/>
      </c>
      <c r="T894" s="19" t="str">
        <f>IF(EXACT(Q894,'טבלת פרמטרים'!$O$2),'טבלת פרמטרים'!$P$2,IF(EXACT(Q894,'טבלת פרמטרים'!$O$3),'טבלת פרמטרים'!$P$3,IF(EXACT(Q894,'טבלת פרמטרים'!$O$4),'טבלת פרמטרים'!$P$4,IF(EXACT(Q894,'טבלת פרמטרים'!$O$5),'טבלת פרמטרים'!$P$5,IF(EXACT(Q894,'טבלת פרמטרים'!$O$6),'טבלת פרמטרים'!$P$6,IF(EXACT(Q894,'טבלת פרמטרים'!$O$7),'טבלת פרמטרים'!$P$7,""))))))</f>
        <v/>
      </c>
    </row>
    <row r="895" spans="1:20" x14ac:dyDescent="0.2">
      <c r="A895" s="18">
        <v>895</v>
      </c>
      <c r="O895" s="19" t="str">
        <f>IF(ISBLANK(D895),"",IF(D895='טבלת פרמטרים'!$A$9,1,0)+IF(E895='טבלת פרמטרים'!$B$5,2,1)+IF(F895='טבלת פרמטרים'!$C$5,3,IF(F895='טבלת פרמטרים'!$C$4,1,0))+IF(G895='טבלת פרמטרים'!$D$3,2,0)+IF(M895='טבלת פרמטרים'!$J$4,2,IF(M895='טבלת פרמטרים'!$J$3,1,0))+IF(N895='טבלת פרמטרים'!$K$6,3,IF(OR(N895='טבלת פרמטרים'!$K$4,N895='טבלת פרמטרים'!$K$5),2,IF(N895='טבלת פרמטרים'!$K$3,1,0))))</f>
        <v/>
      </c>
      <c r="R895" s="19" t="str">
        <f t="shared" si="19"/>
        <v/>
      </c>
      <c r="T895" s="19" t="str">
        <f>IF(EXACT(Q895,'טבלת פרמטרים'!$O$2),'טבלת פרמטרים'!$P$2,IF(EXACT(Q895,'טבלת פרמטרים'!$O$3),'טבלת פרמטרים'!$P$3,IF(EXACT(Q895,'טבלת פרמטרים'!$O$4),'טבלת פרמטרים'!$P$4,IF(EXACT(Q895,'טבלת פרמטרים'!$O$5),'טבלת פרמטרים'!$P$5,IF(EXACT(Q895,'טבלת פרמטרים'!$O$6),'טבלת פרמטרים'!$P$6,IF(EXACT(Q895,'טבלת פרמטרים'!$O$7),'טבלת פרמטרים'!$P$7,""))))))</f>
        <v/>
      </c>
    </row>
    <row r="896" spans="1:20" x14ac:dyDescent="0.2">
      <c r="A896" s="18">
        <v>896</v>
      </c>
      <c r="O896" s="19" t="str">
        <f>IF(ISBLANK(D896),"",IF(D896='טבלת פרמטרים'!$A$9,1,0)+IF(E896='טבלת פרמטרים'!$B$5,2,1)+IF(F896='טבלת פרמטרים'!$C$5,3,IF(F896='טבלת פרמטרים'!$C$4,1,0))+IF(G896='טבלת פרמטרים'!$D$3,2,0)+IF(M896='טבלת פרמטרים'!$J$4,2,IF(M896='טבלת פרמטרים'!$J$3,1,0))+IF(N896='טבלת פרמטרים'!$K$6,3,IF(OR(N896='טבלת פרמטרים'!$K$4,N896='טבלת פרמטרים'!$K$5),2,IF(N896='טבלת פרמטרים'!$K$3,1,0))))</f>
        <v/>
      </c>
      <c r="R896" s="19" t="str">
        <f t="shared" si="19"/>
        <v/>
      </c>
      <c r="T896" s="19" t="str">
        <f>IF(EXACT(Q896,'טבלת פרמטרים'!$O$2),'טבלת פרמטרים'!$P$2,IF(EXACT(Q896,'טבלת פרמטרים'!$O$3),'טבלת פרמטרים'!$P$3,IF(EXACT(Q896,'טבלת פרמטרים'!$O$4),'טבלת פרמטרים'!$P$4,IF(EXACT(Q896,'טבלת פרמטרים'!$O$5),'טבלת פרמטרים'!$P$5,IF(EXACT(Q896,'טבלת פרמטרים'!$O$6),'טבלת פרמטרים'!$P$6,IF(EXACT(Q896,'טבלת פרמטרים'!$O$7),'טבלת פרמטרים'!$P$7,""))))))</f>
        <v/>
      </c>
    </row>
    <row r="897" spans="1:20" x14ac:dyDescent="0.2">
      <c r="A897" s="18">
        <v>897</v>
      </c>
      <c r="O897" s="19" t="str">
        <f>IF(ISBLANK(D897),"",IF(D897='טבלת פרמטרים'!$A$9,1,0)+IF(E897='טבלת פרמטרים'!$B$5,2,1)+IF(F897='טבלת פרמטרים'!$C$5,3,IF(F897='טבלת פרמטרים'!$C$4,1,0))+IF(G897='טבלת פרמטרים'!$D$3,2,0)+IF(M897='טבלת פרמטרים'!$J$4,2,IF(M897='טבלת פרמטרים'!$J$3,1,0))+IF(N897='טבלת פרמטרים'!$K$6,3,IF(OR(N897='טבלת פרמטרים'!$K$4,N897='טבלת פרמטרים'!$K$5),2,IF(N897='טבלת פרמטרים'!$K$3,1,0))))</f>
        <v/>
      </c>
      <c r="R897" s="19" t="str">
        <f t="shared" si="19"/>
        <v/>
      </c>
      <c r="T897" s="19" t="str">
        <f>IF(EXACT(Q897,'טבלת פרמטרים'!$O$2),'טבלת פרמטרים'!$P$2,IF(EXACT(Q897,'טבלת פרמטרים'!$O$3),'טבלת פרמטרים'!$P$3,IF(EXACT(Q897,'טבלת פרמטרים'!$O$4),'טבלת פרמטרים'!$P$4,IF(EXACT(Q897,'טבלת פרמטרים'!$O$5),'טבלת פרמטרים'!$P$5,IF(EXACT(Q897,'טבלת פרמטרים'!$O$6),'טבלת פרמטרים'!$P$6,IF(EXACT(Q897,'טבלת פרמטרים'!$O$7),'טבלת פרמטרים'!$P$7,""))))))</f>
        <v/>
      </c>
    </row>
    <row r="898" spans="1:20" x14ac:dyDescent="0.2">
      <c r="A898" s="18">
        <v>898</v>
      </c>
      <c r="O898" s="19" t="str">
        <f>IF(ISBLANK(D898),"",IF(D898='טבלת פרמטרים'!$A$9,1,0)+IF(E898='טבלת פרמטרים'!$B$5,2,1)+IF(F898='טבלת פרמטרים'!$C$5,3,IF(F898='טבלת פרמטרים'!$C$4,1,0))+IF(G898='טבלת פרמטרים'!$D$3,2,0)+IF(M898='טבלת פרמטרים'!$J$4,2,IF(M898='טבלת פרמטרים'!$J$3,1,0))+IF(N898='טבלת פרמטרים'!$K$6,3,IF(OR(N898='טבלת פרמטרים'!$K$4,N898='טבלת פרמטרים'!$K$5),2,IF(N898='טבלת פרמטרים'!$K$3,1,0))))</f>
        <v/>
      </c>
      <c r="R898" s="19" t="str">
        <f t="shared" si="19"/>
        <v/>
      </c>
      <c r="T898" s="19" t="str">
        <f>IF(EXACT(Q898,'טבלת פרמטרים'!$O$2),'טבלת פרמטרים'!$P$2,IF(EXACT(Q898,'טבלת פרמטרים'!$O$3),'טבלת פרמטרים'!$P$3,IF(EXACT(Q898,'טבלת פרמטרים'!$O$4),'טבלת פרמטרים'!$P$4,IF(EXACT(Q898,'טבלת פרמטרים'!$O$5),'טבלת פרמטרים'!$P$5,IF(EXACT(Q898,'טבלת פרמטרים'!$O$6),'טבלת פרמטרים'!$P$6,IF(EXACT(Q898,'טבלת פרמטרים'!$O$7),'טבלת פרמטרים'!$P$7,""))))))</f>
        <v/>
      </c>
    </row>
    <row r="899" spans="1:20" x14ac:dyDescent="0.2">
      <c r="A899" s="18">
        <v>899</v>
      </c>
      <c r="O899" s="19" t="str">
        <f>IF(ISBLANK(D899),"",IF(D899='טבלת פרמטרים'!$A$9,1,0)+IF(E899='טבלת פרמטרים'!$B$5,2,1)+IF(F899='טבלת פרמטרים'!$C$5,3,IF(F899='טבלת פרמטרים'!$C$4,1,0))+IF(G899='טבלת פרמטרים'!$D$3,2,0)+IF(M899='טבלת פרמטרים'!$J$4,2,IF(M899='טבלת פרמטרים'!$J$3,1,0))+IF(N899='טבלת פרמטרים'!$K$6,3,IF(OR(N899='טבלת פרמטרים'!$K$4,N899='טבלת פרמטרים'!$K$5),2,IF(N899='טבלת פרמטרים'!$K$3,1,0))))</f>
        <v/>
      </c>
      <c r="R899" s="19" t="str">
        <f t="shared" si="19"/>
        <v/>
      </c>
      <c r="T899" s="19" t="str">
        <f>IF(EXACT(Q899,'טבלת פרמטרים'!$O$2),'טבלת פרמטרים'!$P$2,IF(EXACT(Q899,'טבלת פרמטרים'!$O$3),'טבלת פרמטרים'!$P$3,IF(EXACT(Q899,'טבלת פרמטרים'!$O$4),'טבלת פרמטרים'!$P$4,IF(EXACT(Q899,'טבלת פרמטרים'!$O$5),'טבלת פרמטרים'!$P$5,IF(EXACT(Q899,'טבלת פרמטרים'!$O$6),'טבלת פרמטרים'!$P$6,IF(EXACT(Q899,'טבלת פרמטרים'!$O$7),'טבלת פרמטרים'!$P$7,""))))))</f>
        <v/>
      </c>
    </row>
    <row r="900" spans="1:20" x14ac:dyDescent="0.2">
      <c r="A900" s="18">
        <v>900</v>
      </c>
      <c r="O900" s="19" t="str">
        <f>IF(ISBLANK(D900),"",IF(D900='טבלת פרמטרים'!$A$9,1,0)+IF(E900='טבלת פרמטרים'!$B$5,2,1)+IF(F900='טבלת פרמטרים'!$C$5,3,IF(F900='טבלת פרמטרים'!$C$4,1,0))+IF(G900='טבלת פרמטרים'!$D$3,2,0)+IF(M900='טבלת פרמטרים'!$J$4,2,IF(M900='טבלת פרמטרים'!$J$3,1,0))+IF(N900='טבלת פרמטרים'!$K$6,3,IF(OR(N900='טבלת פרמטרים'!$K$4,N900='טבלת פרמטרים'!$K$5),2,IF(N900='טבלת פרמטרים'!$K$3,1,0))))</f>
        <v/>
      </c>
      <c r="R900" s="19" t="str">
        <f t="shared" si="19"/>
        <v/>
      </c>
      <c r="T900" s="19" t="str">
        <f>IF(EXACT(Q900,'טבלת פרמטרים'!$O$2),'טבלת פרמטרים'!$P$2,IF(EXACT(Q900,'טבלת פרמטרים'!$O$3),'טבלת פרמטרים'!$P$3,IF(EXACT(Q900,'טבלת פרמטרים'!$O$4),'טבלת פרמטרים'!$P$4,IF(EXACT(Q900,'טבלת פרמטרים'!$O$5),'טבלת פרמטרים'!$P$5,IF(EXACT(Q900,'טבלת פרמטרים'!$O$6),'טבלת פרמטרים'!$P$6,IF(EXACT(Q900,'טבלת פרמטרים'!$O$7),'טבלת פרמטרים'!$P$7,""))))))</f>
        <v/>
      </c>
    </row>
    <row r="901" spans="1:20" x14ac:dyDescent="0.2">
      <c r="A901" s="18">
        <v>901</v>
      </c>
      <c r="O901" s="19" t="str">
        <f>IF(ISBLANK(D901),"",IF(D901='טבלת פרמטרים'!$A$9,1,0)+IF(E901='טבלת פרמטרים'!$B$5,2,1)+IF(F901='טבלת פרמטרים'!$C$5,3,IF(F901='טבלת פרמטרים'!$C$4,1,0))+IF(G901='טבלת פרמטרים'!$D$3,2,0)+IF(M901='טבלת פרמטרים'!$J$4,2,IF(M901='טבלת פרמטרים'!$J$3,1,0))+IF(N901='טבלת פרמטרים'!$K$6,3,IF(OR(N901='טבלת פרמטרים'!$K$4,N901='טבלת פרמטרים'!$K$5),2,IF(N901='טבלת פרמטרים'!$K$3,1,0))))</f>
        <v/>
      </c>
      <c r="R901" s="19" t="str">
        <f t="shared" si="19"/>
        <v/>
      </c>
      <c r="T901" s="19" t="str">
        <f>IF(EXACT(Q901,'טבלת פרמטרים'!$O$2),'טבלת פרמטרים'!$P$2,IF(EXACT(Q901,'טבלת פרמטרים'!$O$3),'טבלת פרמטרים'!$P$3,IF(EXACT(Q901,'טבלת פרמטרים'!$O$4),'טבלת פרמטרים'!$P$4,IF(EXACT(Q901,'טבלת פרמטרים'!$O$5),'טבלת פרמטרים'!$P$5,IF(EXACT(Q901,'טבלת פרמטרים'!$O$6),'טבלת פרמטרים'!$P$6,IF(EXACT(Q901,'טבלת פרמטרים'!$O$7),'טבלת פרמטרים'!$P$7,""))))))</f>
        <v/>
      </c>
    </row>
    <row r="902" spans="1:20" x14ac:dyDescent="0.2">
      <c r="A902" s="18">
        <v>902</v>
      </c>
      <c r="O902" s="19" t="str">
        <f>IF(ISBLANK(D902),"",IF(D902='טבלת פרמטרים'!$A$9,1,0)+IF(E902='טבלת פרמטרים'!$B$5,2,1)+IF(F902='טבלת פרמטרים'!$C$5,3,IF(F902='טבלת פרמטרים'!$C$4,1,0))+IF(G902='טבלת פרמטרים'!$D$3,2,0)+IF(M902='טבלת פרמטרים'!$J$4,2,IF(M902='טבלת פרמטרים'!$J$3,1,0))+IF(N902='טבלת פרמטרים'!$K$6,3,IF(OR(N902='טבלת פרמטרים'!$K$4,N902='טבלת פרמטרים'!$K$5),2,IF(N902='טבלת פרמטרים'!$K$3,1,0))))</f>
        <v/>
      </c>
      <c r="R902" s="19" t="str">
        <f t="shared" si="19"/>
        <v/>
      </c>
      <c r="T902" s="19" t="str">
        <f>IF(EXACT(Q902,'טבלת פרמטרים'!$O$2),'טבלת פרמטרים'!$P$2,IF(EXACT(Q902,'טבלת פרמטרים'!$O$3),'טבלת פרמטרים'!$P$3,IF(EXACT(Q902,'טבלת פרמטרים'!$O$4),'טבלת פרמטרים'!$P$4,IF(EXACT(Q902,'טבלת פרמטרים'!$O$5),'טבלת פרמטרים'!$P$5,IF(EXACT(Q902,'טבלת פרמטרים'!$O$6),'טבלת פרמטרים'!$P$6,IF(EXACT(Q902,'טבלת פרמטרים'!$O$7),'טבלת פרמטרים'!$P$7,""))))))</f>
        <v/>
      </c>
    </row>
    <row r="903" spans="1:20" x14ac:dyDescent="0.2">
      <c r="A903" s="18">
        <v>903</v>
      </c>
      <c r="O903" s="19" t="str">
        <f>IF(ISBLANK(D903),"",IF(D903='טבלת פרמטרים'!$A$9,1,0)+IF(E903='טבלת פרמטרים'!$B$5,2,1)+IF(F903='טבלת פרמטרים'!$C$5,3,IF(F903='טבלת פרמטרים'!$C$4,1,0))+IF(G903='טבלת פרמטרים'!$D$3,2,0)+IF(M903='טבלת פרמטרים'!$J$4,2,IF(M903='טבלת פרמטרים'!$J$3,1,0))+IF(N903='טבלת פרמטרים'!$K$6,3,IF(OR(N903='טבלת פרמטרים'!$K$4,N903='טבלת פרמטרים'!$K$5),2,IF(N903='טבלת פרמטרים'!$K$3,1,0))))</f>
        <v/>
      </c>
      <c r="R903" s="19" t="str">
        <f t="shared" si="19"/>
        <v/>
      </c>
      <c r="T903" s="19" t="str">
        <f>IF(EXACT(Q903,'טבלת פרמטרים'!$O$2),'טבלת פרמטרים'!$P$2,IF(EXACT(Q903,'טבלת פרמטרים'!$O$3),'טבלת פרמטרים'!$P$3,IF(EXACT(Q903,'טבלת פרמטרים'!$O$4),'טבלת פרמטרים'!$P$4,IF(EXACT(Q903,'טבלת פרמטרים'!$O$5),'טבלת פרמטרים'!$P$5,IF(EXACT(Q903,'טבלת פרמטרים'!$O$6),'טבלת פרמטרים'!$P$6,IF(EXACT(Q903,'טבלת פרמטרים'!$O$7),'טבלת פרמטרים'!$P$7,""))))))</f>
        <v/>
      </c>
    </row>
    <row r="904" spans="1:20" x14ac:dyDescent="0.2">
      <c r="A904" s="18">
        <v>904</v>
      </c>
      <c r="O904" s="19" t="str">
        <f>IF(ISBLANK(D904),"",IF(D904='טבלת פרמטרים'!$A$9,1,0)+IF(E904='טבלת פרמטרים'!$B$5,2,1)+IF(F904='טבלת פרמטרים'!$C$5,3,IF(F904='טבלת פרמטרים'!$C$4,1,0))+IF(G904='טבלת פרמטרים'!$D$3,2,0)+IF(M904='טבלת פרמטרים'!$J$4,2,IF(M904='טבלת פרמטרים'!$J$3,1,0))+IF(N904='טבלת פרמטרים'!$K$6,3,IF(OR(N904='טבלת פרמטרים'!$K$4,N904='טבלת פרמטרים'!$K$5),2,IF(N904='טבלת פרמטרים'!$K$3,1,0))))</f>
        <v/>
      </c>
      <c r="R904" s="19" t="str">
        <f t="shared" si="19"/>
        <v/>
      </c>
      <c r="T904" s="19" t="str">
        <f>IF(EXACT(Q904,'טבלת פרמטרים'!$O$2),'טבלת פרמטרים'!$P$2,IF(EXACT(Q904,'טבלת פרמטרים'!$O$3),'טבלת פרמטרים'!$P$3,IF(EXACT(Q904,'טבלת פרמטרים'!$O$4),'טבלת פרמטרים'!$P$4,IF(EXACT(Q904,'טבלת פרמטרים'!$O$5),'טבלת פרמטרים'!$P$5,IF(EXACT(Q904,'טבלת פרמטרים'!$O$6),'טבלת פרמטרים'!$P$6,IF(EXACT(Q904,'טבלת פרמטרים'!$O$7),'טבלת פרמטרים'!$P$7,""))))))</f>
        <v/>
      </c>
    </row>
    <row r="905" spans="1:20" x14ac:dyDescent="0.2">
      <c r="A905" s="18">
        <v>905</v>
      </c>
      <c r="O905" s="19" t="str">
        <f>IF(ISBLANK(D905),"",IF(D905='טבלת פרמטרים'!$A$9,1,0)+IF(E905='טבלת פרמטרים'!$B$5,2,1)+IF(F905='טבלת פרמטרים'!$C$5,3,IF(F905='טבלת פרמטרים'!$C$4,1,0))+IF(G905='טבלת פרמטרים'!$D$3,2,0)+IF(M905='טבלת פרמטרים'!$J$4,2,IF(M905='טבלת פרמטרים'!$J$3,1,0))+IF(N905='טבלת פרמטרים'!$K$6,3,IF(OR(N905='טבלת פרמטרים'!$K$4,N905='טבלת פרמטרים'!$K$5),2,IF(N905='טבלת פרמטרים'!$K$3,1,0))))</f>
        <v/>
      </c>
      <c r="R905" s="19" t="str">
        <f t="shared" si="19"/>
        <v/>
      </c>
      <c r="T905" s="19" t="str">
        <f>IF(EXACT(Q905,'טבלת פרמטרים'!$O$2),'טבלת פרמטרים'!$P$2,IF(EXACT(Q905,'טבלת פרמטרים'!$O$3),'טבלת פרמטרים'!$P$3,IF(EXACT(Q905,'טבלת פרמטרים'!$O$4),'טבלת פרמטרים'!$P$4,IF(EXACT(Q905,'טבלת פרמטרים'!$O$5),'טבלת פרמטרים'!$P$5,IF(EXACT(Q905,'טבלת פרמטרים'!$O$6),'טבלת פרמטרים'!$P$6,IF(EXACT(Q905,'טבלת פרמטרים'!$O$7),'טבלת פרמטרים'!$P$7,""))))))</f>
        <v/>
      </c>
    </row>
    <row r="906" spans="1:20" x14ac:dyDescent="0.2">
      <c r="A906" s="18">
        <v>906</v>
      </c>
      <c r="O906" s="19" t="str">
        <f>IF(ISBLANK(D906),"",IF(D906='טבלת פרמטרים'!$A$9,1,0)+IF(E906='טבלת פרמטרים'!$B$5,2,1)+IF(F906='טבלת פרמטרים'!$C$5,3,IF(F906='טבלת פרמטרים'!$C$4,1,0))+IF(G906='טבלת פרמטרים'!$D$3,2,0)+IF(M906='טבלת פרמטרים'!$J$4,2,IF(M906='טבלת פרמטרים'!$J$3,1,0))+IF(N906='טבלת פרמטרים'!$K$6,3,IF(OR(N906='טבלת פרמטרים'!$K$4,N906='טבלת פרמטרים'!$K$5),2,IF(N906='טבלת פרמטרים'!$K$3,1,0))))</f>
        <v/>
      </c>
      <c r="R906" s="19" t="str">
        <f t="shared" si="19"/>
        <v/>
      </c>
      <c r="T906" s="19" t="str">
        <f>IF(EXACT(Q906,'טבלת פרמטרים'!$O$2),'טבלת פרמטרים'!$P$2,IF(EXACT(Q906,'טבלת פרמטרים'!$O$3),'טבלת פרמטרים'!$P$3,IF(EXACT(Q906,'טבלת פרמטרים'!$O$4),'טבלת פרמטרים'!$P$4,IF(EXACT(Q906,'טבלת פרמטרים'!$O$5),'טבלת פרמטרים'!$P$5,IF(EXACT(Q906,'טבלת פרמטרים'!$O$6),'טבלת פרמטרים'!$P$6,IF(EXACT(Q906,'טבלת פרמטרים'!$O$7),'טבלת פרמטרים'!$P$7,""))))))</f>
        <v/>
      </c>
    </row>
    <row r="907" spans="1:20" x14ac:dyDescent="0.2">
      <c r="A907" s="18">
        <v>907</v>
      </c>
      <c r="O907" s="19" t="str">
        <f>IF(ISBLANK(D907),"",IF(D907='טבלת פרמטרים'!$A$9,1,0)+IF(E907='טבלת פרמטרים'!$B$5,2,1)+IF(F907='טבלת פרמטרים'!$C$5,3,IF(F907='טבלת פרמטרים'!$C$4,1,0))+IF(G907='טבלת פרמטרים'!$D$3,2,0)+IF(M907='טבלת פרמטרים'!$J$4,2,IF(M907='טבלת פרמטרים'!$J$3,1,0))+IF(N907='טבלת פרמטרים'!$K$6,3,IF(OR(N907='טבלת פרמטרים'!$K$4,N907='טבלת פרמטרים'!$K$5),2,IF(N907='טבלת פרמטרים'!$K$3,1,0))))</f>
        <v/>
      </c>
      <c r="R907" s="19" t="str">
        <f t="shared" si="19"/>
        <v/>
      </c>
      <c r="T907" s="19" t="str">
        <f>IF(EXACT(Q907,'טבלת פרמטרים'!$O$2),'טבלת פרמטרים'!$P$2,IF(EXACT(Q907,'טבלת פרמטרים'!$O$3),'טבלת פרמטרים'!$P$3,IF(EXACT(Q907,'טבלת פרמטרים'!$O$4),'טבלת פרמטרים'!$P$4,IF(EXACT(Q907,'טבלת פרמטרים'!$O$5),'טבלת פרמטרים'!$P$5,IF(EXACT(Q907,'טבלת פרמטרים'!$O$6),'טבלת פרמטרים'!$P$6,IF(EXACT(Q907,'טבלת פרמטרים'!$O$7),'טבלת פרמטרים'!$P$7,""))))))</f>
        <v/>
      </c>
    </row>
    <row r="908" spans="1:20" x14ac:dyDescent="0.2">
      <c r="A908" s="18">
        <v>908</v>
      </c>
      <c r="O908" s="19" t="str">
        <f>IF(ISBLANK(D908),"",IF(D908='טבלת פרמטרים'!$A$9,1,0)+IF(E908='טבלת פרמטרים'!$B$5,2,1)+IF(F908='טבלת פרמטרים'!$C$5,3,IF(F908='טבלת פרמטרים'!$C$4,1,0))+IF(G908='טבלת פרמטרים'!$D$3,2,0)+IF(M908='טבלת פרמטרים'!$J$4,2,IF(M908='טבלת פרמטרים'!$J$3,1,0))+IF(N908='טבלת פרמטרים'!$K$6,3,IF(OR(N908='טבלת פרמטרים'!$K$4,N908='טבלת פרמטרים'!$K$5),2,IF(N908='טבלת פרמטרים'!$K$3,1,0))))</f>
        <v/>
      </c>
      <c r="R908" s="19" t="str">
        <f t="shared" si="19"/>
        <v/>
      </c>
      <c r="T908" s="19" t="str">
        <f>IF(EXACT(Q908,'טבלת פרמטרים'!$O$2),'טבלת פרמטרים'!$P$2,IF(EXACT(Q908,'טבלת פרמטרים'!$O$3),'טבלת פרמטרים'!$P$3,IF(EXACT(Q908,'טבלת פרמטרים'!$O$4),'טבלת פרמטרים'!$P$4,IF(EXACT(Q908,'טבלת פרמטרים'!$O$5),'טבלת פרמטרים'!$P$5,IF(EXACT(Q908,'טבלת פרמטרים'!$O$6),'טבלת פרמטרים'!$P$6,IF(EXACT(Q908,'טבלת פרמטרים'!$O$7),'טבלת פרמטרים'!$P$7,""))))))</f>
        <v/>
      </c>
    </row>
    <row r="909" spans="1:20" x14ac:dyDescent="0.2">
      <c r="A909" s="18">
        <v>909</v>
      </c>
      <c r="O909" s="19" t="str">
        <f>IF(ISBLANK(D909),"",IF(D909='טבלת פרמטרים'!$A$9,1,0)+IF(E909='טבלת פרמטרים'!$B$5,2,1)+IF(F909='טבלת פרמטרים'!$C$5,3,IF(F909='טבלת פרמטרים'!$C$4,1,0))+IF(G909='טבלת פרמטרים'!$D$3,2,0)+IF(M909='טבלת פרמטרים'!$J$4,2,IF(M909='טבלת פרמטרים'!$J$3,1,0))+IF(N909='טבלת פרמטרים'!$K$6,3,IF(OR(N909='טבלת פרמטרים'!$K$4,N909='טבלת פרמטרים'!$K$5),2,IF(N909='טבלת פרמטרים'!$K$3,1,0))))</f>
        <v/>
      </c>
      <c r="R909" s="19" t="str">
        <f t="shared" si="19"/>
        <v/>
      </c>
      <c r="T909" s="19" t="str">
        <f>IF(EXACT(Q909,'טבלת פרמטרים'!$O$2),'טבלת פרמטרים'!$P$2,IF(EXACT(Q909,'טבלת פרמטרים'!$O$3),'טבלת פרמטרים'!$P$3,IF(EXACT(Q909,'טבלת פרמטרים'!$O$4),'טבלת פרמטרים'!$P$4,IF(EXACT(Q909,'טבלת פרמטרים'!$O$5),'טבלת פרמטרים'!$P$5,IF(EXACT(Q909,'טבלת פרמטרים'!$O$6),'טבלת פרמטרים'!$P$6,IF(EXACT(Q909,'טבלת פרמטרים'!$O$7),'טבלת פרמטרים'!$P$7,""))))))</f>
        <v/>
      </c>
    </row>
    <row r="910" spans="1:20" x14ac:dyDescent="0.2">
      <c r="A910" s="18">
        <v>910</v>
      </c>
      <c r="O910" s="19" t="str">
        <f>IF(ISBLANK(D910),"",IF(D910='טבלת פרמטרים'!$A$9,1,0)+IF(E910='טבלת פרמטרים'!$B$5,2,1)+IF(F910='טבלת פרמטרים'!$C$5,3,IF(F910='טבלת פרמטרים'!$C$4,1,0))+IF(G910='טבלת פרמטרים'!$D$3,2,0)+IF(M910='טבלת פרמטרים'!$J$4,2,IF(M910='טבלת פרמטרים'!$J$3,1,0))+IF(N910='טבלת פרמטרים'!$K$6,3,IF(OR(N910='טבלת פרמטרים'!$K$4,N910='טבלת פרמטרים'!$K$5),2,IF(N910='טבלת פרמטרים'!$K$3,1,0))))</f>
        <v/>
      </c>
      <c r="R910" s="19" t="str">
        <f t="shared" si="19"/>
        <v/>
      </c>
      <c r="T910" s="19" t="str">
        <f>IF(EXACT(Q910,'טבלת פרמטרים'!$O$2),'טבלת פרמטרים'!$P$2,IF(EXACT(Q910,'טבלת פרמטרים'!$O$3),'טבלת פרמטרים'!$P$3,IF(EXACT(Q910,'טבלת פרמטרים'!$O$4),'טבלת פרמטרים'!$P$4,IF(EXACT(Q910,'טבלת פרמטרים'!$O$5),'טבלת פרמטרים'!$P$5,IF(EXACT(Q910,'טבלת פרמטרים'!$O$6),'טבלת פרמטרים'!$P$6,IF(EXACT(Q910,'טבלת פרמטרים'!$O$7),'טבלת פרמטרים'!$P$7,""))))))</f>
        <v/>
      </c>
    </row>
    <row r="911" spans="1:20" x14ac:dyDescent="0.2">
      <c r="A911" s="18">
        <v>911</v>
      </c>
      <c r="O911" s="19" t="str">
        <f>IF(ISBLANK(D911),"",IF(D911='טבלת פרמטרים'!$A$9,1,0)+IF(E911='טבלת פרמטרים'!$B$5,2,1)+IF(F911='טבלת פרמטרים'!$C$5,3,IF(F911='טבלת פרמטרים'!$C$4,1,0))+IF(G911='טבלת פרמטרים'!$D$3,2,0)+IF(M911='טבלת פרמטרים'!$J$4,2,IF(M911='טבלת פרמטרים'!$J$3,1,0))+IF(N911='טבלת פרמטרים'!$K$6,3,IF(OR(N911='טבלת פרמטרים'!$K$4,N911='טבלת פרמטרים'!$K$5),2,IF(N911='טבלת פרמטרים'!$K$3,1,0))))</f>
        <v/>
      </c>
      <c r="R911" s="19" t="str">
        <f t="shared" si="19"/>
        <v/>
      </c>
      <c r="T911" s="19" t="str">
        <f>IF(EXACT(Q911,'טבלת פרמטרים'!$O$2),'טבלת פרמטרים'!$P$2,IF(EXACT(Q911,'טבלת פרמטרים'!$O$3),'טבלת פרמטרים'!$P$3,IF(EXACT(Q911,'טבלת פרמטרים'!$O$4),'טבלת פרמטרים'!$P$4,IF(EXACT(Q911,'טבלת פרמטרים'!$O$5),'טבלת פרמטרים'!$P$5,IF(EXACT(Q911,'טבלת פרמטרים'!$O$6),'טבלת פרמטרים'!$P$6,IF(EXACT(Q911,'טבלת פרמטרים'!$O$7),'טבלת פרמטרים'!$P$7,""))))))</f>
        <v/>
      </c>
    </row>
    <row r="912" spans="1:20" x14ac:dyDescent="0.2">
      <c r="A912" s="18">
        <v>912</v>
      </c>
      <c r="O912" s="19" t="str">
        <f>IF(ISBLANK(D912),"",IF(D912='טבלת פרמטרים'!$A$9,1,0)+IF(E912='טבלת פרמטרים'!$B$5,2,1)+IF(F912='טבלת פרמטרים'!$C$5,3,IF(F912='טבלת פרמטרים'!$C$4,1,0))+IF(G912='טבלת פרמטרים'!$D$3,2,0)+IF(M912='טבלת פרמטרים'!$J$4,2,IF(M912='טבלת פרמטרים'!$J$3,1,0))+IF(N912='טבלת פרמטרים'!$K$6,3,IF(OR(N912='טבלת פרמטרים'!$K$4,N912='טבלת פרמטרים'!$K$5),2,IF(N912='טבלת פרמטרים'!$K$3,1,0))))</f>
        <v/>
      </c>
      <c r="R912" s="19" t="str">
        <f t="shared" si="19"/>
        <v/>
      </c>
      <c r="T912" s="19" t="str">
        <f>IF(EXACT(Q912,'טבלת פרמטרים'!$O$2),'טבלת פרמטרים'!$P$2,IF(EXACT(Q912,'טבלת פרמטרים'!$O$3),'טבלת פרמטרים'!$P$3,IF(EXACT(Q912,'טבלת פרמטרים'!$O$4),'טבלת פרמטרים'!$P$4,IF(EXACT(Q912,'טבלת פרמטרים'!$O$5),'טבלת פרמטרים'!$P$5,IF(EXACT(Q912,'טבלת פרמטרים'!$O$6),'טבלת פרמטרים'!$P$6,IF(EXACT(Q912,'טבלת פרמטרים'!$O$7),'טבלת פרמטרים'!$P$7,""))))))</f>
        <v/>
      </c>
    </row>
    <row r="913" spans="1:20" x14ac:dyDescent="0.2">
      <c r="A913" s="18">
        <v>913</v>
      </c>
      <c r="O913" s="19" t="str">
        <f>IF(ISBLANK(D913),"",IF(D913='טבלת פרמטרים'!$A$9,1,0)+IF(E913='טבלת פרמטרים'!$B$5,2,1)+IF(F913='טבלת פרמטרים'!$C$5,3,IF(F913='טבלת פרמטרים'!$C$4,1,0))+IF(G913='טבלת פרמטרים'!$D$3,2,0)+IF(M913='טבלת פרמטרים'!$J$4,2,IF(M913='טבלת פרמטרים'!$J$3,1,0))+IF(N913='טבלת פרמטרים'!$K$6,3,IF(OR(N913='טבלת פרמטרים'!$K$4,N913='טבלת פרמטרים'!$K$5),2,IF(N913='טבלת פרמטרים'!$K$3,1,0))))</f>
        <v/>
      </c>
      <c r="R913" s="19" t="str">
        <f t="shared" si="19"/>
        <v/>
      </c>
      <c r="T913" s="19" t="str">
        <f>IF(EXACT(Q913,'טבלת פרמטרים'!$O$2),'טבלת פרמטרים'!$P$2,IF(EXACT(Q913,'טבלת פרמטרים'!$O$3),'טבלת פרמטרים'!$P$3,IF(EXACT(Q913,'טבלת פרמטרים'!$O$4),'טבלת פרמטרים'!$P$4,IF(EXACT(Q913,'טבלת פרמטרים'!$O$5),'טבלת פרמטרים'!$P$5,IF(EXACT(Q913,'טבלת פרמטרים'!$O$6),'טבלת פרמטרים'!$P$6,IF(EXACT(Q913,'טבלת פרמטרים'!$O$7),'טבלת פרמטרים'!$P$7,""))))))</f>
        <v/>
      </c>
    </row>
    <row r="914" spans="1:20" x14ac:dyDescent="0.2">
      <c r="A914" s="18">
        <v>914</v>
      </c>
      <c r="O914" s="19" t="str">
        <f>IF(ISBLANK(D914),"",IF(D914='טבלת פרמטרים'!$A$9,1,0)+IF(E914='טבלת פרמטרים'!$B$5,2,1)+IF(F914='טבלת פרמטרים'!$C$5,3,IF(F914='טבלת פרמטרים'!$C$4,1,0))+IF(G914='טבלת פרמטרים'!$D$3,2,0)+IF(M914='טבלת פרמטרים'!$J$4,2,IF(M914='טבלת פרמטרים'!$J$3,1,0))+IF(N914='טבלת פרמטרים'!$K$6,3,IF(OR(N914='טבלת פרמטרים'!$K$4,N914='טבלת פרמטרים'!$K$5),2,IF(N914='טבלת פרמטרים'!$K$3,1,0))))</f>
        <v/>
      </c>
      <c r="R914" s="19" t="str">
        <f t="shared" si="19"/>
        <v/>
      </c>
      <c r="T914" s="19" t="str">
        <f>IF(EXACT(Q914,'טבלת פרמטרים'!$O$2),'טבלת פרמטרים'!$P$2,IF(EXACT(Q914,'טבלת פרמטרים'!$O$3),'טבלת פרמטרים'!$P$3,IF(EXACT(Q914,'טבלת פרמטרים'!$O$4),'טבלת פרמטרים'!$P$4,IF(EXACT(Q914,'טבלת פרמטרים'!$O$5),'טבלת פרמטרים'!$P$5,IF(EXACT(Q914,'טבלת פרמטרים'!$O$6),'טבלת פרמטרים'!$P$6,IF(EXACT(Q914,'טבלת פרמטרים'!$O$7),'טבלת פרמטרים'!$P$7,""))))))</f>
        <v/>
      </c>
    </row>
    <row r="915" spans="1:20" x14ac:dyDescent="0.2">
      <c r="A915" s="18">
        <v>915</v>
      </c>
      <c r="O915" s="19" t="str">
        <f>IF(ISBLANK(D915),"",IF(D915='טבלת פרמטרים'!$A$9,1,0)+IF(E915='טבלת פרמטרים'!$B$5,2,1)+IF(F915='טבלת פרמטרים'!$C$5,3,IF(F915='טבלת פרמטרים'!$C$4,1,0))+IF(G915='טבלת פרמטרים'!$D$3,2,0)+IF(M915='טבלת פרמטרים'!$J$4,2,IF(M915='טבלת פרמטרים'!$J$3,1,0))+IF(N915='טבלת פרמטרים'!$K$6,3,IF(OR(N915='טבלת פרמטרים'!$K$4,N915='טבלת פרמטרים'!$K$5),2,IF(N915='טבלת פרמטרים'!$K$3,1,0))))</f>
        <v/>
      </c>
      <c r="R915" s="19" t="str">
        <f t="shared" si="19"/>
        <v/>
      </c>
      <c r="T915" s="19" t="str">
        <f>IF(EXACT(Q915,'טבלת פרמטרים'!$O$2),'טבלת פרמטרים'!$P$2,IF(EXACT(Q915,'טבלת פרמטרים'!$O$3),'טבלת פרמטרים'!$P$3,IF(EXACT(Q915,'טבלת פרמטרים'!$O$4),'טבלת פרמטרים'!$P$4,IF(EXACT(Q915,'טבלת פרמטרים'!$O$5),'טבלת פרמטרים'!$P$5,IF(EXACT(Q915,'טבלת פרמטרים'!$O$6),'טבלת פרמטרים'!$P$6,IF(EXACT(Q915,'טבלת פרמטרים'!$O$7),'טבלת פרמטרים'!$P$7,""))))))</f>
        <v/>
      </c>
    </row>
    <row r="916" spans="1:20" x14ac:dyDescent="0.2">
      <c r="A916" s="18">
        <v>916</v>
      </c>
      <c r="O916" s="19" t="str">
        <f>IF(ISBLANK(D916),"",IF(D916='טבלת פרמטרים'!$A$9,1,0)+IF(E916='טבלת פרמטרים'!$B$5,2,1)+IF(F916='טבלת פרמטרים'!$C$5,3,IF(F916='טבלת פרמטרים'!$C$4,1,0))+IF(G916='טבלת פרמטרים'!$D$3,2,0)+IF(M916='טבלת פרמטרים'!$J$4,2,IF(M916='טבלת פרמטרים'!$J$3,1,0))+IF(N916='טבלת פרמטרים'!$K$6,3,IF(OR(N916='טבלת פרמטרים'!$K$4,N916='טבלת פרמטרים'!$K$5),2,IF(N916='טבלת פרמטרים'!$K$3,1,0))))</f>
        <v/>
      </c>
      <c r="R916" s="19" t="str">
        <f t="shared" si="19"/>
        <v/>
      </c>
      <c r="T916" s="19" t="str">
        <f>IF(EXACT(Q916,'טבלת פרמטרים'!$O$2),'טבלת פרמטרים'!$P$2,IF(EXACT(Q916,'טבלת פרמטרים'!$O$3),'טבלת פרמטרים'!$P$3,IF(EXACT(Q916,'טבלת פרמטרים'!$O$4),'טבלת פרמטרים'!$P$4,IF(EXACT(Q916,'טבלת פרמטרים'!$O$5),'טבלת פרמטרים'!$P$5,IF(EXACT(Q916,'טבלת פרמטרים'!$O$6),'טבלת פרמטרים'!$P$6,IF(EXACT(Q916,'טבלת פרמטרים'!$O$7),'טבלת פרמטרים'!$P$7,""))))))</f>
        <v/>
      </c>
    </row>
    <row r="917" spans="1:20" x14ac:dyDescent="0.2">
      <c r="A917" s="18">
        <v>917</v>
      </c>
      <c r="O917" s="19" t="str">
        <f>IF(ISBLANK(D917),"",IF(D917='טבלת פרמטרים'!$A$9,1,0)+IF(E917='טבלת פרמטרים'!$B$5,2,1)+IF(F917='טבלת פרמטרים'!$C$5,3,IF(F917='טבלת פרמטרים'!$C$4,1,0))+IF(G917='טבלת פרמטרים'!$D$3,2,0)+IF(M917='טבלת פרמטרים'!$J$4,2,IF(M917='טבלת פרמטרים'!$J$3,1,0))+IF(N917='טבלת פרמטרים'!$K$6,3,IF(OR(N917='טבלת פרמטרים'!$K$4,N917='טבלת פרמטרים'!$K$5),2,IF(N917='טבלת פרמטרים'!$K$3,1,0))))</f>
        <v/>
      </c>
      <c r="R917" s="19" t="str">
        <f t="shared" ref="R917:R980" si="20">IF(ISNUMBER(T917),T917+O917,O917)</f>
        <v/>
      </c>
      <c r="T917" s="19" t="str">
        <f>IF(EXACT(Q917,'טבלת פרמטרים'!$O$2),'טבלת פרמטרים'!$P$2,IF(EXACT(Q917,'טבלת פרמטרים'!$O$3),'טבלת פרמטרים'!$P$3,IF(EXACT(Q917,'טבלת פרמטרים'!$O$4),'טבלת פרמטרים'!$P$4,IF(EXACT(Q917,'טבלת פרמטרים'!$O$5),'טבלת פרמטרים'!$P$5,IF(EXACT(Q917,'טבלת פרמטרים'!$O$6),'טבלת פרמטרים'!$P$6,IF(EXACT(Q917,'טבלת פרמטרים'!$O$7),'טבלת פרמטרים'!$P$7,""))))))</f>
        <v/>
      </c>
    </row>
    <row r="918" spans="1:20" x14ac:dyDescent="0.2">
      <c r="A918" s="18">
        <v>918</v>
      </c>
      <c r="O918" s="19" t="str">
        <f>IF(ISBLANK(D918),"",IF(D918='טבלת פרמטרים'!$A$9,1,0)+IF(E918='טבלת פרמטרים'!$B$5,2,1)+IF(F918='טבלת פרמטרים'!$C$5,3,IF(F918='טבלת פרמטרים'!$C$4,1,0))+IF(G918='טבלת פרמטרים'!$D$3,2,0)+IF(M918='טבלת פרמטרים'!$J$4,2,IF(M918='טבלת פרמטרים'!$J$3,1,0))+IF(N918='טבלת פרמטרים'!$K$6,3,IF(OR(N918='טבלת פרמטרים'!$K$4,N918='טבלת פרמטרים'!$K$5),2,IF(N918='טבלת פרמטרים'!$K$3,1,0))))</f>
        <v/>
      </c>
      <c r="R918" s="19" t="str">
        <f t="shared" si="20"/>
        <v/>
      </c>
      <c r="T918" s="19" t="str">
        <f>IF(EXACT(Q918,'טבלת פרמטרים'!$O$2),'טבלת פרמטרים'!$P$2,IF(EXACT(Q918,'טבלת פרמטרים'!$O$3),'טבלת פרמטרים'!$P$3,IF(EXACT(Q918,'טבלת פרמטרים'!$O$4),'טבלת פרמטרים'!$P$4,IF(EXACT(Q918,'טבלת פרמטרים'!$O$5),'טבלת פרמטרים'!$P$5,IF(EXACT(Q918,'טבלת פרמטרים'!$O$6),'טבלת פרמטרים'!$P$6,IF(EXACT(Q918,'טבלת פרמטרים'!$O$7),'טבלת פרמטרים'!$P$7,""))))))</f>
        <v/>
      </c>
    </row>
    <row r="919" spans="1:20" x14ac:dyDescent="0.2">
      <c r="A919" s="18">
        <v>919</v>
      </c>
      <c r="O919" s="19" t="str">
        <f>IF(ISBLANK(D919),"",IF(D919='טבלת פרמטרים'!$A$9,1,0)+IF(E919='טבלת פרמטרים'!$B$5,2,1)+IF(F919='טבלת פרמטרים'!$C$5,3,IF(F919='טבלת פרמטרים'!$C$4,1,0))+IF(G919='טבלת פרמטרים'!$D$3,2,0)+IF(M919='טבלת פרמטרים'!$J$4,2,IF(M919='טבלת פרמטרים'!$J$3,1,0))+IF(N919='טבלת פרמטרים'!$K$6,3,IF(OR(N919='טבלת פרמטרים'!$K$4,N919='טבלת פרמטרים'!$K$5),2,IF(N919='טבלת פרמטרים'!$K$3,1,0))))</f>
        <v/>
      </c>
      <c r="R919" s="19" t="str">
        <f t="shared" si="20"/>
        <v/>
      </c>
      <c r="T919" s="19" t="str">
        <f>IF(EXACT(Q919,'טבלת פרמטרים'!$O$2),'טבלת פרמטרים'!$P$2,IF(EXACT(Q919,'טבלת פרמטרים'!$O$3),'טבלת פרמטרים'!$P$3,IF(EXACT(Q919,'טבלת פרמטרים'!$O$4),'טבלת פרמטרים'!$P$4,IF(EXACT(Q919,'טבלת פרמטרים'!$O$5),'טבלת פרמטרים'!$P$5,IF(EXACT(Q919,'טבלת פרמטרים'!$O$6),'טבלת פרמטרים'!$P$6,IF(EXACT(Q919,'טבלת פרמטרים'!$O$7),'טבלת פרמטרים'!$P$7,""))))))</f>
        <v/>
      </c>
    </row>
    <row r="920" spans="1:20" x14ac:dyDescent="0.2">
      <c r="A920" s="18">
        <v>920</v>
      </c>
      <c r="O920" s="19" t="str">
        <f>IF(ISBLANK(D920),"",IF(D920='טבלת פרמטרים'!$A$9,1,0)+IF(E920='טבלת פרמטרים'!$B$5,2,1)+IF(F920='טבלת פרמטרים'!$C$5,3,IF(F920='טבלת פרמטרים'!$C$4,1,0))+IF(G920='טבלת פרמטרים'!$D$3,2,0)+IF(M920='טבלת פרמטרים'!$J$4,2,IF(M920='טבלת פרמטרים'!$J$3,1,0))+IF(N920='טבלת פרמטרים'!$K$6,3,IF(OR(N920='טבלת פרמטרים'!$K$4,N920='טבלת פרמטרים'!$K$5),2,IF(N920='טבלת פרמטרים'!$K$3,1,0))))</f>
        <v/>
      </c>
      <c r="R920" s="19" t="str">
        <f t="shared" si="20"/>
        <v/>
      </c>
      <c r="T920" s="19" t="str">
        <f>IF(EXACT(Q920,'טבלת פרמטרים'!$O$2),'טבלת פרמטרים'!$P$2,IF(EXACT(Q920,'טבלת פרמטרים'!$O$3),'טבלת פרמטרים'!$P$3,IF(EXACT(Q920,'טבלת פרמטרים'!$O$4),'טבלת פרמטרים'!$P$4,IF(EXACT(Q920,'טבלת פרמטרים'!$O$5),'טבלת פרמטרים'!$P$5,IF(EXACT(Q920,'טבלת פרמטרים'!$O$6),'טבלת פרמטרים'!$P$6,IF(EXACT(Q920,'טבלת פרמטרים'!$O$7),'טבלת פרמטרים'!$P$7,""))))))</f>
        <v/>
      </c>
    </row>
    <row r="921" spans="1:20" x14ac:dyDescent="0.2">
      <c r="A921" s="18">
        <v>921</v>
      </c>
      <c r="O921" s="19" t="str">
        <f>IF(ISBLANK(D921),"",IF(D921='טבלת פרמטרים'!$A$9,1,0)+IF(E921='טבלת פרמטרים'!$B$5,2,1)+IF(F921='טבלת פרמטרים'!$C$5,3,IF(F921='טבלת פרמטרים'!$C$4,1,0))+IF(G921='טבלת פרמטרים'!$D$3,2,0)+IF(M921='טבלת פרמטרים'!$J$4,2,IF(M921='טבלת פרמטרים'!$J$3,1,0))+IF(N921='טבלת פרמטרים'!$K$6,3,IF(OR(N921='טבלת פרמטרים'!$K$4,N921='טבלת פרמטרים'!$K$5),2,IF(N921='טבלת פרמטרים'!$K$3,1,0))))</f>
        <v/>
      </c>
      <c r="R921" s="19" t="str">
        <f t="shared" si="20"/>
        <v/>
      </c>
      <c r="T921" s="19" t="str">
        <f>IF(EXACT(Q921,'טבלת פרמטרים'!$O$2),'טבלת פרמטרים'!$P$2,IF(EXACT(Q921,'טבלת פרמטרים'!$O$3),'טבלת פרמטרים'!$P$3,IF(EXACT(Q921,'טבלת פרמטרים'!$O$4),'טבלת פרמטרים'!$P$4,IF(EXACT(Q921,'טבלת פרמטרים'!$O$5),'טבלת פרמטרים'!$P$5,IF(EXACT(Q921,'טבלת פרמטרים'!$O$6),'טבלת פרמטרים'!$P$6,IF(EXACT(Q921,'טבלת פרמטרים'!$O$7),'טבלת פרמטרים'!$P$7,""))))))</f>
        <v/>
      </c>
    </row>
    <row r="922" spans="1:20" x14ac:dyDescent="0.2">
      <c r="A922" s="18">
        <v>922</v>
      </c>
      <c r="O922" s="19" t="str">
        <f>IF(ISBLANK(D922),"",IF(D922='טבלת פרמטרים'!$A$9,1,0)+IF(E922='טבלת פרמטרים'!$B$5,2,1)+IF(F922='טבלת פרמטרים'!$C$5,3,IF(F922='טבלת פרמטרים'!$C$4,1,0))+IF(G922='טבלת פרמטרים'!$D$3,2,0)+IF(M922='טבלת פרמטרים'!$J$4,2,IF(M922='טבלת פרמטרים'!$J$3,1,0))+IF(N922='טבלת פרמטרים'!$K$6,3,IF(OR(N922='טבלת פרמטרים'!$K$4,N922='טבלת פרמטרים'!$K$5),2,IF(N922='טבלת פרמטרים'!$K$3,1,0))))</f>
        <v/>
      </c>
      <c r="R922" s="19" t="str">
        <f t="shared" si="20"/>
        <v/>
      </c>
      <c r="T922" s="19" t="str">
        <f>IF(EXACT(Q922,'טבלת פרמטרים'!$O$2),'טבלת פרמטרים'!$P$2,IF(EXACT(Q922,'טבלת פרמטרים'!$O$3),'טבלת פרמטרים'!$P$3,IF(EXACT(Q922,'טבלת פרמטרים'!$O$4),'טבלת פרמטרים'!$P$4,IF(EXACT(Q922,'טבלת פרמטרים'!$O$5),'טבלת פרמטרים'!$P$5,IF(EXACT(Q922,'טבלת פרמטרים'!$O$6),'טבלת פרמטרים'!$P$6,IF(EXACT(Q922,'טבלת פרמטרים'!$O$7),'טבלת פרמטרים'!$P$7,""))))))</f>
        <v/>
      </c>
    </row>
    <row r="923" spans="1:20" x14ac:dyDescent="0.2">
      <c r="A923" s="18">
        <v>923</v>
      </c>
      <c r="O923" s="19" t="str">
        <f>IF(ISBLANK(D923),"",IF(D923='טבלת פרמטרים'!$A$9,1,0)+IF(E923='טבלת פרמטרים'!$B$5,2,1)+IF(F923='טבלת פרמטרים'!$C$5,3,IF(F923='טבלת פרמטרים'!$C$4,1,0))+IF(G923='טבלת פרמטרים'!$D$3,2,0)+IF(M923='טבלת פרמטרים'!$J$4,2,IF(M923='טבלת פרמטרים'!$J$3,1,0))+IF(N923='טבלת פרמטרים'!$K$6,3,IF(OR(N923='טבלת פרמטרים'!$K$4,N923='טבלת פרמטרים'!$K$5),2,IF(N923='טבלת פרמטרים'!$K$3,1,0))))</f>
        <v/>
      </c>
      <c r="R923" s="19" t="str">
        <f t="shared" si="20"/>
        <v/>
      </c>
      <c r="T923" s="19" t="str">
        <f>IF(EXACT(Q923,'טבלת פרמטרים'!$O$2),'טבלת פרמטרים'!$P$2,IF(EXACT(Q923,'טבלת פרמטרים'!$O$3),'טבלת פרמטרים'!$P$3,IF(EXACT(Q923,'טבלת פרמטרים'!$O$4),'טבלת פרמטרים'!$P$4,IF(EXACT(Q923,'טבלת פרמטרים'!$O$5),'טבלת פרמטרים'!$P$5,IF(EXACT(Q923,'טבלת פרמטרים'!$O$6),'טבלת פרמטרים'!$P$6,IF(EXACT(Q923,'טבלת פרמטרים'!$O$7),'טבלת פרמטרים'!$P$7,""))))))</f>
        <v/>
      </c>
    </row>
    <row r="924" spans="1:20" x14ac:dyDescent="0.2">
      <c r="A924" s="18">
        <v>924</v>
      </c>
      <c r="O924" s="19" t="str">
        <f>IF(ISBLANK(D924),"",IF(D924='טבלת פרמטרים'!$A$9,1,0)+IF(E924='טבלת פרמטרים'!$B$5,2,1)+IF(F924='טבלת פרמטרים'!$C$5,3,IF(F924='טבלת פרמטרים'!$C$4,1,0))+IF(G924='טבלת פרמטרים'!$D$3,2,0)+IF(M924='טבלת פרמטרים'!$J$4,2,IF(M924='טבלת פרמטרים'!$J$3,1,0))+IF(N924='טבלת פרמטרים'!$K$6,3,IF(OR(N924='טבלת פרמטרים'!$K$4,N924='טבלת פרמטרים'!$K$5),2,IF(N924='טבלת פרמטרים'!$K$3,1,0))))</f>
        <v/>
      </c>
      <c r="R924" s="19" t="str">
        <f t="shared" si="20"/>
        <v/>
      </c>
      <c r="T924" s="19" t="str">
        <f>IF(EXACT(Q924,'טבלת פרמטרים'!$O$2),'טבלת פרמטרים'!$P$2,IF(EXACT(Q924,'טבלת פרמטרים'!$O$3),'טבלת פרמטרים'!$P$3,IF(EXACT(Q924,'טבלת פרמטרים'!$O$4),'טבלת פרמטרים'!$P$4,IF(EXACT(Q924,'טבלת פרמטרים'!$O$5),'טבלת פרמטרים'!$P$5,IF(EXACT(Q924,'טבלת פרמטרים'!$O$6),'טבלת פרמטרים'!$P$6,IF(EXACT(Q924,'טבלת פרמטרים'!$O$7),'טבלת פרמטרים'!$P$7,""))))))</f>
        <v/>
      </c>
    </row>
    <row r="925" spans="1:20" x14ac:dyDescent="0.2">
      <c r="A925" s="18">
        <v>925</v>
      </c>
      <c r="O925" s="19" t="str">
        <f>IF(ISBLANK(D925),"",IF(D925='טבלת פרמטרים'!$A$9,1,0)+IF(E925='טבלת פרמטרים'!$B$5,2,1)+IF(F925='טבלת פרמטרים'!$C$5,3,IF(F925='טבלת פרמטרים'!$C$4,1,0))+IF(G925='טבלת פרמטרים'!$D$3,2,0)+IF(M925='טבלת פרמטרים'!$J$4,2,IF(M925='טבלת פרמטרים'!$J$3,1,0))+IF(N925='טבלת פרמטרים'!$K$6,3,IF(OR(N925='טבלת פרמטרים'!$K$4,N925='טבלת פרמטרים'!$K$5),2,IF(N925='טבלת פרמטרים'!$K$3,1,0))))</f>
        <v/>
      </c>
      <c r="R925" s="19" t="str">
        <f t="shared" si="20"/>
        <v/>
      </c>
      <c r="T925" s="19" t="str">
        <f>IF(EXACT(Q925,'טבלת פרמטרים'!$O$2),'טבלת פרמטרים'!$P$2,IF(EXACT(Q925,'טבלת פרמטרים'!$O$3),'טבלת פרמטרים'!$P$3,IF(EXACT(Q925,'טבלת פרמטרים'!$O$4),'טבלת פרמטרים'!$P$4,IF(EXACT(Q925,'טבלת פרמטרים'!$O$5),'טבלת פרמטרים'!$P$5,IF(EXACT(Q925,'טבלת פרמטרים'!$O$6),'טבלת פרמטרים'!$P$6,IF(EXACT(Q925,'טבלת פרמטרים'!$O$7),'טבלת פרמטרים'!$P$7,""))))))</f>
        <v/>
      </c>
    </row>
    <row r="926" spans="1:20" x14ac:dyDescent="0.2">
      <c r="A926" s="18">
        <v>926</v>
      </c>
      <c r="O926" s="19" t="str">
        <f>IF(ISBLANK(D926),"",IF(D926='טבלת פרמטרים'!$A$9,1,0)+IF(E926='טבלת פרמטרים'!$B$5,2,1)+IF(F926='טבלת פרמטרים'!$C$5,3,IF(F926='טבלת פרמטרים'!$C$4,1,0))+IF(G926='טבלת פרמטרים'!$D$3,2,0)+IF(M926='טבלת פרמטרים'!$J$4,2,IF(M926='טבלת פרמטרים'!$J$3,1,0))+IF(N926='טבלת פרמטרים'!$K$6,3,IF(OR(N926='טבלת פרמטרים'!$K$4,N926='טבלת פרמטרים'!$K$5),2,IF(N926='טבלת פרמטרים'!$K$3,1,0))))</f>
        <v/>
      </c>
      <c r="R926" s="19" t="str">
        <f t="shared" si="20"/>
        <v/>
      </c>
      <c r="T926" s="19" t="str">
        <f>IF(EXACT(Q926,'טבלת פרמטרים'!$O$2),'טבלת פרמטרים'!$P$2,IF(EXACT(Q926,'טבלת פרמטרים'!$O$3),'טבלת פרמטרים'!$P$3,IF(EXACT(Q926,'טבלת פרמטרים'!$O$4),'טבלת פרמטרים'!$P$4,IF(EXACT(Q926,'טבלת פרמטרים'!$O$5),'טבלת פרמטרים'!$P$5,IF(EXACT(Q926,'טבלת פרמטרים'!$O$6),'טבלת פרמטרים'!$P$6,IF(EXACT(Q926,'טבלת פרמטרים'!$O$7),'טבלת פרמטרים'!$P$7,""))))))</f>
        <v/>
      </c>
    </row>
    <row r="927" spans="1:20" x14ac:dyDescent="0.2">
      <c r="A927" s="18">
        <v>927</v>
      </c>
      <c r="O927" s="19" t="str">
        <f>IF(ISBLANK(D927),"",IF(D927='טבלת פרמטרים'!$A$9,1,0)+IF(E927='טבלת פרמטרים'!$B$5,2,1)+IF(F927='טבלת פרמטרים'!$C$5,3,IF(F927='טבלת פרמטרים'!$C$4,1,0))+IF(G927='טבלת פרמטרים'!$D$3,2,0)+IF(M927='טבלת פרמטרים'!$J$4,2,IF(M927='טבלת פרמטרים'!$J$3,1,0))+IF(N927='טבלת פרמטרים'!$K$6,3,IF(OR(N927='טבלת פרמטרים'!$K$4,N927='טבלת פרמטרים'!$K$5),2,IF(N927='טבלת פרמטרים'!$K$3,1,0))))</f>
        <v/>
      </c>
      <c r="R927" s="19" t="str">
        <f t="shared" si="20"/>
        <v/>
      </c>
      <c r="T927" s="19" t="str">
        <f>IF(EXACT(Q927,'טבלת פרמטרים'!$O$2),'טבלת פרמטרים'!$P$2,IF(EXACT(Q927,'טבלת פרמטרים'!$O$3),'טבלת פרמטרים'!$P$3,IF(EXACT(Q927,'טבלת פרמטרים'!$O$4),'טבלת פרמטרים'!$P$4,IF(EXACT(Q927,'טבלת פרמטרים'!$O$5),'טבלת פרמטרים'!$P$5,IF(EXACT(Q927,'טבלת פרמטרים'!$O$6),'טבלת פרמטרים'!$P$6,IF(EXACT(Q927,'טבלת פרמטרים'!$O$7),'טבלת פרמטרים'!$P$7,""))))))</f>
        <v/>
      </c>
    </row>
    <row r="928" spans="1:20" x14ac:dyDescent="0.2">
      <c r="A928" s="18">
        <v>928</v>
      </c>
      <c r="O928" s="19" t="str">
        <f>IF(ISBLANK(D928),"",IF(D928='טבלת פרמטרים'!$A$9,1,0)+IF(E928='טבלת פרמטרים'!$B$5,2,1)+IF(F928='טבלת פרמטרים'!$C$5,3,IF(F928='טבלת פרמטרים'!$C$4,1,0))+IF(G928='טבלת פרמטרים'!$D$3,2,0)+IF(M928='טבלת פרמטרים'!$J$4,2,IF(M928='טבלת פרמטרים'!$J$3,1,0))+IF(N928='טבלת פרמטרים'!$K$6,3,IF(OR(N928='טבלת פרמטרים'!$K$4,N928='טבלת פרמטרים'!$K$5),2,IF(N928='טבלת פרמטרים'!$K$3,1,0))))</f>
        <v/>
      </c>
      <c r="R928" s="19" t="str">
        <f t="shared" si="20"/>
        <v/>
      </c>
      <c r="T928" s="19" t="str">
        <f>IF(EXACT(Q928,'טבלת פרמטרים'!$O$2),'טבלת פרמטרים'!$P$2,IF(EXACT(Q928,'טבלת פרמטרים'!$O$3),'טבלת פרמטרים'!$P$3,IF(EXACT(Q928,'טבלת פרמטרים'!$O$4),'טבלת פרמטרים'!$P$4,IF(EXACT(Q928,'טבלת פרמטרים'!$O$5),'טבלת פרמטרים'!$P$5,IF(EXACT(Q928,'טבלת פרמטרים'!$O$6),'טבלת פרמטרים'!$P$6,IF(EXACT(Q928,'טבלת פרמטרים'!$O$7),'טבלת פרמטרים'!$P$7,""))))))</f>
        <v/>
      </c>
    </row>
    <row r="929" spans="1:20" x14ac:dyDescent="0.2">
      <c r="A929" s="18">
        <v>929</v>
      </c>
      <c r="O929" s="19" t="str">
        <f>IF(ISBLANK(D929),"",IF(D929='טבלת פרמטרים'!$A$9,1,0)+IF(E929='טבלת פרמטרים'!$B$5,2,1)+IF(F929='טבלת פרמטרים'!$C$5,3,IF(F929='טבלת פרמטרים'!$C$4,1,0))+IF(G929='טבלת פרמטרים'!$D$3,2,0)+IF(M929='טבלת פרמטרים'!$J$4,2,IF(M929='טבלת פרמטרים'!$J$3,1,0))+IF(N929='טבלת פרמטרים'!$K$6,3,IF(OR(N929='טבלת פרמטרים'!$K$4,N929='טבלת פרמטרים'!$K$5),2,IF(N929='טבלת פרמטרים'!$K$3,1,0))))</f>
        <v/>
      </c>
      <c r="R929" s="19" t="str">
        <f t="shared" si="20"/>
        <v/>
      </c>
      <c r="T929" s="19" t="str">
        <f>IF(EXACT(Q929,'טבלת פרמטרים'!$O$2),'טבלת פרמטרים'!$P$2,IF(EXACT(Q929,'טבלת פרמטרים'!$O$3),'טבלת פרמטרים'!$P$3,IF(EXACT(Q929,'טבלת פרמטרים'!$O$4),'טבלת פרמטרים'!$P$4,IF(EXACT(Q929,'טבלת פרמטרים'!$O$5),'טבלת פרמטרים'!$P$5,IF(EXACT(Q929,'טבלת פרמטרים'!$O$6),'טבלת פרמטרים'!$P$6,IF(EXACT(Q929,'טבלת פרמטרים'!$O$7),'טבלת פרמטרים'!$P$7,""))))))</f>
        <v/>
      </c>
    </row>
    <row r="930" spans="1:20" x14ac:dyDescent="0.2">
      <c r="A930" s="18">
        <v>930</v>
      </c>
      <c r="O930" s="19" t="str">
        <f>IF(ISBLANK(D930),"",IF(D930='טבלת פרמטרים'!$A$9,1,0)+IF(E930='טבלת פרמטרים'!$B$5,2,1)+IF(F930='טבלת פרמטרים'!$C$5,3,IF(F930='טבלת פרמטרים'!$C$4,1,0))+IF(G930='טבלת פרמטרים'!$D$3,2,0)+IF(M930='טבלת פרמטרים'!$J$4,2,IF(M930='טבלת פרמטרים'!$J$3,1,0))+IF(N930='טבלת פרמטרים'!$K$6,3,IF(OR(N930='טבלת פרמטרים'!$K$4,N930='טבלת פרמטרים'!$K$5),2,IF(N930='טבלת פרמטרים'!$K$3,1,0))))</f>
        <v/>
      </c>
      <c r="R930" s="19" t="str">
        <f t="shared" si="20"/>
        <v/>
      </c>
      <c r="T930" s="19" t="str">
        <f>IF(EXACT(Q930,'טבלת פרמטרים'!$O$2),'טבלת פרמטרים'!$P$2,IF(EXACT(Q930,'טבלת פרמטרים'!$O$3),'טבלת פרמטרים'!$P$3,IF(EXACT(Q930,'טבלת פרמטרים'!$O$4),'טבלת פרמטרים'!$P$4,IF(EXACT(Q930,'טבלת פרמטרים'!$O$5),'טבלת פרמטרים'!$P$5,IF(EXACT(Q930,'טבלת פרמטרים'!$O$6),'טבלת פרמטרים'!$P$6,IF(EXACT(Q930,'טבלת פרמטרים'!$O$7),'טבלת פרמטרים'!$P$7,""))))))</f>
        <v/>
      </c>
    </row>
    <row r="931" spans="1:20" x14ac:dyDescent="0.2">
      <c r="A931" s="18">
        <v>931</v>
      </c>
      <c r="O931" s="19" t="str">
        <f>IF(ISBLANK(D931),"",IF(D931='טבלת פרמטרים'!$A$9,1,0)+IF(E931='טבלת פרמטרים'!$B$5,2,1)+IF(F931='טבלת פרמטרים'!$C$5,3,IF(F931='טבלת פרמטרים'!$C$4,1,0))+IF(G931='טבלת פרמטרים'!$D$3,2,0)+IF(M931='טבלת פרמטרים'!$J$4,2,IF(M931='טבלת פרמטרים'!$J$3,1,0))+IF(N931='טבלת פרמטרים'!$K$6,3,IF(OR(N931='טבלת פרמטרים'!$K$4,N931='טבלת פרמטרים'!$K$5),2,IF(N931='טבלת פרמטרים'!$K$3,1,0))))</f>
        <v/>
      </c>
      <c r="R931" s="19" t="str">
        <f t="shared" si="20"/>
        <v/>
      </c>
      <c r="T931" s="19" t="str">
        <f>IF(EXACT(Q931,'טבלת פרמטרים'!$O$2),'טבלת פרמטרים'!$P$2,IF(EXACT(Q931,'טבלת פרמטרים'!$O$3),'טבלת פרמטרים'!$P$3,IF(EXACT(Q931,'טבלת פרמטרים'!$O$4),'טבלת פרמטרים'!$P$4,IF(EXACT(Q931,'טבלת פרמטרים'!$O$5),'טבלת פרמטרים'!$P$5,IF(EXACT(Q931,'טבלת פרמטרים'!$O$6),'טבלת פרמטרים'!$P$6,IF(EXACT(Q931,'טבלת פרמטרים'!$O$7),'טבלת פרמטרים'!$P$7,""))))))</f>
        <v/>
      </c>
    </row>
    <row r="932" spans="1:20" x14ac:dyDescent="0.2">
      <c r="A932" s="18">
        <v>932</v>
      </c>
      <c r="O932" s="19" t="str">
        <f>IF(ISBLANK(D932),"",IF(D932='טבלת פרמטרים'!$A$9,1,0)+IF(E932='טבלת פרמטרים'!$B$5,2,1)+IF(F932='טבלת פרמטרים'!$C$5,3,IF(F932='טבלת פרמטרים'!$C$4,1,0))+IF(G932='טבלת פרמטרים'!$D$3,2,0)+IF(M932='טבלת פרמטרים'!$J$4,2,IF(M932='טבלת פרמטרים'!$J$3,1,0))+IF(N932='טבלת פרמטרים'!$K$6,3,IF(OR(N932='טבלת פרמטרים'!$K$4,N932='טבלת פרמטרים'!$K$5),2,IF(N932='טבלת פרמטרים'!$K$3,1,0))))</f>
        <v/>
      </c>
      <c r="R932" s="19" t="str">
        <f t="shared" si="20"/>
        <v/>
      </c>
      <c r="T932" s="19" t="str">
        <f>IF(EXACT(Q932,'טבלת פרמטרים'!$O$2),'טבלת פרמטרים'!$P$2,IF(EXACT(Q932,'טבלת פרמטרים'!$O$3),'טבלת פרמטרים'!$P$3,IF(EXACT(Q932,'טבלת פרמטרים'!$O$4),'טבלת פרמטרים'!$P$4,IF(EXACT(Q932,'טבלת פרמטרים'!$O$5),'טבלת פרמטרים'!$P$5,IF(EXACT(Q932,'טבלת פרמטרים'!$O$6),'טבלת פרמטרים'!$P$6,IF(EXACT(Q932,'טבלת פרמטרים'!$O$7),'טבלת פרמטרים'!$P$7,""))))))</f>
        <v/>
      </c>
    </row>
    <row r="933" spans="1:20" x14ac:dyDescent="0.2">
      <c r="A933" s="18">
        <v>933</v>
      </c>
      <c r="O933" s="19" t="str">
        <f>IF(ISBLANK(D933),"",IF(D933='טבלת פרמטרים'!$A$9,1,0)+IF(E933='טבלת פרמטרים'!$B$5,2,1)+IF(F933='טבלת פרמטרים'!$C$5,3,IF(F933='טבלת פרמטרים'!$C$4,1,0))+IF(G933='טבלת פרמטרים'!$D$3,2,0)+IF(M933='טבלת פרמטרים'!$J$4,2,IF(M933='טבלת פרמטרים'!$J$3,1,0))+IF(N933='טבלת פרמטרים'!$K$6,3,IF(OR(N933='טבלת פרמטרים'!$K$4,N933='טבלת פרמטרים'!$K$5),2,IF(N933='טבלת פרמטרים'!$K$3,1,0))))</f>
        <v/>
      </c>
      <c r="R933" s="19" t="str">
        <f t="shared" si="20"/>
        <v/>
      </c>
      <c r="T933" s="19" t="str">
        <f>IF(EXACT(Q933,'טבלת פרמטרים'!$O$2),'טבלת פרמטרים'!$P$2,IF(EXACT(Q933,'טבלת פרמטרים'!$O$3),'טבלת פרמטרים'!$P$3,IF(EXACT(Q933,'טבלת פרמטרים'!$O$4),'טבלת פרמטרים'!$P$4,IF(EXACT(Q933,'טבלת פרמטרים'!$O$5),'טבלת פרמטרים'!$P$5,IF(EXACT(Q933,'טבלת פרמטרים'!$O$6),'טבלת פרמטרים'!$P$6,IF(EXACT(Q933,'טבלת פרמטרים'!$O$7),'טבלת פרמטרים'!$P$7,""))))))</f>
        <v/>
      </c>
    </row>
    <row r="934" spans="1:20" x14ac:dyDescent="0.2">
      <c r="A934" s="18">
        <v>934</v>
      </c>
      <c r="O934" s="19" t="str">
        <f>IF(ISBLANK(D934),"",IF(D934='טבלת פרמטרים'!$A$9,1,0)+IF(E934='טבלת פרמטרים'!$B$5,2,1)+IF(F934='טבלת פרמטרים'!$C$5,3,IF(F934='טבלת פרמטרים'!$C$4,1,0))+IF(G934='טבלת פרמטרים'!$D$3,2,0)+IF(M934='טבלת פרמטרים'!$J$4,2,IF(M934='טבלת פרמטרים'!$J$3,1,0))+IF(N934='טבלת פרמטרים'!$K$6,3,IF(OR(N934='טבלת פרמטרים'!$K$4,N934='טבלת פרמטרים'!$K$5),2,IF(N934='טבלת פרמטרים'!$K$3,1,0))))</f>
        <v/>
      </c>
      <c r="R934" s="19" t="str">
        <f t="shared" si="20"/>
        <v/>
      </c>
      <c r="T934" s="19" t="str">
        <f>IF(EXACT(Q934,'טבלת פרמטרים'!$O$2),'טבלת פרמטרים'!$P$2,IF(EXACT(Q934,'טבלת פרמטרים'!$O$3),'טבלת פרמטרים'!$P$3,IF(EXACT(Q934,'טבלת פרמטרים'!$O$4),'טבלת פרמטרים'!$P$4,IF(EXACT(Q934,'טבלת פרמטרים'!$O$5),'טבלת פרמטרים'!$P$5,IF(EXACT(Q934,'טבלת פרמטרים'!$O$6),'טבלת פרמטרים'!$P$6,IF(EXACT(Q934,'טבלת פרמטרים'!$O$7),'טבלת פרמטרים'!$P$7,""))))))</f>
        <v/>
      </c>
    </row>
    <row r="935" spans="1:20" x14ac:dyDescent="0.2">
      <c r="A935" s="18">
        <v>935</v>
      </c>
      <c r="O935" s="19" t="str">
        <f>IF(ISBLANK(D935),"",IF(D935='טבלת פרמטרים'!$A$9,1,0)+IF(E935='טבלת פרמטרים'!$B$5,2,1)+IF(F935='טבלת פרמטרים'!$C$5,3,IF(F935='טבלת פרמטרים'!$C$4,1,0))+IF(G935='טבלת פרמטרים'!$D$3,2,0)+IF(M935='טבלת פרמטרים'!$J$4,2,IF(M935='טבלת פרמטרים'!$J$3,1,0))+IF(N935='טבלת פרמטרים'!$K$6,3,IF(OR(N935='טבלת פרמטרים'!$K$4,N935='טבלת פרמטרים'!$K$5),2,IF(N935='טבלת פרמטרים'!$K$3,1,0))))</f>
        <v/>
      </c>
      <c r="R935" s="19" t="str">
        <f t="shared" si="20"/>
        <v/>
      </c>
      <c r="T935" s="19" t="str">
        <f>IF(EXACT(Q935,'טבלת פרמטרים'!$O$2),'טבלת פרמטרים'!$P$2,IF(EXACT(Q935,'טבלת פרמטרים'!$O$3),'טבלת פרמטרים'!$P$3,IF(EXACT(Q935,'טבלת פרמטרים'!$O$4),'טבלת פרמטרים'!$P$4,IF(EXACT(Q935,'טבלת פרמטרים'!$O$5),'טבלת פרמטרים'!$P$5,IF(EXACT(Q935,'טבלת פרמטרים'!$O$6),'טבלת פרמטרים'!$P$6,IF(EXACT(Q935,'טבלת פרמטרים'!$O$7),'טבלת פרמטרים'!$P$7,""))))))</f>
        <v/>
      </c>
    </row>
    <row r="936" spans="1:20" x14ac:dyDescent="0.2">
      <c r="A936" s="18">
        <v>936</v>
      </c>
      <c r="O936" s="19" t="str">
        <f>IF(ISBLANK(D936),"",IF(D936='טבלת פרמטרים'!$A$9,1,0)+IF(E936='טבלת פרמטרים'!$B$5,2,1)+IF(F936='טבלת פרמטרים'!$C$5,3,IF(F936='טבלת פרמטרים'!$C$4,1,0))+IF(G936='טבלת פרמטרים'!$D$3,2,0)+IF(M936='טבלת פרמטרים'!$J$4,2,IF(M936='טבלת פרמטרים'!$J$3,1,0))+IF(N936='טבלת פרמטרים'!$K$6,3,IF(OR(N936='טבלת פרמטרים'!$K$4,N936='טבלת פרמטרים'!$K$5),2,IF(N936='טבלת פרמטרים'!$K$3,1,0))))</f>
        <v/>
      </c>
      <c r="R936" s="19" t="str">
        <f t="shared" si="20"/>
        <v/>
      </c>
      <c r="T936" s="19" t="str">
        <f>IF(EXACT(Q936,'טבלת פרמטרים'!$O$2),'טבלת פרמטרים'!$P$2,IF(EXACT(Q936,'טבלת פרמטרים'!$O$3),'טבלת פרמטרים'!$P$3,IF(EXACT(Q936,'טבלת פרמטרים'!$O$4),'טבלת פרמטרים'!$P$4,IF(EXACT(Q936,'טבלת פרמטרים'!$O$5),'טבלת פרמטרים'!$P$5,IF(EXACT(Q936,'טבלת פרמטרים'!$O$6),'טבלת פרמטרים'!$P$6,IF(EXACT(Q936,'טבלת פרמטרים'!$O$7),'טבלת פרמטרים'!$P$7,""))))))</f>
        <v/>
      </c>
    </row>
    <row r="937" spans="1:20" x14ac:dyDescent="0.2">
      <c r="A937" s="18">
        <v>937</v>
      </c>
      <c r="O937" s="19" t="str">
        <f>IF(ISBLANK(D937),"",IF(D937='טבלת פרמטרים'!$A$9,1,0)+IF(E937='טבלת פרמטרים'!$B$5,2,1)+IF(F937='טבלת פרמטרים'!$C$5,3,IF(F937='טבלת פרמטרים'!$C$4,1,0))+IF(G937='טבלת פרמטרים'!$D$3,2,0)+IF(M937='טבלת פרמטרים'!$J$4,2,IF(M937='טבלת פרמטרים'!$J$3,1,0))+IF(N937='טבלת פרמטרים'!$K$6,3,IF(OR(N937='טבלת פרמטרים'!$K$4,N937='טבלת פרמטרים'!$K$5),2,IF(N937='טבלת פרמטרים'!$K$3,1,0))))</f>
        <v/>
      </c>
      <c r="R937" s="19" t="str">
        <f t="shared" si="20"/>
        <v/>
      </c>
      <c r="T937" s="19" t="str">
        <f>IF(EXACT(Q937,'טבלת פרמטרים'!$O$2),'טבלת פרמטרים'!$P$2,IF(EXACT(Q937,'טבלת פרמטרים'!$O$3),'טבלת פרמטרים'!$P$3,IF(EXACT(Q937,'טבלת פרמטרים'!$O$4),'טבלת פרמטרים'!$P$4,IF(EXACT(Q937,'טבלת פרמטרים'!$O$5),'טבלת פרמטרים'!$P$5,IF(EXACT(Q937,'טבלת פרמטרים'!$O$6),'טבלת פרמטרים'!$P$6,IF(EXACT(Q937,'טבלת פרמטרים'!$O$7),'טבלת פרמטרים'!$P$7,""))))))</f>
        <v/>
      </c>
    </row>
    <row r="938" spans="1:20" x14ac:dyDescent="0.2">
      <c r="A938" s="18">
        <v>938</v>
      </c>
      <c r="O938" s="19" t="str">
        <f>IF(ISBLANK(D938),"",IF(D938='טבלת פרמטרים'!$A$9,1,0)+IF(E938='טבלת פרמטרים'!$B$5,2,1)+IF(F938='טבלת פרמטרים'!$C$5,3,IF(F938='טבלת פרמטרים'!$C$4,1,0))+IF(G938='טבלת פרמטרים'!$D$3,2,0)+IF(M938='טבלת פרמטרים'!$J$4,2,IF(M938='טבלת פרמטרים'!$J$3,1,0))+IF(N938='טבלת פרמטרים'!$K$6,3,IF(OR(N938='טבלת פרמטרים'!$K$4,N938='טבלת פרמטרים'!$K$5),2,IF(N938='טבלת פרמטרים'!$K$3,1,0))))</f>
        <v/>
      </c>
      <c r="R938" s="19" t="str">
        <f t="shared" si="20"/>
        <v/>
      </c>
      <c r="T938" s="19" t="str">
        <f>IF(EXACT(Q938,'טבלת פרמטרים'!$O$2),'טבלת פרמטרים'!$P$2,IF(EXACT(Q938,'טבלת פרמטרים'!$O$3),'טבלת פרמטרים'!$P$3,IF(EXACT(Q938,'טבלת פרמטרים'!$O$4),'טבלת פרמטרים'!$P$4,IF(EXACT(Q938,'טבלת פרמטרים'!$O$5),'טבלת פרמטרים'!$P$5,IF(EXACT(Q938,'טבלת פרמטרים'!$O$6),'טבלת פרמטרים'!$P$6,IF(EXACT(Q938,'טבלת פרמטרים'!$O$7),'טבלת פרמטרים'!$P$7,""))))))</f>
        <v/>
      </c>
    </row>
    <row r="939" spans="1:20" x14ac:dyDescent="0.2">
      <c r="A939" s="18">
        <v>939</v>
      </c>
      <c r="O939" s="19" t="str">
        <f>IF(ISBLANK(D939),"",IF(D939='טבלת פרמטרים'!$A$9,1,0)+IF(E939='טבלת פרמטרים'!$B$5,2,1)+IF(F939='טבלת פרמטרים'!$C$5,3,IF(F939='טבלת פרמטרים'!$C$4,1,0))+IF(G939='טבלת פרמטרים'!$D$3,2,0)+IF(M939='טבלת פרמטרים'!$J$4,2,IF(M939='טבלת פרמטרים'!$J$3,1,0))+IF(N939='טבלת פרמטרים'!$K$6,3,IF(OR(N939='טבלת פרמטרים'!$K$4,N939='טבלת פרמטרים'!$K$5),2,IF(N939='טבלת פרמטרים'!$K$3,1,0))))</f>
        <v/>
      </c>
      <c r="R939" s="19" t="str">
        <f t="shared" si="20"/>
        <v/>
      </c>
      <c r="T939" s="19" t="str">
        <f>IF(EXACT(Q939,'טבלת פרמטרים'!$O$2),'טבלת פרמטרים'!$P$2,IF(EXACT(Q939,'טבלת פרמטרים'!$O$3),'טבלת פרמטרים'!$P$3,IF(EXACT(Q939,'טבלת פרמטרים'!$O$4),'טבלת פרמטרים'!$P$4,IF(EXACT(Q939,'טבלת פרמטרים'!$O$5),'טבלת פרמטרים'!$P$5,IF(EXACT(Q939,'טבלת פרמטרים'!$O$6),'טבלת פרמטרים'!$P$6,IF(EXACT(Q939,'טבלת פרמטרים'!$O$7),'טבלת פרמטרים'!$P$7,""))))))</f>
        <v/>
      </c>
    </row>
    <row r="940" spans="1:20" x14ac:dyDescent="0.2">
      <c r="A940" s="18">
        <v>940</v>
      </c>
      <c r="O940" s="19" t="str">
        <f>IF(ISBLANK(D940),"",IF(D940='טבלת פרמטרים'!$A$9,1,0)+IF(E940='טבלת פרמטרים'!$B$5,2,1)+IF(F940='טבלת פרמטרים'!$C$5,3,IF(F940='טבלת פרמטרים'!$C$4,1,0))+IF(G940='טבלת פרמטרים'!$D$3,2,0)+IF(M940='טבלת פרמטרים'!$J$4,2,IF(M940='טבלת פרמטרים'!$J$3,1,0))+IF(N940='טבלת פרמטרים'!$K$6,3,IF(OR(N940='טבלת פרמטרים'!$K$4,N940='טבלת פרמטרים'!$K$5),2,IF(N940='טבלת פרמטרים'!$K$3,1,0))))</f>
        <v/>
      </c>
      <c r="R940" s="19" t="str">
        <f t="shared" si="20"/>
        <v/>
      </c>
      <c r="T940" s="19" t="str">
        <f>IF(EXACT(Q940,'טבלת פרמטרים'!$O$2),'טבלת פרמטרים'!$P$2,IF(EXACT(Q940,'טבלת פרמטרים'!$O$3),'טבלת פרמטרים'!$P$3,IF(EXACT(Q940,'טבלת פרמטרים'!$O$4),'טבלת פרמטרים'!$P$4,IF(EXACT(Q940,'טבלת פרמטרים'!$O$5),'טבלת פרמטרים'!$P$5,IF(EXACT(Q940,'טבלת פרמטרים'!$O$6),'טבלת פרמטרים'!$P$6,IF(EXACT(Q940,'טבלת פרמטרים'!$O$7),'טבלת פרמטרים'!$P$7,""))))))</f>
        <v/>
      </c>
    </row>
    <row r="941" spans="1:20" x14ac:dyDescent="0.2">
      <c r="A941" s="18">
        <v>941</v>
      </c>
      <c r="O941" s="19" t="str">
        <f>IF(ISBLANK(D941),"",IF(D941='טבלת פרמטרים'!$A$9,1,0)+IF(E941='טבלת פרמטרים'!$B$5,2,1)+IF(F941='טבלת פרמטרים'!$C$5,3,IF(F941='טבלת פרמטרים'!$C$4,1,0))+IF(G941='טבלת פרמטרים'!$D$3,2,0)+IF(M941='טבלת פרמטרים'!$J$4,2,IF(M941='טבלת פרמטרים'!$J$3,1,0))+IF(N941='טבלת פרמטרים'!$K$6,3,IF(OR(N941='טבלת פרמטרים'!$K$4,N941='טבלת פרמטרים'!$K$5),2,IF(N941='טבלת פרמטרים'!$K$3,1,0))))</f>
        <v/>
      </c>
      <c r="R941" s="19" t="str">
        <f t="shared" si="20"/>
        <v/>
      </c>
      <c r="T941" s="19" t="str">
        <f>IF(EXACT(Q941,'טבלת פרמטרים'!$O$2),'טבלת פרמטרים'!$P$2,IF(EXACT(Q941,'טבלת פרמטרים'!$O$3),'טבלת פרמטרים'!$P$3,IF(EXACT(Q941,'טבלת פרמטרים'!$O$4),'טבלת פרמטרים'!$P$4,IF(EXACT(Q941,'טבלת פרמטרים'!$O$5),'טבלת פרמטרים'!$P$5,IF(EXACT(Q941,'טבלת פרמטרים'!$O$6),'טבלת פרמטרים'!$P$6,IF(EXACT(Q941,'טבלת פרמטרים'!$O$7),'טבלת פרמטרים'!$P$7,""))))))</f>
        <v/>
      </c>
    </row>
    <row r="942" spans="1:20" x14ac:dyDescent="0.2">
      <c r="A942" s="18">
        <v>942</v>
      </c>
      <c r="O942" s="19" t="str">
        <f>IF(ISBLANK(D942),"",IF(D942='טבלת פרמטרים'!$A$9,1,0)+IF(E942='טבלת פרמטרים'!$B$5,2,1)+IF(F942='טבלת פרמטרים'!$C$5,3,IF(F942='טבלת פרמטרים'!$C$4,1,0))+IF(G942='טבלת פרמטרים'!$D$3,2,0)+IF(M942='טבלת פרמטרים'!$J$4,2,IF(M942='טבלת פרמטרים'!$J$3,1,0))+IF(N942='טבלת פרמטרים'!$K$6,3,IF(OR(N942='טבלת פרמטרים'!$K$4,N942='טבלת פרמטרים'!$K$5),2,IF(N942='טבלת פרמטרים'!$K$3,1,0))))</f>
        <v/>
      </c>
      <c r="R942" s="19" t="str">
        <f t="shared" si="20"/>
        <v/>
      </c>
      <c r="T942" s="19" t="str">
        <f>IF(EXACT(Q942,'טבלת פרמטרים'!$O$2),'טבלת פרמטרים'!$P$2,IF(EXACT(Q942,'טבלת פרמטרים'!$O$3),'טבלת פרמטרים'!$P$3,IF(EXACT(Q942,'טבלת פרמטרים'!$O$4),'טבלת פרמטרים'!$P$4,IF(EXACT(Q942,'טבלת פרמטרים'!$O$5),'טבלת פרמטרים'!$P$5,IF(EXACT(Q942,'טבלת פרמטרים'!$O$6),'טבלת פרמטרים'!$P$6,IF(EXACT(Q942,'טבלת פרמטרים'!$O$7),'טבלת פרמטרים'!$P$7,""))))))</f>
        <v/>
      </c>
    </row>
    <row r="943" spans="1:20" x14ac:dyDescent="0.2">
      <c r="A943" s="18">
        <v>943</v>
      </c>
      <c r="O943" s="19" t="str">
        <f>IF(ISBLANK(D943),"",IF(D943='טבלת פרמטרים'!$A$9,1,0)+IF(E943='טבלת פרמטרים'!$B$5,2,1)+IF(F943='טבלת פרמטרים'!$C$5,3,IF(F943='טבלת פרמטרים'!$C$4,1,0))+IF(G943='טבלת פרמטרים'!$D$3,2,0)+IF(M943='טבלת פרמטרים'!$J$4,2,IF(M943='טבלת פרמטרים'!$J$3,1,0))+IF(N943='טבלת פרמטרים'!$K$6,3,IF(OR(N943='טבלת פרמטרים'!$K$4,N943='טבלת פרמטרים'!$K$5),2,IF(N943='טבלת פרמטרים'!$K$3,1,0))))</f>
        <v/>
      </c>
      <c r="R943" s="19" t="str">
        <f t="shared" si="20"/>
        <v/>
      </c>
      <c r="T943" s="19" t="str">
        <f>IF(EXACT(Q943,'טבלת פרמטרים'!$O$2),'טבלת פרמטרים'!$P$2,IF(EXACT(Q943,'טבלת פרמטרים'!$O$3),'טבלת פרמטרים'!$P$3,IF(EXACT(Q943,'טבלת פרמטרים'!$O$4),'טבלת פרמטרים'!$P$4,IF(EXACT(Q943,'טבלת פרמטרים'!$O$5),'טבלת פרמטרים'!$P$5,IF(EXACT(Q943,'טבלת פרמטרים'!$O$6),'טבלת פרמטרים'!$P$6,IF(EXACT(Q943,'טבלת פרמטרים'!$O$7),'טבלת פרמטרים'!$P$7,""))))))</f>
        <v/>
      </c>
    </row>
    <row r="944" spans="1:20" x14ac:dyDescent="0.2">
      <c r="A944" s="18">
        <v>944</v>
      </c>
      <c r="O944" s="19" t="str">
        <f>IF(ISBLANK(D944),"",IF(D944='טבלת פרמטרים'!$A$9,1,0)+IF(E944='טבלת פרמטרים'!$B$5,2,1)+IF(F944='טבלת פרמטרים'!$C$5,3,IF(F944='טבלת פרמטרים'!$C$4,1,0))+IF(G944='טבלת פרמטרים'!$D$3,2,0)+IF(M944='טבלת פרמטרים'!$J$4,2,IF(M944='טבלת פרמטרים'!$J$3,1,0))+IF(N944='טבלת פרמטרים'!$K$6,3,IF(OR(N944='טבלת פרמטרים'!$K$4,N944='טבלת פרמטרים'!$K$5),2,IF(N944='טבלת פרמטרים'!$K$3,1,0))))</f>
        <v/>
      </c>
      <c r="R944" s="19" t="str">
        <f t="shared" si="20"/>
        <v/>
      </c>
      <c r="T944" s="19" t="str">
        <f>IF(EXACT(Q944,'טבלת פרמטרים'!$O$2),'טבלת פרמטרים'!$P$2,IF(EXACT(Q944,'טבלת פרמטרים'!$O$3),'טבלת פרמטרים'!$P$3,IF(EXACT(Q944,'טבלת פרמטרים'!$O$4),'טבלת פרמטרים'!$P$4,IF(EXACT(Q944,'טבלת פרמטרים'!$O$5),'טבלת פרמטרים'!$P$5,IF(EXACT(Q944,'טבלת פרמטרים'!$O$6),'טבלת פרמטרים'!$P$6,IF(EXACT(Q944,'טבלת פרמטרים'!$O$7),'טבלת פרמטרים'!$P$7,""))))))</f>
        <v/>
      </c>
    </row>
    <row r="945" spans="1:20" x14ac:dyDescent="0.2">
      <c r="A945" s="18">
        <v>945</v>
      </c>
      <c r="O945" s="19" t="str">
        <f>IF(ISBLANK(D945),"",IF(D945='טבלת פרמטרים'!$A$9,1,0)+IF(E945='טבלת פרמטרים'!$B$5,2,1)+IF(F945='טבלת פרמטרים'!$C$5,3,IF(F945='טבלת פרמטרים'!$C$4,1,0))+IF(G945='טבלת פרמטרים'!$D$3,2,0)+IF(M945='טבלת פרמטרים'!$J$4,2,IF(M945='טבלת פרמטרים'!$J$3,1,0))+IF(N945='טבלת פרמטרים'!$K$6,3,IF(OR(N945='טבלת פרמטרים'!$K$4,N945='טבלת פרמטרים'!$K$5),2,IF(N945='טבלת פרמטרים'!$K$3,1,0))))</f>
        <v/>
      </c>
      <c r="R945" s="19" t="str">
        <f t="shared" si="20"/>
        <v/>
      </c>
      <c r="T945" s="19" t="str">
        <f>IF(EXACT(Q945,'טבלת פרמטרים'!$O$2),'טבלת פרמטרים'!$P$2,IF(EXACT(Q945,'טבלת פרמטרים'!$O$3),'טבלת פרמטרים'!$P$3,IF(EXACT(Q945,'טבלת פרמטרים'!$O$4),'טבלת פרמטרים'!$P$4,IF(EXACT(Q945,'טבלת פרמטרים'!$O$5),'טבלת פרמטרים'!$P$5,IF(EXACT(Q945,'טבלת פרמטרים'!$O$6),'טבלת פרמטרים'!$P$6,IF(EXACT(Q945,'טבלת פרמטרים'!$O$7),'טבלת פרמטרים'!$P$7,""))))))</f>
        <v/>
      </c>
    </row>
    <row r="946" spans="1:20" x14ac:dyDescent="0.2">
      <c r="A946" s="18">
        <v>946</v>
      </c>
      <c r="O946" s="19" t="str">
        <f>IF(ISBLANK(D946),"",IF(D946='טבלת פרמטרים'!$A$9,1,0)+IF(E946='טבלת פרמטרים'!$B$5,2,1)+IF(F946='טבלת פרמטרים'!$C$5,3,IF(F946='טבלת פרמטרים'!$C$4,1,0))+IF(G946='טבלת פרמטרים'!$D$3,2,0)+IF(M946='טבלת פרמטרים'!$J$4,2,IF(M946='טבלת פרמטרים'!$J$3,1,0))+IF(N946='טבלת פרמטרים'!$K$6,3,IF(OR(N946='טבלת פרמטרים'!$K$4,N946='טבלת פרמטרים'!$K$5),2,IF(N946='טבלת פרמטרים'!$K$3,1,0))))</f>
        <v/>
      </c>
      <c r="R946" s="19" t="str">
        <f t="shared" si="20"/>
        <v/>
      </c>
      <c r="T946" s="19" t="str">
        <f>IF(EXACT(Q946,'טבלת פרמטרים'!$O$2),'טבלת פרמטרים'!$P$2,IF(EXACT(Q946,'טבלת פרמטרים'!$O$3),'טבלת פרמטרים'!$P$3,IF(EXACT(Q946,'טבלת פרמטרים'!$O$4),'טבלת פרמטרים'!$P$4,IF(EXACT(Q946,'טבלת פרמטרים'!$O$5),'טבלת פרמטרים'!$P$5,IF(EXACT(Q946,'טבלת פרמטרים'!$O$6),'טבלת פרמטרים'!$P$6,IF(EXACT(Q946,'טבלת פרמטרים'!$O$7),'טבלת פרמטרים'!$P$7,""))))))</f>
        <v/>
      </c>
    </row>
    <row r="947" spans="1:20" x14ac:dyDescent="0.2">
      <c r="A947" s="18">
        <v>947</v>
      </c>
      <c r="O947" s="19" t="str">
        <f>IF(ISBLANK(D947),"",IF(D947='טבלת פרמטרים'!$A$9,1,0)+IF(E947='טבלת פרמטרים'!$B$5,2,1)+IF(F947='טבלת פרמטרים'!$C$5,3,IF(F947='טבלת פרמטרים'!$C$4,1,0))+IF(G947='טבלת פרמטרים'!$D$3,2,0)+IF(M947='טבלת פרמטרים'!$J$4,2,IF(M947='טבלת פרמטרים'!$J$3,1,0))+IF(N947='טבלת פרמטרים'!$K$6,3,IF(OR(N947='טבלת פרמטרים'!$K$4,N947='טבלת פרמטרים'!$K$5),2,IF(N947='טבלת פרמטרים'!$K$3,1,0))))</f>
        <v/>
      </c>
      <c r="R947" s="19" t="str">
        <f t="shared" si="20"/>
        <v/>
      </c>
      <c r="T947" s="19" t="str">
        <f>IF(EXACT(Q947,'טבלת פרמטרים'!$O$2),'טבלת פרמטרים'!$P$2,IF(EXACT(Q947,'טבלת פרמטרים'!$O$3),'טבלת פרמטרים'!$P$3,IF(EXACT(Q947,'טבלת פרמטרים'!$O$4),'טבלת פרמטרים'!$P$4,IF(EXACT(Q947,'טבלת פרמטרים'!$O$5),'טבלת פרמטרים'!$P$5,IF(EXACT(Q947,'טבלת פרמטרים'!$O$6),'טבלת פרמטרים'!$P$6,IF(EXACT(Q947,'טבלת פרמטרים'!$O$7),'טבלת פרמטרים'!$P$7,""))))))</f>
        <v/>
      </c>
    </row>
    <row r="948" spans="1:20" x14ac:dyDescent="0.2">
      <c r="A948" s="18">
        <v>948</v>
      </c>
      <c r="O948" s="19" t="str">
        <f>IF(ISBLANK(D948),"",IF(D948='טבלת פרמטרים'!$A$9,1,0)+IF(E948='טבלת פרמטרים'!$B$5,2,1)+IF(F948='טבלת פרמטרים'!$C$5,3,IF(F948='טבלת פרמטרים'!$C$4,1,0))+IF(G948='טבלת פרמטרים'!$D$3,2,0)+IF(M948='טבלת פרמטרים'!$J$4,2,IF(M948='טבלת פרמטרים'!$J$3,1,0))+IF(N948='טבלת פרמטרים'!$K$6,3,IF(OR(N948='טבלת פרמטרים'!$K$4,N948='טבלת פרמטרים'!$K$5),2,IF(N948='טבלת פרמטרים'!$K$3,1,0))))</f>
        <v/>
      </c>
      <c r="R948" s="19" t="str">
        <f t="shared" si="20"/>
        <v/>
      </c>
      <c r="T948" s="19" t="str">
        <f>IF(EXACT(Q948,'טבלת פרמטרים'!$O$2),'טבלת פרמטרים'!$P$2,IF(EXACT(Q948,'טבלת פרמטרים'!$O$3),'טבלת פרמטרים'!$P$3,IF(EXACT(Q948,'טבלת פרמטרים'!$O$4),'טבלת פרמטרים'!$P$4,IF(EXACT(Q948,'טבלת פרמטרים'!$O$5),'טבלת פרמטרים'!$P$5,IF(EXACT(Q948,'טבלת פרמטרים'!$O$6),'טבלת פרמטרים'!$P$6,IF(EXACT(Q948,'טבלת פרמטרים'!$O$7),'טבלת פרמטרים'!$P$7,""))))))</f>
        <v/>
      </c>
    </row>
    <row r="949" spans="1:20" x14ac:dyDescent="0.2">
      <c r="A949" s="18">
        <v>949</v>
      </c>
      <c r="O949" s="19" t="str">
        <f>IF(ISBLANK(D949),"",IF(D949='טבלת פרמטרים'!$A$9,1,0)+IF(E949='טבלת פרמטרים'!$B$5,2,1)+IF(F949='טבלת פרמטרים'!$C$5,3,IF(F949='טבלת פרמטרים'!$C$4,1,0))+IF(G949='טבלת פרמטרים'!$D$3,2,0)+IF(M949='טבלת פרמטרים'!$J$4,2,IF(M949='טבלת פרמטרים'!$J$3,1,0))+IF(N949='טבלת פרמטרים'!$K$6,3,IF(OR(N949='טבלת פרמטרים'!$K$4,N949='טבלת פרמטרים'!$K$5),2,IF(N949='טבלת פרמטרים'!$K$3,1,0))))</f>
        <v/>
      </c>
      <c r="R949" s="19" t="str">
        <f t="shared" si="20"/>
        <v/>
      </c>
      <c r="T949" s="19" t="str">
        <f>IF(EXACT(Q949,'טבלת פרמטרים'!$O$2),'טבלת פרמטרים'!$P$2,IF(EXACT(Q949,'טבלת פרמטרים'!$O$3),'טבלת פרמטרים'!$P$3,IF(EXACT(Q949,'טבלת פרמטרים'!$O$4),'טבלת פרמטרים'!$P$4,IF(EXACT(Q949,'טבלת פרמטרים'!$O$5),'טבלת פרמטרים'!$P$5,IF(EXACT(Q949,'טבלת פרמטרים'!$O$6),'טבלת פרמטרים'!$P$6,IF(EXACT(Q949,'טבלת פרמטרים'!$O$7),'טבלת פרמטרים'!$P$7,""))))))</f>
        <v/>
      </c>
    </row>
    <row r="950" spans="1:20" x14ac:dyDescent="0.2">
      <c r="A950" s="18">
        <v>950</v>
      </c>
      <c r="O950" s="19" t="str">
        <f>IF(ISBLANK(D950),"",IF(D950='טבלת פרמטרים'!$A$9,1,0)+IF(E950='טבלת פרמטרים'!$B$5,2,1)+IF(F950='טבלת פרמטרים'!$C$5,3,IF(F950='טבלת פרמטרים'!$C$4,1,0))+IF(G950='טבלת פרמטרים'!$D$3,2,0)+IF(M950='טבלת פרמטרים'!$J$4,2,IF(M950='טבלת פרמטרים'!$J$3,1,0))+IF(N950='טבלת פרמטרים'!$K$6,3,IF(OR(N950='טבלת פרמטרים'!$K$4,N950='טבלת פרמטרים'!$K$5),2,IF(N950='טבלת פרמטרים'!$K$3,1,0))))</f>
        <v/>
      </c>
      <c r="R950" s="19" t="str">
        <f t="shared" si="20"/>
        <v/>
      </c>
      <c r="T950" s="19" t="str">
        <f>IF(EXACT(Q950,'טבלת פרמטרים'!$O$2),'טבלת פרמטרים'!$P$2,IF(EXACT(Q950,'טבלת פרמטרים'!$O$3),'טבלת פרמטרים'!$P$3,IF(EXACT(Q950,'טבלת פרמטרים'!$O$4),'טבלת פרמטרים'!$P$4,IF(EXACT(Q950,'טבלת פרמטרים'!$O$5),'טבלת פרמטרים'!$P$5,IF(EXACT(Q950,'טבלת פרמטרים'!$O$6),'טבלת פרמטרים'!$P$6,IF(EXACT(Q950,'טבלת פרמטרים'!$O$7),'טבלת פרמטרים'!$P$7,""))))))</f>
        <v/>
      </c>
    </row>
    <row r="951" spans="1:20" x14ac:dyDescent="0.2">
      <c r="A951" s="18">
        <v>951</v>
      </c>
      <c r="O951" s="19" t="str">
        <f>IF(ISBLANK(D951),"",IF(D951='טבלת פרמטרים'!$A$9,1,0)+IF(E951='טבלת פרמטרים'!$B$5,2,1)+IF(F951='טבלת פרמטרים'!$C$5,3,IF(F951='טבלת פרמטרים'!$C$4,1,0))+IF(G951='טבלת פרמטרים'!$D$3,2,0)+IF(M951='טבלת פרמטרים'!$J$4,2,IF(M951='טבלת פרמטרים'!$J$3,1,0))+IF(N951='טבלת פרמטרים'!$K$6,3,IF(OR(N951='טבלת פרמטרים'!$K$4,N951='טבלת פרמטרים'!$K$5),2,IF(N951='טבלת פרמטרים'!$K$3,1,0))))</f>
        <v/>
      </c>
      <c r="R951" s="19" t="str">
        <f t="shared" si="20"/>
        <v/>
      </c>
      <c r="T951" s="19" t="str">
        <f>IF(EXACT(Q951,'טבלת פרמטרים'!$O$2),'טבלת פרמטרים'!$P$2,IF(EXACT(Q951,'טבלת פרמטרים'!$O$3),'טבלת פרמטרים'!$P$3,IF(EXACT(Q951,'טבלת פרמטרים'!$O$4),'טבלת פרמטרים'!$P$4,IF(EXACT(Q951,'טבלת פרמטרים'!$O$5),'טבלת פרמטרים'!$P$5,IF(EXACT(Q951,'טבלת פרמטרים'!$O$6),'טבלת פרמטרים'!$P$6,IF(EXACT(Q951,'טבלת פרמטרים'!$O$7),'טבלת פרמטרים'!$P$7,""))))))</f>
        <v/>
      </c>
    </row>
    <row r="952" spans="1:20" x14ac:dyDescent="0.2">
      <c r="A952" s="18">
        <v>952</v>
      </c>
      <c r="O952" s="19" t="str">
        <f>IF(ISBLANK(D952),"",IF(D952='טבלת פרמטרים'!$A$9,1,0)+IF(E952='טבלת פרמטרים'!$B$5,2,1)+IF(F952='טבלת פרמטרים'!$C$5,3,IF(F952='טבלת פרמטרים'!$C$4,1,0))+IF(G952='טבלת פרמטרים'!$D$3,2,0)+IF(M952='טבלת פרמטרים'!$J$4,2,IF(M952='טבלת פרמטרים'!$J$3,1,0))+IF(N952='טבלת פרמטרים'!$K$6,3,IF(OR(N952='טבלת פרמטרים'!$K$4,N952='טבלת פרמטרים'!$K$5),2,IF(N952='טבלת פרמטרים'!$K$3,1,0))))</f>
        <v/>
      </c>
      <c r="R952" s="19" t="str">
        <f t="shared" si="20"/>
        <v/>
      </c>
      <c r="T952" s="19" t="str">
        <f>IF(EXACT(Q952,'טבלת פרמטרים'!$O$2),'טבלת פרמטרים'!$P$2,IF(EXACT(Q952,'טבלת פרמטרים'!$O$3),'טבלת פרמטרים'!$P$3,IF(EXACT(Q952,'טבלת פרמטרים'!$O$4),'טבלת פרמטרים'!$P$4,IF(EXACT(Q952,'טבלת פרמטרים'!$O$5),'טבלת פרמטרים'!$P$5,IF(EXACT(Q952,'טבלת פרמטרים'!$O$6),'טבלת פרמטרים'!$P$6,IF(EXACT(Q952,'טבלת פרמטרים'!$O$7),'טבלת פרמטרים'!$P$7,""))))))</f>
        <v/>
      </c>
    </row>
    <row r="953" spans="1:20" x14ac:dyDescent="0.2">
      <c r="A953" s="18">
        <v>953</v>
      </c>
      <c r="O953" s="19" t="str">
        <f>IF(ISBLANK(D953),"",IF(D953='טבלת פרמטרים'!$A$9,1,0)+IF(E953='טבלת פרמטרים'!$B$5,2,1)+IF(F953='טבלת פרמטרים'!$C$5,3,IF(F953='טבלת פרמטרים'!$C$4,1,0))+IF(G953='טבלת פרמטרים'!$D$3,2,0)+IF(M953='טבלת פרמטרים'!$J$4,2,IF(M953='טבלת פרמטרים'!$J$3,1,0))+IF(N953='טבלת פרמטרים'!$K$6,3,IF(OR(N953='טבלת פרמטרים'!$K$4,N953='טבלת פרמטרים'!$K$5),2,IF(N953='טבלת פרמטרים'!$K$3,1,0))))</f>
        <v/>
      </c>
      <c r="R953" s="19" t="str">
        <f t="shared" si="20"/>
        <v/>
      </c>
      <c r="T953" s="19" t="str">
        <f>IF(EXACT(Q953,'טבלת פרמטרים'!$O$2),'טבלת פרמטרים'!$P$2,IF(EXACT(Q953,'טבלת פרמטרים'!$O$3),'טבלת פרמטרים'!$P$3,IF(EXACT(Q953,'טבלת פרמטרים'!$O$4),'טבלת פרמטרים'!$P$4,IF(EXACT(Q953,'טבלת פרמטרים'!$O$5),'טבלת פרמטרים'!$P$5,IF(EXACT(Q953,'טבלת פרמטרים'!$O$6),'טבלת פרמטרים'!$P$6,IF(EXACT(Q953,'טבלת פרמטרים'!$O$7),'טבלת פרמטרים'!$P$7,""))))))</f>
        <v/>
      </c>
    </row>
    <row r="954" spans="1:20" x14ac:dyDescent="0.2">
      <c r="A954" s="18">
        <v>954</v>
      </c>
      <c r="O954" s="19" t="str">
        <f>IF(ISBLANK(D954),"",IF(D954='טבלת פרמטרים'!$A$9,1,0)+IF(E954='טבלת פרמטרים'!$B$5,2,1)+IF(F954='טבלת פרמטרים'!$C$5,3,IF(F954='טבלת פרמטרים'!$C$4,1,0))+IF(G954='טבלת פרמטרים'!$D$3,2,0)+IF(M954='טבלת פרמטרים'!$J$4,2,IF(M954='טבלת פרמטרים'!$J$3,1,0))+IF(N954='טבלת פרמטרים'!$K$6,3,IF(OR(N954='טבלת פרמטרים'!$K$4,N954='טבלת פרמטרים'!$K$5),2,IF(N954='טבלת פרמטרים'!$K$3,1,0))))</f>
        <v/>
      </c>
      <c r="R954" s="19" t="str">
        <f t="shared" si="20"/>
        <v/>
      </c>
      <c r="T954" s="19" t="str">
        <f>IF(EXACT(Q954,'טבלת פרמטרים'!$O$2),'טבלת פרמטרים'!$P$2,IF(EXACT(Q954,'טבלת פרמטרים'!$O$3),'טבלת פרמטרים'!$P$3,IF(EXACT(Q954,'טבלת פרמטרים'!$O$4),'טבלת פרמטרים'!$P$4,IF(EXACT(Q954,'טבלת פרמטרים'!$O$5),'טבלת פרמטרים'!$P$5,IF(EXACT(Q954,'טבלת פרמטרים'!$O$6),'טבלת פרמטרים'!$P$6,IF(EXACT(Q954,'טבלת פרמטרים'!$O$7),'טבלת פרמטרים'!$P$7,""))))))</f>
        <v/>
      </c>
    </row>
    <row r="955" spans="1:20" x14ac:dyDescent="0.2">
      <c r="A955" s="18">
        <v>955</v>
      </c>
      <c r="O955" s="19" t="str">
        <f>IF(ISBLANK(D955),"",IF(D955='טבלת פרמטרים'!$A$9,1,0)+IF(E955='טבלת פרמטרים'!$B$5,2,1)+IF(F955='טבלת פרמטרים'!$C$5,3,IF(F955='טבלת פרמטרים'!$C$4,1,0))+IF(G955='טבלת פרמטרים'!$D$3,2,0)+IF(M955='טבלת פרמטרים'!$J$4,2,IF(M955='טבלת פרמטרים'!$J$3,1,0))+IF(N955='טבלת פרמטרים'!$K$6,3,IF(OR(N955='טבלת פרמטרים'!$K$4,N955='טבלת פרמטרים'!$K$5),2,IF(N955='טבלת פרמטרים'!$K$3,1,0))))</f>
        <v/>
      </c>
      <c r="R955" s="19" t="str">
        <f t="shared" si="20"/>
        <v/>
      </c>
      <c r="T955" s="19" t="str">
        <f>IF(EXACT(Q955,'טבלת פרמטרים'!$O$2),'טבלת פרמטרים'!$P$2,IF(EXACT(Q955,'טבלת פרמטרים'!$O$3),'טבלת פרמטרים'!$P$3,IF(EXACT(Q955,'טבלת פרמטרים'!$O$4),'טבלת פרמטרים'!$P$4,IF(EXACT(Q955,'טבלת פרמטרים'!$O$5),'טבלת פרמטרים'!$P$5,IF(EXACT(Q955,'טבלת פרמטרים'!$O$6),'טבלת פרמטרים'!$P$6,IF(EXACT(Q955,'טבלת פרמטרים'!$O$7),'טבלת פרמטרים'!$P$7,""))))))</f>
        <v/>
      </c>
    </row>
    <row r="956" spans="1:20" x14ac:dyDescent="0.2">
      <c r="A956" s="18">
        <v>956</v>
      </c>
      <c r="O956" s="19" t="str">
        <f>IF(ISBLANK(D956),"",IF(D956='טבלת פרמטרים'!$A$9,1,0)+IF(E956='טבלת פרמטרים'!$B$5,2,1)+IF(F956='טבלת פרמטרים'!$C$5,3,IF(F956='טבלת פרמטרים'!$C$4,1,0))+IF(G956='טבלת פרמטרים'!$D$3,2,0)+IF(M956='טבלת פרמטרים'!$J$4,2,IF(M956='טבלת פרמטרים'!$J$3,1,0))+IF(N956='טבלת פרמטרים'!$K$6,3,IF(OR(N956='טבלת פרמטרים'!$K$4,N956='טבלת פרמטרים'!$K$5),2,IF(N956='טבלת פרמטרים'!$K$3,1,0))))</f>
        <v/>
      </c>
      <c r="R956" s="19" t="str">
        <f t="shared" si="20"/>
        <v/>
      </c>
      <c r="T956" s="19" t="str">
        <f>IF(EXACT(Q956,'טבלת פרמטרים'!$O$2),'טבלת פרמטרים'!$P$2,IF(EXACT(Q956,'טבלת פרמטרים'!$O$3),'טבלת פרמטרים'!$P$3,IF(EXACT(Q956,'טבלת פרמטרים'!$O$4),'טבלת פרמטרים'!$P$4,IF(EXACT(Q956,'טבלת פרמטרים'!$O$5),'טבלת פרמטרים'!$P$5,IF(EXACT(Q956,'טבלת פרמטרים'!$O$6),'טבלת פרמטרים'!$P$6,IF(EXACT(Q956,'טבלת פרמטרים'!$O$7),'טבלת פרמטרים'!$P$7,""))))))</f>
        <v/>
      </c>
    </row>
    <row r="957" spans="1:20" x14ac:dyDescent="0.2">
      <c r="A957" s="18">
        <v>957</v>
      </c>
      <c r="O957" s="19" t="str">
        <f>IF(ISBLANK(D957),"",IF(D957='טבלת פרמטרים'!$A$9,1,0)+IF(E957='טבלת פרמטרים'!$B$5,2,1)+IF(F957='טבלת פרמטרים'!$C$5,3,IF(F957='טבלת פרמטרים'!$C$4,1,0))+IF(G957='טבלת פרמטרים'!$D$3,2,0)+IF(M957='טבלת פרמטרים'!$J$4,2,IF(M957='טבלת פרמטרים'!$J$3,1,0))+IF(N957='טבלת פרמטרים'!$K$6,3,IF(OR(N957='טבלת פרמטרים'!$K$4,N957='טבלת פרמטרים'!$K$5),2,IF(N957='טבלת פרמטרים'!$K$3,1,0))))</f>
        <v/>
      </c>
      <c r="R957" s="19" t="str">
        <f t="shared" si="20"/>
        <v/>
      </c>
      <c r="T957" s="19" t="str">
        <f>IF(EXACT(Q957,'טבלת פרמטרים'!$O$2),'טבלת פרמטרים'!$P$2,IF(EXACT(Q957,'טבלת פרמטרים'!$O$3),'טבלת פרמטרים'!$P$3,IF(EXACT(Q957,'טבלת פרמטרים'!$O$4),'טבלת פרמטרים'!$P$4,IF(EXACT(Q957,'טבלת פרמטרים'!$O$5),'טבלת פרמטרים'!$P$5,IF(EXACT(Q957,'טבלת פרמטרים'!$O$6),'טבלת פרמטרים'!$P$6,IF(EXACT(Q957,'טבלת פרמטרים'!$O$7),'טבלת פרמטרים'!$P$7,""))))))</f>
        <v/>
      </c>
    </row>
    <row r="958" spans="1:20" x14ac:dyDescent="0.2">
      <c r="A958" s="18">
        <v>958</v>
      </c>
      <c r="O958" s="19" t="str">
        <f>IF(ISBLANK(D958),"",IF(D958='טבלת פרמטרים'!$A$9,1,0)+IF(E958='טבלת פרמטרים'!$B$5,2,1)+IF(F958='טבלת פרמטרים'!$C$5,3,IF(F958='טבלת פרמטרים'!$C$4,1,0))+IF(G958='טבלת פרמטרים'!$D$3,2,0)+IF(M958='טבלת פרמטרים'!$J$4,2,IF(M958='טבלת פרמטרים'!$J$3,1,0))+IF(N958='טבלת פרמטרים'!$K$6,3,IF(OR(N958='טבלת פרמטרים'!$K$4,N958='טבלת פרמטרים'!$K$5),2,IF(N958='טבלת פרמטרים'!$K$3,1,0))))</f>
        <v/>
      </c>
      <c r="R958" s="19" t="str">
        <f t="shared" si="20"/>
        <v/>
      </c>
      <c r="T958" s="19" t="str">
        <f>IF(EXACT(Q958,'טבלת פרמטרים'!$O$2),'טבלת פרמטרים'!$P$2,IF(EXACT(Q958,'טבלת פרמטרים'!$O$3),'טבלת פרמטרים'!$P$3,IF(EXACT(Q958,'טבלת פרמטרים'!$O$4),'טבלת פרמטרים'!$P$4,IF(EXACT(Q958,'טבלת פרמטרים'!$O$5),'טבלת פרמטרים'!$P$5,IF(EXACT(Q958,'טבלת פרמטרים'!$O$6),'טבלת פרמטרים'!$P$6,IF(EXACT(Q958,'טבלת פרמטרים'!$O$7),'טבלת פרמטרים'!$P$7,""))))))</f>
        <v/>
      </c>
    </row>
    <row r="959" spans="1:20" x14ac:dyDescent="0.2">
      <c r="A959" s="18">
        <v>959</v>
      </c>
      <c r="O959" s="19" t="str">
        <f>IF(ISBLANK(D959),"",IF(D959='טבלת פרמטרים'!$A$9,1,0)+IF(E959='טבלת פרמטרים'!$B$5,2,1)+IF(F959='טבלת פרמטרים'!$C$5,3,IF(F959='טבלת פרמטרים'!$C$4,1,0))+IF(G959='טבלת פרמטרים'!$D$3,2,0)+IF(M959='טבלת פרמטרים'!$J$4,2,IF(M959='טבלת פרמטרים'!$J$3,1,0))+IF(N959='טבלת פרמטרים'!$K$6,3,IF(OR(N959='טבלת פרמטרים'!$K$4,N959='טבלת פרמטרים'!$K$5),2,IF(N959='טבלת פרמטרים'!$K$3,1,0))))</f>
        <v/>
      </c>
      <c r="R959" s="19" t="str">
        <f t="shared" si="20"/>
        <v/>
      </c>
      <c r="T959" s="19" t="str">
        <f>IF(EXACT(Q959,'טבלת פרמטרים'!$O$2),'טבלת פרמטרים'!$P$2,IF(EXACT(Q959,'טבלת פרמטרים'!$O$3),'טבלת פרמטרים'!$P$3,IF(EXACT(Q959,'טבלת פרמטרים'!$O$4),'טבלת פרמטרים'!$P$4,IF(EXACT(Q959,'טבלת פרמטרים'!$O$5),'טבלת פרמטרים'!$P$5,IF(EXACT(Q959,'טבלת פרמטרים'!$O$6),'טבלת פרמטרים'!$P$6,IF(EXACT(Q959,'טבלת פרמטרים'!$O$7),'טבלת פרמטרים'!$P$7,""))))))</f>
        <v/>
      </c>
    </row>
    <row r="960" spans="1:20" x14ac:dyDescent="0.2">
      <c r="A960" s="18">
        <v>960</v>
      </c>
      <c r="O960" s="19" t="str">
        <f>IF(ISBLANK(D960),"",IF(D960='טבלת פרמטרים'!$A$9,1,0)+IF(E960='טבלת פרמטרים'!$B$5,2,1)+IF(F960='טבלת פרמטרים'!$C$5,3,IF(F960='טבלת פרמטרים'!$C$4,1,0))+IF(G960='טבלת פרמטרים'!$D$3,2,0)+IF(M960='טבלת פרמטרים'!$J$4,2,IF(M960='טבלת פרמטרים'!$J$3,1,0))+IF(N960='טבלת פרמטרים'!$K$6,3,IF(OR(N960='טבלת פרמטרים'!$K$4,N960='טבלת פרמטרים'!$K$5),2,IF(N960='טבלת פרמטרים'!$K$3,1,0))))</f>
        <v/>
      </c>
      <c r="R960" s="19" t="str">
        <f t="shared" si="20"/>
        <v/>
      </c>
      <c r="T960" s="19" t="str">
        <f>IF(EXACT(Q960,'טבלת פרמטרים'!$O$2),'טבלת פרמטרים'!$P$2,IF(EXACT(Q960,'טבלת פרמטרים'!$O$3),'טבלת פרמטרים'!$P$3,IF(EXACT(Q960,'טבלת פרמטרים'!$O$4),'טבלת פרמטרים'!$P$4,IF(EXACT(Q960,'טבלת פרמטרים'!$O$5),'טבלת פרמטרים'!$P$5,IF(EXACT(Q960,'טבלת פרמטרים'!$O$6),'טבלת פרמטרים'!$P$6,IF(EXACT(Q960,'טבלת פרמטרים'!$O$7),'טבלת פרמטרים'!$P$7,""))))))</f>
        <v/>
      </c>
    </row>
    <row r="961" spans="1:20" x14ac:dyDescent="0.2">
      <c r="A961" s="18">
        <v>961</v>
      </c>
      <c r="O961" s="19" t="str">
        <f>IF(ISBLANK(D961),"",IF(D961='טבלת פרמטרים'!$A$9,1,0)+IF(E961='טבלת פרמטרים'!$B$5,2,1)+IF(F961='טבלת פרמטרים'!$C$5,3,IF(F961='טבלת פרמטרים'!$C$4,1,0))+IF(G961='טבלת פרמטרים'!$D$3,2,0)+IF(M961='טבלת פרמטרים'!$J$4,2,IF(M961='טבלת פרמטרים'!$J$3,1,0))+IF(N961='טבלת פרמטרים'!$K$6,3,IF(OR(N961='טבלת פרמטרים'!$K$4,N961='טבלת פרמטרים'!$K$5),2,IF(N961='טבלת פרמטרים'!$K$3,1,0))))</f>
        <v/>
      </c>
      <c r="R961" s="19" t="str">
        <f t="shared" si="20"/>
        <v/>
      </c>
      <c r="T961" s="19" t="str">
        <f>IF(EXACT(Q961,'טבלת פרמטרים'!$O$2),'טבלת פרמטרים'!$P$2,IF(EXACT(Q961,'טבלת פרמטרים'!$O$3),'טבלת פרמטרים'!$P$3,IF(EXACT(Q961,'טבלת פרמטרים'!$O$4),'טבלת פרמטרים'!$P$4,IF(EXACT(Q961,'טבלת פרמטרים'!$O$5),'טבלת פרמטרים'!$P$5,IF(EXACT(Q961,'טבלת פרמטרים'!$O$6),'טבלת פרמטרים'!$P$6,IF(EXACT(Q961,'טבלת פרמטרים'!$O$7),'טבלת פרמטרים'!$P$7,""))))))</f>
        <v/>
      </c>
    </row>
    <row r="962" spans="1:20" x14ac:dyDescent="0.2">
      <c r="A962" s="18">
        <v>962</v>
      </c>
      <c r="O962" s="19" t="str">
        <f>IF(ISBLANK(D962),"",IF(D962='טבלת פרמטרים'!$A$9,1,0)+IF(E962='טבלת פרמטרים'!$B$5,2,1)+IF(F962='טבלת פרמטרים'!$C$5,3,IF(F962='טבלת פרמטרים'!$C$4,1,0))+IF(G962='טבלת פרמטרים'!$D$3,2,0)+IF(M962='טבלת פרמטרים'!$J$4,2,IF(M962='טבלת פרמטרים'!$J$3,1,0))+IF(N962='טבלת פרמטרים'!$K$6,3,IF(OR(N962='טבלת פרמטרים'!$K$4,N962='טבלת פרמטרים'!$K$5),2,IF(N962='טבלת פרמטרים'!$K$3,1,0))))</f>
        <v/>
      </c>
      <c r="R962" s="19" t="str">
        <f t="shared" si="20"/>
        <v/>
      </c>
      <c r="T962" s="19" t="str">
        <f>IF(EXACT(Q962,'טבלת פרמטרים'!$O$2),'טבלת פרמטרים'!$P$2,IF(EXACT(Q962,'טבלת פרמטרים'!$O$3),'טבלת פרמטרים'!$P$3,IF(EXACT(Q962,'טבלת פרמטרים'!$O$4),'טבלת פרמטרים'!$P$4,IF(EXACT(Q962,'טבלת פרמטרים'!$O$5),'טבלת פרמטרים'!$P$5,IF(EXACT(Q962,'טבלת פרמטרים'!$O$6),'טבלת פרמטרים'!$P$6,IF(EXACT(Q962,'טבלת פרמטרים'!$O$7),'טבלת פרמטרים'!$P$7,""))))))</f>
        <v/>
      </c>
    </row>
    <row r="963" spans="1:20" x14ac:dyDescent="0.2">
      <c r="A963" s="18">
        <v>963</v>
      </c>
      <c r="O963" s="19" t="str">
        <f>IF(ISBLANK(D963),"",IF(D963='טבלת פרמטרים'!$A$9,1,0)+IF(E963='טבלת פרמטרים'!$B$5,2,1)+IF(F963='טבלת פרמטרים'!$C$5,3,IF(F963='טבלת פרמטרים'!$C$4,1,0))+IF(G963='טבלת פרמטרים'!$D$3,2,0)+IF(M963='טבלת פרמטרים'!$J$4,2,IF(M963='טבלת פרמטרים'!$J$3,1,0))+IF(N963='טבלת פרמטרים'!$K$6,3,IF(OR(N963='טבלת פרמטרים'!$K$4,N963='טבלת פרמטרים'!$K$5),2,IF(N963='טבלת פרמטרים'!$K$3,1,0))))</f>
        <v/>
      </c>
      <c r="R963" s="19" t="str">
        <f t="shared" si="20"/>
        <v/>
      </c>
      <c r="T963" s="19" t="str">
        <f>IF(EXACT(Q963,'טבלת פרמטרים'!$O$2),'טבלת פרמטרים'!$P$2,IF(EXACT(Q963,'טבלת פרמטרים'!$O$3),'טבלת פרמטרים'!$P$3,IF(EXACT(Q963,'טבלת פרמטרים'!$O$4),'טבלת פרמטרים'!$P$4,IF(EXACT(Q963,'טבלת פרמטרים'!$O$5),'טבלת פרמטרים'!$P$5,IF(EXACT(Q963,'טבלת פרמטרים'!$O$6),'טבלת פרמטרים'!$P$6,IF(EXACT(Q963,'טבלת פרמטרים'!$O$7),'טבלת פרמטרים'!$P$7,""))))))</f>
        <v/>
      </c>
    </row>
    <row r="964" spans="1:20" x14ac:dyDescent="0.2">
      <c r="A964" s="18">
        <v>964</v>
      </c>
      <c r="O964" s="19" t="str">
        <f>IF(ISBLANK(D964),"",IF(D964='טבלת פרמטרים'!$A$9,1,0)+IF(E964='טבלת פרמטרים'!$B$5,2,1)+IF(F964='טבלת פרמטרים'!$C$5,3,IF(F964='טבלת פרמטרים'!$C$4,1,0))+IF(G964='טבלת פרמטרים'!$D$3,2,0)+IF(M964='טבלת פרמטרים'!$J$4,2,IF(M964='טבלת פרמטרים'!$J$3,1,0))+IF(N964='טבלת פרמטרים'!$K$6,3,IF(OR(N964='טבלת פרמטרים'!$K$4,N964='טבלת פרמטרים'!$K$5),2,IF(N964='טבלת פרמטרים'!$K$3,1,0))))</f>
        <v/>
      </c>
      <c r="R964" s="19" t="str">
        <f t="shared" si="20"/>
        <v/>
      </c>
      <c r="T964" s="19" t="str">
        <f>IF(EXACT(Q964,'טבלת פרמטרים'!$O$2),'טבלת פרמטרים'!$P$2,IF(EXACT(Q964,'טבלת פרמטרים'!$O$3),'טבלת פרמטרים'!$P$3,IF(EXACT(Q964,'טבלת פרמטרים'!$O$4),'טבלת פרמטרים'!$P$4,IF(EXACT(Q964,'טבלת פרמטרים'!$O$5),'טבלת פרמטרים'!$P$5,IF(EXACT(Q964,'טבלת פרמטרים'!$O$6),'טבלת פרמטרים'!$P$6,IF(EXACT(Q964,'טבלת פרמטרים'!$O$7),'טבלת פרמטרים'!$P$7,""))))))</f>
        <v/>
      </c>
    </row>
    <row r="965" spans="1:20" x14ac:dyDescent="0.2">
      <c r="A965" s="18">
        <v>965</v>
      </c>
      <c r="O965" s="19" t="str">
        <f>IF(ISBLANK(D965),"",IF(D965='טבלת פרמטרים'!$A$9,1,0)+IF(E965='טבלת פרמטרים'!$B$5,2,1)+IF(F965='טבלת פרמטרים'!$C$5,3,IF(F965='טבלת פרמטרים'!$C$4,1,0))+IF(G965='טבלת פרמטרים'!$D$3,2,0)+IF(M965='טבלת פרמטרים'!$J$4,2,IF(M965='טבלת פרמטרים'!$J$3,1,0))+IF(N965='טבלת פרמטרים'!$K$6,3,IF(OR(N965='טבלת פרמטרים'!$K$4,N965='טבלת פרמטרים'!$K$5),2,IF(N965='טבלת פרמטרים'!$K$3,1,0))))</f>
        <v/>
      </c>
      <c r="R965" s="19" t="str">
        <f t="shared" si="20"/>
        <v/>
      </c>
      <c r="T965" s="19" t="str">
        <f>IF(EXACT(Q965,'טבלת פרמטרים'!$O$2),'טבלת פרמטרים'!$P$2,IF(EXACT(Q965,'טבלת פרמטרים'!$O$3),'טבלת פרמטרים'!$P$3,IF(EXACT(Q965,'טבלת פרמטרים'!$O$4),'טבלת פרמטרים'!$P$4,IF(EXACT(Q965,'טבלת פרמטרים'!$O$5),'טבלת פרמטרים'!$P$5,IF(EXACT(Q965,'טבלת פרמטרים'!$O$6),'טבלת פרמטרים'!$P$6,IF(EXACT(Q965,'טבלת פרמטרים'!$O$7),'טבלת פרמטרים'!$P$7,""))))))</f>
        <v/>
      </c>
    </row>
    <row r="966" spans="1:20" x14ac:dyDescent="0.2">
      <c r="A966" s="18">
        <v>966</v>
      </c>
      <c r="O966" s="19" t="str">
        <f>IF(ISBLANK(D966),"",IF(D966='טבלת פרמטרים'!$A$9,1,0)+IF(E966='טבלת פרמטרים'!$B$5,2,1)+IF(F966='טבלת פרמטרים'!$C$5,3,IF(F966='טבלת פרמטרים'!$C$4,1,0))+IF(G966='טבלת פרמטרים'!$D$3,2,0)+IF(M966='טבלת פרמטרים'!$J$4,2,IF(M966='טבלת פרמטרים'!$J$3,1,0))+IF(N966='טבלת פרמטרים'!$K$6,3,IF(OR(N966='טבלת פרמטרים'!$K$4,N966='טבלת פרמטרים'!$K$5),2,IF(N966='טבלת פרמטרים'!$K$3,1,0))))</f>
        <v/>
      </c>
      <c r="R966" s="19" t="str">
        <f t="shared" si="20"/>
        <v/>
      </c>
      <c r="T966" s="19" t="str">
        <f>IF(EXACT(Q966,'טבלת פרמטרים'!$O$2),'טבלת פרמטרים'!$P$2,IF(EXACT(Q966,'טבלת פרמטרים'!$O$3),'טבלת פרמטרים'!$P$3,IF(EXACT(Q966,'טבלת פרמטרים'!$O$4),'טבלת פרמטרים'!$P$4,IF(EXACT(Q966,'טבלת פרמטרים'!$O$5),'טבלת פרמטרים'!$P$5,IF(EXACT(Q966,'טבלת פרמטרים'!$O$6),'טבלת פרמטרים'!$P$6,IF(EXACT(Q966,'טבלת פרמטרים'!$O$7),'טבלת פרמטרים'!$P$7,""))))))</f>
        <v/>
      </c>
    </row>
    <row r="967" spans="1:20" x14ac:dyDescent="0.2">
      <c r="A967" s="18">
        <v>967</v>
      </c>
      <c r="O967" s="19" t="str">
        <f>IF(ISBLANK(D967),"",IF(D967='טבלת פרמטרים'!$A$9,1,0)+IF(E967='טבלת פרמטרים'!$B$5,2,1)+IF(F967='טבלת פרמטרים'!$C$5,3,IF(F967='טבלת פרמטרים'!$C$4,1,0))+IF(G967='טבלת פרמטרים'!$D$3,2,0)+IF(M967='טבלת פרמטרים'!$J$4,2,IF(M967='טבלת פרמטרים'!$J$3,1,0))+IF(N967='טבלת פרמטרים'!$K$6,3,IF(OR(N967='טבלת פרמטרים'!$K$4,N967='טבלת פרמטרים'!$K$5),2,IF(N967='טבלת פרמטרים'!$K$3,1,0))))</f>
        <v/>
      </c>
      <c r="R967" s="19" t="str">
        <f t="shared" si="20"/>
        <v/>
      </c>
      <c r="T967" s="19" t="str">
        <f>IF(EXACT(Q967,'טבלת פרמטרים'!$O$2),'טבלת פרמטרים'!$P$2,IF(EXACT(Q967,'טבלת פרמטרים'!$O$3),'טבלת פרמטרים'!$P$3,IF(EXACT(Q967,'טבלת פרמטרים'!$O$4),'טבלת פרמטרים'!$P$4,IF(EXACT(Q967,'טבלת פרמטרים'!$O$5),'טבלת פרמטרים'!$P$5,IF(EXACT(Q967,'טבלת פרמטרים'!$O$6),'טבלת פרמטרים'!$P$6,IF(EXACT(Q967,'טבלת פרמטרים'!$O$7),'טבלת פרמטרים'!$P$7,""))))))</f>
        <v/>
      </c>
    </row>
    <row r="968" spans="1:20" x14ac:dyDescent="0.2">
      <c r="A968" s="18">
        <v>968</v>
      </c>
      <c r="O968" s="19" t="str">
        <f>IF(ISBLANK(D968),"",IF(D968='טבלת פרמטרים'!$A$9,1,0)+IF(E968='טבלת פרמטרים'!$B$5,2,1)+IF(F968='טבלת פרמטרים'!$C$5,3,IF(F968='טבלת פרמטרים'!$C$4,1,0))+IF(G968='טבלת פרמטרים'!$D$3,2,0)+IF(M968='טבלת פרמטרים'!$J$4,2,IF(M968='טבלת פרמטרים'!$J$3,1,0))+IF(N968='טבלת פרמטרים'!$K$6,3,IF(OR(N968='טבלת פרמטרים'!$K$4,N968='טבלת פרמטרים'!$K$5),2,IF(N968='טבלת פרמטרים'!$K$3,1,0))))</f>
        <v/>
      </c>
      <c r="R968" s="19" t="str">
        <f t="shared" si="20"/>
        <v/>
      </c>
      <c r="T968" s="19" t="str">
        <f>IF(EXACT(Q968,'טבלת פרמטרים'!$O$2),'טבלת פרמטרים'!$P$2,IF(EXACT(Q968,'טבלת פרמטרים'!$O$3),'טבלת פרמטרים'!$P$3,IF(EXACT(Q968,'טבלת פרמטרים'!$O$4),'טבלת פרמטרים'!$P$4,IF(EXACT(Q968,'טבלת פרמטרים'!$O$5),'טבלת פרמטרים'!$P$5,IF(EXACT(Q968,'טבלת פרמטרים'!$O$6),'טבלת פרמטרים'!$P$6,IF(EXACT(Q968,'טבלת פרמטרים'!$O$7),'טבלת פרמטרים'!$P$7,""))))))</f>
        <v/>
      </c>
    </row>
    <row r="969" spans="1:20" x14ac:dyDescent="0.2">
      <c r="A969" s="18">
        <v>969</v>
      </c>
      <c r="O969" s="19" t="str">
        <f>IF(ISBLANK(D969),"",IF(D969='טבלת פרמטרים'!$A$9,1,0)+IF(E969='טבלת פרמטרים'!$B$5,2,1)+IF(F969='טבלת פרמטרים'!$C$5,3,IF(F969='טבלת פרמטרים'!$C$4,1,0))+IF(G969='טבלת פרמטרים'!$D$3,2,0)+IF(M969='טבלת פרמטרים'!$J$4,2,IF(M969='טבלת פרמטרים'!$J$3,1,0))+IF(N969='טבלת פרמטרים'!$K$6,3,IF(OR(N969='טבלת פרמטרים'!$K$4,N969='טבלת פרמטרים'!$K$5),2,IF(N969='טבלת פרמטרים'!$K$3,1,0))))</f>
        <v/>
      </c>
      <c r="R969" s="19" t="str">
        <f t="shared" si="20"/>
        <v/>
      </c>
      <c r="T969" s="19" t="str">
        <f>IF(EXACT(Q969,'טבלת פרמטרים'!$O$2),'טבלת פרמטרים'!$P$2,IF(EXACT(Q969,'טבלת פרמטרים'!$O$3),'טבלת פרמטרים'!$P$3,IF(EXACT(Q969,'טבלת פרמטרים'!$O$4),'טבלת פרמטרים'!$P$4,IF(EXACT(Q969,'טבלת פרמטרים'!$O$5),'טבלת פרמטרים'!$P$5,IF(EXACT(Q969,'טבלת פרמטרים'!$O$6),'טבלת פרמטרים'!$P$6,IF(EXACT(Q969,'טבלת פרמטרים'!$O$7),'טבלת פרמטרים'!$P$7,""))))))</f>
        <v/>
      </c>
    </row>
    <row r="970" spans="1:20" x14ac:dyDescent="0.2">
      <c r="A970" s="18">
        <v>970</v>
      </c>
      <c r="O970" s="19" t="str">
        <f>IF(ISBLANK(D970),"",IF(D970='טבלת פרמטרים'!$A$9,1,0)+IF(E970='טבלת פרמטרים'!$B$5,2,1)+IF(F970='טבלת פרמטרים'!$C$5,3,IF(F970='טבלת פרמטרים'!$C$4,1,0))+IF(G970='טבלת פרמטרים'!$D$3,2,0)+IF(M970='טבלת פרמטרים'!$J$4,2,IF(M970='טבלת פרמטרים'!$J$3,1,0))+IF(N970='טבלת פרמטרים'!$K$6,3,IF(OR(N970='טבלת פרמטרים'!$K$4,N970='טבלת פרמטרים'!$K$5),2,IF(N970='טבלת פרמטרים'!$K$3,1,0))))</f>
        <v/>
      </c>
      <c r="R970" s="19" t="str">
        <f t="shared" si="20"/>
        <v/>
      </c>
      <c r="T970" s="19" t="str">
        <f>IF(EXACT(Q970,'טבלת פרמטרים'!$O$2),'טבלת פרמטרים'!$P$2,IF(EXACT(Q970,'טבלת פרמטרים'!$O$3),'טבלת פרמטרים'!$P$3,IF(EXACT(Q970,'טבלת פרמטרים'!$O$4),'טבלת פרמטרים'!$P$4,IF(EXACT(Q970,'טבלת פרמטרים'!$O$5),'טבלת פרמטרים'!$P$5,IF(EXACT(Q970,'טבלת פרמטרים'!$O$6),'טבלת פרמטרים'!$P$6,IF(EXACT(Q970,'טבלת פרמטרים'!$O$7),'טבלת פרמטרים'!$P$7,""))))))</f>
        <v/>
      </c>
    </row>
    <row r="971" spans="1:20" x14ac:dyDescent="0.2">
      <c r="A971" s="18">
        <v>971</v>
      </c>
      <c r="O971" s="19" t="str">
        <f>IF(ISBLANK(D971),"",IF(D971='טבלת פרמטרים'!$A$9,1,0)+IF(E971='טבלת פרמטרים'!$B$5,2,1)+IF(F971='טבלת פרמטרים'!$C$5,3,IF(F971='טבלת פרמטרים'!$C$4,1,0))+IF(G971='טבלת פרמטרים'!$D$3,2,0)+IF(M971='טבלת פרמטרים'!$J$4,2,IF(M971='טבלת פרמטרים'!$J$3,1,0))+IF(N971='טבלת פרמטרים'!$K$6,3,IF(OR(N971='טבלת פרמטרים'!$K$4,N971='טבלת פרמטרים'!$K$5),2,IF(N971='טבלת פרמטרים'!$K$3,1,0))))</f>
        <v/>
      </c>
      <c r="R971" s="19" t="str">
        <f t="shared" si="20"/>
        <v/>
      </c>
      <c r="T971" s="19" t="str">
        <f>IF(EXACT(Q971,'טבלת פרמטרים'!$O$2),'טבלת פרמטרים'!$P$2,IF(EXACT(Q971,'טבלת פרמטרים'!$O$3),'טבלת פרמטרים'!$P$3,IF(EXACT(Q971,'טבלת פרמטרים'!$O$4),'טבלת פרמטרים'!$P$4,IF(EXACT(Q971,'טבלת פרמטרים'!$O$5),'טבלת פרמטרים'!$P$5,IF(EXACT(Q971,'טבלת פרמטרים'!$O$6),'טבלת פרמטרים'!$P$6,IF(EXACT(Q971,'טבלת פרמטרים'!$O$7),'טבלת פרמטרים'!$P$7,""))))))</f>
        <v/>
      </c>
    </row>
    <row r="972" spans="1:20" x14ac:dyDescent="0.2">
      <c r="A972" s="18">
        <v>972</v>
      </c>
      <c r="O972" s="19" t="str">
        <f>IF(ISBLANK(D972),"",IF(D972='טבלת פרמטרים'!$A$9,1,0)+IF(E972='טבלת פרמטרים'!$B$5,2,1)+IF(F972='טבלת פרמטרים'!$C$5,3,IF(F972='טבלת פרמטרים'!$C$4,1,0))+IF(G972='טבלת פרמטרים'!$D$3,2,0)+IF(M972='טבלת פרמטרים'!$J$4,2,IF(M972='טבלת פרמטרים'!$J$3,1,0))+IF(N972='טבלת פרמטרים'!$K$6,3,IF(OR(N972='טבלת פרמטרים'!$K$4,N972='טבלת פרמטרים'!$K$5),2,IF(N972='טבלת פרמטרים'!$K$3,1,0))))</f>
        <v/>
      </c>
      <c r="R972" s="19" t="str">
        <f t="shared" si="20"/>
        <v/>
      </c>
      <c r="T972" s="19" t="str">
        <f>IF(EXACT(Q972,'טבלת פרמטרים'!$O$2),'טבלת פרמטרים'!$P$2,IF(EXACT(Q972,'טבלת פרמטרים'!$O$3),'טבלת פרמטרים'!$P$3,IF(EXACT(Q972,'טבלת פרמטרים'!$O$4),'טבלת פרמטרים'!$P$4,IF(EXACT(Q972,'טבלת פרמטרים'!$O$5),'טבלת פרמטרים'!$P$5,IF(EXACT(Q972,'טבלת פרמטרים'!$O$6),'טבלת פרמטרים'!$P$6,IF(EXACT(Q972,'טבלת פרמטרים'!$O$7),'טבלת פרמטרים'!$P$7,""))))))</f>
        <v/>
      </c>
    </row>
    <row r="973" spans="1:20" x14ac:dyDescent="0.2">
      <c r="A973" s="18">
        <v>973</v>
      </c>
      <c r="O973" s="19" t="str">
        <f>IF(ISBLANK(D973),"",IF(D973='טבלת פרמטרים'!$A$9,1,0)+IF(E973='טבלת פרמטרים'!$B$5,2,1)+IF(F973='טבלת פרמטרים'!$C$5,3,IF(F973='טבלת פרמטרים'!$C$4,1,0))+IF(G973='טבלת פרמטרים'!$D$3,2,0)+IF(M973='טבלת פרמטרים'!$J$4,2,IF(M973='טבלת פרמטרים'!$J$3,1,0))+IF(N973='טבלת פרמטרים'!$K$6,3,IF(OR(N973='טבלת פרמטרים'!$K$4,N973='טבלת פרמטרים'!$K$5),2,IF(N973='טבלת פרמטרים'!$K$3,1,0))))</f>
        <v/>
      </c>
      <c r="R973" s="19" t="str">
        <f t="shared" si="20"/>
        <v/>
      </c>
      <c r="T973" s="19" t="str">
        <f>IF(EXACT(Q973,'טבלת פרמטרים'!$O$2),'טבלת פרמטרים'!$P$2,IF(EXACT(Q973,'טבלת פרמטרים'!$O$3),'טבלת פרמטרים'!$P$3,IF(EXACT(Q973,'טבלת פרמטרים'!$O$4),'טבלת פרמטרים'!$P$4,IF(EXACT(Q973,'טבלת פרמטרים'!$O$5),'טבלת פרמטרים'!$P$5,IF(EXACT(Q973,'טבלת פרמטרים'!$O$6),'טבלת פרמטרים'!$P$6,IF(EXACT(Q973,'טבלת פרמטרים'!$O$7),'טבלת פרמטרים'!$P$7,""))))))</f>
        <v/>
      </c>
    </row>
    <row r="974" spans="1:20" x14ac:dyDescent="0.2">
      <c r="A974" s="18">
        <v>974</v>
      </c>
      <c r="O974" s="19" t="str">
        <f>IF(ISBLANK(D974),"",IF(D974='טבלת פרמטרים'!$A$9,1,0)+IF(E974='טבלת פרמטרים'!$B$5,2,1)+IF(F974='טבלת פרמטרים'!$C$5,3,IF(F974='טבלת פרמטרים'!$C$4,1,0))+IF(G974='טבלת פרמטרים'!$D$3,2,0)+IF(M974='טבלת פרמטרים'!$J$4,2,IF(M974='טבלת פרמטרים'!$J$3,1,0))+IF(N974='טבלת פרמטרים'!$K$6,3,IF(OR(N974='טבלת פרמטרים'!$K$4,N974='טבלת פרמטרים'!$K$5),2,IF(N974='טבלת פרמטרים'!$K$3,1,0))))</f>
        <v/>
      </c>
      <c r="R974" s="19" t="str">
        <f t="shared" si="20"/>
        <v/>
      </c>
      <c r="T974" s="19" t="str">
        <f>IF(EXACT(Q974,'טבלת פרמטרים'!$O$2),'טבלת פרמטרים'!$P$2,IF(EXACT(Q974,'טבלת פרמטרים'!$O$3),'טבלת פרמטרים'!$P$3,IF(EXACT(Q974,'טבלת פרמטרים'!$O$4),'טבלת פרמטרים'!$P$4,IF(EXACT(Q974,'טבלת פרמטרים'!$O$5),'טבלת פרמטרים'!$P$5,IF(EXACT(Q974,'טבלת פרמטרים'!$O$6),'טבלת פרמטרים'!$P$6,IF(EXACT(Q974,'טבלת פרמטרים'!$O$7),'טבלת פרמטרים'!$P$7,""))))))</f>
        <v/>
      </c>
    </row>
    <row r="975" spans="1:20" x14ac:dyDescent="0.2">
      <c r="A975" s="18">
        <v>975</v>
      </c>
      <c r="O975" s="19" t="str">
        <f>IF(ISBLANK(D975),"",IF(D975='טבלת פרמטרים'!$A$9,1,0)+IF(E975='טבלת פרמטרים'!$B$5,2,1)+IF(F975='טבלת פרמטרים'!$C$5,3,IF(F975='טבלת פרמטרים'!$C$4,1,0))+IF(G975='טבלת פרמטרים'!$D$3,2,0)+IF(M975='טבלת פרמטרים'!$J$4,2,IF(M975='טבלת פרמטרים'!$J$3,1,0))+IF(N975='טבלת פרמטרים'!$K$6,3,IF(OR(N975='טבלת פרמטרים'!$K$4,N975='טבלת פרמטרים'!$K$5),2,IF(N975='טבלת פרמטרים'!$K$3,1,0))))</f>
        <v/>
      </c>
      <c r="R975" s="19" t="str">
        <f t="shared" si="20"/>
        <v/>
      </c>
      <c r="T975" s="19" t="str">
        <f>IF(EXACT(Q975,'טבלת פרמטרים'!$O$2),'טבלת פרמטרים'!$P$2,IF(EXACT(Q975,'טבלת פרמטרים'!$O$3),'טבלת פרמטרים'!$P$3,IF(EXACT(Q975,'טבלת פרמטרים'!$O$4),'טבלת פרמטרים'!$P$4,IF(EXACT(Q975,'טבלת פרמטרים'!$O$5),'טבלת פרמטרים'!$P$5,IF(EXACT(Q975,'טבלת פרמטרים'!$O$6),'טבלת פרמטרים'!$P$6,IF(EXACT(Q975,'טבלת פרמטרים'!$O$7),'טבלת פרמטרים'!$P$7,""))))))</f>
        <v/>
      </c>
    </row>
    <row r="976" spans="1:20" x14ac:dyDescent="0.2">
      <c r="A976" s="18">
        <v>976</v>
      </c>
      <c r="O976" s="19" t="str">
        <f>IF(ISBLANK(D976),"",IF(D976='טבלת פרמטרים'!$A$9,1,0)+IF(E976='טבלת פרמטרים'!$B$5,2,1)+IF(F976='טבלת פרמטרים'!$C$5,3,IF(F976='טבלת פרמטרים'!$C$4,1,0))+IF(G976='טבלת פרמטרים'!$D$3,2,0)+IF(M976='טבלת פרמטרים'!$J$4,2,IF(M976='טבלת פרמטרים'!$J$3,1,0))+IF(N976='טבלת פרמטרים'!$K$6,3,IF(OR(N976='טבלת פרמטרים'!$K$4,N976='טבלת פרמטרים'!$K$5),2,IF(N976='טבלת פרמטרים'!$K$3,1,0))))</f>
        <v/>
      </c>
      <c r="R976" s="19" t="str">
        <f t="shared" si="20"/>
        <v/>
      </c>
      <c r="T976" s="19" t="str">
        <f>IF(EXACT(Q976,'טבלת פרמטרים'!$O$2),'טבלת פרמטרים'!$P$2,IF(EXACT(Q976,'טבלת פרמטרים'!$O$3),'טבלת פרמטרים'!$P$3,IF(EXACT(Q976,'טבלת פרמטרים'!$O$4),'טבלת פרמטרים'!$P$4,IF(EXACT(Q976,'טבלת פרמטרים'!$O$5),'טבלת פרמטרים'!$P$5,IF(EXACT(Q976,'טבלת פרמטרים'!$O$6),'טבלת פרמטרים'!$P$6,IF(EXACT(Q976,'טבלת פרמטרים'!$O$7),'טבלת פרמטרים'!$P$7,""))))))</f>
        <v/>
      </c>
    </row>
    <row r="977" spans="1:20" x14ac:dyDescent="0.2">
      <c r="A977" s="18">
        <v>977</v>
      </c>
      <c r="O977" s="19" t="str">
        <f>IF(ISBLANK(D977),"",IF(D977='טבלת פרמטרים'!$A$9,1,0)+IF(E977='טבלת פרמטרים'!$B$5,2,1)+IF(F977='טבלת פרמטרים'!$C$5,3,IF(F977='טבלת פרמטרים'!$C$4,1,0))+IF(G977='טבלת פרמטרים'!$D$3,2,0)+IF(M977='טבלת פרמטרים'!$J$4,2,IF(M977='טבלת פרמטרים'!$J$3,1,0))+IF(N977='טבלת פרמטרים'!$K$6,3,IF(OR(N977='טבלת פרמטרים'!$K$4,N977='טבלת פרמטרים'!$K$5),2,IF(N977='טבלת פרמטרים'!$K$3,1,0))))</f>
        <v/>
      </c>
      <c r="R977" s="19" t="str">
        <f t="shared" si="20"/>
        <v/>
      </c>
      <c r="T977" s="19" t="str">
        <f>IF(EXACT(Q977,'טבלת פרמטרים'!$O$2),'טבלת פרמטרים'!$P$2,IF(EXACT(Q977,'טבלת פרמטרים'!$O$3),'טבלת פרמטרים'!$P$3,IF(EXACT(Q977,'טבלת פרמטרים'!$O$4),'טבלת פרמטרים'!$P$4,IF(EXACT(Q977,'טבלת פרמטרים'!$O$5),'טבלת פרמטרים'!$P$5,IF(EXACT(Q977,'טבלת פרמטרים'!$O$6),'טבלת פרמטרים'!$P$6,IF(EXACT(Q977,'טבלת פרמטרים'!$O$7),'טבלת פרמטרים'!$P$7,""))))))</f>
        <v/>
      </c>
    </row>
    <row r="978" spans="1:20" x14ac:dyDescent="0.2">
      <c r="A978" s="18">
        <v>978</v>
      </c>
      <c r="O978" s="19" t="str">
        <f>IF(ISBLANK(D978),"",IF(D978='טבלת פרמטרים'!$A$9,1,0)+IF(E978='טבלת פרמטרים'!$B$5,2,1)+IF(F978='טבלת פרמטרים'!$C$5,3,IF(F978='טבלת פרמטרים'!$C$4,1,0))+IF(G978='טבלת פרמטרים'!$D$3,2,0)+IF(M978='טבלת פרמטרים'!$J$4,2,IF(M978='טבלת פרמטרים'!$J$3,1,0))+IF(N978='טבלת פרמטרים'!$K$6,3,IF(OR(N978='טבלת פרמטרים'!$K$4,N978='טבלת פרמטרים'!$K$5),2,IF(N978='טבלת פרמטרים'!$K$3,1,0))))</f>
        <v/>
      </c>
      <c r="R978" s="19" t="str">
        <f t="shared" si="20"/>
        <v/>
      </c>
      <c r="T978" s="19" t="str">
        <f>IF(EXACT(Q978,'טבלת פרמטרים'!$O$2),'טבלת פרמטרים'!$P$2,IF(EXACT(Q978,'טבלת פרמטרים'!$O$3),'טבלת פרמטרים'!$P$3,IF(EXACT(Q978,'טבלת פרמטרים'!$O$4),'טבלת פרמטרים'!$P$4,IF(EXACT(Q978,'טבלת פרמטרים'!$O$5),'טבלת פרמטרים'!$P$5,IF(EXACT(Q978,'טבלת פרמטרים'!$O$6),'טבלת פרמטרים'!$P$6,IF(EXACT(Q978,'טבלת פרמטרים'!$O$7),'טבלת פרמטרים'!$P$7,""))))))</f>
        <v/>
      </c>
    </row>
    <row r="979" spans="1:20" x14ac:dyDescent="0.2">
      <c r="A979" s="18">
        <v>979</v>
      </c>
      <c r="O979" s="19" t="str">
        <f>IF(ISBLANK(D979),"",IF(D979='טבלת פרמטרים'!$A$9,1,0)+IF(E979='טבלת פרמטרים'!$B$5,2,1)+IF(F979='טבלת פרמטרים'!$C$5,3,IF(F979='טבלת פרמטרים'!$C$4,1,0))+IF(G979='טבלת פרמטרים'!$D$3,2,0)+IF(M979='טבלת פרמטרים'!$J$4,2,IF(M979='טבלת פרמטרים'!$J$3,1,0))+IF(N979='טבלת פרמטרים'!$K$6,3,IF(OR(N979='טבלת פרמטרים'!$K$4,N979='טבלת פרמטרים'!$K$5),2,IF(N979='טבלת פרמטרים'!$K$3,1,0))))</f>
        <v/>
      </c>
      <c r="R979" s="19" t="str">
        <f t="shared" si="20"/>
        <v/>
      </c>
      <c r="T979" s="19" t="str">
        <f>IF(EXACT(Q979,'טבלת פרמטרים'!$O$2),'טבלת פרמטרים'!$P$2,IF(EXACT(Q979,'טבלת פרמטרים'!$O$3),'טבלת פרמטרים'!$P$3,IF(EXACT(Q979,'טבלת פרמטרים'!$O$4),'טבלת פרמטרים'!$P$4,IF(EXACT(Q979,'טבלת פרמטרים'!$O$5),'טבלת פרמטרים'!$P$5,IF(EXACT(Q979,'טבלת פרמטרים'!$O$6),'טבלת פרמטרים'!$P$6,IF(EXACT(Q979,'טבלת פרמטרים'!$O$7),'טבלת פרמטרים'!$P$7,""))))))</f>
        <v/>
      </c>
    </row>
    <row r="980" spans="1:20" x14ac:dyDescent="0.2">
      <c r="A980" s="18">
        <v>980</v>
      </c>
      <c r="O980" s="19" t="str">
        <f>IF(ISBLANK(D980),"",IF(D980='טבלת פרמטרים'!$A$9,1,0)+IF(E980='טבלת פרמטרים'!$B$5,2,1)+IF(F980='טבלת פרמטרים'!$C$5,3,IF(F980='טבלת פרמטרים'!$C$4,1,0))+IF(G980='טבלת פרמטרים'!$D$3,2,0)+IF(M980='טבלת פרמטרים'!$J$4,2,IF(M980='טבלת פרמטרים'!$J$3,1,0))+IF(N980='טבלת פרמטרים'!$K$6,3,IF(OR(N980='טבלת פרמטרים'!$K$4,N980='טבלת פרמטרים'!$K$5),2,IF(N980='טבלת פרמטרים'!$K$3,1,0))))</f>
        <v/>
      </c>
      <c r="R980" s="19" t="str">
        <f t="shared" si="20"/>
        <v/>
      </c>
      <c r="T980" s="19" t="str">
        <f>IF(EXACT(Q980,'טבלת פרמטרים'!$O$2),'טבלת פרמטרים'!$P$2,IF(EXACT(Q980,'טבלת פרמטרים'!$O$3),'טבלת פרמטרים'!$P$3,IF(EXACT(Q980,'טבלת פרמטרים'!$O$4),'טבלת פרמטרים'!$P$4,IF(EXACT(Q980,'טבלת פרמטרים'!$O$5),'טבלת פרמטרים'!$P$5,IF(EXACT(Q980,'טבלת פרמטרים'!$O$6),'טבלת פרמטרים'!$P$6,IF(EXACT(Q980,'טבלת פרמטרים'!$O$7),'טבלת פרמטרים'!$P$7,""))))))</f>
        <v/>
      </c>
    </row>
    <row r="981" spans="1:20" x14ac:dyDescent="0.2">
      <c r="A981" s="18">
        <v>981</v>
      </c>
      <c r="O981" s="19" t="str">
        <f>IF(ISBLANK(D981),"",IF(D981='טבלת פרמטרים'!$A$9,1,0)+IF(E981='טבלת פרמטרים'!$B$5,2,1)+IF(F981='טבלת פרמטרים'!$C$5,3,IF(F981='טבלת פרמטרים'!$C$4,1,0))+IF(G981='טבלת פרמטרים'!$D$3,2,0)+IF(M981='טבלת פרמטרים'!$J$4,2,IF(M981='טבלת פרמטרים'!$J$3,1,0))+IF(N981='טבלת פרמטרים'!$K$6,3,IF(OR(N981='טבלת פרמטרים'!$K$4,N981='טבלת פרמטרים'!$K$5),2,IF(N981='טבלת פרמטרים'!$K$3,1,0))))</f>
        <v/>
      </c>
      <c r="R981" s="19" t="str">
        <f t="shared" ref="R981:R1015" si="21">IF(ISNUMBER(T981),T981+O981,O981)</f>
        <v/>
      </c>
      <c r="T981" s="19" t="str">
        <f>IF(EXACT(Q981,'טבלת פרמטרים'!$O$2),'טבלת פרמטרים'!$P$2,IF(EXACT(Q981,'טבלת פרמטרים'!$O$3),'טבלת פרמטרים'!$P$3,IF(EXACT(Q981,'טבלת פרמטרים'!$O$4),'טבלת פרמטרים'!$P$4,IF(EXACT(Q981,'טבלת פרמטרים'!$O$5),'טבלת פרמטרים'!$P$5,IF(EXACT(Q981,'טבלת פרמטרים'!$O$6),'טבלת פרמטרים'!$P$6,IF(EXACT(Q981,'טבלת פרמטרים'!$O$7),'טבלת פרמטרים'!$P$7,""))))))</f>
        <v/>
      </c>
    </row>
    <row r="982" spans="1:20" x14ac:dyDescent="0.2">
      <c r="A982" s="18">
        <v>982</v>
      </c>
      <c r="O982" s="19" t="str">
        <f>IF(ISBLANK(D982),"",IF(D982='טבלת פרמטרים'!$A$9,1,0)+IF(E982='טבלת פרמטרים'!$B$5,2,1)+IF(F982='טבלת פרמטרים'!$C$5,3,IF(F982='טבלת פרמטרים'!$C$4,1,0))+IF(G982='טבלת פרמטרים'!$D$3,2,0)+IF(M982='טבלת פרמטרים'!$J$4,2,IF(M982='טבלת פרמטרים'!$J$3,1,0))+IF(N982='טבלת פרמטרים'!$K$6,3,IF(OR(N982='טבלת פרמטרים'!$K$4,N982='טבלת פרמטרים'!$K$5),2,IF(N982='טבלת פרמטרים'!$K$3,1,0))))</f>
        <v/>
      </c>
      <c r="R982" s="19" t="str">
        <f t="shared" si="21"/>
        <v/>
      </c>
      <c r="T982" s="19" t="str">
        <f>IF(EXACT(Q982,'טבלת פרמטרים'!$O$2),'טבלת פרמטרים'!$P$2,IF(EXACT(Q982,'טבלת פרמטרים'!$O$3),'טבלת פרמטרים'!$P$3,IF(EXACT(Q982,'טבלת פרמטרים'!$O$4),'טבלת פרמטרים'!$P$4,IF(EXACT(Q982,'טבלת פרמטרים'!$O$5),'טבלת פרמטרים'!$P$5,IF(EXACT(Q982,'טבלת פרמטרים'!$O$6),'טבלת פרמטרים'!$P$6,IF(EXACT(Q982,'טבלת פרמטרים'!$O$7),'טבלת פרמטרים'!$P$7,""))))))</f>
        <v/>
      </c>
    </row>
    <row r="983" spans="1:20" x14ac:dyDescent="0.2">
      <c r="A983" s="18">
        <v>983</v>
      </c>
      <c r="O983" s="19" t="str">
        <f>IF(ISBLANK(D983),"",IF(D983='טבלת פרמטרים'!$A$9,1,0)+IF(E983='טבלת פרמטרים'!$B$5,2,1)+IF(F983='טבלת פרמטרים'!$C$5,3,IF(F983='טבלת פרמטרים'!$C$4,1,0))+IF(G983='טבלת פרמטרים'!$D$3,2,0)+IF(M983='טבלת פרמטרים'!$J$4,2,IF(M983='טבלת פרמטרים'!$J$3,1,0))+IF(N983='טבלת פרמטרים'!$K$6,3,IF(OR(N983='טבלת פרמטרים'!$K$4,N983='טבלת פרמטרים'!$K$5),2,IF(N983='טבלת פרמטרים'!$K$3,1,0))))</f>
        <v/>
      </c>
      <c r="R983" s="19" t="str">
        <f t="shared" si="21"/>
        <v/>
      </c>
      <c r="T983" s="19" t="str">
        <f>IF(EXACT(Q983,'טבלת פרמטרים'!$O$2),'טבלת פרמטרים'!$P$2,IF(EXACT(Q983,'טבלת פרמטרים'!$O$3),'טבלת פרמטרים'!$P$3,IF(EXACT(Q983,'טבלת פרמטרים'!$O$4),'טבלת פרמטרים'!$P$4,IF(EXACT(Q983,'טבלת פרמטרים'!$O$5),'טבלת פרמטרים'!$P$5,IF(EXACT(Q983,'טבלת פרמטרים'!$O$6),'טבלת פרמטרים'!$P$6,IF(EXACT(Q983,'טבלת פרמטרים'!$O$7),'טבלת פרמטרים'!$P$7,""))))))</f>
        <v/>
      </c>
    </row>
    <row r="984" spans="1:20" x14ac:dyDescent="0.2">
      <c r="A984" s="18">
        <v>984</v>
      </c>
      <c r="O984" s="19" t="str">
        <f>IF(ISBLANK(D984),"",IF(D984='טבלת פרמטרים'!$A$9,1,0)+IF(E984='טבלת פרמטרים'!$B$5,2,1)+IF(F984='טבלת פרמטרים'!$C$5,3,IF(F984='טבלת פרמטרים'!$C$4,1,0))+IF(G984='טבלת פרמטרים'!$D$3,2,0)+IF(M984='טבלת פרמטרים'!$J$4,2,IF(M984='טבלת פרמטרים'!$J$3,1,0))+IF(N984='טבלת פרמטרים'!$K$6,3,IF(OR(N984='טבלת פרמטרים'!$K$4,N984='טבלת פרמטרים'!$K$5),2,IF(N984='טבלת פרמטרים'!$K$3,1,0))))</f>
        <v/>
      </c>
      <c r="R984" s="19" t="str">
        <f t="shared" si="21"/>
        <v/>
      </c>
      <c r="T984" s="19" t="str">
        <f>IF(EXACT(Q984,'טבלת פרמטרים'!$O$2),'טבלת פרמטרים'!$P$2,IF(EXACT(Q984,'טבלת פרמטרים'!$O$3),'טבלת פרמטרים'!$P$3,IF(EXACT(Q984,'טבלת פרמטרים'!$O$4),'טבלת פרמטרים'!$P$4,IF(EXACT(Q984,'טבלת פרמטרים'!$O$5),'טבלת פרמטרים'!$P$5,IF(EXACT(Q984,'טבלת פרמטרים'!$O$6),'טבלת פרמטרים'!$P$6,IF(EXACT(Q984,'טבלת פרמטרים'!$O$7),'טבלת פרמטרים'!$P$7,""))))))</f>
        <v/>
      </c>
    </row>
    <row r="985" spans="1:20" x14ac:dyDescent="0.2">
      <c r="A985" s="18">
        <v>985</v>
      </c>
      <c r="O985" s="19" t="str">
        <f>IF(ISBLANK(D985),"",IF(D985='טבלת פרמטרים'!$A$9,1,0)+IF(E985='טבלת פרמטרים'!$B$5,2,1)+IF(F985='טבלת פרמטרים'!$C$5,3,IF(F985='טבלת פרמטרים'!$C$4,1,0))+IF(G985='טבלת פרמטרים'!$D$3,2,0)+IF(M985='טבלת פרמטרים'!$J$4,2,IF(M985='טבלת פרמטרים'!$J$3,1,0))+IF(N985='טבלת פרמטרים'!$K$6,3,IF(OR(N985='טבלת פרמטרים'!$K$4,N985='טבלת פרמטרים'!$K$5),2,IF(N985='טבלת פרמטרים'!$K$3,1,0))))</f>
        <v/>
      </c>
      <c r="R985" s="19" t="str">
        <f t="shared" si="21"/>
        <v/>
      </c>
      <c r="T985" s="19" t="str">
        <f>IF(EXACT(Q985,'טבלת פרמטרים'!$O$2),'טבלת פרמטרים'!$P$2,IF(EXACT(Q985,'טבלת פרמטרים'!$O$3),'טבלת פרמטרים'!$P$3,IF(EXACT(Q985,'טבלת פרמטרים'!$O$4),'טבלת פרמטרים'!$P$4,IF(EXACT(Q985,'טבלת פרמטרים'!$O$5),'טבלת פרמטרים'!$P$5,IF(EXACT(Q985,'טבלת פרמטרים'!$O$6),'טבלת פרמטרים'!$P$6,IF(EXACT(Q985,'טבלת פרמטרים'!$O$7),'טבלת פרמטרים'!$P$7,""))))))</f>
        <v/>
      </c>
    </row>
    <row r="986" spans="1:20" x14ac:dyDescent="0.2">
      <c r="A986" s="18">
        <v>986</v>
      </c>
      <c r="O986" s="19" t="str">
        <f>IF(ISBLANK(D986),"",IF(D986='טבלת פרמטרים'!$A$9,1,0)+IF(E986='טבלת פרמטרים'!$B$5,2,1)+IF(F986='טבלת פרמטרים'!$C$5,3,IF(F986='טבלת פרמטרים'!$C$4,1,0))+IF(G986='טבלת פרמטרים'!$D$3,2,0)+IF(M986='טבלת פרמטרים'!$J$4,2,IF(M986='טבלת פרמטרים'!$J$3,1,0))+IF(N986='טבלת פרמטרים'!$K$6,3,IF(OR(N986='טבלת פרמטרים'!$K$4,N986='טבלת פרמטרים'!$K$5),2,IF(N986='טבלת פרמטרים'!$K$3,1,0))))</f>
        <v/>
      </c>
      <c r="R986" s="19" t="str">
        <f t="shared" si="21"/>
        <v/>
      </c>
      <c r="T986" s="19" t="str">
        <f>IF(EXACT(Q986,'טבלת פרמטרים'!$O$2),'טבלת פרמטרים'!$P$2,IF(EXACT(Q986,'טבלת פרמטרים'!$O$3),'טבלת פרמטרים'!$P$3,IF(EXACT(Q986,'טבלת פרמטרים'!$O$4),'טבלת פרמטרים'!$P$4,IF(EXACT(Q986,'טבלת פרמטרים'!$O$5),'טבלת פרמטרים'!$P$5,IF(EXACT(Q986,'טבלת פרמטרים'!$O$6),'טבלת פרמטרים'!$P$6,IF(EXACT(Q986,'טבלת פרמטרים'!$O$7),'טבלת פרמטרים'!$P$7,""))))))</f>
        <v/>
      </c>
    </row>
    <row r="987" spans="1:20" x14ac:dyDescent="0.2">
      <c r="A987" s="18">
        <v>987</v>
      </c>
      <c r="O987" s="19" t="str">
        <f>IF(ISBLANK(D987),"",IF(D987='טבלת פרמטרים'!$A$9,1,0)+IF(E987='טבלת פרמטרים'!$B$5,2,1)+IF(F987='טבלת פרמטרים'!$C$5,3,IF(F987='טבלת פרמטרים'!$C$4,1,0))+IF(G987='טבלת פרמטרים'!$D$3,2,0)+IF(M987='טבלת פרמטרים'!$J$4,2,IF(M987='טבלת פרמטרים'!$J$3,1,0))+IF(N987='טבלת פרמטרים'!$K$6,3,IF(OR(N987='טבלת פרמטרים'!$K$4,N987='טבלת פרמטרים'!$K$5),2,IF(N987='טבלת פרמטרים'!$K$3,1,0))))</f>
        <v/>
      </c>
      <c r="R987" s="19" t="str">
        <f t="shared" si="21"/>
        <v/>
      </c>
      <c r="T987" s="19" t="str">
        <f>IF(EXACT(Q987,'טבלת פרמטרים'!$O$2),'טבלת פרמטרים'!$P$2,IF(EXACT(Q987,'טבלת פרמטרים'!$O$3),'טבלת פרמטרים'!$P$3,IF(EXACT(Q987,'טבלת פרמטרים'!$O$4),'טבלת פרמטרים'!$P$4,IF(EXACT(Q987,'טבלת פרמטרים'!$O$5),'טבלת פרמטרים'!$P$5,IF(EXACT(Q987,'טבלת פרמטרים'!$O$6),'טבלת פרמטרים'!$P$6,IF(EXACT(Q987,'טבלת פרמטרים'!$O$7),'טבלת פרמטרים'!$P$7,""))))))</f>
        <v/>
      </c>
    </row>
    <row r="988" spans="1:20" x14ac:dyDescent="0.2">
      <c r="A988" s="18">
        <v>988</v>
      </c>
      <c r="O988" s="19" t="str">
        <f>IF(ISBLANK(D988),"",IF(D988='טבלת פרמטרים'!$A$9,1,0)+IF(E988='טבלת פרמטרים'!$B$5,2,1)+IF(F988='טבלת פרמטרים'!$C$5,3,IF(F988='טבלת פרמטרים'!$C$4,1,0))+IF(G988='טבלת פרמטרים'!$D$3,2,0)+IF(M988='טבלת פרמטרים'!$J$4,2,IF(M988='טבלת פרמטרים'!$J$3,1,0))+IF(N988='טבלת פרמטרים'!$K$6,3,IF(OR(N988='טבלת פרמטרים'!$K$4,N988='טבלת פרמטרים'!$K$5),2,IF(N988='טבלת פרמטרים'!$K$3,1,0))))</f>
        <v/>
      </c>
      <c r="R988" s="19" t="str">
        <f t="shared" si="21"/>
        <v/>
      </c>
      <c r="T988" s="19" t="str">
        <f>IF(EXACT(Q988,'טבלת פרמטרים'!$O$2),'טבלת פרמטרים'!$P$2,IF(EXACT(Q988,'טבלת פרמטרים'!$O$3),'טבלת פרמטרים'!$P$3,IF(EXACT(Q988,'טבלת פרמטרים'!$O$4),'טבלת פרמטרים'!$P$4,IF(EXACT(Q988,'טבלת פרמטרים'!$O$5),'טבלת פרמטרים'!$P$5,IF(EXACT(Q988,'טבלת פרמטרים'!$O$6),'טבלת פרמטרים'!$P$6,IF(EXACT(Q988,'טבלת פרמטרים'!$O$7),'טבלת פרמטרים'!$P$7,""))))))</f>
        <v/>
      </c>
    </row>
    <row r="989" spans="1:20" x14ac:dyDescent="0.2">
      <c r="A989" s="18">
        <v>989</v>
      </c>
      <c r="O989" s="19" t="str">
        <f>IF(ISBLANK(D989),"",IF(D989='טבלת פרמטרים'!$A$9,1,0)+IF(E989='טבלת פרמטרים'!$B$5,2,1)+IF(F989='טבלת פרמטרים'!$C$5,3,IF(F989='טבלת פרמטרים'!$C$4,1,0))+IF(G989='טבלת פרמטרים'!$D$3,2,0)+IF(M989='טבלת פרמטרים'!$J$4,2,IF(M989='טבלת פרמטרים'!$J$3,1,0))+IF(N989='טבלת פרמטרים'!$K$6,3,IF(OR(N989='טבלת פרמטרים'!$K$4,N989='טבלת פרמטרים'!$K$5),2,IF(N989='טבלת פרמטרים'!$K$3,1,0))))</f>
        <v/>
      </c>
      <c r="R989" s="19" t="str">
        <f t="shared" si="21"/>
        <v/>
      </c>
      <c r="T989" s="19" t="str">
        <f>IF(EXACT(Q989,'טבלת פרמטרים'!$O$2),'טבלת פרמטרים'!$P$2,IF(EXACT(Q989,'טבלת פרמטרים'!$O$3),'טבלת פרמטרים'!$P$3,IF(EXACT(Q989,'טבלת פרמטרים'!$O$4),'טבלת פרמטרים'!$P$4,IF(EXACT(Q989,'טבלת פרמטרים'!$O$5),'טבלת פרמטרים'!$P$5,IF(EXACT(Q989,'טבלת פרמטרים'!$O$6),'טבלת פרמטרים'!$P$6,IF(EXACT(Q989,'טבלת פרמטרים'!$O$7),'טבלת פרמטרים'!$P$7,""))))))</f>
        <v/>
      </c>
    </row>
    <row r="990" spans="1:20" x14ac:dyDescent="0.2">
      <c r="A990" s="18">
        <v>990</v>
      </c>
      <c r="O990" s="19" t="str">
        <f>IF(ISBLANK(D990),"",IF(D990='טבלת פרמטרים'!$A$9,1,0)+IF(E990='טבלת פרמטרים'!$B$5,2,1)+IF(F990='טבלת פרמטרים'!$C$5,3,IF(F990='טבלת פרמטרים'!$C$4,1,0))+IF(G990='טבלת פרמטרים'!$D$3,2,0)+IF(M990='טבלת פרמטרים'!$J$4,2,IF(M990='טבלת פרמטרים'!$J$3,1,0))+IF(N990='טבלת פרמטרים'!$K$6,3,IF(OR(N990='טבלת פרמטרים'!$K$4,N990='טבלת פרמטרים'!$K$5),2,IF(N990='טבלת פרמטרים'!$K$3,1,0))))</f>
        <v/>
      </c>
      <c r="R990" s="19" t="str">
        <f t="shared" si="21"/>
        <v/>
      </c>
      <c r="T990" s="19" t="str">
        <f>IF(EXACT(Q990,'טבלת פרמטרים'!$O$2),'טבלת פרמטרים'!$P$2,IF(EXACT(Q990,'טבלת פרמטרים'!$O$3),'טבלת פרמטרים'!$P$3,IF(EXACT(Q990,'טבלת פרמטרים'!$O$4),'טבלת פרמטרים'!$P$4,IF(EXACT(Q990,'טבלת פרמטרים'!$O$5),'טבלת פרמטרים'!$P$5,IF(EXACT(Q990,'טבלת פרמטרים'!$O$6),'טבלת פרמטרים'!$P$6,IF(EXACT(Q990,'טבלת פרמטרים'!$O$7),'טבלת פרמטרים'!$P$7,""))))))</f>
        <v/>
      </c>
    </row>
    <row r="991" spans="1:20" x14ac:dyDescent="0.2">
      <c r="A991" s="18">
        <v>991</v>
      </c>
      <c r="O991" s="19" t="str">
        <f>IF(ISBLANK(D991),"",IF(D991='טבלת פרמטרים'!$A$9,1,0)+IF(E991='טבלת פרמטרים'!$B$5,2,1)+IF(F991='טבלת פרמטרים'!$C$5,3,IF(F991='טבלת פרמטרים'!$C$4,1,0))+IF(G991='טבלת פרמטרים'!$D$3,2,0)+IF(M991='טבלת פרמטרים'!$J$4,2,IF(M991='טבלת פרמטרים'!$J$3,1,0))+IF(N991='טבלת פרמטרים'!$K$6,3,IF(OR(N991='טבלת פרמטרים'!$K$4,N991='טבלת פרמטרים'!$K$5),2,IF(N991='טבלת פרמטרים'!$K$3,1,0))))</f>
        <v/>
      </c>
      <c r="R991" s="19" t="str">
        <f t="shared" si="21"/>
        <v/>
      </c>
      <c r="T991" s="19" t="str">
        <f>IF(EXACT(Q991,'טבלת פרמטרים'!$O$2),'טבלת פרמטרים'!$P$2,IF(EXACT(Q991,'טבלת פרמטרים'!$O$3),'טבלת פרמטרים'!$P$3,IF(EXACT(Q991,'טבלת פרמטרים'!$O$4),'טבלת פרמטרים'!$P$4,IF(EXACT(Q991,'טבלת פרמטרים'!$O$5),'טבלת פרמטרים'!$P$5,IF(EXACT(Q991,'טבלת פרמטרים'!$O$6),'טבלת פרמטרים'!$P$6,IF(EXACT(Q991,'טבלת פרמטרים'!$O$7),'טבלת פרמטרים'!$P$7,""))))))</f>
        <v/>
      </c>
    </row>
    <row r="992" spans="1:20" x14ac:dyDescent="0.2">
      <c r="A992" s="18">
        <v>992</v>
      </c>
      <c r="O992" s="19" t="str">
        <f>IF(ISBLANK(D992),"",IF(D992='טבלת פרמטרים'!$A$9,1,0)+IF(E992='טבלת פרמטרים'!$B$5,2,1)+IF(F992='טבלת פרמטרים'!$C$5,3,IF(F992='טבלת פרמטרים'!$C$4,1,0))+IF(G992='טבלת פרמטרים'!$D$3,2,0)+IF(M992='טבלת פרמטרים'!$J$4,2,IF(M992='טבלת פרמטרים'!$J$3,1,0))+IF(N992='טבלת פרמטרים'!$K$6,3,IF(OR(N992='טבלת פרמטרים'!$K$4,N992='טבלת פרמטרים'!$K$5),2,IF(N992='טבלת פרמטרים'!$K$3,1,0))))</f>
        <v/>
      </c>
      <c r="R992" s="19" t="str">
        <f t="shared" si="21"/>
        <v/>
      </c>
      <c r="T992" s="19" t="str">
        <f>IF(EXACT(Q992,'טבלת פרמטרים'!$O$2),'טבלת פרמטרים'!$P$2,IF(EXACT(Q992,'טבלת פרמטרים'!$O$3),'טבלת פרמטרים'!$P$3,IF(EXACT(Q992,'טבלת פרמטרים'!$O$4),'טבלת פרמטרים'!$P$4,IF(EXACT(Q992,'טבלת פרמטרים'!$O$5),'טבלת פרמטרים'!$P$5,IF(EXACT(Q992,'טבלת פרמטרים'!$O$6),'טבלת פרמטרים'!$P$6,IF(EXACT(Q992,'טבלת פרמטרים'!$O$7),'טבלת פרמטרים'!$P$7,""))))))</f>
        <v/>
      </c>
    </row>
    <row r="993" spans="1:20" x14ac:dyDescent="0.2">
      <c r="A993" s="18">
        <v>993</v>
      </c>
      <c r="O993" s="19" t="str">
        <f>IF(ISBLANK(D993),"",IF(D993='טבלת פרמטרים'!$A$9,1,0)+IF(E993='טבלת פרמטרים'!$B$5,2,1)+IF(F993='טבלת פרמטרים'!$C$5,3,IF(F993='טבלת פרמטרים'!$C$4,1,0))+IF(G993='טבלת פרמטרים'!$D$3,2,0)+IF(M993='טבלת פרמטרים'!$J$4,2,IF(M993='טבלת פרמטרים'!$J$3,1,0))+IF(N993='טבלת פרמטרים'!$K$6,3,IF(OR(N993='טבלת פרמטרים'!$K$4,N993='טבלת פרמטרים'!$K$5),2,IF(N993='טבלת פרמטרים'!$K$3,1,0))))</f>
        <v/>
      </c>
      <c r="R993" s="19" t="str">
        <f t="shared" si="21"/>
        <v/>
      </c>
      <c r="T993" s="19" t="str">
        <f>IF(EXACT(Q993,'טבלת פרמטרים'!$O$2),'טבלת פרמטרים'!$P$2,IF(EXACT(Q993,'טבלת פרמטרים'!$O$3),'טבלת פרמטרים'!$P$3,IF(EXACT(Q993,'טבלת פרמטרים'!$O$4),'טבלת פרמטרים'!$P$4,IF(EXACT(Q993,'טבלת פרמטרים'!$O$5),'טבלת פרמטרים'!$P$5,IF(EXACT(Q993,'טבלת פרמטרים'!$O$6),'טבלת פרמטרים'!$P$6,IF(EXACT(Q993,'טבלת פרמטרים'!$O$7),'טבלת פרמטרים'!$P$7,""))))))</f>
        <v/>
      </c>
    </row>
    <row r="994" spans="1:20" x14ac:dyDescent="0.2">
      <c r="A994" s="18">
        <v>994</v>
      </c>
      <c r="O994" s="19" t="str">
        <f>IF(ISBLANK(D994),"",IF(D994='טבלת פרמטרים'!$A$9,1,0)+IF(E994='טבלת פרמטרים'!$B$5,2,1)+IF(F994='טבלת פרמטרים'!$C$5,3,IF(F994='טבלת פרמטרים'!$C$4,1,0))+IF(G994='טבלת פרמטרים'!$D$3,2,0)+IF(M994='טבלת פרמטרים'!$J$4,2,IF(M994='טבלת פרמטרים'!$J$3,1,0))+IF(N994='טבלת פרמטרים'!$K$6,3,IF(OR(N994='טבלת פרמטרים'!$K$4,N994='טבלת פרמטרים'!$K$5),2,IF(N994='טבלת פרמטרים'!$K$3,1,0))))</f>
        <v/>
      </c>
      <c r="R994" s="19" t="str">
        <f t="shared" si="21"/>
        <v/>
      </c>
      <c r="T994" s="19" t="str">
        <f>IF(EXACT(Q994,'טבלת פרמטרים'!$O$2),'טבלת פרמטרים'!$P$2,IF(EXACT(Q994,'טבלת פרמטרים'!$O$3),'טבלת פרמטרים'!$P$3,IF(EXACT(Q994,'טבלת פרמטרים'!$O$4),'טבלת פרמטרים'!$P$4,IF(EXACT(Q994,'טבלת פרמטרים'!$O$5),'טבלת פרמטרים'!$P$5,IF(EXACT(Q994,'טבלת פרמטרים'!$O$6),'טבלת פרמטרים'!$P$6,IF(EXACT(Q994,'טבלת פרמטרים'!$O$7),'טבלת פרמטרים'!$P$7,""))))))</f>
        <v/>
      </c>
    </row>
    <row r="995" spans="1:20" x14ac:dyDescent="0.2">
      <c r="A995" s="18">
        <v>995</v>
      </c>
      <c r="O995" s="19" t="str">
        <f>IF(ISBLANK(D995),"",IF(D995='טבלת פרמטרים'!$A$9,1,0)+IF(E995='טבלת פרמטרים'!$B$5,2,1)+IF(F995='טבלת פרמטרים'!$C$5,3,IF(F995='טבלת פרמטרים'!$C$4,1,0))+IF(G995='טבלת פרמטרים'!$D$3,2,0)+IF(M995='טבלת פרמטרים'!$J$4,2,IF(M995='טבלת פרמטרים'!$J$3,1,0))+IF(N995='טבלת פרמטרים'!$K$6,3,IF(OR(N995='טבלת פרמטרים'!$K$4,N995='טבלת פרמטרים'!$K$5),2,IF(N995='טבלת פרמטרים'!$K$3,1,0))))</f>
        <v/>
      </c>
      <c r="R995" s="19" t="str">
        <f t="shared" si="21"/>
        <v/>
      </c>
      <c r="T995" s="19" t="str">
        <f>IF(EXACT(Q995,'טבלת פרמטרים'!$O$2),'טבלת פרמטרים'!$P$2,IF(EXACT(Q995,'טבלת פרמטרים'!$O$3),'טבלת פרמטרים'!$P$3,IF(EXACT(Q995,'טבלת פרמטרים'!$O$4),'טבלת פרמטרים'!$P$4,IF(EXACT(Q995,'טבלת פרמטרים'!$O$5),'טבלת פרמטרים'!$P$5,IF(EXACT(Q995,'טבלת פרמטרים'!$O$6),'טבלת פרמטרים'!$P$6,IF(EXACT(Q995,'טבלת פרמטרים'!$O$7),'טבלת פרמטרים'!$P$7,""))))))</f>
        <v/>
      </c>
    </row>
    <row r="996" spans="1:20" x14ac:dyDescent="0.2">
      <c r="A996" s="18">
        <v>996</v>
      </c>
      <c r="O996" s="19" t="str">
        <f>IF(ISBLANK(D996),"",IF(D996='טבלת פרמטרים'!$A$9,1,0)+IF(E996='טבלת פרמטרים'!$B$5,2,1)+IF(F996='טבלת פרמטרים'!$C$5,3,IF(F996='טבלת פרמטרים'!$C$4,1,0))+IF(G996='טבלת פרמטרים'!$D$3,2,0)+IF(M996='טבלת פרמטרים'!$J$4,2,IF(M996='טבלת פרמטרים'!$J$3,1,0))+IF(N996='טבלת פרמטרים'!$K$6,3,IF(OR(N996='טבלת פרמטרים'!$K$4,N996='טבלת פרמטרים'!$K$5),2,IF(N996='טבלת פרמטרים'!$K$3,1,0))))</f>
        <v/>
      </c>
      <c r="R996" s="19" t="str">
        <f t="shared" si="21"/>
        <v/>
      </c>
      <c r="T996" s="19" t="str">
        <f>IF(EXACT(Q996,'טבלת פרמטרים'!$O$2),'טבלת פרמטרים'!$P$2,IF(EXACT(Q996,'טבלת פרמטרים'!$O$3),'טבלת פרמטרים'!$P$3,IF(EXACT(Q996,'טבלת פרמטרים'!$O$4),'טבלת פרמטרים'!$P$4,IF(EXACT(Q996,'טבלת פרמטרים'!$O$5),'טבלת פרמטרים'!$P$5,IF(EXACT(Q996,'טבלת פרמטרים'!$O$6),'טבלת פרמטרים'!$P$6,IF(EXACT(Q996,'טבלת פרמטרים'!$O$7),'טבלת פרמטרים'!$P$7,""))))))</f>
        <v/>
      </c>
    </row>
    <row r="997" spans="1:20" x14ac:dyDescent="0.2">
      <c r="A997" s="18">
        <v>997</v>
      </c>
      <c r="O997" s="19" t="str">
        <f>IF(ISBLANK(D997),"",IF(D997='טבלת פרמטרים'!$A$9,1,0)+IF(E997='טבלת פרמטרים'!$B$5,2,1)+IF(F997='טבלת פרמטרים'!$C$5,3,IF(F997='טבלת פרמטרים'!$C$4,1,0))+IF(G997='טבלת פרמטרים'!$D$3,2,0)+IF(M997='טבלת פרמטרים'!$J$4,2,IF(M997='טבלת פרמטרים'!$J$3,1,0))+IF(N997='טבלת פרמטרים'!$K$6,3,IF(OR(N997='טבלת פרמטרים'!$K$4,N997='טבלת פרמטרים'!$K$5),2,IF(N997='טבלת פרמטרים'!$K$3,1,0))))</f>
        <v/>
      </c>
      <c r="R997" s="19" t="str">
        <f t="shared" si="21"/>
        <v/>
      </c>
      <c r="T997" s="19" t="str">
        <f>IF(EXACT(Q997,'טבלת פרמטרים'!$O$2),'טבלת פרמטרים'!$P$2,IF(EXACT(Q997,'טבלת פרמטרים'!$O$3),'טבלת פרמטרים'!$P$3,IF(EXACT(Q997,'טבלת פרמטרים'!$O$4),'טבלת פרמטרים'!$P$4,IF(EXACT(Q997,'טבלת פרמטרים'!$O$5),'טבלת פרמטרים'!$P$5,IF(EXACT(Q997,'טבלת פרמטרים'!$O$6),'טבלת פרמטרים'!$P$6,IF(EXACT(Q997,'טבלת פרמטרים'!$O$7),'טבלת פרמטרים'!$P$7,""))))))</f>
        <v/>
      </c>
    </row>
    <row r="998" spans="1:20" x14ac:dyDescent="0.2">
      <c r="A998" s="18">
        <v>998</v>
      </c>
      <c r="O998" s="19" t="str">
        <f>IF(ISBLANK(D998),"",IF(D998='טבלת פרמטרים'!$A$9,1,0)+IF(E998='טבלת פרמטרים'!$B$5,2,1)+IF(F998='טבלת פרמטרים'!$C$5,3,IF(F998='טבלת פרמטרים'!$C$4,1,0))+IF(G998='טבלת פרמטרים'!$D$3,2,0)+IF(M998='טבלת פרמטרים'!$J$4,2,IF(M998='טבלת פרמטרים'!$J$3,1,0))+IF(N998='טבלת פרמטרים'!$K$6,3,IF(OR(N998='טבלת פרמטרים'!$K$4,N998='טבלת פרמטרים'!$K$5),2,IF(N998='טבלת פרמטרים'!$K$3,1,0))))</f>
        <v/>
      </c>
      <c r="R998" s="19" t="str">
        <f t="shared" si="21"/>
        <v/>
      </c>
      <c r="T998" s="19" t="str">
        <f>IF(EXACT(Q998,'טבלת פרמטרים'!$O$2),'טבלת פרמטרים'!$P$2,IF(EXACT(Q998,'טבלת פרמטרים'!$O$3),'טבלת פרמטרים'!$P$3,IF(EXACT(Q998,'טבלת פרמטרים'!$O$4),'טבלת פרמטרים'!$P$4,IF(EXACT(Q998,'טבלת פרמטרים'!$O$5),'טבלת פרמטרים'!$P$5,IF(EXACT(Q998,'טבלת פרמטרים'!$O$6),'טבלת פרמטרים'!$P$6,IF(EXACT(Q998,'טבלת פרמטרים'!$O$7),'טבלת פרמטרים'!$P$7,""))))))</f>
        <v/>
      </c>
    </row>
    <row r="999" spans="1:20" x14ac:dyDescent="0.2">
      <c r="A999" s="18">
        <v>999</v>
      </c>
      <c r="O999" s="19" t="str">
        <f>IF(ISBLANK(D999),"",IF(D999='טבלת פרמטרים'!$A$9,1,0)+IF(E999='טבלת פרמטרים'!$B$5,2,1)+IF(F999='טבלת פרמטרים'!$C$5,3,IF(F999='טבלת פרמטרים'!$C$4,1,0))+IF(G999='טבלת פרמטרים'!$D$3,2,0)+IF(M999='טבלת פרמטרים'!$J$4,2,IF(M999='טבלת פרמטרים'!$J$3,1,0))+IF(N999='טבלת פרמטרים'!$K$6,3,IF(OR(N999='טבלת פרמטרים'!$K$4,N999='טבלת פרמטרים'!$K$5),2,IF(N999='טבלת פרמטרים'!$K$3,1,0))))</f>
        <v/>
      </c>
      <c r="R999" s="19" t="str">
        <f t="shared" si="21"/>
        <v/>
      </c>
      <c r="T999" s="19" t="str">
        <f>IF(EXACT(Q999,'טבלת פרמטרים'!$O$2),'טבלת פרמטרים'!$P$2,IF(EXACT(Q999,'טבלת פרמטרים'!$O$3),'טבלת פרמטרים'!$P$3,IF(EXACT(Q999,'טבלת פרמטרים'!$O$4),'טבלת פרמטרים'!$P$4,IF(EXACT(Q999,'טבלת פרמטרים'!$O$5),'טבלת פרמטרים'!$P$5,IF(EXACT(Q999,'טבלת פרמטרים'!$O$6),'טבלת פרמטרים'!$P$6,IF(EXACT(Q999,'טבלת פרמטרים'!$O$7),'טבלת פרמטרים'!$P$7,""))))))</f>
        <v/>
      </c>
    </row>
    <row r="1000" spans="1:20" x14ac:dyDescent="0.2">
      <c r="A1000" s="18">
        <v>1000</v>
      </c>
      <c r="O1000" s="19" t="str">
        <f>IF(ISBLANK(D1000),"",IF(D1000='טבלת פרמטרים'!$A$9,1,0)+IF(E1000='טבלת פרמטרים'!$B$5,2,1)+IF(F1000='טבלת פרמטרים'!$C$5,3,IF(F1000='טבלת פרמטרים'!$C$4,1,0))+IF(G1000='טבלת פרמטרים'!$D$3,2,0)+IF(M1000='טבלת פרמטרים'!$J$4,2,IF(M1000='טבלת פרמטרים'!$J$3,1,0))+IF(N1000='טבלת פרמטרים'!$K$6,3,IF(OR(N1000='טבלת פרמטרים'!$K$4,N1000='טבלת פרמטרים'!$K$5),2,IF(N1000='טבלת פרמטרים'!$K$3,1,0))))</f>
        <v/>
      </c>
      <c r="R1000" s="19" t="str">
        <f t="shared" si="21"/>
        <v/>
      </c>
      <c r="T1000" s="19" t="str">
        <f>IF(EXACT(Q1000,'טבלת פרמטרים'!$O$2),'טבלת פרמטרים'!$P$2,IF(EXACT(Q1000,'טבלת פרמטרים'!$O$3),'טבלת פרמטרים'!$P$3,IF(EXACT(Q1000,'טבלת פרמטרים'!$O$4),'טבלת פרמטרים'!$P$4,IF(EXACT(Q1000,'טבלת פרמטרים'!$O$5),'טבלת פרמטרים'!$P$5,IF(EXACT(Q1000,'טבלת פרמטרים'!$O$6),'טבלת פרמטרים'!$P$6,IF(EXACT(Q1000,'טבלת פרמטרים'!$O$7),'טבלת פרמטרים'!$P$7,""))))))</f>
        <v/>
      </c>
    </row>
    <row r="1001" spans="1:20" x14ac:dyDescent="0.2">
      <c r="A1001" s="18">
        <v>1001</v>
      </c>
      <c r="O1001" s="19" t="str">
        <f>IF(ISBLANK(D1001),"",IF(D1001='טבלת פרמטרים'!$A$9,1,0)+IF(E1001='טבלת פרמטרים'!$B$5,2,1)+IF(F1001='טבלת פרמטרים'!$C$5,3,IF(F1001='טבלת פרמטרים'!$C$4,1,0))+IF(G1001='טבלת פרמטרים'!$D$3,2,0)+IF(M1001='טבלת פרמטרים'!$J$4,2,IF(M1001='טבלת פרמטרים'!$J$3,1,0))+IF(N1001='טבלת פרמטרים'!$K$6,3,IF(OR(N1001='טבלת פרמטרים'!$K$4,N1001='טבלת פרמטרים'!$K$5),2,IF(N1001='טבלת פרמטרים'!$K$3,1,0))))</f>
        <v/>
      </c>
      <c r="R1001" s="19" t="str">
        <f t="shared" si="21"/>
        <v/>
      </c>
      <c r="T1001" s="19" t="str">
        <f>IF(EXACT(Q1001,'טבלת פרמטרים'!$O$2),'טבלת פרמטרים'!$P$2,IF(EXACT(Q1001,'טבלת פרמטרים'!$O$3),'טבלת פרמטרים'!$P$3,IF(EXACT(Q1001,'טבלת פרמטרים'!$O$4),'טבלת פרמטרים'!$P$4,IF(EXACT(Q1001,'טבלת פרמטרים'!$O$5),'טבלת פרמטרים'!$P$5,IF(EXACT(Q1001,'טבלת פרמטרים'!$O$6),'טבלת פרמטרים'!$P$6,IF(EXACT(Q1001,'טבלת פרמטרים'!$O$7),'טבלת פרמטרים'!$P$7,""))))))</f>
        <v/>
      </c>
    </row>
    <row r="1002" spans="1:20" x14ac:dyDescent="0.2">
      <c r="A1002" s="18">
        <v>1002</v>
      </c>
      <c r="O1002" s="19" t="str">
        <f>IF(ISBLANK(D1002),"",IF(D1002='טבלת פרמטרים'!$A$9,1,0)+IF(E1002='טבלת פרמטרים'!$B$5,2,1)+IF(F1002='טבלת פרמטרים'!$C$5,3,IF(F1002='טבלת פרמטרים'!$C$4,1,0))+IF(G1002='טבלת פרמטרים'!$D$3,2,0)+IF(M1002='טבלת פרמטרים'!$J$4,2,IF(M1002='טבלת פרמטרים'!$J$3,1,0))+IF(N1002='טבלת פרמטרים'!$K$6,3,IF(OR(N1002='טבלת פרמטרים'!$K$4,N1002='טבלת פרמטרים'!$K$5),2,IF(N1002='טבלת פרמטרים'!$K$3,1,0))))</f>
        <v/>
      </c>
      <c r="R1002" s="19" t="str">
        <f t="shared" si="21"/>
        <v/>
      </c>
      <c r="T1002" s="19" t="str">
        <f>IF(EXACT(Q1002,'טבלת פרמטרים'!$O$2),'טבלת פרמטרים'!$P$2,IF(EXACT(Q1002,'טבלת פרמטרים'!$O$3),'טבלת פרמטרים'!$P$3,IF(EXACT(Q1002,'טבלת פרמטרים'!$O$4),'טבלת פרמטרים'!$P$4,IF(EXACT(Q1002,'טבלת פרמטרים'!$O$5),'טבלת פרמטרים'!$P$5,IF(EXACT(Q1002,'טבלת פרמטרים'!$O$6),'טבלת פרמטרים'!$P$6,IF(EXACT(Q1002,'טבלת פרמטרים'!$O$7),'טבלת פרמטרים'!$P$7,""))))))</f>
        <v/>
      </c>
    </row>
    <row r="1003" spans="1:20" x14ac:dyDescent="0.2">
      <c r="A1003" s="18">
        <v>1003</v>
      </c>
      <c r="O1003" s="19" t="str">
        <f>IF(ISBLANK(D1003),"",IF(D1003='טבלת פרמטרים'!$A$9,1,0)+IF(E1003='טבלת פרמטרים'!$B$5,2,1)+IF(F1003='טבלת פרמטרים'!$C$5,3,IF(F1003='טבלת פרמטרים'!$C$4,1,0))+IF(G1003='טבלת פרמטרים'!$D$3,2,0)+IF(M1003='טבלת פרמטרים'!$J$4,2,IF(M1003='טבלת פרמטרים'!$J$3,1,0))+IF(N1003='טבלת פרמטרים'!$K$6,3,IF(OR(N1003='טבלת פרמטרים'!$K$4,N1003='טבלת פרמטרים'!$K$5),2,IF(N1003='טבלת פרמטרים'!$K$3,1,0))))</f>
        <v/>
      </c>
      <c r="R1003" s="19" t="str">
        <f t="shared" si="21"/>
        <v/>
      </c>
      <c r="T1003" s="19" t="str">
        <f>IF(EXACT(Q1003,'טבלת פרמטרים'!$O$2),'טבלת פרמטרים'!$P$2,IF(EXACT(Q1003,'טבלת פרמטרים'!$O$3),'טבלת פרמטרים'!$P$3,IF(EXACT(Q1003,'טבלת פרמטרים'!$O$4),'טבלת פרמטרים'!$P$4,IF(EXACT(Q1003,'טבלת פרמטרים'!$O$5),'טבלת פרמטרים'!$P$5,IF(EXACT(Q1003,'טבלת פרמטרים'!$O$6),'טבלת פרמטרים'!$P$6,IF(EXACT(Q1003,'טבלת פרמטרים'!$O$7),'טבלת פרמטרים'!$P$7,""))))))</f>
        <v/>
      </c>
    </row>
    <row r="1004" spans="1:20" x14ac:dyDescent="0.2">
      <c r="A1004" s="18">
        <v>1004</v>
      </c>
      <c r="O1004" s="19" t="str">
        <f>IF(ISBLANK(D1004),"",IF(D1004='טבלת פרמטרים'!$A$9,1,0)+IF(E1004='טבלת פרמטרים'!$B$5,2,1)+IF(F1004='טבלת פרמטרים'!$C$5,3,IF(F1004='טבלת פרמטרים'!$C$4,1,0))+IF(G1004='טבלת פרמטרים'!$D$3,2,0)+IF(M1004='טבלת פרמטרים'!$J$4,2,IF(M1004='טבלת פרמטרים'!$J$3,1,0))+IF(N1004='טבלת פרמטרים'!$K$6,3,IF(OR(N1004='טבלת פרמטרים'!$K$4,N1004='טבלת פרמטרים'!$K$5),2,IF(N1004='טבלת פרמטרים'!$K$3,1,0))))</f>
        <v/>
      </c>
      <c r="R1004" s="19" t="str">
        <f t="shared" si="21"/>
        <v/>
      </c>
      <c r="T1004" s="19" t="str">
        <f>IF(EXACT(Q1004,'טבלת פרמטרים'!$O$2),'טבלת פרמטרים'!$P$2,IF(EXACT(Q1004,'טבלת פרמטרים'!$O$3),'טבלת פרמטרים'!$P$3,IF(EXACT(Q1004,'טבלת פרמטרים'!$O$4),'טבלת פרמטרים'!$P$4,IF(EXACT(Q1004,'טבלת פרמטרים'!$O$5),'טבלת פרמטרים'!$P$5,IF(EXACT(Q1004,'טבלת פרמטרים'!$O$6),'טבלת פרמטרים'!$P$6,IF(EXACT(Q1004,'טבלת פרמטרים'!$O$7),'טבלת פרמטרים'!$P$7,""))))))</f>
        <v/>
      </c>
    </row>
    <row r="1005" spans="1:20" x14ac:dyDescent="0.2">
      <c r="A1005" s="18">
        <v>1005</v>
      </c>
      <c r="O1005" s="19" t="str">
        <f>IF(ISBLANK(D1005),"",IF(D1005='טבלת פרמטרים'!$A$9,1,0)+IF(E1005='טבלת פרמטרים'!$B$5,2,1)+IF(F1005='טבלת פרמטרים'!$C$5,3,IF(F1005='טבלת פרמטרים'!$C$4,1,0))+IF(G1005='טבלת פרמטרים'!$D$3,2,0)+IF(M1005='טבלת פרמטרים'!$J$4,2,IF(M1005='טבלת פרמטרים'!$J$3,1,0))+IF(N1005='טבלת פרמטרים'!$K$6,3,IF(OR(N1005='טבלת פרמטרים'!$K$4,N1005='טבלת פרמטרים'!$K$5),2,IF(N1005='טבלת פרמטרים'!$K$3,1,0))))</f>
        <v/>
      </c>
      <c r="R1005" s="19" t="str">
        <f t="shared" si="21"/>
        <v/>
      </c>
      <c r="T1005" s="19" t="str">
        <f>IF(EXACT(Q1005,'טבלת פרמטרים'!$O$2),'טבלת פרמטרים'!$P$2,IF(EXACT(Q1005,'טבלת פרמטרים'!$O$3),'טבלת פרמטרים'!$P$3,IF(EXACT(Q1005,'טבלת פרמטרים'!$O$4),'טבלת פרמטרים'!$P$4,IF(EXACT(Q1005,'טבלת פרמטרים'!$O$5),'טבלת פרמטרים'!$P$5,IF(EXACT(Q1005,'טבלת פרמטרים'!$O$6),'טבלת פרמטרים'!$P$6,IF(EXACT(Q1005,'טבלת פרמטרים'!$O$7),'טבלת פרמטרים'!$P$7,""))))))</f>
        <v/>
      </c>
    </row>
    <row r="1006" spans="1:20" x14ac:dyDescent="0.2">
      <c r="A1006" s="18">
        <v>1006</v>
      </c>
      <c r="O1006" s="19" t="str">
        <f>IF(ISBLANK(D1006),"",IF(D1006='טבלת פרמטרים'!$A$9,1,0)+IF(E1006='טבלת פרמטרים'!$B$5,2,1)+IF(F1006='טבלת פרמטרים'!$C$5,3,IF(F1006='טבלת פרמטרים'!$C$4,1,0))+IF(G1006='טבלת פרמטרים'!$D$3,2,0)+IF(M1006='טבלת פרמטרים'!$J$4,2,IF(M1006='טבלת פרמטרים'!$J$3,1,0))+IF(N1006='טבלת פרמטרים'!$K$6,3,IF(OR(N1006='טבלת פרמטרים'!$K$4,N1006='טבלת פרמטרים'!$K$5),2,IF(N1006='טבלת פרמטרים'!$K$3,1,0))))</f>
        <v/>
      </c>
      <c r="R1006" s="19" t="str">
        <f t="shared" si="21"/>
        <v/>
      </c>
      <c r="T1006" s="19" t="str">
        <f>IF(EXACT(Q1006,'טבלת פרמטרים'!$O$2),'טבלת פרמטרים'!$P$2,IF(EXACT(Q1006,'טבלת פרמטרים'!$O$3),'טבלת פרמטרים'!$P$3,IF(EXACT(Q1006,'טבלת פרמטרים'!$O$4),'טבלת פרמטרים'!$P$4,IF(EXACT(Q1006,'טבלת פרמטרים'!$O$5),'טבלת פרמטרים'!$P$5,IF(EXACT(Q1006,'טבלת פרמטרים'!$O$6),'טבלת פרמטרים'!$P$6,IF(EXACT(Q1006,'טבלת פרמטרים'!$O$7),'טבלת פרמטרים'!$P$7,""))))))</f>
        <v/>
      </c>
    </row>
    <row r="1007" spans="1:20" x14ac:dyDescent="0.2">
      <c r="A1007" s="18">
        <v>1007</v>
      </c>
      <c r="O1007" s="19" t="str">
        <f>IF(ISBLANK(D1007),"",IF(D1007='טבלת פרמטרים'!$A$9,1,0)+IF(E1007='טבלת פרמטרים'!$B$5,2,1)+IF(F1007='טבלת פרמטרים'!$C$5,3,IF(F1007='טבלת פרמטרים'!$C$4,1,0))+IF(G1007='טבלת פרמטרים'!$D$3,2,0)+IF(M1007='טבלת פרמטרים'!$J$4,2,IF(M1007='טבלת פרמטרים'!$J$3,1,0))+IF(N1007='טבלת פרמטרים'!$K$6,3,IF(OR(N1007='טבלת פרמטרים'!$K$4,N1007='טבלת פרמטרים'!$K$5),2,IF(N1007='טבלת פרמטרים'!$K$3,1,0))))</f>
        <v/>
      </c>
      <c r="R1007" s="19" t="str">
        <f t="shared" si="21"/>
        <v/>
      </c>
      <c r="T1007" s="19" t="str">
        <f>IF(EXACT(Q1007,'טבלת פרמטרים'!$O$2),'טבלת פרמטרים'!$P$2,IF(EXACT(Q1007,'טבלת פרמטרים'!$O$3),'טבלת פרמטרים'!$P$3,IF(EXACT(Q1007,'טבלת פרמטרים'!$O$4),'טבלת פרמטרים'!$P$4,IF(EXACT(Q1007,'טבלת פרמטרים'!$O$5),'טבלת פרמטרים'!$P$5,IF(EXACT(Q1007,'טבלת פרמטרים'!$O$6),'טבלת פרמטרים'!$P$6,IF(EXACT(Q1007,'טבלת פרמטרים'!$O$7),'טבלת פרמטרים'!$P$7,""))))))</f>
        <v/>
      </c>
    </row>
    <row r="1008" spans="1:20" x14ac:dyDescent="0.2">
      <c r="A1008" s="18">
        <v>1008</v>
      </c>
      <c r="O1008" s="19" t="str">
        <f>IF(ISBLANK(D1008),"",IF(D1008='טבלת פרמטרים'!$A$9,1,0)+IF(E1008='טבלת פרמטרים'!$B$5,2,1)+IF(F1008='טבלת פרמטרים'!$C$5,3,IF(F1008='טבלת פרמטרים'!$C$4,1,0))+IF(G1008='טבלת פרמטרים'!$D$3,2,0)+IF(M1008='טבלת פרמטרים'!$J$4,2,IF(M1008='טבלת פרמטרים'!$J$3,1,0))+IF(N1008='טבלת פרמטרים'!$K$6,3,IF(OR(N1008='טבלת פרמטרים'!$K$4,N1008='טבלת פרמטרים'!$K$5),2,IF(N1008='טבלת פרמטרים'!$K$3,1,0))))</f>
        <v/>
      </c>
      <c r="R1008" s="19" t="str">
        <f t="shared" si="21"/>
        <v/>
      </c>
      <c r="T1008" s="19" t="str">
        <f>IF(EXACT(Q1008,'טבלת פרמטרים'!$O$2),'טבלת פרמטרים'!$P$2,IF(EXACT(Q1008,'טבלת פרמטרים'!$O$3),'טבלת פרמטרים'!$P$3,IF(EXACT(Q1008,'טבלת פרמטרים'!$O$4),'טבלת פרמטרים'!$P$4,IF(EXACT(Q1008,'טבלת פרמטרים'!$O$5),'טבלת פרמטרים'!$P$5,IF(EXACT(Q1008,'טבלת פרמטרים'!$O$6),'טבלת פרמטרים'!$P$6,IF(EXACT(Q1008,'טבלת פרמטרים'!$O$7),'טבלת פרמטרים'!$P$7,""))))))</f>
        <v/>
      </c>
    </row>
    <row r="1009" spans="1:20" x14ac:dyDescent="0.2">
      <c r="A1009" s="18">
        <v>1009</v>
      </c>
      <c r="O1009" s="19" t="str">
        <f>IF(ISBLANK(D1009),"",IF(D1009='טבלת פרמטרים'!$A$9,1,0)+IF(E1009='טבלת פרמטרים'!$B$5,2,1)+IF(F1009='טבלת פרמטרים'!$C$5,3,IF(F1009='טבלת פרמטרים'!$C$4,1,0))+IF(G1009='טבלת פרמטרים'!$D$3,2,0)+IF(M1009='טבלת פרמטרים'!$J$4,2,IF(M1009='טבלת פרמטרים'!$J$3,1,0))+IF(N1009='טבלת פרמטרים'!$K$6,3,IF(OR(N1009='טבלת פרמטרים'!$K$4,N1009='טבלת פרמטרים'!$K$5),2,IF(N1009='טבלת פרמטרים'!$K$3,1,0))))</f>
        <v/>
      </c>
      <c r="R1009" s="19" t="str">
        <f t="shared" si="21"/>
        <v/>
      </c>
      <c r="T1009" s="19" t="str">
        <f>IF(EXACT(Q1009,'טבלת פרמטרים'!$O$2),'טבלת פרמטרים'!$P$2,IF(EXACT(Q1009,'טבלת פרמטרים'!$O$3),'טבלת פרמטרים'!$P$3,IF(EXACT(Q1009,'טבלת פרמטרים'!$O$4),'טבלת פרמטרים'!$P$4,IF(EXACT(Q1009,'טבלת פרמטרים'!$O$5),'טבלת פרמטרים'!$P$5,IF(EXACT(Q1009,'טבלת פרמטרים'!$O$6),'טבלת פרמטרים'!$P$6,IF(EXACT(Q1009,'טבלת פרמטרים'!$O$7),'טבלת פרמטרים'!$P$7,""))))))</f>
        <v/>
      </c>
    </row>
    <row r="1010" spans="1:20" x14ac:dyDescent="0.2">
      <c r="A1010" s="18">
        <v>1010</v>
      </c>
      <c r="O1010" s="19" t="str">
        <f>IF(ISBLANK(D1010),"",IF(D1010='טבלת פרמטרים'!$A$9,1,0)+IF(E1010='טבלת פרמטרים'!$B$5,2,1)+IF(F1010='טבלת פרמטרים'!$C$5,3,IF(F1010='טבלת פרמטרים'!$C$4,1,0))+IF(G1010='טבלת פרמטרים'!$D$3,2,0)+IF(M1010='טבלת פרמטרים'!$J$4,2,IF(M1010='טבלת פרמטרים'!$J$3,1,0))+IF(N1010='טבלת פרמטרים'!$K$6,3,IF(OR(N1010='טבלת פרמטרים'!$K$4,N1010='טבלת פרמטרים'!$K$5),2,IF(N1010='טבלת פרמטרים'!$K$3,1,0))))</f>
        <v/>
      </c>
      <c r="R1010" s="19" t="str">
        <f t="shared" si="21"/>
        <v/>
      </c>
      <c r="T1010" s="19" t="str">
        <f>IF(EXACT(Q1010,'טבלת פרמטרים'!$O$2),'טבלת פרמטרים'!$P$2,IF(EXACT(Q1010,'טבלת פרמטרים'!$O$3),'טבלת פרמטרים'!$P$3,IF(EXACT(Q1010,'טבלת פרמטרים'!$O$4),'טבלת פרמטרים'!$P$4,IF(EXACT(Q1010,'טבלת פרמטרים'!$O$5),'טבלת פרמטרים'!$P$5,IF(EXACT(Q1010,'טבלת פרמטרים'!$O$6),'טבלת פרמטרים'!$P$6,IF(EXACT(Q1010,'טבלת פרמטרים'!$O$7),'טבלת פרמטרים'!$P$7,""))))))</f>
        <v/>
      </c>
    </row>
    <row r="1011" spans="1:20" x14ac:dyDescent="0.2">
      <c r="A1011" s="18">
        <v>1011</v>
      </c>
      <c r="O1011" s="19" t="str">
        <f>IF(ISBLANK(D1011),"",IF(D1011='טבלת פרמטרים'!$A$9,1,0)+IF(E1011='טבלת פרמטרים'!$B$5,2,1)+IF(F1011='טבלת פרמטרים'!$C$5,3,IF(F1011='טבלת פרמטרים'!$C$4,1,0))+IF(G1011='טבלת פרמטרים'!$D$3,2,0)+IF(M1011='טבלת פרמטרים'!$J$4,2,IF(M1011='טבלת פרמטרים'!$J$3,1,0))+IF(N1011='טבלת פרמטרים'!$K$6,3,IF(OR(N1011='טבלת פרמטרים'!$K$4,N1011='טבלת פרמטרים'!$K$5),2,IF(N1011='טבלת פרמטרים'!$K$3,1,0))))</f>
        <v/>
      </c>
      <c r="R1011" s="19" t="str">
        <f t="shared" si="21"/>
        <v/>
      </c>
      <c r="T1011" s="19" t="str">
        <f>IF(EXACT(Q1011,'טבלת פרמטרים'!$O$2),'טבלת פרמטרים'!$P$2,IF(EXACT(Q1011,'טבלת פרמטרים'!$O$3),'טבלת פרמטרים'!$P$3,IF(EXACT(Q1011,'טבלת פרמטרים'!$O$4),'טבלת פרמטרים'!$P$4,IF(EXACT(Q1011,'טבלת פרמטרים'!$O$5),'טבלת פרמטרים'!$P$5,IF(EXACT(Q1011,'טבלת פרמטרים'!$O$6),'טבלת פרמטרים'!$P$6,IF(EXACT(Q1011,'טבלת פרמטרים'!$O$7),'טבלת פרמטרים'!$P$7,""))))))</f>
        <v/>
      </c>
    </row>
    <row r="1012" spans="1:20" x14ac:dyDescent="0.2">
      <c r="A1012" s="18">
        <v>1012</v>
      </c>
      <c r="O1012" s="19" t="str">
        <f>IF(ISBLANK(D1012),"",IF(D1012='טבלת פרמטרים'!$A$9,1,0)+IF(E1012='טבלת פרמטרים'!$B$5,2,1)+IF(F1012='טבלת פרמטרים'!$C$5,3,IF(F1012='טבלת פרמטרים'!$C$4,1,0))+IF(G1012='טבלת פרמטרים'!$D$3,2,0)+IF(M1012='טבלת פרמטרים'!$J$4,2,IF(M1012='טבלת פרמטרים'!$J$3,1,0))+IF(N1012='טבלת פרמטרים'!$K$6,3,IF(OR(N1012='טבלת פרמטרים'!$K$4,N1012='טבלת פרמטרים'!$K$5),2,IF(N1012='טבלת פרמטרים'!$K$3,1,0))))</f>
        <v/>
      </c>
      <c r="R1012" s="19" t="str">
        <f t="shared" si="21"/>
        <v/>
      </c>
      <c r="T1012" s="19" t="str">
        <f>IF(EXACT(Q1012,'טבלת פרמטרים'!$O$2),'טבלת פרמטרים'!$P$2,IF(EXACT(Q1012,'טבלת פרמטרים'!$O$3),'טבלת פרמטרים'!$P$3,IF(EXACT(Q1012,'טבלת פרמטרים'!$O$4),'טבלת פרמטרים'!$P$4,IF(EXACT(Q1012,'טבלת פרמטרים'!$O$5),'טבלת פרמטרים'!$P$5,IF(EXACT(Q1012,'טבלת פרמטרים'!$O$6),'טבלת פרמטרים'!$P$6,IF(EXACT(Q1012,'טבלת פרמטרים'!$O$7),'טבלת פרמטרים'!$P$7,""))))))</f>
        <v/>
      </c>
    </row>
    <row r="1013" spans="1:20" x14ac:dyDescent="0.2">
      <c r="A1013" s="18">
        <v>1013</v>
      </c>
      <c r="O1013" s="19" t="str">
        <f>IF(ISBLANK(D1013),"",IF(D1013='טבלת פרמטרים'!$A$9,1,0)+IF(E1013='טבלת פרמטרים'!$B$5,2,1)+IF(F1013='טבלת פרמטרים'!$C$5,3,IF(F1013='טבלת פרמטרים'!$C$4,1,0))+IF(G1013='טבלת פרמטרים'!$D$3,2,0)+IF(M1013='טבלת פרמטרים'!$J$4,2,IF(M1013='טבלת פרמטרים'!$J$3,1,0))+IF(N1013='טבלת פרמטרים'!$K$6,3,IF(OR(N1013='טבלת פרמטרים'!$K$4,N1013='טבלת פרמטרים'!$K$5),2,IF(N1013='טבלת פרמטרים'!$K$3,1,0))))</f>
        <v/>
      </c>
      <c r="R1013" s="19" t="str">
        <f t="shared" si="21"/>
        <v/>
      </c>
      <c r="T1013" s="19" t="str">
        <f>IF(EXACT(Q1013,'טבלת פרמטרים'!$O$2),'טבלת פרמטרים'!$P$2,IF(EXACT(Q1013,'טבלת פרמטרים'!$O$3),'טבלת פרמטרים'!$P$3,IF(EXACT(Q1013,'טבלת פרמטרים'!$O$4),'טבלת פרמטרים'!$P$4,IF(EXACT(Q1013,'טבלת פרמטרים'!$O$5),'טבלת פרמטרים'!$P$5,IF(EXACT(Q1013,'טבלת פרמטרים'!$O$6),'טבלת פרמטרים'!$P$6,IF(EXACT(Q1013,'טבלת פרמטרים'!$O$7),'טבלת פרמטרים'!$P$7,""))))))</f>
        <v/>
      </c>
    </row>
    <row r="1014" spans="1:20" x14ac:dyDescent="0.2">
      <c r="A1014" s="18">
        <v>1014</v>
      </c>
      <c r="O1014" s="19" t="str">
        <f>IF(ISBLANK(D1014),"",IF(D1014='טבלת פרמטרים'!$A$9,1,0)+IF(E1014='טבלת פרמטרים'!$B$5,2,1)+IF(F1014='טבלת פרמטרים'!$C$5,3,IF(F1014='טבלת פרמטרים'!$C$4,1,0))+IF(G1014='טבלת פרמטרים'!$D$3,2,0)+IF(M1014='טבלת פרמטרים'!$J$4,2,IF(M1014='טבלת פרמטרים'!$J$3,1,0))+IF(N1014='טבלת פרמטרים'!$K$6,3,IF(OR(N1014='טבלת פרמטרים'!$K$4,N1014='טבלת פרמטרים'!$K$5),2,IF(N1014='טבלת פרמטרים'!$K$3,1,0))))</f>
        <v/>
      </c>
      <c r="R1014" s="19" t="str">
        <f t="shared" si="21"/>
        <v/>
      </c>
      <c r="T1014" s="19" t="str">
        <f>IF(EXACT(Q1014,'טבלת פרמטרים'!$O$2),'טבלת פרמטרים'!$P$2,IF(EXACT(Q1014,'טבלת פרמטרים'!$O$3),'טבלת פרמטרים'!$P$3,IF(EXACT(Q1014,'טבלת פרמטרים'!$O$4),'טבלת פרמטרים'!$P$4,IF(EXACT(Q1014,'טבלת פרמטרים'!$O$5),'טבלת פרמטרים'!$P$5,IF(EXACT(Q1014,'טבלת פרמטרים'!$O$6),'טבלת פרמטרים'!$P$6,IF(EXACT(Q1014,'טבלת פרמטרים'!$O$7),'טבלת פרמטרים'!$P$7,""))))))</f>
        <v/>
      </c>
    </row>
    <row r="1015" spans="1:20" x14ac:dyDescent="0.2">
      <c r="A1015" s="18">
        <v>1015</v>
      </c>
      <c r="O1015" s="19" t="str">
        <f>IF(ISBLANK(D1015),"",IF(D1015='טבלת פרמטרים'!$A$9,1,0)+IF(E1015='טבלת פרמטרים'!$B$5,2,1)+IF(F1015='טבלת פרמטרים'!$C$5,3,IF(F1015='טבלת פרמטרים'!$C$4,1,0))+IF(G1015='טבלת פרמטרים'!$D$3,2,0)+IF(M1015='טבלת פרמטרים'!$J$4,2,IF(M1015='טבלת פרמטרים'!$J$3,1,0))+IF(N1015='טבלת פרמטרים'!$K$6,3,IF(OR(N1015='טבלת פרמטרים'!$K$4,N1015='טבלת פרמטרים'!$K$5),2,IF(N1015='טבלת פרמטרים'!$K$3,1,0))))</f>
        <v/>
      </c>
      <c r="R1015" s="19" t="str">
        <f t="shared" si="21"/>
        <v/>
      </c>
      <c r="T1015" s="19" t="str">
        <f>IF(EXACT(Q1015,'טבלת פרמטרים'!$O$2),'טבלת פרמטרים'!$P$2,IF(EXACT(Q1015,'טבלת פרמטרים'!$O$3),'טבלת פרמטרים'!$P$3,IF(EXACT(Q1015,'טבלת פרמטרים'!$O$4),'טבלת פרמטרים'!$P$4,IF(EXACT(Q1015,'טבלת פרמטרים'!$O$5),'טבלת פרמטרים'!$P$5,IF(EXACT(Q1015,'טבלת פרמטרים'!$O$6),'טבלת פרמטרים'!$P$6,IF(EXACT(Q1015,'טבלת פרמטרים'!$O$7),'טבלת פרמטרים'!$P$7,""))))))</f>
        <v/>
      </c>
    </row>
    <row r="1016" spans="1:20" x14ac:dyDescent="0.2">
      <c r="T1016" s="19" t="str">
        <f>IF(EXACT(Q1016,'טבלת פרמטרים'!$O$2),'טבלת פרמטרים'!$P$2,IF(EXACT(Q1016,'טבלת פרמטרים'!$O$3),'טבלת פרמטרים'!$P$3,IF(EXACT(Q1016,'טבלת פרמטרים'!$O$4),'טבלת פרמטרים'!$P$4,IF(EXACT(Q1016,'טבלת פרמטרים'!$O$5),'טבלת פרמטרים'!$P$5,IF(EXACT(Q1016,'טבלת פרמטרים'!$O$6),'טבלת פרמטרים'!$P$6,IF(EXACT(Q1016,'טבלת פרמטרים'!$O$7),'טבלת פרמטרים'!$P$7,""))))))</f>
        <v/>
      </c>
    </row>
  </sheetData>
  <autoFilter ref="A1:U1016" xr:uid="{00000000-0009-0000-0000-000000000000}"/>
  <phoneticPr fontId="18" type="noConversion"/>
  <pageMargins left="0.7" right="0.7" top="0.75" bottom="0.75" header="0.3" footer="0.3"/>
  <pageSetup paperSize="9" scale="10" orientation="landscape" r:id="rId1"/>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000-000000000000}">
          <x14:formula1>
            <xm:f>'טבלת פרמטרים'!$B$3:$B$5</xm:f>
          </x14:formula1>
          <xm:sqref>E2:E37 E39:E46</xm:sqref>
        </x14:dataValidation>
        <x14:dataValidation type="list" allowBlank="1" showInputMessage="1" showErrorMessage="1" xr:uid="{00000000-0002-0000-0000-000001000000}">
          <x14:formula1>
            <xm:f>'טבלת פרמטרים'!$E$2:$E$10</xm:f>
          </x14:formula1>
          <xm:sqref>H2:H37</xm:sqref>
        </x14:dataValidation>
        <x14:dataValidation type="list" allowBlank="1" showInputMessage="1" showErrorMessage="1" xr:uid="{00000000-0002-0000-0000-000002000000}">
          <x14:formula1>
            <xm:f>'טבלת פרמטרים'!$G$2:$G$12</xm:f>
          </x14:formula1>
          <xm:sqref>J2:J64</xm:sqref>
        </x14:dataValidation>
        <x14:dataValidation type="list" allowBlank="1" showInputMessage="1" showErrorMessage="1" xr:uid="{00000000-0002-0000-0000-000003000000}">
          <x14:formula1>
            <xm:f>'טבלת פרמטרים'!$B$2:$B$5</xm:f>
          </x14:formula1>
          <xm:sqref>E38 E47:E1015</xm:sqref>
        </x14:dataValidation>
        <x14:dataValidation type="list" allowBlank="1" showInputMessage="1" showErrorMessage="1" xr:uid="{00000000-0002-0000-0000-000004000000}">
          <x14:formula1>
            <xm:f>'טבלת פרמטרים'!$A$2:$A$11</xm:f>
          </x14:formula1>
          <xm:sqref>D2:D1015</xm:sqref>
        </x14:dataValidation>
        <x14:dataValidation type="list" allowBlank="1" showInputMessage="1" showErrorMessage="1" xr:uid="{00000000-0002-0000-0000-000005000000}">
          <x14:formula1>
            <xm:f>'טבלת פרמטרים'!$D$2:$D$3</xm:f>
          </x14:formula1>
          <xm:sqref>G2:G1015</xm:sqref>
        </x14:dataValidation>
        <x14:dataValidation type="list" allowBlank="1" showInputMessage="1" showErrorMessage="1" xr:uid="{00000000-0002-0000-0000-000006000000}">
          <x14:formula1>
            <xm:f>'טבלת פרמטרים'!$J$2:$J$4</xm:f>
          </x14:formula1>
          <xm:sqref>M2:M1015</xm:sqref>
        </x14:dataValidation>
        <x14:dataValidation type="list" allowBlank="1" showInputMessage="1" showErrorMessage="1" xr:uid="{00000000-0002-0000-0000-000007000000}">
          <x14:formula1>
            <xm:f>'טבלת פרמטרים'!$K$2:$K$6</xm:f>
          </x14:formula1>
          <xm:sqref>N2:N1015</xm:sqref>
        </x14:dataValidation>
        <x14:dataValidation type="list" allowBlank="1" showInputMessage="1" showErrorMessage="1" xr:uid="{00000000-0002-0000-0000-000008000000}">
          <x14:formula1>
            <xm:f>'טבלת פרמטרים'!$I$2:$I$5</xm:f>
          </x14:formula1>
          <xm:sqref>L2:L1015</xm:sqref>
        </x14:dataValidation>
        <x14:dataValidation type="list" allowBlank="1" showInputMessage="1" showErrorMessage="1" xr:uid="{00000000-0002-0000-0000-000009000000}">
          <x14:formula1>
            <xm:f>'טבלת פרמטרים'!$M$2:$M$9</xm:f>
          </x14:formula1>
          <xm:sqref>P2:P1015</xm:sqref>
        </x14:dataValidation>
        <x14:dataValidation type="list" allowBlank="1" showInputMessage="1" showErrorMessage="1" xr:uid="{00000000-0002-0000-0000-00000A000000}">
          <x14:formula1>
            <xm:f>'טבלת פרמטרים'!$O$2:$O$7</xm:f>
          </x14:formula1>
          <xm:sqref>Q2:Q1015</xm:sqref>
        </x14:dataValidation>
        <x14:dataValidation type="list" allowBlank="1" showInputMessage="1" showErrorMessage="1" xr:uid="{00000000-0002-0000-0000-00000B000000}">
          <x14:formula1>
            <xm:f>'טבלת פרמטרים'!$E$2:$E$7</xm:f>
          </x14:formula1>
          <xm:sqref>H38:H1015</xm:sqref>
        </x14:dataValidation>
        <x14:dataValidation type="list" allowBlank="1" showInputMessage="1" showErrorMessage="1" xr:uid="{00000000-0002-0000-0000-00000C000000}">
          <x14:formula1>
            <xm:f>'טבלת פרמטרים'!$F$2:$F$3</xm:f>
          </x14:formula1>
          <xm:sqref>I2:I1015</xm:sqref>
        </x14:dataValidation>
        <x14:dataValidation type="list" allowBlank="1" showInputMessage="1" showErrorMessage="1" xr:uid="{00000000-0002-0000-0000-00000D000000}">
          <x14:formula1>
            <xm:f>'טבלת פרמטרים'!$G$2:$G$13</xm:f>
          </x14:formula1>
          <xm:sqref>J65:J1015</xm:sqref>
        </x14:dataValidation>
        <x14:dataValidation type="list" allowBlank="1" showInputMessage="1" showErrorMessage="1" xr:uid="{00000000-0002-0000-0000-00000E000000}">
          <x14:formula1>
            <xm:f>'טבלת פרמטרים'!$C$3:$C$5</xm:f>
          </x14:formula1>
          <xm:sqref>F2:F1015</xm:sqref>
        </x14:dataValidation>
        <x14:dataValidation type="list" allowBlank="1" showInputMessage="1" showErrorMessage="1" xr:uid="{00000000-0002-0000-0000-00000F000000}">
          <x14:formula1>
            <xm:f>'טבלת פרמטרים'!$H$2:$H$11</xm:f>
          </x14:formula1>
          <xm:sqref>K2:K1015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187"/>
  <sheetViews>
    <sheetView rightToLeft="1" tabSelected="1" zoomScaleNormal="100" workbookViewId="0">
      <pane ySplit="1" topLeftCell="A863" activePane="bottomLeft" state="frozen"/>
      <selection pane="bottomLeft" sqref="A1:A1048576"/>
    </sheetView>
  </sheetViews>
  <sheetFormatPr defaultRowHeight="14.25" x14ac:dyDescent="0.2"/>
  <cols>
    <col min="1" max="1" width="7.25" style="28" customWidth="1"/>
    <col min="2" max="2" width="16.125" style="106" customWidth="1"/>
    <col min="3" max="3" width="103.375" style="31" customWidth="1"/>
    <col min="4" max="4" width="67.625" style="31" customWidth="1"/>
    <col min="5" max="5" width="12.375" style="77" customWidth="1"/>
    <col min="6" max="6" width="25.125" style="82" customWidth="1"/>
    <col min="7" max="7" width="7.25" style="84" customWidth="1"/>
    <col min="8" max="8" width="12.25" style="31" customWidth="1"/>
    <col min="9" max="9" width="11.375" style="46" bestFit="1" customWidth="1"/>
  </cols>
  <sheetData>
    <row r="1" spans="1:9" ht="36" x14ac:dyDescent="0.2">
      <c r="A1" s="27" t="str">
        <f>'Incident Reporting'!A1</f>
        <v>מספר סידורי</v>
      </c>
      <c r="B1" s="55" t="s">
        <v>1229</v>
      </c>
      <c r="C1" s="55" t="s">
        <v>150</v>
      </c>
      <c r="D1" s="55" t="s">
        <v>214</v>
      </c>
      <c r="E1" s="76" t="s">
        <v>570</v>
      </c>
      <c r="F1" s="55" t="s">
        <v>757</v>
      </c>
      <c r="G1" s="83" t="s">
        <v>1091</v>
      </c>
      <c r="H1" s="55" t="s">
        <v>128</v>
      </c>
      <c r="I1" s="55" t="s">
        <v>964</v>
      </c>
    </row>
    <row r="2" spans="1:9" ht="18" x14ac:dyDescent="0.2">
      <c r="A2" s="53">
        <f>'Incident Reporting'!A2</f>
        <v>1</v>
      </c>
    </row>
    <row r="3" spans="1:9" ht="18" x14ac:dyDescent="0.2">
      <c r="A3" s="53">
        <f>'Incident Reporting'!A3</f>
        <v>2</v>
      </c>
    </row>
    <row r="4" spans="1:9" ht="18" x14ac:dyDescent="0.2">
      <c r="A4" s="53">
        <f>'Incident Reporting'!A4</f>
        <v>3</v>
      </c>
    </row>
    <row r="5" spans="1:9" ht="18" x14ac:dyDescent="0.2">
      <c r="A5" s="53">
        <f>'Incident Reporting'!A5</f>
        <v>4</v>
      </c>
    </row>
    <row r="6" spans="1:9" ht="18" x14ac:dyDescent="0.2">
      <c r="A6" s="53">
        <f>'Incident Reporting'!A6</f>
        <v>5</v>
      </c>
    </row>
    <row r="7" spans="1:9" ht="18" x14ac:dyDescent="0.2">
      <c r="A7" s="53">
        <f>'Incident Reporting'!A7</f>
        <v>6</v>
      </c>
    </row>
    <row r="8" spans="1:9" ht="18" x14ac:dyDescent="0.2">
      <c r="A8" s="53">
        <f>'Incident Reporting'!A8</f>
        <v>7</v>
      </c>
    </row>
    <row r="9" spans="1:9" ht="18" x14ac:dyDescent="0.2">
      <c r="A9" s="53">
        <f>'Incident Reporting'!A9</f>
        <v>8</v>
      </c>
    </row>
    <row r="10" spans="1:9" ht="18" x14ac:dyDescent="0.2">
      <c r="A10" s="53">
        <f>'Incident Reporting'!A10</f>
        <v>9</v>
      </c>
    </row>
    <row r="11" spans="1:9" ht="18" x14ac:dyDescent="0.2">
      <c r="A11" s="53">
        <f>'Incident Reporting'!A11</f>
        <v>10</v>
      </c>
    </row>
    <row r="12" spans="1:9" ht="18" x14ac:dyDescent="0.2">
      <c r="A12" s="53">
        <f>'Incident Reporting'!A12</f>
        <v>11</v>
      </c>
    </row>
    <row r="13" spans="1:9" ht="18" x14ac:dyDescent="0.2">
      <c r="A13" s="53">
        <f>'Incident Reporting'!A13</f>
        <v>12</v>
      </c>
    </row>
    <row r="14" spans="1:9" ht="18" x14ac:dyDescent="0.2">
      <c r="A14" s="53">
        <f>'Incident Reporting'!A14</f>
        <v>13</v>
      </c>
    </row>
    <row r="15" spans="1:9" ht="18" x14ac:dyDescent="0.2">
      <c r="A15" s="53">
        <f>'Incident Reporting'!A15</f>
        <v>14</v>
      </c>
    </row>
    <row r="16" spans="1:9" ht="18" x14ac:dyDescent="0.2">
      <c r="A16" s="53">
        <f>'Incident Reporting'!A16</f>
        <v>15</v>
      </c>
    </row>
    <row r="17" spans="1:1" ht="18" x14ac:dyDescent="0.2">
      <c r="A17" s="53">
        <f>'Incident Reporting'!A17</f>
        <v>16</v>
      </c>
    </row>
    <row r="18" spans="1:1" ht="18" x14ac:dyDescent="0.2">
      <c r="A18" s="53">
        <f>'Incident Reporting'!A18</f>
        <v>17</v>
      </c>
    </row>
    <row r="19" spans="1:1" ht="18" x14ac:dyDescent="0.2">
      <c r="A19" s="53">
        <f>'Incident Reporting'!A19</f>
        <v>18</v>
      </c>
    </row>
    <row r="20" spans="1:1" ht="18" x14ac:dyDescent="0.2">
      <c r="A20" s="53">
        <f>'Incident Reporting'!A20</f>
        <v>19</v>
      </c>
    </row>
    <row r="21" spans="1:1" ht="18" x14ac:dyDescent="0.2">
      <c r="A21" s="53">
        <f>'Incident Reporting'!A21</f>
        <v>20</v>
      </c>
    </row>
    <row r="22" spans="1:1" ht="18" x14ac:dyDescent="0.2">
      <c r="A22" s="53">
        <f>'Incident Reporting'!A22</f>
        <v>21</v>
      </c>
    </row>
    <row r="23" spans="1:1" ht="18" x14ac:dyDescent="0.2">
      <c r="A23" s="53">
        <f>'Incident Reporting'!A23</f>
        <v>22</v>
      </c>
    </row>
    <row r="24" spans="1:1" ht="18" x14ac:dyDescent="0.2">
      <c r="A24" s="53">
        <f>'Incident Reporting'!A24</f>
        <v>23</v>
      </c>
    </row>
    <row r="25" spans="1:1" ht="18" x14ac:dyDescent="0.2">
      <c r="A25" s="53">
        <f>'Incident Reporting'!A25</f>
        <v>24</v>
      </c>
    </row>
    <row r="26" spans="1:1" ht="18" x14ac:dyDescent="0.2">
      <c r="A26" s="53">
        <f>'Incident Reporting'!A26</f>
        <v>25</v>
      </c>
    </row>
    <row r="27" spans="1:1" ht="18" x14ac:dyDescent="0.2">
      <c r="A27" s="53">
        <f>'Incident Reporting'!A27</f>
        <v>26</v>
      </c>
    </row>
    <row r="28" spans="1:1" ht="18" x14ac:dyDescent="0.2">
      <c r="A28" s="53">
        <f>'Incident Reporting'!A28</f>
        <v>27</v>
      </c>
    </row>
    <row r="29" spans="1:1" ht="18" x14ac:dyDescent="0.2">
      <c r="A29" s="53">
        <f>'Incident Reporting'!A29</f>
        <v>28</v>
      </c>
    </row>
    <row r="30" spans="1:1" ht="18" x14ac:dyDescent="0.2">
      <c r="A30" s="53">
        <f>'Incident Reporting'!A30</f>
        <v>29</v>
      </c>
    </row>
    <row r="31" spans="1:1" ht="18" x14ac:dyDescent="0.2">
      <c r="A31" s="53">
        <f>'Incident Reporting'!A31</f>
        <v>30</v>
      </c>
    </row>
    <row r="32" spans="1:1" ht="18" x14ac:dyDescent="0.2">
      <c r="A32" s="53">
        <f>'Incident Reporting'!A32</f>
        <v>31</v>
      </c>
    </row>
    <row r="33" spans="1:3" ht="18" x14ac:dyDescent="0.2">
      <c r="A33" s="53">
        <f>'Incident Reporting'!A33</f>
        <v>32</v>
      </c>
    </row>
    <row r="34" spans="1:3" ht="18" x14ac:dyDescent="0.2">
      <c r="A34" s="53">
        <f>'Incident Reporting'!A34</f>
        <v>33</v>
      </c>
    </row>
    <row r="35" spans="1:3" ht="18" x14ac:dyDescent="0.2">
      <c r="A35" s="53">
        <f>'Incident Reporting'!A35</f>
        <v>34</v>
      </c>
    </row>
    <row r="36" spans="1:3" ht="18" x14ac:dyDescent="0.2">
      <c r="A36" s="53">
        <f>'Incident Reporting'!A36</f>
        <v>35</v>
      </c>
    </row>
    <row r="37" spans="1:3" ht="18" x14ac:dyDescent="0.2">
      <c r="A37" s="53">
        <f>'Incident Reporting'!A37</f>
        <v>36</v>
      </c>
    </row>
    <row r="38" spans="1:3" ht="18" x14ac:dyDescent="0.2">
      <c r="A38" s="53">
        <f>'Incident Reporting'!A38</f>
        <v>37</v>
      </c>
      <c r="B38" s="106" t="s">
        <v>414</v>
      </c>
      <c r="C38" s="31" t="s">
        <v>196</v>
      </c>
    </row>
    <row r="39" spans="1:3" ht="18" x14ac:dyDescent="0.2">
      <c r="A39" s="53">
        <f>'Incident Reporting'!A39</f>
        <v>38</v>
      </c>
      <c r="B39" s="106" t="s">
        <v>1153</v>
      </c>
      <c r="C39" s="31" t="s">
        <v>1154</v>
      </c>
    </row>
    <row r="40" spans="1:3" ht="18" x14ac:dyDescent="0.2">
      <c r="A40" s="53">
        <f>'Incident Reporting'!A40</f>
        <v>39</v>
      </c>
      <c r="B40" s="106" t="s">
        <v>1153</v>
      </c>
      <c r="C40" s="31" t="s">
        <v>197</v>
      </c>
    </row>
    <row r="41" spans="1:3" ht="18" x14ac:dyDescent="0.2">
      <c r="A41" s="53">
        <f>'Incident Reporting'!A41</f>
        <v>40</v>
      </c>
      <c r="B41" s="106" t="s">
        <v>457</v>
      </c>
      <c r="C41" s="38" t="s">
        <v>198</v>
      </c>
    </row>
    <row r="42" spans="1:3" ht="18" x14ac:dyDescent="0.2">
      <c r="A42" s="53">
        <f>'Incident Reporting'!A42</f>
        <v>41</v>
      </c>
      <c r="B42" s="106" t="s">
        <v>457</v>
      </c>
      <c r="C42" s="38" t="s">
        <v>199</v>
      </c>
    </row>
    <row r="43" spans="1:3" ht="18" x14ac:dyDescent="0.2">
      <c r="A43" s="53">
        <f>'Incident Reporting'!A43</f>
        <v>42</v>
      </c>
      <c r="B43" s="106" t="s">
        <v>418</v>
      </c>
      <c r="C43" s="31" t="s">
        <v>194</v>
      </c>
    </row>
    <row r="44" spans="1:3" ht="18" x14ac:dyDescent="0.2">
      <c r="A44" s="53">
        <f>'Incident Reporting'!A44</f>
        <v>43</v>
      </c>
      <c r="B44" s="106" t="s">
        <v>853</v>
      </c>
      <c r="C44" s="31" t="s">
        <v>186</v>
      </c>
    </row>
    <row r="45" spans="1:3" ht="18" x14ac:dyDescent="0.2">
      <c r="A45" s="53">
        <f>'Incident Reporting'!A45</f>
        <v>44</v>
      </c>
      <c r="B45" s="106" t="s">
        <v>1158</v>
      </c>
      <c r="C45" s="31" t="s">
        <v>187</v>
      </c>
    </row>
    <row r="46" spans="1:3" ht="18" x14ac:dyDescent="0.2">
      <c r="A46" s="53">
        <f>'Incident Reporting'!A46</f>
        <v>45</v>
      </c>
      <c r="B46" s="106" t="s">
        <v>414</v>
      </c>
      <c r="C46" s="31" t="s">
        <v>188</v>
      </c>
    </row>
    <row r="47" spans="1:3" ht="18" x14ac:dyDescent="0.2">
      <c r="A47" s="53">
        <f>'Incident Reporting'!A47</f>
        <v>46</v>
      </c>
      <c r="B47" s="106" t="s">
        <v>415</v>
      </c>
      <c r="C47" s="38" t="s">
        <v>189</v>
      </c>
    </row>
    <row r="48" spans="1:3" ht="18" x14ac:dyDescent="0.2">
      <c r="A48" s="53">
        <f>'Incident Reporting'!A48</f>
        <v>47</v>
      </c>
      <c r="B48" s="106" t="s">
        <v>418</v>
      </c>
      <c r="C48" s="38" t="s">
        <v>195</v>
      </c>
    </row>
    <row r="49" spans="1:3" ht="18" x14ac:dyDescent="0.2">
      <c r="A49" s="53">
        <f>'Incident Reporting'!A49</f>
        <v>48</v>
      </c>
      <c r="B49" s="106" t="s">
        <v>422</v>
      </c>
      <c r="C49" s="38" t="s">
        <v>190</v>
      </c>
    </row>
    <row r="50" spans="1:3" ht="18" x14ac:dyDescent="0.2">
      <c r="A50" s="53">
        <f>'Incident Reporting'!A50</f>
        <v>49</v>
      </c>
      <c r="B50" s="106" t="s">
        <v>415</v>
      </c>
      <c r="C50" s="38" t="s">
        <v>191</v>
      </c>
    </row>
    <row r="51" spans="1:3" ht="18" x14ac:dyDescent="0.2">
      <c r="A51" s="53">
        <f>'Incident Reporting'!A51</f>
        <v>50</v>
      </c>
      <c r="B51" s="106" t="s">
        <v>414</v>
      </c>
      <c r="C51" s="38" t="s">
        <v>193</v>
      </c>
    </row>
    <row r="52" spans="1:3" ht="18" x14ac:dyDescent="0.2">
      <c r="A52" s="53">
        <f>'Incident Reporting'!A52</f>
        <v>51</v>
      </c>
      <c r="B52" s="106" t="s">
        <v>418</v>
      </c>
      <c r="C52" s="38" t="s">
        <v>192</v>
      </c>
    </row>
    <row r="53" spans="1:3" ht="18" x14ac:dyDescent="0.2">
      <c r="A53" s="53">
        <f>'Incident Reporting'!A53</f>
        <v>52</v>
      </c>
      <c r="B53" s="106" t="s">
        <v>415</v>
      </c>
      <c r="C53" s="31" t="s">
        <v>174</v>
      </c>
    </row>
    <row r="54" spans="1:3" ht="18" x14ac:dyDescent="0.2">
      <c r="A54" s="53">
        <f>'Incident Reporting'!A54</f>
        <v>53</v>
      </c>
      <c r="B54" s="106" t="s">
        <v>425</v>
      </c>
      <c r="C54" s="38" t="s">
        <v>1157</v>
      </c>
    </row>
    <row r="55" spans="1:3" ht="18" x14ac:dyDescent="0.2">
      <c r="A55" s="53">
        <f>'Incident Reporting'!A55</f>
        <v>54</v>
      </c>
      <c r="B55" s="106" t="s">
        <v>1158</v>
      </c>
      <c r="C55" s="31" t="s">
        <v>1159</v>
      </c>
    </row>
    <row r="56" spans="1:3" ht="18" x14ac:dyDescent="0.2">
      <c r="A56" s="53">
        <f>'Incident Reporting'!A56</f>
        <v>55</v>
      </c>
      <c r="B56" s="106" t="s">
        <v>853</v>
      </c>
      <c r="C56" s="31" t="s">
        <v>1163</v>
      </c>
    </row>
    <row r="57" spans="1:3" ht="18" x14ac:dyDescent="0.2">
      <c r="A57" s="53">
        <f>'Incident Reporting'!A57</f>
        <v>56</v>
      </c>
      <c r="B57" s="106" t="s">
        <v>853</v>
      </c>
      <c r="C57" s="38" t="s">
        <v>175</v>
      </c>
    </row>
    <row r="58" spans="1:3" ht="18" x14ac:dyDescent="0.2">
      <c r="A58" s="53">
        <f>'Incident Reporting'!A58</f>
        <v>57</v>
      </c>
      <c r="B58" s="106" t="s">
        <v>1158</v>
      </c>
      <c r="C58" s="38" t="s">
        <v>176</v>
      </c>
    </row>
    <row r="59" spans="1:3" ht="18" x14ac:dyDescent="0.2">
      <c r="A59" s="53">
        <f>'Incident Reporting'!A59</f>
        <v>58</v>
      </c>
      <c r="B59" s="106" t="s">
        <v>415</v>
      </c>
      <c r="C59" s="38" t="s">
        <v>177</v>
      </c>
    </row>
    <row r="60" spans="1:3" ht="28.5" x14ac:dyDescent="0.2">
      <c r="A60" s="53">
        <f>'Incident Reporting'!A60</f>
        <v>59</v>
      </c>
      <c r="B60" s="106" t="s">
        <v>1181</v>
      </c>
      <c r="C60" s="38" t="s">
        <v>1182</v>
      </c>
    </row>
    <row r="61" spans="1:3" ht="18" x14ac:dyDescent="0.2">
      <c r="A61" s="53">
        <f>'Incident Reporting'!A61</f>
        <v>60</v>
      </c>
      <c r="B61" s="106" t="s">
        <v>422</v>
      </c>
      <c r="C61" s="38" t="s">
        <v>1186</v>
      </c>
    </row>
    <row r="62" spans="1:3" ht="18" x14ac:dyDescent="0.2">
      <c r="A62" s="53">
        <f>'Incident Reporting'!A62</f>
        <v>61</v>
      </c>
      <c r="B62" s="106" t="s">
        <v>455</v>
      </c>
      <c r="C62" s="38" t="s">
        <v>178</v>
      </c>
    </row>
    <row r="63" spans="1:3" ht="18" x14ac:dyDescent="0.2">
      <c r="A63" s="53">
        <f>'Incident Reporting'!A63</f>
        <v>62</v>
      </c>
      <c r="B63" s="106" t="s">
        <v>418</v>
      </c>
      <c r="C63" s="38" t="s">
        <v>179</v>
      </c>
    </row>
    <row r="64" spans="1:3" ht="28.5" x14ac:dyDescent="0.2">
      <c r="A64" s="53">
        <f>'Incident Reporting'!A64</f>
        <v>63</v>
      </c>
      <c r="B64" s="106" t="s">
        <v>1189</v>
      </c>
      <c r="C64" s="38" t="s">
        <v>1190</v>
      </c>
    </row>
    <row r="65" spans="1:3" ht="18" x14ac:dyDescent="0.2">
      <c r="A65" s="53">
        <f>'Incident Reporting'!A65</f>
        <v>64</v>
      </c>
      <c r="B65" s="106" t="s">
        <v>853</v>
      </c>
      <c r="C65" s="38" t="s">
        <v>181</v>
      </c>
    </row>
    <row r="66" spans="1:3" ht="18" x14ac:dyDescent="0.2">
      <c r="A66" s="53">
        <f>'Incident Reporting'!A66</f>
        <v>65</v>
      </c>
      <c r="B66" s="106" t="s">
        <v>1153</v>
      </c>
      <c r="C66" s="38" t="s">
        <v>1234</v>
      </c>
    </row>
    <row r="67" spans="1:3" ht="18" x14ac:dyDescent="0.2">
      <c r="A67" s="53">
        <f>'Incident Reporting'!A67</f>
        <v>66</v>
      </c>
      <c r="B67" s="106" t="s">
        <v>418</v>
      </c>
      <c r="C67" s="38" t="s">
        <v>642</v>
      </c>
    </row>
    <row r="68" spans="1:3" ht="18" x14ac:dyDescent="0.2">
      <c r="A68" s="53">
        <f>'Incident Reporting'!A68</f>
        <v>67</v>
      </c>
      <c r="B68" s="106" t="s">
        <v>853</v>
      </c>
      <c r="C68" s="38" t="s">
        <v>1164</v>
      </c>
    </row>
    <row r="69" spans="1:3" ht="18" x14ac:dyDescent="0.2">
      <c r="A69" s="53">
        <f>'Incident Reporting'!A69</f>
        <v>68</v>
      </c>
      <c r="B69" s="106" t="s">
        <v>414</v>
      </c>
      <c r="C69" s="38" t="s">
        <v>183</v>
      </c>
    </row>
    <row r="70" spans="1:3" ht="18" x14ac:dyDescent="0.2">
      <c r="A70" s="53">
        <f>'Incident Reporting'!A70</f>
        <v>69</v>
      </c>
      <c r="B70" s="106" t="s">
        <v>455</v>
      </c>
      <c r="C70" s="38" t="s">
        <v>184</v>
      </c>
    </row>
    <row r="71" spans="1:3" ht="18" x14ac:dyDescent="0.2">
      <c r="A71" s="53">
        <f>'Incident Reporting'!A71</f>
        <v>70</v>
      </c>
      <c r="B71" s="106" t="s">
        <v>1202</v>
      </c>
      <c r="C71" s="38" t="s">
        <v>1204</v>
      </c>
    </row>
    <row r="72" spans="1:3" ht="18" x14ac:dyDescent="0.2">
      <c r="A72" s="53">
        <f>'Incident Reporting'!A72</f>
        <v>71</v>
      </c>
      <c r="B72" s="106" t="s">
        <v>1202</v>
      </c>
      <c r="C72" s="38" t="s">
        <v>1204</v>
      </c>
    </row>
    <row r="73" spans="1:3" ht="18" x14ac:dyDescent="0.2">
      <c r="A73" s="53">
        <f>'Incident Reporting'!A73</f>
        <v>72</v>
      </c>
      <c r="B73" s="106" t="s">
        <v>455</v>
      </c>
      <c r="C73" s="38" t="s">
        <v>185</v>
      </c>
    </row>
    <row r="74" spans="1:3" ht="18" x14ac:dyDescent="0.2">
      <c r="A74" s="53">
        <f>'Incident Reporting'!A74</f>
        <v>73</v>
      </c>
      <c r="B74" s="106" t="s">
        <v>1230</v>
      </c>
      <c r="C74" s="31" t="s">
        <v>173</v>
      </c>
    </row>
    <row r="75" spans="1:3" ht="18" x14ac:dyDescent="0.2">
      <c r="A75" s="53">
        <f>'Incident Reporting'!A75</f>
        <v>74</v>
      </c>
      <c r="B75" s="106" t="s">
        <v>421</v>
      </c>
      <c r="C75" s="31" t="s">
        <v>162</v>
      </c>
    </row>
    <row r="76" spans="1:3" ht="18" x14ac:dyDescent="0.2">
      <c r="A76" s="53">
        <f>'Incident Reporting'!A76</f>
        <v>75</v>
      </c>
      <c r="B76" s="106" t="s">
        <v>415</v>
      </c>
      <c r="C76" s="31" t="s">
        <v>163</v>
      </c>
    </row>
    <row r="77" spans="1:3" ht="18" x14ac:dyDescent="0.2">
      <c r="A77" s="53">
        <f>'Incident Reporting'!A77</f>
        <v>76</v>
      </c>
      <c r="B77" s="106" t="s">
        <v>414</v>
      </c>
      <c r="C77" s="31" t="s">
        <v>164</v>
      </c>
    </row>
    <row r="78" spans="1:3" ht="28.5" x14ac:dyDescent="0.2">
      <c r="A78" s="53">
        <f>'Incident Reporting'!A78</f>
        <v>77</v>
      </c>
      <c r="B78" s="106" t="s">
        <v>413</v>
      </c>
      <c r="C78" s="38" t="s">
        <v>1035</v>
      </c>
    </row>
    <row r="79" spans="1:3" ht="18" x14ac:dyDescent="0.2">
      <c r="A79" s="53">
        <f>'Incident Reporting'!A79</f>
        <v>78</v>
      </c>
      <c r="B79" s="106" t="s">
        <v>425</v>
      </c>
      <c r="C79" s="38" t="s">
        <v>165</v>
      </c>
    </row>
    <row r="80" spans="1:3" ht="18" x14ac:dyDescent="0.2">
      <c r="A80" s="53">
        <f>'Incident Reporting'!A80</f>
        <v>79</v>
      </c>
      <c r="B80" s="106" t="s">
        <v>1153</v>
      </c>
      <c r="C80" s="38" t="s">
        <v>166</v>
      </c>
    </row>
    <row r="81" spans="1:3" ht="18" x14ac:dyDescent="0.2">
      <c r="A81" s="53">
        <f>'Incident Reporting'!A81</f>
        <v>80</v>
      </c>
      <c r="B81" s="106" t="s">
        <v>418</v>
      </c>
      <c r="C81" s="38" t="s">
        <v>167</v>
      </c>
    </row>
    <row r="82" spans="1:3" ht="18" x14ac:dyDescent="0.2">
      <c r="A82" s="53">
        <f>'Incident Reporting'!A82</f>
        <v>81</v>
      </c>
      <c r="B82" s="106" t="s">
        <v>455</v>
      </c>
      <c r="C82" s="31" t="s">
        <v>161</v>
      </c>
    </row>
    <row r="83" spans="1:3" ht="18" x14ac:dyDescent="0.2">
      <c r="A83" s="53">
        <f>'Incident Reporting'!A83</f>
        <v>82</v>
      </c>
      <c r="B83" s="106" t="s">
        <v>427</v>
      </c>
      <c r="C83" s="31" t="s">
        <v>160</v>
      </c>
    </row>
    <row r="84" spans="1:3" ht="18" x14ac:dyDescent="0.2">
      <c r="A84" s="53">
        <f>'Incident Reporting'!A84</f>
        <v>83</v>
      </c>
      <c r="B84" s="106" t="s">
        <v>415</v>
      </c>
      <c r="C84" s="31" t="s">
        <v>158</v>
      </c>
    </row>
    <row r="85" spans="1:3" ht="18" x14ac:dyDescent="0.2">
      <c r="A85" s="53">
        <f>'Incident Reporting'!A85</f>
        <v>84</v>
      </c>
      <c r="B85" s="106" t="s">
        <v>422</v>
      </c>
      <c r="C85" s="31" t="s">
        <v>1151</v>
      </c>
    </row>
    <row r="86" spans="1:3" ht="18" x14ac:dyDescent="0.2">
      <c r="A86" s="53">
        <f>'Incident Reporting'!A86</f>
        <v>85</v>
      </c>
      <c r="B86" s="106" t="s">
        <v>853</v>
      </c>
      <c r="C86" s="31" t="s">
        <v>1165</v>
      </c>
    </row>
    <row r="87" spans="1:3" ht="18" x14ac:dyDescent="0.2">
      <c r="A87" s="53">
        <f>'Incident Reporting'!A87</f>
        <v>86</v>
      </c>
      <c r="B87" s="106" t="s">
        <v>415</v>
      </c>
      <c r="C87" s="31" t="s">
        <v>158</v>
      </c>
    </row>
    <row r="88" spans="1:3" ht="18" x14ac:dyDescent="0.2">
      <c r="A88" s="53">
        <f>'Incident Reporting'!A88</f>
        <v>87</v>
      </c>
      <c r="B88" s="106" t="s">
        <v>415</v>
      </c>
      <c r="C88" s="31" t="s">
        <v>159</v>
      </c>
    </row>
    <row r="89" spans="1:3" ht="18" x14ac:dyDescent="0.2">
      <c r="A89" s="53">
        <f>'Incident Reporting'!A89</f>
        <v>88</v>
      </c>
      <c r="B89" s="106" t="s">
        <v>415</v>
      </c>
      <c r="C89" s="31" t="s">
        <v>156</v>
      </c>
    </row>
    <row r="90" spans="1:3" ht="28.5" x14ac:dyDescent="0.2">
      <c r="A90" s="53">
        <f>'Incident Reporting'!A90</f>
        <v>89</v>
      </c>
      <c r="B90" s="106" t="s">
        <v>1189</v>
      </c>
      <c r="C90" s="31" t="s">
        <v>1195</v>
      </c>
    </row>
    <row r="91" spans="1:3" ht="18" x14ac:dyDescent="0.2">
      <c r="A91" s="53">
        <f>'Incident Reporting'!A91</f>
        <v>90</v>
      </c>
      <c r="B91" s="106" t="s">
        <v>425</v>
      </c>
      <c r="C91" s="31" t="s">
        <v>308</v>
      </c>
    </row>
    <row r="92" spans="1:3" ht="18" x14ac:dyDescent="0.2">
      <c r="A92" s="53">
        <f>'Incident Reporting'!A92</f>
        <v>91</v>
      </c>
      <c r="B92" s="106" t="s">
        <v>425</v>
      </c>
      <c r="C92" s="31" t="s">
        <v>309</v>
      </c>
    </row>
    <row r="93" spans="1:3" ht="18" x14ac:dyDescent="0.2">
      <c r="A93" s="53">
        <f>'Incident Reporting'!A93</f>
        <v>92</v>
      </c>
      <c r="B93" s="106" t="s">
        <v>425</v>
      </c>
      <c r="C93" s="31" t="s">
        <v>310</v>
      </c>
    </row>
    <row r="94" spans="1:3" ht="18" x14ac:dyDescent="0.2">
      <c r="A94" s="53">
        <f>'Incident Reporting'!A94</f>
        <v>93</v>
      </c>
      <c r="B94" s="106" t="s">
        <v>418</v>
      </c>
      <c r="C94" s="31" t="s">
        <v>1149</v>
      </c>
    </row>
    <row r="95" spans="1:3" ht="18" x14ac:dyDescent="0.2">
      <c r="A95" s="53">
        <f>'Incident Reporting'!A95</f>
        <v>94</v>
      </c>
      <c r="B95" s="106" t="s">
        <v>418</v>
      </c>
      <c r="C95" s="38" t="s">
        <v>1150</v>
      </c>
    </row>
    <row r="96" spans="1:3" ht="18" x14ac:dyDescent="0.2">
      <c r="A96" s="53">
        <f>'Incident Reporting'!A96</f>
        <v>95</v>
      </c>
      <c r="B96" s="106" t="s">
        <v>422</v>
      </c>
      <c r="C96" s="31" t="s">
        <v>1152</v>
      </c>
    </row>
    <row r="97" spans="1:3" ht="28.5" x14ac:dyDescent="0.2">
      <c r="A97" s="53">
        <f>'Incident Reporting'!A97</f>
        <v>96</v>
      </c>
      <c r="B97" s="106" t="s">
        <v>1189</v>
      </c>
      <c r="C97" s="31" t="s">
        <v>1201</v>
      </c>
    </row>
    <row r="98" spans="1:3" ht="18" x14ac:dyDescent="0.2">
      <c r="A98" s="53">
        <f>'Incident Reporting'!A98</f>
        <v>97</v>
      </c>
      <c r="B98" s="106" t="s">
        <v>440</v>
      </c>
      <c r="C98" s="31" t="s">
        <v>152</v>
      </c>
    </row>
    <row r="99" spans="1:3" ht="28.5" x14ac:dyDescent="0.2">
      <c r="A99" s="53">
        <f>'Incident Reporting'!A99</f>
        <v>98</v>
      </c>
      <c r="B99" s="106" t="s">
        <v>1181</v>
      </c>
      <c r="C99" s="31" t="s">
        <v>1194</v>
      </c>
    </row>
    <row r="100" spans="1:3" ht="18" x14ac:dyDescent="0.2">
      <c r="A100" s="53">
        <f>'Incident Reporting'!A100</f>
        <v>99</v>
      </c>
      <c r="B100" s="106" t="s">
        <v>440</v>
      </c>
      <c r="C100" s="31" t="s">
        <v>153</v>
      </c>
    </row>
    <row r="101" spans="1:3" ht="18" x14ac:dyDescent="0.2">
      <c r="A101" s="53">
        <f>'Incident Reporting'!A101</f>
        <v>100</v>
      </c>
      <c r="B101" s="106" t="s">
        <v>1153</v>
      </c>
      <c r="C101" s="31" t="s">
        <v>151</v>
      </c>
    </row>
    <row r="102" spans="1:3" ht="18" x14ac:dyDescent="0.2">
      <c r="A102" s="53">
        <f>'Incident Reporting'!A102</f>
        <v>101</v>
      </c>
    </row>
    <row r="103" spans="1:3" ht="18" x14ac:dyDescent="0.2">
      <c r="A103" s="53">
        <f>'Incident Reporting'!A103</f>
        <v>102</v>
      </c>
    </row>
    <row r="104" spans="1:3" ht="18" x14ac:dyDescent="0.2">
      <c r="A104" s="53">
        <f>'Incident Reporting'!A104</f>
        <v>103</v>
      </c>
    </row>
    <row r="105" spans="1:3" ht="18" x14ac:dyDescent="0.2">
      <c r="A105" s="53">
        <f>'Incident Reporting'!A105</f>
        <v>104</v>
      </c>
      <c r="B105" s="106" t="s">
        <v>1202</v>
      </c>
      <c r="C105" s="31" t="s">
        <v>1209</v>
      </c>
    </row>
    <row r="106" spans="1:3" ht="18" x14ac:dyDescent="0.2">
      <c r="A106" s="53">
        <f>'Incident Reporting'!A106</f>
        <v>105</v>
      </c>
    </row>
    <row r="107" spans="1:3" ht="18" x14ac:dyDescent="0.2">
      <c r="A107" s="53">
        <f>'Incident Reporting'!A107</f>
        <v>106</v>
      </c>
    </row>
    <row r="108" spans="1:3" ht="18" x14ac:dyDescent="0.2">
      <c r="A108" s="53">
        <f>'Incident Reporting'!A108</f>
        <v>107</v>
      </c>
    </row>
    <row r="109" spans="1:3" ht="18" x14ac:dyDescent="0.2">
      <c r="A109" s="53">
        <f>'Incident Reporting'!A109</f>
        <v>108</v>
      </c>
    </row>
    <row r="110" spans="1:3" ht="18" x14ac:dyDescent="0.2">
      <c r="A110" s="53">
        <f>'Incident Reporting'!A110</f>
        <v>109</v>
      </c>
    </row>
    <row r="111" spans="1:3" ht="18" x14ac:dyDescent="0.2">
      <c r="A111" s="53">
        <f>'Incident Reporting'!A111</f>
        <v>110</v>
      </c>
    </row>
    <row r="112" spans="1:3" ht="18" x14ac:dyDescent="0.2">
      <c r="A112" s="53">
        <f>'Incident Reporting'!A112</f>
        <v>111</v>
      </c>
    </row>
    <row r="113" spans="1:3" ht="18" x14ac:dyDescent="0.2">
      <c r="A113" s="53">
        <f>'Incident Reporting'!A113</f>
        <v>112</v>
      </c>
    </row>
    <row r="114" spans="1:3" ht="18" x14ac:dyDescent="0.2">
      <c r="A114" s="53">
        <f>'Incident Reporting'!A114</f>
        <v>113</v>
      </c>
    </row>
    <row r="115" spans="1:3" ht="18" x14ac:dyDescent="0.2">
      <c r="A115" s="53">
        <f>'Incident Reporting'!A115</f>
        <v>114</v>
      </c>
    </row>
    <row r="116" spans="1:3" ht="18" x14ac:dyDescent="0.2">
      <c r="A116" s="53">
        <f>'Incident Reporting'!A116</f>
        <v>115</v>
      </c>
    </row>
    <row r="117" spans="1:3" ht="18" x14ac:dyDescent="0.2">
      <c r="A117" s="53">
        <f>'Incident Reporting'!A117</f>
        <v>116</v>
      </c>
    </row>
    <row r="118" spans="1:3" ht="18" x14ac:dyDescent="0.2">
      <c r="A118" s="53">
        <f>'Incident Reporting'!A118</f>
        <v>117</v>
      </c>
    </row>
    <row r="119" spans="1:3" ht="18" x14ac:dyDescent="0.2">
      <c r="A119" s="53">
        <f>'Incident Reporting'!A119</f>
        <v>118</v>
      </c>
    </row>
    <row r="120" spans="1:3" ht="18" x14ac:dyDescent="0.2">
      <c r="A120" s="53">
        <f>'Incident Reporting'!A120</f>
        <v>119</v>
      </c>
    </row>
    <row r="121" spans="1:3" ht="18" x14ac:dyDescent="0.2">
      <c r="A121" s="53">
        <f>'Incident Reporting'!A121</f>
        <v>120</v>
      </c>
    </row>
    <row r="122" spans="1:3" ht="18" x14ac:dyDescent="0.2">
      <c r="A122" s="53">
        <f>'Incident Reporting'!A122</f>
        <v>121</v>
      </c>
    </row>
    <row r="123" spans="1:3" ht="18" x14ac:dyDescent="0.2">
      <c r="A123" s="53">
        <f>'Incident Reporting'!A123</f>
        <v>123</v>
      </c>
    </row>
    <row r="124" spans="1:3" ht="18" x14ac:dyDescent="0.2">
      <c r="A124" s="53">
        <f>'Incident Reporting'!A124</f>
        <v>124</v>
      </c>
    </row>
    <row r="125" spans="1:3" ht="18" x14ac:dyDescent="0.2">
      <c r="A125" s="53">
        <f>'Incident Reporting'!A125</f>
        <v>125</v>
      </c>
    </row>
    <row r="126" spans="1:3" ht="18" x14ac:dyDescent="0.2">
      <c r="A126" s="53">
        <f>'Incident Reporting'!A126</f>
        <v>126</v>
      </c>
      <c r="B126" s="106" t="s">
        <v>422</v>
      </c>
      <c r="C126" s="31" t="s">
        <v>1222</v>
      </c>
    </row>
    <row r="127" spans="1:3" ht="18" x14ac:dyDescent="0.2">
      <c r="A127" s="53">
        <f>'Incident Reporting'!A127</f>
        <v>127</v>
      </c>
    </row>
    <row r="128" spans="1:3" ht="18" x14ac:dyDescent="0.2">
      <c r="A128" s="53">
        <f>'Incident Reporting'!A128</f>
        <v>128</v>
      </c>
    </row>
    <row r="129" spans="1:3" ht="18" x14ac:dyDescent="0.2">
      <c r="A129" s="53">
        <f>'Incident Reporting'!A129</f>
        <v>129</v>
      </c>
    </row>
    <row r="130" spans="1:3" ht="18" x14ac:dyDescent="0.2">
      <c r="A130" s="53">
        <f>'Incident Reporting'!A130</f>
        <v>130</v>
      </c>
    </row>
    <row r="131" spans="1:3" ht="18" x14ac:dyDescent="0.2">
      <c r="A131" s="53">
        <f>'Incident Reporting'!A131</f>
        <v>131</v>
      </c>
    </row>
    <row r="132" spans="1:3" ht="18" x14ac:dyDescent="0.2">
      <c r="A132" s="53">
        <f>'Incident Reporting'!A132</f>
        <v>132</v>
      </c>
    </row>
    <row r="133" spans="1:3" ht="18" x14ac:dyDescent="0.2">
      <c r="A133" s="53">
        <f>'Incident Reporting'!A133</f>
        <v>133</v>
      </c>
    </row>
    <row r="134" spans="1:3" ht="18" x14ac:dyDescent="0.2">
      <c r="A134" s="53">
        <f>'Incident Reporting'!A134</f>
        <v>134</v>
      </c>
    </row>
    <row r="135" spans="1:3" ht="18" x14ac:dyDescent="0.2">
      <c r="A135" s="53">
        <f>'Incident Reporting'!A135</f>
        <v>135</v>
      </c>
    </row>
    <row r="136" spans="1:3" ht="18" x14ac:dyDescent="0.2">
      <c r="A136" s="53">
        <f>'Incident Reporting'!A136</f>
        <v>136</v>
      </c>
    </row>
    <row r="137" spans="1:3" ht="18" x14ac:dyDescent="0.2">
      <c r="A137" s="53">
        <f>'Incident Reporting'!A137</f>
        <v>137</v>
      </c>
      <c r="B137" s="106" t="s">
        <v>853</v>
      </c>
      <c r="C137" s="31" t="s">
        <v>646</v>
      </c>
    </row>
    <row r="138" spans="1:3" ht="18" x14ac:dyDescent="0.2">
      <c r="A138" s="53">
        <f>'Incident Reporting'!A138</f>
        <v>138</v>
      </c>
      <c r="B138" s="106" t="s">
        <v>417</v>
      </c>
      <c r="C138" s="31" t="s">
        <v>226</v>
      </c>
    </row>
    <row r="139" spans="1:3" ht="28.5" x14ac:dyDescent="0.2">
      <c r="A139" s="53">
        <f>'Incident Reporting'!A139</f>
        <v>139</v>
      </c>
      <c r="B139" s="106" t="s">
        <v>200</v>
      </c>
      <c r="C139" s="31" t="s">
        <v>200</v>
      </c>
    </row>
    <row r="140" spans="1:3" ht="18" x14ac:dyDescent="0.2">
      <c r="A140" s="53">
        <f>'Incident Reporting'!A140</f>
        <v>140</v>
      </c>
      <c r="B140" s="106" t="s">
        <v>418</v>
      </c>
      <c r="C140" s="38" t="s">
        <v>201</v>
      </c>
    </row>
    <row r="141" spans="1:3" ht="18" x14ac:dyDescent="0.2">
      <c r="A141" s="53">
        <f>'Incident Reporting'!A141</f>
        <v>141</v>
      </c>
      <c r="B141" s="106" t="s">
        <v>1153</v>
      </c>
      <c r="C141" s="38" t="s">
        <v>202</v>
      </c>
    </row>
    <row r="142" spans="1:3" ht="18" x14ac:dyDescent="0.2">
      <c r="A142" s="53">
        <f>'Incident Reporting'!A142</f>
        <v>142</v>
      </c>
      <c r="B142" s="106" t="s">
        <v>1231</v>
      </c>
      <c r="C142" s="56" t="s">
        <v>203</v>
      </c>
    </row>
    <row r="143" spans="1:3" ht="18" x14ac:dyDescent="0.2">
      <c r="A143" s="53">
        <f>'Incident Reporting'!A143</f>
        <v>143</v>
      </c>
      <c r="B143" s="106" t="s">
        <v>853</v>
      </c>
      <c r="C143" s="38" t="s">
        <v>1160</v>
      </c>
    </row>
    <row r="144" spans="1:3" ht="28.5" x14ac:dyDescent="0.2">
      <c r="A144" s="53">
        <f>'Incident Reporting'!A144</f>
        <v>144</v>
      </c>
      <c r="B144" s="106" t="s">
        <v>1189</v>
      </c>
      <c r="C144" s="38" t="s">
        <v>1198</v>
      </c>
    </row>
    <row r="145" spans="1:4" ht="18" x14ac:dyDescent="0.2">
      <c r="A145" s="53">
        <f>'Incident Reporting'!A145</f>
        <v>145</v>
      </c>
      <c r="B145" s="106" t="s">
        <v>421</v>
      </c>
      <c r="C145" s="38" t="s">
        <v>204</v>
      </c>
    </row>
    <row r="146" spans="1:4" ht="18" x14ac:dyDescent="0.2">
      <c r="A146" s="53">
        <f>'Incident Reporting'!A146</f>
        <v>146</v>
      </c>
      <c r="B146" s="106" t="s">
        <v>853</v>
      </c>
      <c r="C146" s="38" t="s">
        <v>1161</v>
      </c>
    </row>
    <row r="147" spans="1:4" ht="18" x14ac:dyDescent="0.2">
      <c r="A147" s="53">
        <f>'Incident Reporting'!A147</f>
        <v>147</v>
      </c>
      <c r="B147" s="106" t="s">
        <v>415</v>
      </c>
      <c r="C147" s="38" t="s">
        <v>205</v>
      </c>
    </row>
    <row r="148" spans="1:4" ht="18" x14ac:dyDescent="0.2">
      <c r="A148" s="53">
        <f>'Incident Reporting'!A148</f>
        <v>148</v>
      </c>
      <c r="B148" s="106" t="s">
        <v>415</v>
      </c>
      <c r="C148" s="38" t="s">
        <v>205</v>
      </c>
    </row>
    <row r="149" spans="1:4" ht="28.5" x14ac:dyDescent="0.2">
      <c r="A149" s="53">
        <f>'Incident Reporting'!A149</f>
        <v>149</v>
      </c>
      <c r="B149" s="106" t="s">
        <v>413</v>
      </c>
      <c r="C149" s="38" t="s">
        <v>1036</v>
      </c>
    </row>
    <row r="150" spans="1:4" ht="18" x14ac:dyDescent="0.2">
      <c r="A150" s="53">
        <f>'Incident Reporting'!A150</f>
        <v>150</v>
      </c>
      <c r="B150" s="106" t="s">
        <v>853</v>
      </c>
      <c r="C150" s="38" t="s">
        <v>206</v>
      </c>
    </row>
    <row r="151" spans="1:4" ht="18" x14ac:dyDescent="0.2">
      <c r="A151" s="53">
        <f>'Incident Reporting'!A151</f>
        <v>151</v>
      </c>
      <c r="B151" s="106" t="s">
        <v>853</v>
      </c>
      <c r="C151" s="38" t="s">
        <v>1162</v>
      </c>
    </row>
    <row r="152" spans="1:4" ht="18" x14ac:dyDescent="0.2">
      <c r="A152" s="53">
        <f>'Incident Reporting'!A152</f>
        <v>152</v>
      </c>
      <c r="B152" s="106" t="s">
        <v>486</v>
      </c>
      <c r="C152" s="38" t="s">
        <v>207</v>
      </c>
    </row>
    <row r="153" spans="1:4" ht="28.5" x14ac:dyDescent="0.2">
      <c r="A153" s="53">
        <f>'Incident Reporting'!A153</f>
        <v>153</v>
      </c>
      <c r="B153" s="106" t="s">
        <v>456</v>
      </c>
      <c r="C153" s="38" t="s">
        <v>1233</v>
      </c>
    </row>
    <row r="154" spans="1:4" ht="18" x14ac:dyDescent="0.2">
      <c r="A154" s="53">
        <f>'Incident Reporting'!A154</f>
        <v>154</v>
      </c>
      <c r="B154" s="106" t="s">
        <v>1231</v>
      </c>
      <c r="C154" s="38" t="s">
        <v>648</v>
      </c>
    </row>
    <row r="155" spans="1:4" ht="28.5" x14ac:dyDescent="0.2">
      <c r="A155" s="53">
        <f>'Incident Reporting'!A155</f>
        <v>155</v>
      </c>
      <c r="B155" s="106" t="s">
        <v>200</v>
      </c>
      <c r="C155" s="31" t="s">
        <v>208</v>
      </c>
    </row>
    <row r="156" spans="1:4" ht="18" x14ac:dyDescent="0.2">
      <c r="A156" s="53">
        <f>'Incident Reporting'!A156</f>
        <v>156</v>
      </c>
      <c r="B156" s="106" t="s">
        <v>1202</v>
      </c>
      <c r="C156" s="31" t="s">
        <v>1212</v>
      </c>
    </row>
    <row r="157" spans="1:4" ht="18" x14ac:dyDescent="0.2">
      <c r="A157" s="53">
        <f>'Incident Reporting'!A157</f>
        <v>157</v>
      </c>
      <c r="B157" s="106" t="s">
        <v>418</v>
      </c>
      <c r="C157" s="38" t="s">
        <v>209</v>
      </c>
      <c r="D157" s="31" t="s">
        <v>217</v>
      </c>
    </row>
    <row r="158" spans="1:4" ht="18" x14ac:dyDescent="0.2">
      <c r="A158" s="53">
        <f>'Incident Reporting'!A158</f>
        <v>158</v>
      </c>
      <c r="B158" s="106" t="s">
        <v>1153</v>
      </c>
      <c r="C158" s="38" t="s">
        <v>215</v>
      </c>
      <c r="D158" s="31" t="s">
        <v>218</v>
      </c>
    </row>
    <row r="159" spans="1:4" ht="18" x14ac:dyDescent="0.2">
      <c r="A159" s="53">
        <f>'Incident Reporting'!A159</f>
        <v>159</v>
      </c>
      <c r="B159" s="106" t="s">
        <v>418</v>
      </c>
      <c r="C159" s="38" t="s">
        <v>210</v>
      </c>
      <c r="D159" s="31" t="s">
        <v>219</v>
      </c>
    </row>
    <row r="160" spans="1:4" ht="28.5" x14ac:dyDescent="0.2">
      <c r="A160" s="53">
        <f>'Incident Reporting'!A160</f>
        <v>160</v>
      </c>
      <c r="B160" s="106" t="s">
        <v>1181</v>
      </c>
      <c r="C160" s="38" t="s">
        <v>216</v>
      </c>
      <c r="D160" s="31" t="s">
        <v>220</v>
      </c>
    </row>
    <row r="161" spans="1:8" ht="18" x14ac:dyDescent="0.2">
      <c r="A161" s="53">
        <f>'Incident Reporting'!A161</f>
        <v>161</v>
      </c>
      <c r="B161" s="106" t="s">
        <v>415</v>
      </c>
      <c r="C161" s="38" t="s">
        <v>1207</v>
      </c>
      <c r="D161" s="31" t="s">
        <v>221</v>
      </c>
    </row>
    <row r="162" spans="1:8" ht="18" x14ac:dyDescent="0.2">
      <c r="A162" s="53">
        <f>'Incident Reporting'!A162</f>
        <v>162</v>
      </c>
      <c r="B162" s="106" t="s">
        <v>418</v>
      </c>
      <c r="C162" s="38" t="s">
        <v>211</v>
      </c>
      <c r="D162" s="31" t="s">
        <v>222</v>
      </c>
    </row>
    <row r="163" spans="1:8" ht="18" x14ac:dyDescent="0.2">
      <c r="A163" s="53">
        <f>'Incident Reporting'!A163</f>
        <v>163</v>
      </c>
      <c r="B163" s="106" t="s">
        <v>422</v>
      </c>
      <c r="C163" s="38" t="s">
        <v>1193</v>
      </c>
      <c r="D163" s="31" t="s">
        <v>220</v>
      </c>
    </row>
    <row r="164" spans="1:8" ht="28.5" x14ac:dyDescent="0.2">
      <c r="A164" s="53">
        <f>'Incident Reporting'!A164</f>
        <v>164</v>
      </c>
      <c r="B164" s="106" t="s">
        <v>1189</v>
      </c>
      <c r="C164" s="38" t="s">
        <v>1191</v>
      </c>
      <c r="D164" s="31" t="s">
        <v>236</v>
      </c>
    </row>
    <row r="165" spans="1:8" ht="18" x14ac:dyDescent="0.2">
      <c r="A165" s="53">
        <f>'Incident Reporting'!A165</f>
        <v>165</v>
      </c>
      <c r="B165" s="106" t="s">
        <v>425</v>
      </c>
      <c r="C165" s="38" t="s">
        <v>237</v>
      </c>
      <c r="D165" s="31" t="s">
        <v>238</v>
      </c>
    </row>
    <row r="166" spans="1:8" ht="18" x14ac:dyDescent="0.2">
      <c r="A166" s="53">
        <f>'Incident Reporting'!A166</f>
        <v>166</v>
      </c>
      <c r="B166" s="106" t="s">
        <v>1231</v>
      </c>
      <c r="C166" s="38" t="s">
        <v>213</v>
      </c>
      <c r="D166" s="31" t="s">
        <v>239</v>
      </c>
    </row>
    <row r="167" spans="1:8" ht="18" x14ac:dyDescent="0.2">
      <c r="A167" s="53">
        <f>'Incident Reporting'!A167</f>
        <v>167</v>
      </c>
      <c r="B167" s="106" t="s">
        <v>853</v>
      </c>
      <c r="C167" s="38" t="s">
        <v>240</v>
      </c>
      <c r="D167" s="31" t="s">
        <v>241</v>
      </c>
    </row>
    <row r="168" spans="1:8" ht="18" x14ac:dyDescent="0.2">
      <c r="A168" s="53">
        <f>'Incident Reporting'!A168</f>
        <v>168</v>
      </c>
      <c r="B168" s="106" t="s">
        <v>853</v>
      </c>
      <c r="C168" s="38" t="s">
        <v>1166</v>
      </c>
      <c r="D168" s="31" t="s">
        <v>242</v>
      </c>
    </row>
    <row r="169" spans="1:8" ht="28.5" x14ac:dyDescent="0.2">
      <c r="A169" s="53">
        <f>'Incident Reporting'!A169</f>
        <v>169</v>
      </c>
      <c r="B169" s="106" t="s">
        <v>418</v>
      </c>
      <c r="C169" s="38" t="s">
        <v>243</v>
      </c>
      <c r="D169" s="31" t="s">
        <v>235</v>
      </c>
    </row>
    <row r="170" spans="1:8" ht="18" x14ac:dyDescent="0.2">
      <c r="A170" s="53">
        <f>'Incident Reporting'!A170</f>
        <v>170</v>
      </c>
      <c r="B170" s="106" t="s">
        <v>418</v>
      </c>
      <c r="C170" s="38" t="s">
        <v>458</v>
      </c>
      <c r="D170" s="31" t="s">
        <v>244</v>
      </c>
    </row>
    <row r="171" spans="1:8" ht="28.5" x14ac:dyDescent="0.2">
      <c r="A171" s="53">
        <f>'Incident Reporting'!A171</f>
        <v>171</v>
      </c>
      <c r="B171" s="106" t="s">
        <v>440</v>
      </c>
      <c r="C171" s="38" t="s">
        <v>223</v>
      </c>
      <c r="D171" s="31" t="s">
        <v>245</v>
      </c>
    </row>
    <row r="172" spans="1:8" ht="28.5" x14ac:dyDescent="0.2">
      <c r="A172" s="53">
        <f>'Incident Reporting'!A172</f>
        <v>172</v>
      </c>
      <c r="B172" s="106" t="s">
        <v>418</v>
      </c>
      <c r="C172" s="38" t="s">
        <v>225</v>
      </c>
      <c r="D172" s="31" t="s">
        <v>264</v>
      </c>
    </row>
    <row r="173" spans="1:8" ht="28.5" x14ac:dyDescent="0.2">
      <c r="A173" s="53">
        <f>'Incident Reporting'!A173</f>
        <v>173</v>
      </c>
      <c r="B173" s="106" t="s">
        <v>444</v>
      </c>
      <c r="C173" s="38" t="s">
        <v>224</v>
      </c>
      <c r="D173" s="31" t="s">
        <v>265</v>
      </c>
    </row>
    <row r="174" spans="1:8" ht="28.5" x14ac:dyDescent="0.2">
      <c r="A174" s="53">
        <f>'Incident Reporting'!A174</f>
        <v>174</v>
      </c>
      <c r="B174" s="106" t="s">
        <v>1158</v>
      </c>
      <c r="C174" s="56" t="s">
        <v>227</v>
      </c>
      <c r="D174" s="31" t="s">
        <v>266</v>
      </c>
    </row>
    <row r="175" spans="1:8" ht="28.5" x14ac:dyDescent="0.2">
      <c r="A175" s="53">
        <f>'Incident Reporting'!A175</f>
        <v>175</v>
      </c>
      <c r="B175" s="106" t="s">
        <v>1197</v>
      </c>
      <c r="C175" s="38" t="s">
        <v>267</v>
      </c>
      <c r="D175" s="32" t="s">
        <v>268</v>
      </c>
      <c r="G175" s="85"/>
      <c r="H175" s="32"/>
    </row>
    <row r="176" spans="1:8" ht="28.5" x14ac:dyDescent="0.2">
      <c r="A176" s="53">
        <f>'Incident Reporting'!A176</f>
        <v>176</v>
      </c>
      <c r="B176" s="106" t="s">
        <v>418</v>
      </c>
      <c r="C176" s="38" t="s">
        <v>228</v>
      </c>
      <c r="D176" s="32" t="s">
        <v>269</v>
      </c>
      <c r="G176" s="85"/>
      <c r="H176" s="32"/>
    </row>
    <row r="177" spans="1:8" ht="28.5" x14ac:dyDescent="0.2">
      <c r="A177" s="53">
        <f>'Incident Reporting'!A177</f>
        <v>177</v>
      </c>
      <c r="B177" s="106" t="s">
        <v>413</v>
      </c>
      <c r="C177" s="38" t="s">
        <v>1037</v>
      </c>
      <c r="D177" s="31" t="s">
        <v>270</v>
      </c>
    </row>
    <row r="178" spans="1:8" ht="42.75" x14ac:dyDescent="0.2">
      <c r="A178" s="53">
        <f>'Incident Reporting'!A178</f>
        <v>178</v>
      </c>
      <c r="B178" s="106" t="s">
        <v>440</v>
      </c>
      <c r="C178" s="38" t="s">
        <v>229</v>
      </c>
      <c r="D178" s="31" t="s">
        <v>277</v>
      </c>
    </row>
    <row r="179" spans="1:8" ht="18" x14ac:dyDescent="0.2">
      <c r="A179" s="53">
        <f>'Incident Reporting'!A179</f>
        <v>179</v>
      </c>
      <c r="B179" s="106" t="s">
        <v>1202</v>
      </c>
      <c r="C179" s="38" t="s">
        <v>1210</v>
      </c>
      <c r="D179" s="39" t="s">
        <v>278</v>
      </c>
      <c r="G179" s="86"/>
      <c r="H179" s="39"/>
    </row>
    <row r="180" spans="1:8" ht="28.5" x14ac:dyDescent="0.2">
      <c r="A180" s="53">
        <f>'Incident Reporting'!A180</f>
        <v>180</v>
      </c>
      <c r="B180" s="106" t="s">
        <v>1202</v>
      </c>
      <c r="C180" s="38" t="s">
        <v>1205</v>
      </c>
      <c r="D180" s="32" t="s">
        <v>279</v>
      </c>
      <c r="G180" s="85"/>
      <c r="H180" s="32"/>
    </row>
    <row r="181" spans="1:8" ht="42.75" x14ac:dyDescent="0.2">
      <c r="A181" s="53">
        <f>'Incident Reporting'!A181</f>
        <v>181</v>
      </c>
      <c r="B181" s="106" t="s">
        <v>444</v>
      </c>
      <c r="C181" s="38" t="s">
        <v>230</v>
      </c>
      <c r="D181" s="32" t="s">
        <v>280</v>
      </c>
      <c r="G181" s="85"/>
      <c r="H181" s="32"/>
    </row>
    <row r="182" spans="1:8" ht="42.75" x14ac:dyDescent="0.2">
      <c r="A182" s="53">
        <f>'Incident Reporting'!A182</f>
        <v>182</v>
      </c>
      <c r="B182" s="106" t="s">
        <v>444</v>
      </c>
      <c r="C182" s="38" t="s">
        <v>231</v>
      </c>
      <c r="D182" s="32" t="s">
        <v>280</v>
      </c>
      <c r="G182" s="85"/>
      <c r="H182" s="32"/>
    </row>
    <row r="183" spans="1:8" ht="42.75" x14ac:dyDescent="0.2">
      <c r="A183" s="53">
        <f>'Incident Reporting'!A183</f>
        <v>183</v>
      </c>
      <c r="B183" s="106" t="s">
        <v>418</v>
      </c>
      <c r="C183" s="38" t="s">
        <v>232</v>
      </c>
      <c r="D183" s="39" t="s">
        <v>281</v>
      </c>
      <c r="G183" s="86"/>
      <c r="H183" s="39"/>
    </row>
    <row r="184" spans="1:8" ht="42.75" x14ac:dyDescent="0.2">
      <c r="A184" s="53">
        <f>'Incident Reporting'!A184</f>
        <v>184</v>
      </c>
      <c r="B184" s="106" t="s">
        <v>874</v>
      </c>
      <c r="C184" s="38" t="s">
        <v>233</v>
      </c>
      <c r="D184" s="40" t="s">
        <v>282</v>
      </c>
      <c r="G184" s="87"/>
      <c r="H184" s="40"/>
    </row>
    <row r="185" spans="1:8" ht="29.25" x14ac:dyDescent="0.2">
      <c r="A185" s="53">
        <f>'Incident Reporting'!A185</f>
        <v>185</v>
      </c>
      <c r="B185" s="106" t="s">
        <v>875</v>
      </c>
      <c r="C185" s="38" t="s">
        <v>234</v>
      </c>
      <c r="D185" s="32" t="s">
        <v>283</v>
      </c>
      <c r="G185" s="85"/>
      <c r="H185" s="32"/>
    </row>
    <row r="186" spans="1:8" ht="44.25" x14ac:dyDescent="0.2">
      <c r="A186" s="53">
        <f>'Incident Reporting'!A186</f>
        <v>186</v>
      </c>
      <c r="B186" s="106" t="s">
        <v>200</v>
      </c>
      <c r="C186" s="31" t="s">
        <v>284</v>
      </c>
      <c r="D186" s="32" t="s">
        <v>285</v>
      </c>
      <c r="G186" s="85"/>
      <c r="H186" s="32"/>
    </row>
    <row r="187" spans="1:8" ht="28.5" x14ac:dyDescent="0.2">
      <c r="A187" s="53">
        <f>'Incident Reporting'!A187</f>
        <v>187</v>
      </c>
      <c r="B187" s="106" t="s">
        <v>853</v>
      </c>
      <c r="C187" s="38" t="s">
        <v>1196</v>
      </c>
      <c r="D187" s="39" t="s">
        <v>286</v>
      </c>
      <c r="G187" s="86"/>
      <c r="H187" s="39"/>
    </row>
    <row r="188" spans="1:8" ht="42.75" x14ac:dyDescent="0.2">
      <c r="A188" s="53">
        <f>'Incident Reporting'!A188</f>
        <v>188</v>
      </c>
      <c r="B188" s="106" t="s">
        <v>418</v>
      </c>
      <c r="C188" s="31" t="s">
        <v>246</v>
      </c>
      <c r="D188" s="32" t="s">
        <v>287</v>
      </c>
      <c r="G188" s="85"/>
      <c r="H188" s="32"/>
    </row>
    <row r="189" spans="1:8" ht="42.75" x14ac:dyDescent="0.2">
      <c r="A189" s="53">
        <f>'Incident Reporting'!A189</f>
        <v>189</v>
      </c>
      <c r="B189" s="106" t="s">
        <v>418</v>
      </c>
      <c r="C189" s="31" t="s">
        <v>253</v>
      </c>
      <c r="D189" s="33" t="s">
        <v>292</v>
      </c>
      <c r="G189" s="88"/>
      <c r="H189" s="33"/>
    </row>
    <row r="190" spans="1:8" ht="42.75" x14ac:dyDescent="0.2">
      <c r="A190" s="53">
        <f>'Incident Reporting'!A190</f>
        <v>190</v>
      </c>
      <c r="B190" s="106" t="s">
        <v>417</v>
      </c>
      <c r="C190" s="31" t="s">
        <v>647</v>
      </c>
      <c r="D190" s="33" t="s">
        <v>293</v>
      </c>
      <c r="G190" s="88"/>
      <c r="H190" s="33"/>
    </row>
    <row r="191" spans="1:8" ht="28.5" x14ac:dyDescent="0.2">
      <c r="A191" s="53">
        <f>'Incident Reporting'!A191</f>
        <v>191</v>
      </c>
      <c r="B191" s="106" t="s">
        <v>877</v>
      </c>
      <c r="C191" s="31" t="s">
        <v>254</v>
      </c>
      <c r="D191" s="33" t="s">
        <v>294</v>
      </c>
      <c r="G191" s="88"/>
      <c r="H191" s="33"/>
    </row>
    <row r="192" spans="1:8" ht="28.5" x14ac:dyDescent="0.2">
      <c r="A192" s="53">
        <f>'Incident Reporting'!A192</f>
        <v>192</v>
      </c>
      <c r="B192" s="106" t="s">
        <v>415</v>
      </c>
      <c r="C192" s="31" t="s">
        <v>255</v>
      </c>
      <c r="D192" s="33" t="s">
        <v>295</v>
      </c>
      <c r="G192" s="88"/>
      <c r="H192" s="33"/>
    </row>
    <row r="193" spans="1:8" ht="28.5" x14ac:dyDescent="0.2">
      <c r="A193" s="53">
        <f>'Incident Reporting'!A193</f>
        <v>193</v>
      </c>
      <c r="B193" s="106" t="s">
        <v>1153</v>
      </c>
      <c r="C193" s="31" t="s">
        <v>256</v>
      </c>
      <c r="D193" s="39" t="s">
        <v>296</v>
      </c>
      <c r="G193" s="86"/>
      <c r="H193" s="39"/>
    </row>
    <row r="194" spans="1:8" ht="42.75" x14ac:dyDescent="0.2">
      <c r="A194" s="53">
        <f>'Incident Reporting'!A194</f>
        <v>194</v>
      </c>
      <c r="B194" s="106" t="s">
        <v>422</v>
      </c>
      <c r="C194" s="31" t="s">
        <v>300</v>
      </c>
      <c r="D194" s="34" t="s">
        <v>301</v>
      </c>
      <c r="G194" s="89"/>
      <c r="H194" s="34"/>
    </row>
    <row r="195" spans="1:8" ht="42.75" x14ac:dyDescent="0.2">
      <c r="A195" s="53">
        <f>'Incident Reporting'!A195</f>
        <v>195</v>
      </c>
      <c r="B195" s="106" t="s">
        <v>418</v>
      </c>
      <c r="C195" s="31" t="s">
        <v>434</v>
      </c>
      <c r="D195" s="34" t="s">
        <v>302</v>
      </c>
      <c r="G195" s="89"/>
      <c r="H195" s="34"/>
    </row>
    <row r="196" spans="1:8" ht="18" x14ac:dyDescent="0.2">
      <c r="A196" s="53">
        <f>'Incident Reporting'!A196</f>
        <v>196</v>
      </c>
      <c r="B196" s="106" t="s">
        <v>418</v>
      </c>
      <c r="C196" s="31" t="s">
        <v>435</v>
      </c>
      <c r="D196" s="39" t="s">
        <v>297</v>
      </c>
      <c r="G196" s="86"/>
      <c r="H196" s="39"/>
    </row>
    <row r="197" spans="1:8" ht="42.75" x14ac:dyDescent="0.2">
      <c r="A197" s="53">
        <f>'Incident Reporting'!A197</f>
        <v>197</v>
      </c>
      <c r="B197" s="106" t="s">
        <v>853</v>
      </c>
      <c r="C197" s="31" t="s">
        <v>257</v>
      </c>
      <c r="D197" s="31" t="s">
        <v>303</v>
      </c>
    </row>
    <row r="198" spans="1:8" ht="18" x14ac:dyDescent="0.2">
      <c r="A198" s="53">
        <f>'Incident Reporting'!A198</f>
        <v>198</v>
      </c>
      <c r="B198" s="106" t="s">
        <v>418</v>
      </c>
      <c r="C198" s="31" t="s">
        <v>306</v>
      </c>
      <c r="D198" s="31" t="s">
        <v>307</v>
      </c>
    </row>
    <row r="199" spans="1:8" ht="18" x14ac:dyDescent="0.2">
      <c r="A199" s="53">
        <f>'Incident Reporting'!A199</f>
        <v>199</v>
      </c>
      <c r="B199" s="106" t="s">
        <v>1153</v>
      </c>
      <c r="C199" s="31" t="s">
        <v>258</v>
      </c>
      <c r="D199" s="31" t="s">
        <v>313</v>
      </c>
    </row>
    <row r="200" spans="1:8" ht="28.5" x14ac:dyDescent="0.2">
      <c r="A200" s="53">
        <f>'Incident Reporting'!A200</f>
        <v>200</v>
      </c>
      <c r="B200" s="106" t="s">
        <v>874</v>
      </c>
      <c r="C200" s="31" t="s">
        <v>259</v>
      </c>
      <c r="D200" s="31" t="s">
        <v>314</v>
      </c>
    </row>
    <row r="201" spans="1:8" ht="57" x14ac:dyDescent="0.2">
      <c r="A201" s="53">
        <f>'Incident Reporting'!A201</f>
        <v>201</v>
      </c>
      <c r="B201" s="106" t="s">
        <v>422</v>
      </c>
      <c r="C201" s="31" t="s">
        <v>260</v>
      </c>
      <c r="D201" s="34" t="s">
        <v>315</v>
      </c>
      <c r="G201" s="89"/>
      <c r="H201" s="34"/>
    </row>
    <row r="202" spans="1:8" ht="28.5" x14ac:dyDescent="0.2">
      <c r="A202" s="53">
        <f>'Incident Reporting'!A202</f>
        <v>202</v>
      </c>
      <c r="B202" s="106" t="s">
        <v>874</v>
      </c>
      <c r="C202" s="31" t="s">
        <v>263</v>
      </c>
      <c r="D202" s="31" t="s">
        <v>316</v>
      </c>
    </row>
    <row r="203" spans="1:8" ht="57" x14ac:dyDescent="0.2">
      <c r="A203" s="53">
        <f>'Incident Reporting'!A203</f>
        <v>203</v>
      </c>
      <c r="B203" s="106" t="s">
        <v>415</v>
      </c>
      <c r="C203" s="31" t="s">
        <v>317</v>
      </c>
      <c r="D203" s="34" t="s">
        <v>315</v>
      </c>
      <c r="G203" s="89"/>
      <c r="H203" s="34"/>
    </row>
    <row r="204" spans="1:8" ht="42.75" x14ac:dyDescent="0.2">
      <c r="A204" s="53">
        <f>'Incident Reporting'!A204</f>
        <v>204</v>
      </c>
      <c r="B204" s="106" t="s">
        <v>853</v>
      </c>
      <c r="C204" s="31" t="s">
        <v>271</v>
      </c>
      <c r="D204" s="31" t="s">
        <v>325</v>
      </c>
    </row>
    <row r="205" spans="1:8" ht="42.75" x14ac:dyDescent="0.2">
      <c r="A205" s="53">
        <f>'Incident Reporting'!A205</f>
        <v>205</v>
      </c>
      <c r="B205" s="106" t="s">
        <v>853</v>
      </c>
      <c r="C205" s="31" t="s">
        <v>271</v>
      </c>
      <c r="D205" s="31" t="s">
        <v>325</v>
      </c>
    </row>
    <row r="206" spans="1:8" ht="42.75" x14ac:dyDescent="0.2">
      <c r="A206" s="53">
        <f>'Incident Reporting'!A206</f>
        <v>206</v>
      </c>
      <c r="B206" s="106" t="s">
        <v>853</v>
      </c>
      <c r="C206" s="31" t="s">
        <v>272</v>
      </c>
      <c r="D206" s="44" t="s">
        <v>318</v>
      </c>
      <c r="G206" s="90"/>
      <c r="H206" s="44"/>
    </row>
    <row r="207" spans="1:8" ht="28.5" x14ac:dyDescent="0.2">
      <c r="A207" s="53">
        <f>'Incident Reporting'!A207</f>
        <v>207</v>
      </c>
      <c r="B207" s="106" t="s">
        <v>415</v>
      </c>
      <c r="C207" s="31" t="s">
        <v>273</v>
      </c>
      <c r="D207" s="45" t="s">
        <v>326</v>
      </c>
      <c r="G207" s="91"/>
      <c r="H207" s="45"/>
    </row>
    <row r="208" spans="1:8" ht="28.5" x14ac:dyDescent="0.2">
      <c r="A208" s="53">
        <f>'Incident Reporting'!A208</f>
        <v>208</v>
      </c>
      <c r="B208" s="106" t="s">
        <v>415</v>
      </c>
      <c r="C208" s="31" t="s">
        <v>274</v>
      </c>
      <c r="D208" s="45" t="s">
        <v>326</v>
      </c>
      <c r="G208" s="91"/>
      <c r="H208" s="45"/>
    </row>
    <row r="209" spans="1:8" ht="28.5" x14ac:dyDescent="0.2">
      <c r="A209" s="53">
        <f>'Incident Reporting'!A209</f>
        <v>209</v>
      </c>
      <c r="B209" s="106" t="s">
        <v>415</v>
      </c>
      <c r="C209" s="31" t="s">
        <v>274</v>
      </c>
      <c r="D209" s="45" t="s">
        <v>326</v>
      </c>
      <c r="G209" s="91"/>
      <c r="H209" s="45"/>
    </row>
    <row r="210" spans="1:8" ht="28.5" x14ac:dyDescent="0.2">
      <c r="A210" s="53">
        <f>'Incident Reporting'!A210</f>
        <v>210</v>
      </c>
      <c r="B210" s="106" t="s">
        <v>875</v>
      </c>
      <c r="C210" s="31" t="s">
        <v>275</v>
      </c>
      <c r="D210" s="33" t="s">
        <v>327</v>
      </c>
      <c r="G210" s="88"/>
      <c r="H210" s="33"/>
    </row>
    <row r="211" spans="1:8" ht="28.5" x14ac:dyDescent="0.2">
      <c r="A211" s="53">
        <f>'Incident Reporting'!A211</f>
        <v>211</v>
      </c>
      <c r="B211" s="106" t="s">
        <v>875</v>
      </c>
      <c r="C211" s="31" t="s">
        <v>276</v>
      </c>
      <c r="D211" s="33" t="s">
        <v>327</v>
      </c>
      <c r="G211" s="88"/>
      <c r="H211" s="33"/>
    </row>
    <row r="212" spans="1:8" ht="28.5" x14ac:dyDescent="0.2">
      <c r="A212" s="53">
        <f>'Incident Reporting'!A212</f>
        <v>212</v>
      </c>
      <c r="B212" s="106" t="s">
        <v>418</v>
      </c>
      <c r="C212" s="31" t="s">
        <v>328</v>
      </c>
      <c r="D212" s="31" t="s">
        <v>333</v>
      </c>
    </row>
    <row r="213" spans="1:8" ht="42.75" x14ac:dyDescent="0.2">
      <c r="A213" s="53">
        <f>'Incident Reporting'!A213</f>
        <v>213</v>
      </c>
      <c r="B213" s="106" t="s">
        <v>422</v>
      </c>
      <c r="C213" s="31" t="s">
        <v>334</v>
      </c>
      <c r="D213" s="31" t="s">
        <v>335</v>
      </c>
    </row>
    <row r="214" spans="1:8" ht="28.5" x14ac:dyDescent="0.2">
      <c r="A214" s="53">
        <f>'Incident Reporting'!A214</f>
        <v>214</v>
      </c>
      <c r="B214" s="106" t="s">
        <v>877</v>
      </c>
      <c r="C214" s="39" t="s">
        <v>288</v>
      </c>
      <c r="D214" s="31" t="s">
        <v>294</v>
      </c>
    </row>
    <row r="215" spans="1:8" ht="85.5" x14ac:dyDescent="0.2">
      <c r="A215" s="53">
        <f>'Incident Reporting'!A215</f>
        <v>215</v>
      </c>
      <c r="B215" s="106" t="s">
        <v>417</v>
      </c>
      <c r="C215" s="31" t="s">
        <v>647</v>
      </c>
      <c r="D215" s="31" t="s">
        <v>650</v>
      </c>
    </row>
    <row r="216" spans="1:8" ht="114" x14ac:dyDescent="0.2">
      <c r="A216" s="53">
        <f>'Incident Reporting'!A216</f>
        <v>216</v>
      </c>
      <c r="B216" s="106" t="s">
        <v>418</v>
      </c>
      <c r="C216" s="31" t="s">
        <v>336</v>
      </c>
      <c r="D216" s="31" t="s">
        <v>337</v>
      </c>
    </row>
    <row r="217" spans="1:8" ht="57" x14ac:dyDescent="0.2">
      <c r="A217" s="53">
        <f>'Incident Reporting'!A217</f>
        <v>217</v>
      </c>
      <c r="B217" s="106" t="s">
        <v>875</v>
      </c>
      <c r="C217" s="31" t="s">
        <v>289</v>
      </c>
      <c r="D217" s="33" t="s">
        <v>343</v>
      </c>
      <c r="G217" s="88"/>
      <c r="H217" s="33"/>
    </row>
    <row r="218" spans="1:8" ht="57" x14ac:dyDescent="0.2">
      <c r="A218" s="53">
        <f>'Incident Reporting'!A218</f>
        <v>218</v>
      </c>
      <c r="B218" s="106" t="s">
        <v>853</v>
      </c>
      <c r="C218" s="31" t="s">
        <v>290</v>
      </c>
      <c r="D218" s="33" t="s">
        <v>345</v>
      </c>
      <c r="G218" s="88"/>
      <c r="H218" s="33"/>
    </row>
    <row r="219" spans="1:8" ht="28.5" x14ac:dyDescent="0.2">
      <c r="A219" s="53">
        <f>'Incident Reporting'!A219</f>
        <v>219</v>
      </c>
      <c r="B219" s="106" t="s">
        <v>418</v>
      </c>
      <c r="C219" s="31" t="s">
        <v>291</v>
      </c>
      <c r="D219" s="50" t="s">
        <v>346</v>
      </c>
      <c r="G219" s="92"/>
      <c r="H219" s="50"/>
    </row>
    <row r="220" spans="1:8" ht="28.5" x14ac:dyDescent="0.2">
      <c r="A220" s="53">
        <f>'Incident Reporting'!A220</f>
        <v>220</v>
      </c>
      <c r="B220" s="106" t="s">
        <v>853</v>
      </c>
      <c r="C220" s="31" t="s">
        <v>298</v>
      </c>
      <c r="D220" s="50" t="s">
        <v>347</v>
      </c>
      <c r="G220" s="92"/>
      <c r="H220" s="50"/>
    </row>
    <row r="221" spans="1:8" ht="28.5" x14ac:dyDescent="0.2">
      <c r="A221" s="53">
        <f>'Incident Reporting'!A221</f>
        <v>221</v>
      </c>
      <c r="B221" s="106" t="s">
        <v>853</v>
      </c>
      <c r="C221" s="31" t="s">
        <v>1167</v>
      </c>
      <c r="D221" s="50" t="s">
        <v>346</v>
      </c>
      <c r="G221" s="92"/>
      <c r="H221" s="50"/>
    </row>
    <row r="222" spans="1:8" ht="43.5" x14ac:dyDescent="0.2">
      <c r="A222" s="53">
        <v>222</v>
      </c>
      <c r="B222" s="106" t="s">
        <v>418</v>
      </c>
      <c r="C222" s="31" t="s">
        <v>352</v>
      </c>
      <c r="D222" s="44" t="s">
        <v>353</v>
      </c>
      <c r="G222" s="90"/>
      <c r="H222" s="44"/>
    </row>
    <row r="223" spans="1:8" ht="18" x14ac:dyDescent="0.2">
      <c r="A223" s="53">
        <v>223</v>
      </c>
      <c r="B223" s="106" t="s">
        <v>1153</v>
      </c>
      <c r="C223" s="31" t="s">
        <v>299</v>
      </c>
      <c r="D223" s="44" t="s">
        <v>354</v>
      </c>
      <c r="G223" s="90"/>
      <c r="H223" s="44"/>
    </row>
    <row r="224" spans="1:8" ht="18" x14ac:dyDescent="0.2">
      <c r="A224" s="53">
        <v>224</v>
      </c>
      <c r="B224" s="106" t="s">
        <v>425</v>
      </c>
      <c r="C224" s="31" t="s">
        <v>308</v>
      </c>
      <c r="D224" s="31" t="s">
        <v>360</v>
      </c>
    </row>
    <row r="225" spans="1:8" ht="71.25" x14ac:dyDescent="0.2">
      <c r="A225" s="53">
        <v>225</v>
      </c>
      <c r="B225" s="106" t="s">
        <v>429</v>
      </c>
      <c r="C225" s="31" t="s">
        <v>311</v>
      </c>
      <c r="D225" s="31" t="s">
        <v>361</v>
      </c>
    </row>
    <row r="226" spans="1:8" ht="28.5" x14ac:dyDescent="0.2">
      <c r="A226" s="53">
        <v>226</v>
      </c>
      <c r="B226" s="106" t="s">
        <v>428</v>
      </c>
      <c r="C226" s="31" t="s">
        <v>319</v>
      </c>
      <c r="D226" s="31" t="s">
        <v>320</v>
      </c>
    </row>
    <row r="227" spans="1:8" ht="42.75" x14ac:dyDescent="0.2">
      <c r="A227" s="53">
        <v>227</v>
      </c>
      <c r="B227" s="106" t="s">
        <v>853</v>
      </c>
      <c r="C227" s="31" t="s">
        <v>321</v>
      </c>
      <c r="D227" s="31" t="s">
        <v>376</v>
      </c>
    </row>
    <row r="228" spans="1:8" ht="42.75" x14ac:dyDescent="0.2">
      <c r="A228" s="53">
        <v>228</v>
      </c>
      <c r="B228" s="106" t="s">
        <v>427</v>
      </c>
      <c r="C228" s="31" t="s">
        <v>322</v>
      </c>
      <c r="D228" s="31" t="s">
        <v>377</v>
      </c>
    </row>
    <row r="229" spans="1:8" ht="28.5" x14ac:dyDescent="0.2">
      <c r="A229" s="53">
        <v>229</v>
      </c>
      <c r="B229" s="106" t="s">
        <v>425</v>
      </c>
      <c r="C229" s="31" t="s">
        <v>338</v>
      </c>
      <c r="D229" s="51" t="s">
        <v>365</v>
      </c>
      <c r="G229" s="93"/>
      <c r="H229" s="51"/>
    </row>
    <row r="230" spans="1:8" ht="42.75" x14ac:dyDescent="0.2">
      <c r="A230" s="53">
        <v>230</v>
      </c>
      <c r="B230" s="106" t="s">
        <v>418</v>
      </c>
      <c r="C230" s="31" t="s">
        <v>339</v>
      </c>
      <c r="D230" s="51" t="s">
        <v>366</v>
      </c>
      <c r="G230" s="93"/>
      <c r="H230" s="51"/>
    </row>
    <row r="231" spans="1:8" ht="42.75" x14ac:dyDescent="0.2">
      <c r="A231" s="53">
        <v>231</v>
      </c>
      <c r="B231" s="106" t="s">
        <v>853</v>
      </c>
      <c r="C231" s="31" t="s">
        <v>340</v>
      </c>
      <c r="D231" s="31" t="s">
        <v>367</v>
      </c>
    </row>
    <row r="232" spans="1:8" ht="57" x14ac:dyDescent="0.2">
      <c r="A232" s="53">
        <v>232</v>
      </c>
      <c r="B232" s="106" t="s">
        <v>853</v>
      </c>
      <c r="C232" s="31" t="s">
        <v>341</v>
      </c>
      <c r="D232" s="31" t="s">
        <v>368</v>
      </c>
    </row>
    <row r="233" spans="1:8" ht="28.5" x14ac:dyDescent="0.2">
      <c r="A233" s="53">
        <v>233</v>
      </c>
      <c r="B233" s="106" t="s">
        <v>418</v>
      </c>
      <c r="C233" s="31" t="s">
        <v>342</v>
      </c>
      <c r="D233" s="31" t="s">
        <v>378</v>
      </c>
    </row>
    <row r="234" spans="1:8" ht="30.75" x14ac:dyDescent="0.2">
      <c r="A234" s="53">
        <v>234</v>
      </c>
      <c r="B234" s="106" t="s">
        <v>1153</v>
      </c>
      <c r="C234" s="31" t="s">
        <v>379</v>
      </c>
      <c r="D234" s="31" t="s">
        <v>380</v>
      </c>
    </row>
    <row r="235" spans="1:8" ht="28.5" x14ac:dyDescent="0.2">
      <c r="A235" s="53">
        <v>235</v>
      </c>
      <c r="B235" s="106" t="s">
        <v>418</v>
      </c>
      <c r="C235" s="31" t="s">
        <v>344</v>
      </c>
      <c r="D235" s="31" t="s">
        <v>381</v>
      </c>
    </row>
    <row r="236" spans="1:8" ht="57.75" x14ac:dyDescent="0.2">
      <c r="A236" s="53">
        <v>236</v>
      </c>
      <c r="B236" s="106" t="s">
        <v>415</v>
      </c>
      <c r="C236" s="31" t="s">
        <v>348</v>
      </c>
      <c r="D236" s="33" t="s">
        <v>382</v>
      </c>
      <c r="G236" s="88"/>
      <c r="H236" s="33"/>
    </row>
    <row r="237" spans="1:8" ht="42.75" x14ac:dyDescent="0.2">
      <c r="A237" s="53">
        <v>237</v>
      </c>
      <c r="B237" s="106" t="s">
        <v>853</v>
      </c>
      <c r="C237" s="31" t="s">
        <v>350</v>
      </c>
      <c r="D237" s="31" t="s">
        <v>383</v>
      </c>
    </row>
    <row r="238" spans="1:8" ht="57" x14ac:dyDescent="0.2">
      <c r="A238" s="53">
        <v>238</v>
      </c>
      <c r="B238" s="106" t="s">
        <v>1189</v>
      </c>
      <c r="C238" s="31" t="s">
        <v>1214</v>
      </c>
      <c r="D238" s="31" t="s">
        <v>459</v>
      </c>
    </row>
    <row r="239" spans="1:8" ht="28.5" x14ac:dyDescent="0.2">
      <c r="A239" s="53">
        <v>239</v>
      </c>
      <c r="B239" s="106" t="s">
        <v>853</v>
      </c>
      <c r="C239" s="31" t="s">
        <v>351</v>
      </c>
      <c r="D239" s="31" t="s">
        <v>460</v>
      </c>
    </row>
    <row r="240" spans="1:8" ht="18" x14ac:dyDescent="0.2">
      <c r="A240" s="53">
        <v>240</v>
      </c>
      <c r="B240" s="106" t="s">
        <v>853</v>
      </c>
      <c r="C240" s="31" t="s">
        <v>355</v>
      </c>
      <c r="D240" s="31" t="s">
        <v>460</v>
      </c>
    </row>
    <row r="241" spans="1:8" ht="18" x14ac:dyDescent="0.2">
      <c r="A241" s="53">
        <v>241</v>
      </c>
    </row>
    <row r="242" spans="1:8" ht="71.25" x14ac:dyDescent="0.2">
      <c r="A242" s="53">
        <v>242</v>
      </c>
      <c r="B242" s="106" t="s">
        <v>421</v>
      </c>
      <c r="C242" s="31" t="s">
        <v>356</v>
      </c>
      <c r="D242" s="31" t="s">
        <v>461</v>
      </c>
    </row>
    <row r="243" spans="1:8" ht="28.5" x14ac:dyDescent="0.2">
      <c r="A243" s="53">
        <v>243</v>
      </c>
      <c r="B243" s="106" t="s">
        <v>425</v>
      </c>
      <c r="C243" s="31" t="s">
        <v>357</v>
      </c>
      <c r="D243" s="31" t="s">
        <v>464</v>
      </c>
    </row>
    <row r="244" spans="1:8" ht="28.5" x14ac:dyDescent="0.2">
      <c r="A244" s="53">
        <v>244</v>
      </c>
      <c r="B244" s="106" t="s">
        <v>425</v>
      </c>
      <c r="C244" s="31" t="s">
        <v>357</v>
      </c>
      <c r="D244" s="31" t="s">
        <v>464</v>
      </c>
    </row>
    <row r="245" spans="1:8" ht="18" x14ac:dyDescent="0.2">
      <c r="A245" s="53">
        <v>245</v>
      </c>
      <c r="B245" s="106" t="s">
        <v>853</v>
      </c>
      <c r="C245" s="31" t="s">
        <v>358</v>
      </c>
      <c r="D245" s="31" t="s">
        <v>465</v>
      </c>
    </row>
    <row r="246" spans="1:8" ht="28.5" x14ac:dyDescent="0.2">
      <c r="A246" s="53">
        <v>246</v>
      </c>
      <c r="B246" s="106" t="s">
        <v>422</v>
      </c>
      <c r="C246" s="31" t="s">
        <v>359</v>
      </c>
      <c r="D246" s="50" t="s">
        <v>479</v>
      </c>
      <c r="G246" s="92"/>
      <c r="H246" s="50"/>
    </row>
    <row r="247" spans="1:8" ht="28.5" x14ac:dyDescent="0.2">
      <c r="A247" s="53">
        <v>247</v>
      </c>
      <c r="B247" s="106" t="s">
        <v>418</v>
      </c>
      <c r="C247" s="31" t="s">
        <v>362</v>
      </c>
      <c r="D247" s="31" t="s">
        <v>480</v>
      </c>
    </row>
    <row r="248" spans="1:8" ht="28.5" x14ac:dyDescent="0.2">
      <c r="A248" s="53">
        <v>248</v>
      </c>
      <c r="B248" s="106" t="s">
        <v>853</v>
      </c>
      <c r="C248" s="31" t="s">
        <v>363</v>
      </c>
      <c r="D248" s="31" t="s">
        <v>481</v>
      </c>
    </row>
    <row r="249" spans="1:8" ht="42.75" x14ac:dyDescent="0.2">
      <c r="A249" s="53">
        <v>249</v>
      </c>
      <c r="B249" s="106" t="s">
        <v>422</v>
      </c>
      <c r="C249" s="31" t="s">
        <v>364</v>
      </c>
      <c r="D249" s="31" t="s">
        <v>482</v>
      </c>
    </row>
    <row r="250" spans="1:8" ht="18" x14ac:dyDescent="0.2">
      <c r="A250" s="53">
        <v>250</v>
      </c>
      <c r="B250" s="106" t="s">
        <v>418</v>
      </c>
      <c r="C250" s="31" t="s">
        <v>369</v>
      </c>
    </row>
    <row r="251" spans="1:8" ht="18" x14ac:dyDescent="0.2">
      <c r="A251" s="53">
        <v>251</v>
      </c>
      <c r="B251" s="106" t="s">
        <v>421</v>
      </c>
      <c r="C251" s="31" t="s">
        <v>371</v>
      </c>
      <c r="D251" s="31" t="s">
        <v>387</v>
      </c>
    </row>
    <row r="252" spans="1:8" ht="57" x14ac:dyDescent="0.2">
      <c r="A252" s="53">
        <v>252</v>
      </c>
      <c r="B252" s="106" t="s">
        <v>853</v>
      </c>
      <c r="C252" s="31" t="s">
        <v>372</v>
      </c>
      <c r="D252" s="31" t="s">
        <v>490</v>
      </c>
    </row>
    <row r="253" spans="1:8" ht="42.75" x14ac:dyDescent="0.2">
      <c r="A253" s="53">
        <v>253</v>
      </c>
      <c r="B253" s="106" t="s">
        <v>853</v>
      </c>
      <c r="C253" s="31" t="s">
        <v>373</v>
      </c>
      <c r="D253" s="31" t="s">
        <v>491</v>
      </c>
    </row>
    <row r="254" spans="1:8" ht="18" x14ac:dyDescent="0.2">
      <c r="A254" s="53">
        <v>254</v>
      </c>
      <c r="B254" s="106" t="s">
        <v>1153</v>
      </c>
      <c r="C254" s="31" t="s">
        <v>374</v>
      </c>
      <c r="D254" s="31" t="s">
        <v>492</v>
      </c>
    </row>
    <row r="255" spans="1:8" ht="18" x14ac:dyDescent="0.2">
      <c r="A255" s="53">
        <v>255</v>
      </c>
      <c r="B255" s="106" t="s">
        <v>417</v>
      </c>
      <c r="C255" s="31" t="s">
        <v>493</v>
      </c>
      <c r="D255" s="33" t="s">
        <v>494</v>
      </c>
      <c r="G255" s="88"/>
      <c r="H255" s="33"/>
    </row>
    <row r="256" spans="1:8" ht="42.75" x14ac:dyDescent="0.2">
      <c r="A256" s="53">
        <v>256</v>
      </c>
      <c r="B256" s="106" t="s">
        <v>418</v>
      </c>
      <c r="C256" s="31" t="s">
        <v>375</v>
      </c>
      <c r="D256" s="31" t="s">
        <v>495</v>
      </c>
    </row>
    <row r="257" spans="1:4" ht="18" x14ac:dyDescent="0.2">
      <c r="A257" s="53">
        <v>257</v>
      </c>
      <c r="B257" s="106" t="s">
        <v>424</v>
      </c>
      <c r="C257" s="31" t="s">
        <v>496</v>
      </c>
      <c r="D257" s="31" t="s">
        <v>497</v>
      </c>
    </row>
    <row r="258" spans="1:4" ht="28.5" x14ac:dyDescent="0.2">
      <c r="A258" s="53">
        <v>258</v>
      </c>
      <c r="B258" s="106" t="s">
        <v>418</v>
      </c>
      <c r="C258" s="31" t="s">
        <v>498</v>
      </c>
      <c r="D258" s="31" t="s">
        <v>499</v>
      </c>
    </row>
    <row r="259" spans="1:4" ht="42.75" x14ac:dyDescent="0.2">
      <c r="A259" s="53">
        <v>259</v>
      </c>
      <c r="B259" s="106" t="s">
        <v>418</v>
      </c>
      <c r="C259" s="50" t="s">
        <v>500</v>
      </c>
      <c r="D259" s="31" t="s">
        <v>501</v>
      </c>
    </row>
    <row r="260" spans="1:4" ht="28.5" x14ac:dyDescent="0.2">
      <c r="A260" s="53">
        <v>260</v>
      </c>
      <c r="B260" s="106" t="s">
        <v>1197</v>
      </c>
      <c r="C260" s="31" t="s">
        <v>502</v>
      </c>
      <c r="D260" s="31" t="s">
        <v>503</v>
      </c>
    </row>
    <row r="261" spans="1:4" ht="28.5" x14ac:dyDescent="0.2">
      <c r="A261" s="53">
        <v>261</v>
      </c>
      <c r="B261" s="106" t="s">
        <v>413</v>
      </c>
      <c r="C261" s="31" t="s">
        <v>1038</v>
      </c>
      <c r="D261" s="31" t="s">
        <v>489</v>
      </c>
    </row>
    <row r="262" spans="1:4" ht="18" x14ac:dyDescent="0.2">
      <c r="A262" s="53">
        <v>262</v>
      </c>
      <c r="B262" s="106" t="s">
        <v>415</v>
      </c>
      <c r="C262" s="31" t="s">
        <v>384</v>
      </c>
    </row>
    <row r="263" spans="1:4" ht="18" x14ac:dyDescent="0.2">
      <c r="A263" s="53">
        <v>263</v>
      </c>
      <c r="B263" s="106" t="s">
        <v>422</v>
      </c>
      <c r="C263" s="31" t="s">
        <v>385</v>
      </c>
    </row>
    <row r="264" spans="1:4" ht="18" x14ac:dyDescent="0.2">
      <c r="A264" s="53">
        <v>264</v>
      </c>
      <c r="B264" s="106" t="s">
        <v>853</v>
      </c>
      <c r="C264" s="31" t="s">
        <v>386</v>
      </c>
    </row>
    <row r="265" spans="1:4" ht="18" x14ac:dyDescent="0.2">
      <c r="A265" s="53">
        <v>265</v>
      </c>
      <c r="B265" s="106" t="s">
        <v>422</v>
      </c>
      <c r="C265" s="31" t="s">
        <v>388</v>
      </c>
    </row>
    <row r="266" spans="1:4" ht="18" x14ac:dyDescent="0.2">
      <c r="A266" s="53">
        <v>266</v>
      </c>
      <c r="B266" s="106" t="s">
        <v>418</v>
      </c>
      <c r="C266" s="31" t="s">
        <v>389</v>
      </c>
    </row>
    <row r="267" spans="1:4" ht="18" x14ac:dyDescent="0.2">
      <c r="A267" s="53">
        <v>267</v>
      </c>
      <c r="B267" s="106" t="s">
        <v>853</v>
      </c>
      <c r="C267" s="31" t="s">
        <v>405</v>
      </c>
    </row>
    <row r="268" spans="1:4" ht="18" x14ac:dyDescent="0.2">
      <c r="A268" s="53">
        <v>268</v>
      </c>
      <c r="B268" s="106" t="s">
        <v>422</v>
      </c>
      <c r="C268" s="31" t="s">
        <v>547</v>
      </c>
    </row>
    <row r="269" spans="1:4" ht="18" x14ac:dyDescent="0.2">
      <c r="A269" s="53">
        <v>269</v>
      </c>
      <c r="B269" s="106" t="s">
        <v>421</v>
      </c>
      <c r="C269" s="31" t="s">
        <v>407</v>
      </c>
    </row>
    <row r="270" spans="1:4" ht="18" x14ac:dyDescent="0.2">
      <c r="A270" s="53">
        <v>270</v>
      </c>
      <c r="B270" s="106" t="s">
        <v>418</v>
      </c>
      <c r="C270" s="31" t="s">
        <v>409</v>
      </c>
    </row>
    <row r="271" spans="1:4" ht="18" x14ac:dyDescent="0.2">
      <c r="A271" s="53">
        <v>271</v>
      </c>
      <c r="B271" s="106" t="s">
        <v>853</v>
      </c>
      <c r="C271" s="31" t="s">
        <v>410</v>
      </c>
    </row>
    <row r="272" spans="1:4" ht="28.5" x14ac:dyDescent="0.2">
      <c r="A272" s="53">
        <v>272</v>
      </c>
      <c r="B272" s="106" t="s">
        <v>1189</v>
      </c>
      <c r="C272" s="31" t="s">
        <v>462</v>
      </c>
    </row>
    <row r="273" spans="1:3" ht="28.5" x14ac:dyDescent="0.2">
      <c r="A273" s="53">
        <v>273</v>
      </c>
      <c r="B273" s="106" t="s">
        <v>853</v>
      </c>
      <c r="C273" s="31" t="s">
        <v>463</v>
      </c>
    </row>
    <row r="274" spans="1:3" ht="18" x14ac:dyDescent="0.2">
      <c r="A274" s="53">
        <v>274</v>
      </c>
      <c r="B274" s="106" t="s">
        <v>853</v>
      </c>
      <c r="C274" s="31" t="s">
        <v>466</v>
      </c>
    </row>
    <row r="275" spans="1:3" ht="28.5" x14ac:dyDescent="0.2">
      <c r="A275" s="53">
        <v>275</v>
      </c>
      <c r="B275" s="106" t="s">
        <v>874</v>
      </c>
      <c r="C275" s="31" t="s">
        <v>467</v>
      </c>
    </row>
    <row r="276" spans="1:3" ht="18" x14ac:dyDescent="0.2">
      <c r="A276" s="53">
        <v>276</v>
      </c>
      <c r="B276" s="106" t="s">
        <v>415</v>
      </c>
      <c r="C276" s="31" t="s">
        <v>468</v>
      </c>
    </row>
    <row r="277" spans="1:3" ht="28.5" x14ac:dyDescent="0.2">
      <c r="A277" s="53">
        <v>277</v>
      </c>
      <c r="B277" s="106" t="s">
        <v>418</v>
      </c>
      <c r="C277" s="31" t="s">
        <v>469</v>
      </c>
    </row>
    <row r="278" spans="1:3" ht="18" x14ac:dyDescent="0.2">
      <c r="A278" s="53">
        <v>278</v>
      </c>
      <c r="B278" s="106" t="s">
        <v>874</v>
      </c>
      <c r="C278" s="31" t="s">
        <v>470</v>
      </c>
    </row>
    <row r="279" spans="1:3" ht="18" x14ac:dyDescent="0.2">
      <c r="A279" s="53">
        <v>279</v>
      </c>
      <c r="B279" s="106" t="s">
        <v>874</v>
      </c>
      <c r="C279" s="31" t="s">
        <v>471</v>
      </c>
    </row>
    <row r="280" spans="1:3" ht="18" x14ac:dyDescent="0.2">
      <c r="A280" s="53">
        <v>280</v>
      </c>
      <c r="B280" s="106" t="s">
        <v>853</v>
      </c>
      <c r="C280" s="31" t="s">
        <v>472</v>
      </c>
    </row>
    <row r="281" spans="1:3" ht="28.5" x14ac:dyDescent="0.2">
      <c r="A281" s="53">
        <v>281</v>
      </c>
      <c r="B281" s="106" t="s">
        <v>1197</v>
      </c>
      <c r="C281" s="38" t="s">
        <v>473</v>
      </c>
    </row>
    <row r="282" spans="1:3" ht="18" x14ac:dyDescent="0.2">
      <c r="A282" s="53">
        <v>282</v>
      </c>
      <c r="B282" s="106" t="s">
        <v>853</v>
      </c>
      <c r="C282" s="31" t="s">
        <v>1168</v>
      </c>
    </row>
    <row r="283" spans="1:3" ht="18" x14ac:dyDescent="0.2">
      <c r="A283" s="53">
        <v>283</v>
      </c>
      <c r="B283" s="106" t="s">
        <v>853</v>
      </c>
      <c r="C283" s="38" t="s">
        <v>474</v>
      </c>
    </row>
    <row r="284" spans="1:3" ht="18" x14ac:dyDescent="0.2">
      <c r="A284" s="53">
        <v>284</v>
      </c>
      <c r="B284" s="106" t="s">
        <v>853</v>
      </c>
      <c r="C284" s="38" t="s">
        <v>475</v>
      </c>
    </row>
    <row r="285" spans="1:3" ht="18" x14ac:dyDescent="0.2">
      <c r="A285" s="53">
        <v>285</v>
      </c>
      <c r="B285" s="106" t="s">
        <v>422</v>
      </c>
      <c r="C285" s="31" t="s">
        <v>476</v>
      </c>
    </row>
    <row r="286" spans="1:3" ht="18" x14ac:dyDescent="0.2">
      <c r="A286" s="53">
        <v>286</v>
      </c>
      <c r="B286" s="106" t="s">
        <v>421</v>
      </c>
      <c r="C286" s="31" t="s">
        <v>477</v>
      </c>
    </row>
    <row r="287" spans="1:3" ht="28.5" x14ac:dyDescent="0.2">
      <c r="A287" s="53">
        <v>287</v>
      </c>
      <c r="B287" s="106" t="s">
        <v>200</v>
      </c>
      <c r="C287" s="31" t="s">
        <v>478</v>
      </c>
    </row>
    <row r="288" spans="1:3" ht="18" x14ac:dyDescent="0.2">
      <c r="A288" s="53">
        <v>288</v>
      </c>
      <c r="B288" s="106" t="s">
        <v>422</v>
      </c>
      <c r="C288" s="31" t="s">
        <v>1211</v>
      </c>
    </row>
    <row r="289" spans="1:4" ht="18" x14ac:dyDescent="0.2">
      <c r="A289" s="53">
        <v>289</v>
      </c>
      <c r="B289" s="106" t="s">
        <v>486</v>
      </c>
      <c r="C289" s="31" t="s">
        <v>487</v>
      </c>
    </row>
    <row r="290" spans="1:4" ht="18" x14ac:dyDescent="0.2">
      <c r="A290" s="53">
        <v>290</v>
      </c>
      <c r="B290" s="106" t="s">
        <v>874</v>
      </c>
      <c r="C290" s="31" t="s">
        <v>488</v>
      </c>
    </row>
    <row r="291" spans="1:4" ht="28.5" x14ac:dyDescent="0.2">
      <c r="A291" s="53">
        <v>291</v>
      </c>
      <c r="B291" s="106" t="s">
        <v>418</v>
      </c>
      <c r="C291" s="31" t="s">
        <v>504</v>
      </c>
    </row>
    <row r="292" spans="1:4" ht="18" x14ac:dyDescent="0.2">
      <c r="A292" s="53">
        <v>292</v>
      </c>
      <c r="B292" s="106" t="s">
        <v>417</v>
      </c>
      <c r="C292" s="31" t="s">
        <v>505</v>
      </c>
    </row>
    <row r="293" spans="1:4" ht="28.5" x14ac:dyDescent="0.2">
      <c r="A293" s="53">
        <v>293</v>
      </c>
      <c r="B293" s="106" t="s">
        <v>422</v>
      </c>
      <c r="C293" s="31" t="s">
        <v>508</v>
      </c>
    </row>
    <row r="294" spans="1:4" ht="28.5" x14ac:dyDescent="0.2">
      <c r="A294" s="53">
        <v>294</v>
      </c>
      <c r="B294" s="106" t="s">
        <v>418</v>
      </c>
      <c r="C294" s="31" t="s">
        <v>507</v>
      </c>
    </row>
    <row r="295" spans="1:4" ht="18" x14ac:dyDescent="0.2">
      <c r="A295" s="53">
        <v>295</v>
      </c>
      <c r="B295" s="106" t="s">
        <v>853</v>
      </c>
      <c r="C295" s="31" t="s">
        <v>1169</v>
      </c>
    </row>
    <row r="296" spans="1:4" ht="28.5" x14ac:dyDescent="0.2">
      <c r="A296" s="53">
        <v>296</v>
      </c>
      <c r="B296" s="106" t="s">
        <v>456</v>
      </c>
      <c r="C296" s="31" t="s">
        <v>509</v>
      </c>
    </row>
    <row r="297" spans="1:4" ht="28.5" x14ac:dyDescent="0.2">
      <c r="A297" s="53">
        <v>297</v>
      </c>
      <c r="B297" s="106" t="s">
        <v>853</v>
      </c>
      <c r="C297" s="31" t="s">
        <v>510</v>
      </c>
    </row>
    <row r="298" spans="1:4" ht="18" x14ac:dyDescent="0.2">
      <c r="A298" s="53">
        <v>298</v>
      </c>
      <c r="B298" s="106" t="s">
        <v>427</v>
      </c>
      <c r="C298" s="31" t="s">
        <v>511</v>
      </c>
    </row>
    <row r="299" spans="1:4" ht="18" x14ac:dyDescent="0.2">
      <c r="A299" s="53">
        <v>299</v>
      </c>
      <c r="B299" s="106" t="s">
        <v>427</v>
      </c>
      <c r="C299" s="31" t="s">
        <v>512</v>
      </c>
    </row>
    <row r="300" spans="1:4" ht="18" x14ac:dyDescent="0.2">
      <c r="A300" s="53">
        <v>300</v>
      </c>
      <c r="B300" s="106" t="s">
        <v>853</v>
      </c>
      <c r="C300" s="31" t="s">
        <v>513</v>
      </c>
    </row>
    <row r="301" spans="1:4" ht="18" x14ac:dyDescent="0.2">
      <c r="A301" s="53">
        <v>301</v>
      </c>
      <c r="B301" s="106" t="s">
        <v>427</v>
      </c>
      <c r="C301" s="31" t="s">
        <v>514</v>
      </c>
    </row>
    <row r="302" spans="1:4" ht="18" x14ac:dyDescent="0.2">
      <c r="A302" s="53">
        <v>302</v>
      </c>
      <c r="B302" s="106" t="s">
        <v>853</v>
      </c>
      <c r="C302" s="31" t="s">
        <v>515</v>
      </c>
    </row>
    <row r="303" spans="1:4" ht="18" x14ac:dyDescent="0.2">
      <c r="A303" s="53">
        <v>303</v>
      </c>
      <c r="B303" s="106" t="s">
        <v>427</v>
      </c>
      <c r="C303" s="31" t="s">
        <v>516</v>
      </c>
    </row>
    <row r="304" spans="1:4" ht="42.75" x14ac:dyDescent="0.2">
      <c r="A304" s="53">
        <v>304</v>
      </c>
      <c r="B304" s="106" t="s">
        <v>853</v>
      </c>
      <c r="C304" s="33" t="s">
        <v>517</v>
      </c>
      <c r="D304" s="31" t="s">
        <v>521</v>
      </c>
    </row>
    <row r="305" spans="1:8" ht="42.75" x14ac:dyDescent="0.2">
      <c r="A305" s="53">
        <v>305</v>
      </c>
      <c r="B305" s="106" t="s">
        <v>853</v>
      </c>
      <c r="C305" s="33" t="s">
        <v>518</v>
      </c>
      <c r="D305" s="31" t="s">
        <v>521</v>
      </c>
    </row>
    <row r="306" spans="1:8" ht="18" x14ac:dyDescent="0.2">
      <c r="A306" s="53">
        <v>306</v>
      </c>
      <c r="B306" s="106" t="s">
        <v>425</v>
      </c>
      <c r="C306" s="33" t="s">
        <v>519</v>
      </c>
      <c r="D306" s="31" t="s">
        <v>522</v>
      </c>
    </row>
    <row r="307" spans="1:8" ht="18" x14ac:dyDescent="0.2">
      <c r="A307" s="53">
        <v>307</v>
      </c>
      <c r="B307" s="106" t="s">
        <v>425</v>
      </c>
      <c r="C307" s="33" t="s">
        <v>519</v>
      </c>
      <c r="D307" s="50" t="s">
        <v>523</v>
      </c>
      <c r="G307" s="92"/>
      <c r="H307" s="50"/>
    </row>
    <row r="308" spans="1:8" ht="57" x14ac:dyDescent="0.2">
      <c r="A308" s="53">
        <v>308</v>
      </c>
      <c r="B308" s="106" t="s">
        <v>853</v>
      </c>
      <c r="C308" s="33" t="s">
        <v>1170</v>
      </c>
      <c r="D308" s="39" t="s">
        <v>524</v>
      </c>
      <c r="G308" s="86"/>
      <c r="H308" s="39"/>
    </row>
    <row r="309" spans="1:8" ht="57" x14ac:dyDescent="0.2">
      <c r="A309" s="53">
        <v>309</v>
      </c>
      <c r="B309" s="106" t="s">
        <v>413</v>
      </c>
      <c r="C309" s="33" t="s">
        <v>1039</v>
      </c>
      <c r="D309" s="39" t="s">
        <v>524</v>
      </c>
      <c r="G309" s="86"/>
      <c r="H309" s="39"/>
    </row>
    <row r="310" spans="1:8" ht="57" x14ac:dyDescent="0.2">
      <c r="A310" s="53">
        <v>310</v>
      </c>
      <c r="B310" s="106" t="s">
        <v>413</v>
      </c>
      <c r="C310" s="33" t="s">
        <v>1039</v>
      </c>
      <c r="D310" s="39" t="s">
        <v>524</v>
      </c>
      <c r="G310" s="86"/>
      <c r="H310" s="39"/>
    </row>
    <row r="311" spans="1:8" ht="28.5" x14ac:dyDescent="0.2">
      <c r="A311" s="53">
        <v>311</v>
      </c>
      <c r="B311" s="106" t="s">
        <v>417</v>
      </c>
      <c r="C311" s="33" t="s">
        <v>651</v>
      </c>
      <c r="D311" s="31" t="s">
        <v>525</v>
      </c>
    </row>
    <row r="312" spans="1:8" ht="18" x14ac:dyDescent="0.2">
      <c r="A312" s="53">
        <v>312</v>
      </c>
      <c r="B312" s="106" t="s">
        <v>425</v>
      </c>
      <c r="C312" s="33" t="s">
        <v>520</v>
      </c>
      <c r="D312" s="50" t="s">
        <v>523</v>
      </c>
      <c r="G312" s="92"/>
      <c r="H312" s="50"/>
    </row>
    <row r="313" spans="1:8" ht="28.5" x14ac:dyDescent="0.2">
      <c r="A313" s="53">
        <v>313</v>
      </c>
      <c r="B313" s="106" t="s">
        <v>853</v>
      </c>
      <c r="C313" s="31" t="s">
        <v>1171</v>
      </c>
      <c r="D313" s="31" t="s">
        <v>529</v>
      </c>
    </row>
    <row r="314" spans="1:8" ht="18" x14ac:dyDescent="0.2">
      <c r="A314" s="53">
        <v>314</v>
      </c>
      <c r="B314" s="106" t="s">
        <v>415</v>
      </c>
      <c r="C314" s="31" t="s">
        <v>526</v>
      </c>
      <c r="D314" s="31" t="s">
        <v>530</v>
      </c>
    </row>
    <row r="315" spans="1:8" ht="28.5" x14ac:dyDescent="0.2">
      <c r="A315" s="53">
        <v>315</v>
      </c>
      <c r="B315" s="106" t="s">
        <v>853</v>
      </c>
      <c r="C315" s="31" t="s">
        <v>1172</v>
      </c>
      <c r="D315" s="31" t="s">
        <v>529</v>
      </c>
    </row>
    <row r="316" spans="1:8" ht="28.5" x14ac:dyDescent="0.2">
      <c r="A316" s="53">
        <v>316</v>
      </c>
      <c r="B316" s="106" t="s">
        <v>874</v>
      </c>
      <c r="C316" s="31" t="s">
        <v>527</v>
      </c>
      <c r="D316" s="31" t="s">
        <v>531</v>
      </c>
    </row>
    <row r="317" spans="1:8" ht="28.5" x14ac:dyDescent="0.2">
      <c r="A317" s="53">
        <v>317</v>
      </c>
      <c r="B317" s="106" t="s">
        <v>427</v>
      </c>
      <c r="C317" s="31" t="s">
        <v>528</v>
      </c>
      <c r="D317" s="31" t="s">
        <v>532</v>
      </c>
    </row>
    <row r="318" spans="1:8" ht="28.5" x14ac:dyDescent="0.2">
      <c r="A318" s="53">
        <v>318</v>
      </c>
      <c r="B318" s="106" t="s">
        <v>417</v>
      </c>
      <c r="C318" s="31" t="s">
        <v>652</v>
      </c>
      <c r="D318" s="31" t="s">
        <v>533</v>
      </c>
    </row>
    <row r="319" spans="1:8" ht="18" x14ac:dyDescent="0.2">
      <c r="A319" s="53">
        <v>319</v>
      </c>
      <c r="B319" s="106" t="s">
        <v>427</v>
      </c>
      <c r="C319" s="31" t="s">
        <v>567</v>
      </c>
      <c r="D319" s="31" t="s">
        <v>568</v>
      </c>
      <c r="E319" s="77">
        <v>44516</v>
      </c>
    </row>
    <row r="320" spans="1:8" ht="28.5" x14ac:dyDescent="0.2">
      <c r="A320" s="53">
        <v>320</v>
      </c>
      <c r="B320" s="106" t="s">
        <v>457</v>
      </c>
      <c r="C320" s="31" t="s">
        <v>534</v>
      </c>
    </row>
    <row r="321" spans="1:5" ht="28.5" x14ac:dyDescent="0.2">
      <c r="A321" s="53">
        <v>321</v>
      </c>
      <c r="B321" s="106" t="s">
        <v>853</v>
      </c>
      <c r="C321" s="31" t="s">
        <v>535</v>
      </c>
      <c r="D321" s="31" t="s">
        <v>569</v>
      </c>
      <c r="E321" s="77">
        <v>44516</v>
      </c>
    </row>
    <row r="322" spans="1:5" ht="42.75" x14ac:dyDescent="0.2">
      <c r="A322" s="53">
        <v>322</v>
      </c>
      <c r="B322" s="106" t="s">
        <v>853</v>
      </c>
      <c r="C322" s="31" t="s">
        <v>536</v>
      </c>
      <c r="D322" s="31" t="s">
        <v>569</v>
      </c>
      <c r="E322" s="77">
        <v>44516</v>
      </c>
    </row>
    <row r="323" spans="1:5" ht="28.5" x14ac:dyDescent="0.2">
      <c r="A323" s="53">
        <v>323</v>
      </c>
      <c r="B323" s="106" t="s">
        <v>1153</v>
      </c>
      <c r="C323" s="31" t="s">
        <v>1155</v>
      </c>
      <c r="D323" s="31" t="s">
        <v>580</v>
      </c>
      <c r="E323" s="77">
        <v>44516</v>
      </c>
    </row>
    <row r="324" spans="1:5" ht="28.5" x14ac:dyDescent="0.2">
      <c r="A324" s="53">
        <v>324</v>
      </c>
      <c r="B324" s="106" t="s">
        <v>853</v>
      </c>
      <c r="C324" s="31" t="s">
        <v>1173</v>
      </c>
      <c r="D324" s="31" t="s">
        <v>581</v>
      </c>
      <c r="E324" s="77">
        <v>44516</v>
      </c>
    </row>
    <row r="325" spans="1:5" ht="18" x14ac:dyDescent="0.2">
      <c r="A325" s="53">
        <v>325</v>
      </c>
      <c r="B325" s="106" t="s">
        <v>457</v>
      </c>
      <c r="C325" s="31" t="s">
        <v>537</v>
      </c>
      <c r="D325" s="31" t="s">
        <v>581</v>
      </c>
      <c r="E325" s="77">
        <v>44516</v>
      </c>
    </row>
    <row r="326" spans="1:5" ht="42.75" x14ac:dyDescent="0.2">
      <c r="A326" s="53">
        <v>326</v>
      </c>
      <c r="B326" s="106" t="s">
        <v>425</v>
      </c>
      <c r="C326" s="31" t="s">
        <v>538</v>
      </c>
      <c r="D326" s="31" t="s">
        <v>582</v>
      </c>
      <c r="E326" s="77">
        <v>44516</v>
      </c>
    </row>
    <row r="327" spans="1:5" ht="28.5" x14ac:dyDescent="0.2">
      <c r="A327" s="53">
        <v>327</v>
      </c>
      <c r="B327" s="106" t="s">
        <v>417</v>
      </c>
      <c r="C327" s="31" t="s">
        <v>653</v>
      </c>
      <c r="D327" s="31" t="s">
        <v>583</v>
      </c>
      <c r="E327" s="77">
        <v>44516</v>
      </c>
    </row>
    <row r="328" spans="1:5" ht="28.5" x14ac:dyDescent="0.2">
      <c r="A328" s="53">
        <v>328</v>
      </c>
      <c r="B328" s="106" t="s">
        <v>853</v>
      </c>
      <c r="C328" s="31" t="s">
        <v>540</v>
      </c>
      <c r="D328" s="31" t="s">
        <v>581</v>
      </c>
      <c r="E328" s="77">
        <v>44516</v>
      </c>
    </row>
    <row r="329" spans="1:5" ht="28.5" x14ac:dyDescent="0.2">
      <c r="A329" s="53">
        <v>329</v>
      </c>
      <c r="B329" s="106" t="s">
        <v>853</v>
      </c>
      <c r="C329" s="31" t="s">
        <v>541</v>
      </c>
      <c r="D329" s="31" t="s">
        <v>569</v>
      </c>
      <c r="E329" s="77">
        <v>44516</v>
      </c>
    </row>
    <row r="330" spans="1:5" ht="28.5" x14ac:dyDescent="0.2">
      <c r="A330" s="53">
        <v>330</v>
      </c>
      <c r="B330" s="106" t="s">
        <v>422</v>
      </c>
      <c r="C330" s="31" t="s">
        <v>542</v>
      </c>
      <c r="D330" s="31" t="s">
        <v>584</v>
      </c>
      <c r="E330" s="77">
        <v>44516</v>
      </c>
    </row>
    <row r="331" spans="1:5" ht="28.5" x14ac:dyDescent="0.2">
      <c r="A331" s="53">
        <v>331</v>
      </c>
      <c r="B331" s="106" t="s">
        <v>853</v>
      </c>
      <c r="C331" s="31" t="s">
        <v>543</v>
      </c>
      <c r="D331" s="31" t="s">
        <v>586</v>
      </c>
      <c r="E331" s="77">
        <v>44516</v>
      </c>
    </row>
    <row r="332" spans="1:5" ht="28.5" x14ac:dyDescent="0.2">
      <c r="A332" s="53">
        <v>332</v>
      </c>
      <c r="B332" s="106" t="s">
        <v>853</v>
      </c>
      <c r="C332" s="31" t="s">
        <v>544</v>
      </c>
      <c r="D332" s="31" t="s">
        <v>586</v>
      </c>
      <c r="E332" s="77">
        <v>44516</v>
      </c>
    </row>
    <row r="333" spans="1:5" ht="18" x14ac:dyDescent="0.2">
      <c r="A333" s="53">
        <v>333</v>
      </c>
      <c r="B333" s="106" t="s">
        <v>422</v>
      </c>
      <c r="C333" s="31" t="s">
        <v>545</v>
      </c>
      <c r="D333" s="31" t="s">
        <v>587</v>
      </c>
      <c r="E333" s="77">
        <v>44516</v>
      </c>
    </row>
    <row r="334" spans="1:5" ht="18" x14ac:dyDescent="0.2">
      <c r="A334" s="53">
        <v>334</v>
      </c>
      <c r="B334" s="106" t="s">
        <v>425</v>
      </c>
      <c r="C334" s="31" t="s">
        <v>546</v>
      </c>
      <c r="D334" s="31" t="s">
        <v>559</v>
      </c>
      <c r="E334" s="77">
        <v>44474</v>
      </c>
    </row>
    <row r="335" spans="1:5" ht="28.5" x14ac:dyDescent="0.2">
      <c r="A335" s="53">
        <v>335</v>
      </c>
      <c r="B335" s="106" t="s">
        <v>1197</v>
      </c>
      <c r="C335" s="38" t="s">
        <v>548</v>
      </c>
      <c r="D335" s="31" t="s">
        <v>560</v>
      </c>
      <c r="E335" s="77">
        <v>44474</v>
      </c>
    </row>
    <row r="336" spans="1:5" ht="18" x14ac:dyDescent="0.2">
      <c r="A336" s="53">
        <v>336</v>
      </c>
      <c r="B336" s="106" t="s">
        <v>418</v>
      </c>
      <c r="C336" s="31" t="s">
        <v>549</v>
      </c>
      <c r="D336" s="31" t="s">
        <v>561</v>
      </c>
      <c r="E336" s="77">
        <v>44474</v>
      </c>
    </row>
    <row r="337" spans="1:5" ht="57" x14ac:dyDescent="0.2">
      <c r="A337" s="53">
        <v>337</v>
      </c>
      <c r="B337" s="106" t="s">
        <v>1197</v>
      </c>
      <c r="C337" s="38" t="s">
        <v>550</v>
      </c>
      <c r="D337" s="31" t="s">
        <v>562</v>
      </c>
      <c r="E337" s="77">
        <v>44474</v>
      </c>
    </row>
    <row r="338" spans="1:5" ht="28.5" x14ac:dyDescent="0.2">
      <c r="A338" s="53">
        <v>338</v>
      </c>
      <c r="B338" s="106" t="s">
        <v>444</v>
      </c>
      <c r="C338" s="38" t="s">
        <v>551</v>
      </c>
      <c r="D338" s="31" t="s">
        <v>563</v>
      </c>
      <c r="E338" s="77">
        <v>44474</v>
      </c>
    </row>
    <row r="339" spans="1:5" ht="28.5" x14ac:dyDescent="0.2">
      <c r="A339" s="53">
        <v>339</v>
      </c>
      <c r="B339" s="106" t="s">
        <v>440</v>
      </c>
      <c r="C339" s="38" t="s">
        <v>552</v>
      </c>
      <c r="D339" s="31" t="s">
        <v>564</v>
      </c>
      <c r="E339" s="77">
        <v>44474</v>
      </c>
    </row>
    <row r="340" spans="1:5" ht="28.5" x14ac:dyDescent="0.2">
      <c r="A340" s="53">
        <v>340</v>
      </c>
      <c r="B340" s="106" t="s">
        <v>1153</v>
      </c>
      <c r="C340" s="38" t="s">
        <v>553</v>
      </c>
      <c r="D340" s="31" t="s">
        <v>565</v>
      </c>
      <c r="E340" s="77">
        <v>44474</v>
      </c>
    </row>
    <row r="341" spans="1:5" ht="28.5" x14ac:dyDescent="0.2">
      <c r="A341" s="53">
        <v>341</v>
      </c>
      <c r="B341" s="106" t="s">
        <v>422</v>
      </c>
      <c r="C341" s="31" t="s">
        <v>554</v>
      </c>
      <c r="D341" s="31" t="s">
        <v>566</v>
      </c>
      <c r="E341" s="77">
        <v>44474</v>
      </c>
    </row>
    <row r="342" spans="1:5" ht="42.75" x14ac:dyDescent="0.2">
      <c r="A342" s="53">
        <v>342</v>
      </c>
      <c r="B342" s="106" t="s">
        <v>425</v>
      </c>
      <c r="C342" s="31" t="s">
        <v>585</v>
      </c>
      <c r="D342" s="31" t="s">
        <v>582</v>
      </c>
      <c r="E342" s="77">
        <v>44516</v>
      </c>
    </row>
    <row r="343" spans="1:5" ht="57" x14ac:dyDescent="0.2">
      <c r="A343" s="53">
        <v>343</v>
      </c>
      <c r="B343" s="106" t="s">
        <v>422</v>
      </c>
      <c r="C343" s="31" t="s">
        <v>572</v>
      </c>
      <c r="D343" s="31" t="s">
        <v>589</v>
      </c>
      <c r="E343" s="77">
        <v>44531</v>
      </c>
    </row>
    <row r="344" spans="1:5" ht="57" x14ac:dyDescent="0.2">
      <c r="A344" s="53">
        <v>344</v>
      </c>
      <c r="B344" s="106" t="s">
        <v>422</v>
      </c>
      <c r="C344" s="31" t="s">
        <v>573</v>
      </c>
      <c r="D344" s="31" t="s">
        <v>589</v>
      </c>
      <c r="E344" s="77">
        <v>44531</v>
      </c>
    </row>
    <row r="345" spans="1:5" ht="28.5" x14ac:dyDescent="0.2">
      <c r="A345" s="53">
        <v>345</v>
      </c>
      <c r="B345" s="106" t="s">
        <v>415</v>
      </c>
      <c r="C345" s="38" t="s">
        <v>574</v>
      </c>
      <c r="D345" s="31" t="s">
        <v>590</v>
      </c>
      <c r="E345" s="77">
        <v>44531</v>
      </c>
    </row>
    <row r="346" spans="1:5" ht="42.75" x14ac:dyDescent="0.2">
      <c r="A346" s="53">
        <v>346</v>
      </c>
      <c r="B346" s="106" t="s">
        <v>1189</v>
      </c>
      <c r="C346" s="38" t="s">
        <v>1199</v>
      </c>
      <c r="D346" s="31" t="s">
        <v>592</v>
      </c>
      <c r="E346" s="77">
        <v>44531</v>
      </c>
    </row>
    <row r="347" spans="1:5" ht="42.75" x14ac:dyDescent="0.2">
      <c r="A347" s="53">
        <v>347</v>
      </c>
      <c r="B347" s="106" t="s">
        <v>1189</v>
      </c>
      <c r="C347" s="38" t="s">
        <v>1199</v>
      </c>
      <c r="D347" s="31" t="s">
        <v>592</v>
      </c>
      <c r="E347" s="77">
        <v>44531</v>
      </c>
    </row>
    <row r="348" spans="1:5" ht="28.5" x14ac:dyDescent="0.2">
      <c r="A348" s="53">
        <v>348</v>
      </c>
      <c r="B348" s="106" t="s">
        <v>415</v>
      </c>
      <c r="C348" s="31" t="s">
        <v>575</v>
      </c>
      <c r="D348" s="31" t="s">
        <v>591</v>
      </c>
      <c r="E348" s="77">
        <v>44531</v>
      </c>
    </row>
    <row r="349" spans="1:5" ht="28.5" x14ac:dyDescent="0.2">
      <c r="A349" s="53">
        <v>349</v>
      </c>
      <c r="B349" s="106" t="s">
        <v>874</v>
      </c>
      <c r="C349" s="38" t="s">
        <v>576</v>
      </c>
      <c r="D349" s="31" t="s">
        <v>593</v>
      </c>
      <c r="E349" s="77">
        <v>44531</v>
      </c>
    </row>
    <row r="350" spans="1:5" ht="18" x14ac:dyDescent="0.2">
      <c r="A350" s="53">
        <v>350</v>
      </c>
      <c r="B350" s="106" t="s">
        <v>440</v>
      </c>
      <c r="C350" s="38" t="s">
        <v>577</v>
      </c>
      <c r="D350" s="31" t="s">
        <v>594</v>
      </c>
      <c r="E350" s="77">
        <v>44531</v>
      </c>
    </row>
    <row r="351" spans="1:5" ht="28.5" x14ac:dyDescent="0.2">
      <c r="A351" s="53">
        <v>351</v>
      </c>
      <c r="B351" s="106" t="s">
        <v>415</v>
      </c>
      <c r="C351" s="31" t="s">
        <v>578</v>
      </c>
      <c r="D351" s="31" t="s">
        <v>584</v>
      </c>
      <c r="E351" s="77">
        <v>44531</v>
      </c>
    </row>
    <row r="352" spans="1:5" ht="18" x14ac:dyDescent="0.2">
      <c r="A352" s="53">
        <v>352</v>
      </c>
      <c r="B352" s="106" t="s">
        <v>1153</v>
      </c>
      <c r="C352" s="31" t="s">
        <v>1156</v>
      </c>
      <c r="D352" s="31" t="s">
        <v>596</v>
      </c>
      <c r="E352" s="77">
        <v>44531</v>
      </c>
    </row>
    <row r="353" spans="1:8" ht="57" x14ac:dyDescent="0.2">
      <c r="A353" s="53">
        <v>353</v>
      </c>
      <c r="B353" s="106" t="s">
        <v>440</v>
      </c>
      <c r="C353" s="38" t="s">
        <v>571</v>
      </c>
      <c r="D353" s="31" t="s">
        <v>595</v>
      </c>
      <c r="E353" s="77">
        <v>44531</v>
      </c>
    </row>
    <row r="354" spans="1:8" ht="57" x14ac:dyDescent="0.2">
      <c r="A354" s="53">
        <v>354</v>
      </c>
      <c r="B354" s="106" t="s">
        <v>440</v>
      </c>
      <c r="C354" s="38" t="s">
        <v>579</v>
      </c>
      <c r="D354" s="31" t="s">
        <v>595</v>
      </c>
      <c r="E354" s="77">
        <v>44531</v>
      </c>
    </row>
    <row r="355" spans="1:8" ht="28.5" x14ac:dyDescent="0.2">
      <c r="A355" s="53">
        <v>355</v>
      </c>
      <c r="B355" s="106" t="s">
        <v>853</v>
      </c>
      <c r="C355" s="38" t="s">
        <v>1174</v>
      </c>
      <c r="D355" s="31" t="s">
        <v>597</v>
      </c>
      <c r="E355" s="77">
        <v>44531</v>
      </c>
    </row>
    <row r="356" spans="1:8" ht="28.5" x14ac:dyDescent="0.2">
      <c r="A356" s="53">
        <v>356</v>
      </c>
      <c r="B356" s="106" t="s">
        <v>1153</v>
      </c>
      <c r="C356" s="38" t="s">
        <v>598</v>
      </c>
      <c r="D356" s="31" t="s">
        <v>599</v>
      </c>
      <c r="E356" s="77">
        <v>44531</v>
      </c>
    </row>
    <row r="357" spans="1:8" ht="28.5" x14ac:dyDescent="0.2">
      <c r="A357" s="53">
        <v>357</v>
      </c>
      <c r="B357" s="106" t="s">
        <v>853</v>
      </c>
      <c r="C357" s="38" t="s">
        <v>1175</v>
      </c>
      <c r="D357" s="31" t="s">
        <v>597</v>
      </c>
      <c r="E357" s="77">
        <v>44531</v>
      </c>
    </row>
    <row r="358" spans="1:8" ht="28.5" x14ac:dyDescent="0.2">
      <c r="A358" s="53">
        <v>358</v>
      </c>
      <c r="B358" s="106" t="s">
        <v>1153</v>
      </c>
      <c r="C358" s="38" t="s">
        <v>588</v>
      </c>
      <c r="D358" s="31" t="s">
        <v>600</v>
      </c>
      <c r="E358" s="77">
        <v>44531</v>
      </c>
    </row>
    <row r="359" spans="1:8" ht="28.5" x14ac:dyDescent="0.2">
      <c r="A359" s="53">
        <v>359</v>
      </c>
      <c r="B359" s="106" t="s">
        <v>417</v>
      </c>
      <c r="C359" s="31" t="s">
        <v>602</v>
      </c>
      <c r="D359" s="31" t="s">
        <v>625</v>
      </c>
      <c r="E359" s="77">
        <v>44612</v>
      </c>
    </row>
    <row r="360" spans="1:8" ht="18" x14ac:dyDescent="0.2">
      <c r="A360" s="53">
        <v>360</v>
      </c>
      <c r="B360" s="106" t="s">
        <v>422</v>
      </c>
      <c r="C360" s="31" t="s">
        <v>603</v>
      </c>
      <c r="D360" s="31" t="s">
        <v>622</v>
      </c>
      <c r="E360" s="77">
        <v>44612</v>
      </c>
    </row>
    <row r="361" spans="1:8" ht="42.75" x14ac:dyDescent="0.2">
      <c r="A361" s="53">
        <v>361</v>
      </c>
      <c r="B361" s="106" t="s">
        <v>1197</v>
      </c>
      <c r="C361" s="31" t="s">
        <v>604</v>
      </c>
      <c r="D361" s="31" t="s">
        <v>623</v>
      </c>
      <c r="E361" s="77">
        <v>44612</v>
      </c>
    </row>
    <row r="362" spans="1:8" ht="28.5" x14ac:dyDescent="0.2">
      <c r="A362" s="53">
        <v>362</v>
      </c>
      <c r="B362" s="106" t="s">
        <v>874</v>
      </c>
      <c r="C362" s="31" t="s">
        <v>1213</v>
      </c>
      <c r="D362" s="31" t="s">
        <v>624</v>
      </c>
      <c r="E362" s="77">
        <v>44612</v>
      </c>
    </row>
    <row r="363" spans="1:8" ht="28.5" x14ac:dyDescent="0.2">
      <c r="A363" s="53">
        <v>363</v>
      </c>
      <c r="B363" s="106" t="s">
        <v>853</v>
      </c>
      <c r="C363" s="38" t="s">
        <v>605</v>
      </c>
      <c r="D363" s="31" t="s">
        <v>625</v>
      </c>
      <c r="E363" s="77">
        <v>44612</v>
      </c>
    </row>
    <row r="364" spans="1:8" ht="28.5" x14ac:dyDescent="0.2">
      <c r="A364" s="53">
        <v>364</v>
      </c>
      <c r="B364" s="106" t="s">
        <v>853</v>
      </c>
      <c r="C364" s="38" t="s">
        <v>606</v>
      </c>
      <c r="D364" s="31" t="s">
        <v>625</v>
      </c>
      <c r="E364" s="77">
        <v>44612</v>
      </c>
    </row>
    <row r="365" spans="1:8" ht="18" x14ac:dyDescent="0.2">
      <c r="A365" s="53">
        <v>365</v>
      </c>
      <c r="B365" s="106" t="s">
        <v>440</v>
      </c>
      <c r="C365" s="38" t="s">
        <v>607</v>
      </c>
      <c r="D365" s="31" t="s">
        <v>622</v>
      </c>
      <c r="E365" s="77">
        <v>44612</v>
      </c>
    </row>
    <row r="366" spans="1:8" ht="28.5" x14ac:dyDescent="0.2">
      <c r="A366" s="53">
        <v>366</v>
      </c>
      <c r="B366" s="106" t="s">
        <v>425</v>
      </c>
      <c r="C366" s="38" t="s">
        <v>645</v>
      </c>
      <c r="D366" s="31" t="s">
        <v>628</v>
      </c>
      <c r="E366" s="77">
        <v>44612</v>
      </c>
    </row>
    <row r="367" spans="1:8" ht="28.5" x14ac:dyDescent="0.2">
      <c r="A367" s="53">
        <v>367</v>
      </c>
      <c r="B367" s="106" t="s">
        <v>425</v>
      </c>
      <c r="C367" s="31" t="s">
        <v>608</v>
      </c>
      <c r="D367" s="31" t="s">
        <v>628</v>
      </c>
      <c r="E367" s="77">
        <v>44612</v>
      </c>
    </row>
    <row r="368" spans="1:8" ht="18" x14ac:dyDescent="0.2">
      <c r="A368" s="53">
        <v>368</v>
      </c>
      <c r="B368" s="106" t="s">
        <v>853</v>
      </c>
      <c r="C368" s="31" t="s">
        <v>1176</v>
      </c>
      <c r="D368" s="50" t="s">
        <v>627</v>
      </c>
      <c r="E368" s="77">
        <v>44612</v>
      </c>
      <c r="G368" s="94"/>
      <c r="H368" s="61"/>
    </row>
    <row r="369" spans="1:8" ht="18" x14ac:dyDescent="0.2">
      <c r="A369" s="53">
        <v>369</v>
      </c>
      <c r="B369" s="106" t="s">
        <v>853</v>
      </c>
      <c r="C369" s="31" t="s">
        <v>1177</v>
      </c>
      <c r="D369" s="31" t="s">
        <v>626</v>
      </c>
      <c r="E369" s="77">
        <v>44612</v>
      </c>
    </row>
    <row r="370" spans="1:8" ht="18" x14ac:dyDescent="0.2">
      <c r="A370" s="53">
        <v>370</v>
      </c>
      <c r="B370" s="106" t="s">
        <v>1231</v>
      </c>
      <c r="C370" s="38" t="s">
        <v>609</v>
      </c>
      <c r="D370" s="34" t="s">
        <v>629</v>
      </c>
      <c r="E370" s="77">
        <v>44612</v>
      </c>
      <c r="G370" s="89"/>
      <c r="H370" s="34"/>
    </row>
    <row r="371" spans="1:8" ht="28.5" x14ac:dyDescent="0.2">
      <c r="A371" s="53">
        <v>371</v>
      </c>
      <c r="B371" s="106" t="s">
        <v>425</v>
      </c>
      <c r="C371" s="31" t="s">
        <v>610</v>
      </c>
      <c r="D371" s="31" t="s">
        <v>628</v>
      </c>
      <c r="E371" s="77">
        <v>44612</v>
      </c>
    </row>
    <row r="372" spans="1:8" ht="28.5" x14ac:dyDescent="0.2">
      <c r="A372" s="53">
        <v>372</v>
      </c>
      <c r="B372" s="106" t="s">
        <v>425</v>
      </c>
      <c r="C372" s="31" t="s">
        <v>611</v>
      </c>
      <c r="D372" s="31" t="s">
        <v>628</v>
      </c>
      <c r="E372" s="77">
        <v>44612</v>
      </c>
    </row>
    <row r="373" spans="1:8" ht="28.5" x14ac:dyDescent="0.2">
      <c r="A373" s="53">
        <v>373</v>
      </c>
      <c r="B373" s="106" t="s">
        <v>425</v>
      </c>
      <c r="C373" s="31" t="s">
        <v>612</v>
      </c>
      <c r="D373" s="31" t="s">
        <v>628</v>
      </c>
      <c r="E373" s="77">
        <v>44612</v>
      </c>
    </row>
    <row r="374" spans="1:8" ht="28.5" x14ac:dyDescent="0.2">
      <c r="A374" s="53">
        <v>374</v>
      </c>
      <c r="B374" s="106" t="s">
        <v>425</v>
      </c>
      <c r="C374" s="31" t="s">
        <v>613</v>
      </c>
      <c r="D374" s="31" t="s">
        <v>628</v>
      </c>
      <c r="E374" s="77">
        <v>44612</v>
      </c>
    </row>
    <row r="375" spans="1:8" ht="28.5" x14ac:dyDescent="0.2">
      <c r="A375" s="53">
        <v>375</v>
      </c>
      <c r="B375" s="106" t="s">
        <v>425</v>
      </c>
      <c r="C375" s="31" t="s">
        <v>614</v>
      </c>
      <c r="D375" s="31" t="s">
        <v>628</v>
      </c>
      <c r="E375" s="77">
        <v>44612</v>
      </c>
    </row>
    <row r="376" spans="1:8" ht="28.5" x14ac:dyDescent="0.2">
      <c r="A376" s="53">
        <v>376</v>
      </c>
      <c r="B376" s="106" t="s">
        <v>425</v>
      </c>
      <c r="C376" s="31" t="s">
        <v>615</v>
      </c>
      <c r="D376" s="31" t="s">
        <v>628</v>
      </c>
      <c r="E376" s="77">
        <v>44612</v>
      </c>
    </row>
    <row r="377" spans="1:8" ht="18" x14ac:dyDescent="0.2">
      <c r="A377" s="53">
        <v>377</v>
      </c>
      <c r="B377" s="106" t="s">
        <v>1153</v>
      </c>
      <c r="C377" s="38" t="s">
        <v>616</v>
      </c>
      <c r="D377" s="31" t="s">
        <v>630</v>
      </c>
      <c r="E377" s="77">
        <v>44612</v>
      </c>
    </row>
    <row r="378" spans="1:8" ht="28.5" x14ac:dyDescent="0.2">
      <c r="A378" s="53">
        <v>378</v>
      </c>
      <c r="B378" s="106" t="s">
        <v>1197</v>
      </c>
      <c r="C378" s="38" t="s">
        <v>617</v>
      </c>
      <c r="D378" s="31" t="s">
        <v>656</v>
      </c>
      <c r="E378" s="77">
        <v>44626</v>
      </c>
    </row>
    <row r="379" spans="1:8" ht="42.75" x14ac:dyDescent="0.2">
      <c r="A379" s="53">
        <v>379</v>
      </c>
      <c r="B379" s="106" t="s">
        <v>440</v>
      </c>
      <c r="C379" s="38" t="s">
        <v>618</v>
      </c>
      <c r="D379" s="31" t="s">
        <v>657</v>
      </c>
      <c r="E379" s="77">
        <v>44626</v>
      </c>
    </row>
    <row r="380" spans="1:8" ht="18" x14ac:dyDescent="0.2">
      <c r="A380" s="53">
        <v>380</v>
      </c>
      <c r="B380" s="106" t="s">
        <v>853</v>
      </c>
      <c r="C380" s="38" t="s">
        <v>619</v>
      </c>
      <c r="D380" s="50" t="s">
        <v>627</v>
      </c>
      <c r="E380" s="77">
        <v>44612</v>
      </c>
      <c r="G380" s="94"/>
      <c r="H380" s="61"/>
    </row>
    <row r="381" spans="1:8" ht="18" x14ac:dyDescent="0.2">
      <c r="A381" s="53">
        <v>381</v>
      </c>
      <c r="B381" s="106" t="s">
        <v>440</v>
      </c>
      <c r="C381" s="38" t="s">
        <v>620</v>
      </c>
      <c r="D381" s="62" t="s">
        <v>658</v>
      </c>
      <c r="E381" s="77">
        <v>44626</v>
      </c>
      <c r="G381" s="95"/>
      <c r="H381" s="62"/>
    </row>
    <row r="382" spans="1:8" ht="28.5" x14ac:dyDescent="0.2">
      <c r="A382" s="53">
        <v>382</v>
      </c>
      <c r="B382" s="106" t="s">
        <v>425</v>
      </c>
      <c r="C382" s="31" t="s">
        <v>621</v>
      </c>
      <c r="D382" s="31" t="s">
        <v>665</v>
      </c>
      <c r="E382" s="77">
        <v>44626</v>
      </c>
    </row>
    <row r="383" spans="1:8" ht="42.75" x14ac:dyDescent="0.2">
      <c r="A383" s="53">
        <v>383</v>
      </c>
      <c r="B383" s="106" t="s">
        <v>417</v>
      </c>
      <c r="C383" s="31" t="s">
        <v>654</v>
      </c>
      <c r="D383" s="62" t="s">
        <v>659</v>
      </c>
      <c r="E383" s="77">
        <v>44626</v>
      </c>
      <c r="G383" s="95"/>
      <c r="H383" s="62"/>
    </row>
    <row r="384" spans="1:8" ht="18" x14ac:dyDescent="0.2">
      <c r="A384" s="53">
        <v>384</v>
      </c>
      <c r="B384" s="106" t="s">
        <v>421</v>
      </c>
      <c r="C384" s="31" t="s">
        <v>631</v>
      </c>
      <c r="D384" s="62" t="s">
        <v>660</v>
      </c>
      <c r="E384" s="77">
        <v>44626</v>
      </c>
      <c r="G384" s="95"/>
      <c r="H384" s="62"/>
    </row>
    <row r="385" spans="1:8" ht="28.5" x14ac:dyDescent="0.2">
      <c r="A385" s="53">
        <v>385</v>
      </c>
      <c r="B385" s="106" t="s">
        <v>425</v>
      </c>
      <c r="C385" s="38" t="s">
        <v>747</v>
      </c>
      <c r="D385" s="39" t="s">
        <v>661</v>
      </c>
      <c r="E385" s="77">
        <v>44626</v>
      </c>
      <c r="G385" s="86"/>
      <c r="H385" s="39"/>
    </row>
    <row r="386" spans="1:8" ht="28.5" x14ac:dyDescent="0.2">
      <c r="A386" s="53">
        <v>386</v>
      </c>
      <c r="B386" s="106" t="s">
        <v>425</v>
      </c>
      <c r="C386" s="38" t="s">
        <v>614</v>
      </c>
      <c r="D386" s="31" t="s">
        <v>662</v>
      </c>
      <c r="E386" s="77">
        <v>44626</v>
      </c>
    </row>
    <row r="387" spans="1:8" ht="28.5" x14ac:dyDescent="0.2">
      <c r="A387" s="53">
        <v>387</v>
      </c>
      <c r="B387" s="106" t="s">
        <v>425</v>
      </c>
      <c r="C387" s="57" t="s">
        <v>632</v>
      </c>
      <c r="D387" s="39" t="s">
        <v>661</v>
      </c>
      <c r="E387" s="77">
        <v>44626</v>
      </c>
      <c r="G387" s="86"/>
      <c r="H387" s="39"/>
    </row>
    <row r="388" spans="1:8" ht="42.75" x14ac:dyDescent="0.2">
      <c r="A388" s="53">
        <v>388</v>
      </c>
      <c r="B388" s="106" t="s">
        <v>702</v>
      </c>
      <c r="C388" s="38" t="s">
        <v>1192</v>
      </c>
      <c r="D388" s="31" t="s">
        <v>663</v>
      </c>
      <c r="E388" s="77">
        <v>44626</v>
      </c>
    </row>
    <row r="389" spans="1:8" ht="42.75" x14ac:dyDescent="0.2">
      <c r="A389" s="53">
        <v>389</v>
      </c>
      <c r="B389" s="106" t="s">
        <v>853</v>
      </c>
      <c r="C389" s="31" t="s">
        <v>1178</v>
      </c>
      <c r="D389" s="31" t="s">
        <v>664</v>
      </c>
      <c r="E389" s="77">
        <v>44626</v>
      </c>
    </row>
    <row r="390" spans="1:8" ht="28.5" x14ac:dyDescent="0.2">
      <c r="A390" s="53">
        <v>390</v>
      </c>
      <c r="B390" s="106" t="s">
        <v>421</v>
      </c>
      <c r="C390" s="38" t="s">
        <v>1187</v>
      </c>
      <c r="D390" s="31" t="s">
        <v>665</v>
      </c>
      <c r="E390" s="77">
        <v>44626</v>
      </c>
    </row>
    <row r="391" spans="1:8" ht="28.5" x14ac:dyDescent="0.2">
      <c r="A391" s="53">
        <v>391</v>
      </c>
      <c r="B391" s="106" t="s">
        <v>200</v>
      </c>
      <c r="C391" s="31" t="s">
        <v>633</v>
      </c>
      <c r="D391" s="31" t="s">
        <v>679</v>
      </c>
      <c r="E391" s="77">
        <v>44647</v>
      </c>
    </row>
    <row r="392" spans="1:8" ht="18" x14ac:dyDescent="0.2">
      <c r="A392" s="53">
        <v>392</v>
      </c>
      <c r="B392" s="106" t="s">
        <v>444</v>
      </c>
      <c r="C392" s="38" t="s">
        <v>634</v>
      </c>
      <c r="D392" s="31" t="s">
        <v>684</v>
      </c>
      <c r="E392" s="77">
        <v>44647</v>
      </c>
    </row>
    <row r="393" spans="1:8" ht="18" x14ac:dyDescent="0.2">
      <c r="A393" s="53">
        <v>393</v>
      </c>
      <c r="B393" s="106" t="s">
        <v>422</v>
      </c>
      <c r="C393" s="31" t="s">
        <v>636</v>
      </c>
      <c r="D393" s="31" t="s">
        <v>685</v>
      </c>
      <c r="E393" s="77">
        <v>44647</v>
      </c>
    </row>
    <row r="394" spans="1:8" ht="28.5" x14ac:dyDescent="0.2">
      <c r="A394" s="53">
        <v>394</v>
      </c>
      <c r="B394" s="106" t="s">
        <v>1197</v>
      </c>
      <c r="C394" s="38" t="s">
        <v>635</v>
      </c>
      <c r="D394" s="31" t="s">
        <v>680</v>
      </c>
      <c r="E394" s="77">
        <v>44647</v>
      </c>
    </row>
    <row r="395" spans="1:8" ht="18" x14ac:dyDescent="0.2">
      <c r="A395" s="53">
        <v>395</v>
      </c>
      <c r="B395" s="106" t="s">
        <v>418</v>
      </c>
      <c r="C395" s="38" t="s">
        <v>637</v>
      </c>
      <c r="D395" s="31" t="s">
        <v>681</v>
      </c>
      <c r="E395" s="77">
        <v>44647</v>
      </c>
    </row>
    <row r="396" spans="1:8" ht="28.5" x14ac:dyDescent="0.2">
      <c r="A396" s="53">
        <v>396</v>
      </c>
      <c r="B396" s="106" t="s">
        <v>425</v>
      </c>
      <c r="C396" s="31" t="s">
        <v>638</v>
      </c>
      <c r="D396" s="31" t="s">
        <v>682</v>
      </c>
      <c r="E396" s="77">
        <v>44647</v>
      </c>
    </row>
    <row r="397" spans="1:8" ht="28.5" x14ac:dyDescent="0.2">
      <c r="A397" s="53">
        <v>397</v>
      </c>
      <c r="B397" s="106" t="s">
        <v>425</v>
      </c>
      <c r="C397" s="31" t="s">
        <v>639</v>
      </c>
      <c r="D397" s="31" t="s">
        <v>683</v>
      </c>
      <c r="E397" s="77">
        <v>44647</v>
      </c>
    </row>
    <row r="398" spans="1:8" ht="28.5" x14ac:dyDescent="0.2">
      <c r="A398" s="53">
        <v>398</v>
      </c>
      <c r="B398" s="106" t="s">
        <v>425</v>
      </c>
      <c r="C398" s="31" t="s">
        <v>640</v>
      </c>
      <c r="D398" s="31" t="s">
        <v>686</v>
      </c>
      <c r="E398" s="77">
        <v>44647</v>
      </c>
    </row>
    <row r="399" spans="1:8" ht="28.5" x14ac:dyDescent="0.2">
      <c r="A399" s="53">
        <v>399</v>
      </c>
      <c r="B399" s="106" t="s">
        <v>440</v>
      </c>
      <c r="C399" s="38" t="s">
        <v>641</v>
      </c>
      <c r="D399" s="31" t="s">
        <v>687</v>
      </c>
      <c r="E399" s="77">
        <v>44647</v>
      </c>
    </row>
    <row r="400" spans="1:8" ht="18" x14ac:dyDescent="0.2">
      <c r="A400" s="53">
        <v>400</v>
      </c>
      <c r="B400" s="106" t="s">
        <v>1153</v>
      </c>
      <c r="C400" s="31" t="s">
        <v>655</v>
      </c>
      <c r="E400" s="77">
        <v>44675</v>
      </c>
    </row>
    <row r="401" spans="1:8" ht="18" x14ac:dyDescent="0.2">
      <c r="A401" s="53">
        <v>401</v>
      </c>
      <c r="B401" s="106" t="s">
        <v>415</v>
      </c>
      <c r="C401" s="31" t="s">
        <v>666</v>
      </c>
      <c r="E401" s="77">
        <v>44675</v>
      </c>
    </row>
    <row r="402" spans="1:8" ht="18" x14ac:dyDescent="0.2">
      <c r="A402" s="53">
        <v>402</v>
      </c>
      <c r="B402" s="106" t="s">
        <v>425</v>
      </c>
      <c r="C402" s="31" t="s">
        <v>667</v>
      </c>
      <c r="E402" s="77">
        <v>44675</v>
      </c>
    </row>
    <row r="403" spans="1:8" ht="28.5" x14ac:dyDescent="0.2">
      <c r="A403" s="53">
        <v>403</v>
      </c>
      <c r="B403" s="106" t="s">
        <v>427</v>
      </c>
      <c r="C403" s="31" t="s">
        <v>668</v>
      </c>
      <c r="D403" s="31" t="s">
        <v>692</v>
      </c>
      <c r="E403" s="77">
        <v>44696</v>
      </c>
    </row>
    <row r="404" spans="1:8" ht="18" x14ac:dyDescent="0.2">
      <c r="A404" s="53">
        <v>404</v>
      </c>
      <c r="B404" s="106" t="s">
        <v>422</v>
      </c>
      <c r="C404" s="31" t="s">
        <v>669</v>
      </c>
      <c r="E404" s="77">
        <v>44675</v>
      </c>
    </row>
    <row r="405" spans="1:8" ht="28.5" x14ac:dyDescent="0.2">
      <c r="A405" s="53">
        <v>405</v>
      </c>
      <c r="B405" s="106" t="s">
        <v>429</v>
      </c>
      <c r="C405" s="31" t="s">
        <v>670</v>
      </c>
      <c r="E405" s="77">
        <v>44675</v>
      </c>
    </row>
    <row r="406" spans="1:8" ht="28.5" x14ac:dyDescent="0.2">
      <c r="A406" s="53">
        <v>406</v>
      </c>
      <c r="B406" s="106" t="s">
        <v>440</v>
      </c>
      <c r="C406" s="31" t="s">
        <v>671</v>
      </c>
      <c r="D406" s="31" t="s">
        <v>692</v>
      </c>
      <c r="E406" s="77">
        <v>44696</v>
      </c>
    </row>
    <row r="407" spans="1:8" ht="28.5" x14ac:dyDescent="0.2">
      <c r="A407" s="53">
        <v>407</v>
      </c>
      <c r="B407" s="106" t="s">
        <v>200</v>
      </c>
      <c r="C407" s="31" t="s">
        <v>672</v>
      </c>
      <c r="E407" s="77">
        <v>44675</v>
      </c>
    </row>
    <row r="408" spans="1:8" ht="28.5" x14ac:dyDescent="0.2">
      <c r="A408" s="53">
        <v>408</v>
      </c>
      <c r="B408" s="106" t="s">
        <v>413</v>
      </c>
      <c r="C408" s="31" t="s">
        <v>1040</v>
      </c>
      <c r="E408" s="77">
        <v>44675</v>
      </c>
    </row>
    <row r="409" spans="1:8" ht="18" x14ac:dyDescent="0.2">
      <c r="A409" s="53">
        <v>409</v>
      </c>
      <c r="B409" s="106" t="s">
        <v>421</v>
      </c>
      <c r="C409" s="31" t="s">
        <v>673</v>
      </c>
      <c r="E409" s="77">
        <v>44675</v>
      </c>
    </row>
    <row r="410" spans="1:8" ht="18" x14ac:dyDescent="0.2">
      <c r="A410" s="53">
        <v>410</v>
      </c>
      <c r="B410" s="106" t="s">
        <v>486</v>
      </c>
      <c r="C410" s="31" t="s">
        <v>674</v>
      </c>
      <c r="E410" s="77">
        <v>44675</v>
      </c>
    </row>
    <row r="411" spans="1:8" ht="18" x14ac:dyDescent="0.2">
      <c r="A411" s="53">
        <v>411</v>
      </c>
      <c r="B411" s="106" t="s">
        <v>853</v>
      </c>
      <c r="C411" s="31" t="s">
        <v>1179</v>
      </c>
      <c r="E411" s="77">
        <v>44675</v>
      </c>
    </row>
    <row r="412" spans="1:8" ht="18" x14ac:dyDescent="0.2">
      <c r="A412" s="53">
        <v>412</v>
      </c>
      <c r="B412" s="106" t="s">
        <v>1153</v>
      </c>
      <c r="C412" s="31" t="s">
        <v>675</v>
      </c>
      <c r="E412" s="77">
        <v>44675</v>
      </c>
    </row>
    <row r="413" spans="1:8" ht="18" x14ac:dyDescent="0.2">
      <c r="A413" s="53">
        <v>413</v>
      </c>
      <c r="B413" s="106" t="s">
        <v>1153</v>
      </c>
      <c r="C413" s="31" t="s">
        <v>676</v>
      </c>
      <c r="D413" s="31" t="s">
        <v>761</v>
      </c>
      <c r="E413" s="77">
        <v>44745</v>
      </c>
    </row>
    <row r="414" spans="1:8" ht="28.5" x14ac:dyDescent="0.2">
      <c r="A414" s="53">
        <v>414</v>
      </c>
      <c r="B414" s="106" t="s">
        <v>414</v>
      </c>
      <c r="C414" s="31" t="s">
        <v>677</v>
      </c>
      <c r="D414" s="31" t="s">
        <v>727</v>
      </c>
      <c r="E414" s="77">
        <v>44710</v>
      </c>
    </row>
    <row r="415" spans="1:8" ht="18" x14ac:dyDescent="0.2">
      <c r="A415" s="53">
        <v>415</v>
      </c>
      <c r="B415" s="106" t="s">
        <v>422</v>
      </c>
      <c r="C415" s="31" t="s">
        <v>678</v>
      </c>
      <c r="D415" s="31" t="s">
        <v>726</v>
      </c>
      <c r="E415" s="77">
        <v>44745</v>
      </c>
    </row>
    <row r="416" spans="1:8" ht="28.5" x14ac:dyDescent="0.2">
      <c r="A416" s="53">
        <v>416</v>
      </c>
      <c r="B416" s="106" t="s">
        <v>425</v>
      </c>
      <c r="C416" s="31" t="s">
        <v>688</v>
      </c>
      <c r="D416" s="50" t="s">
        <v>728</v>
      </c>
      <c r="E416" s="77">
        <v>44710</v>
      </c>
      <c r="G416" s="92"/>
      <c r="H416" s="50"/>
    </row>
    <row r="417" spans="1:8" ht="28.5" x14ac:dyDescent="0.2">
      <c r="A417" s="53">
        <v>417</v>
      </c>
      <c r="B417" s="106" t="s">
        <v>853</v>
      </c>
      <c r="C417" s="31" t="s">
        <v>689</v>
      </c>
      <c r="D417" s="50" t="s">
        <v>695</v>
      </c>
      <c r="E417" s="77">
        <v>44696</v>
      </c>
      <c r="G417" s="92"/>
      <c r="H417" s="50"/>
    </row>
    <row r="418" spans="1:8" ht="28.5" x14ac:dyDescent="0.2">
      <c r="A418" s="53">
        <v>418</v>
      </c>
      <c r="B418" s="106" t="s">
        <v>1153</v>
      </c>
      <c r="C418" s="31" t="s">
        <v>691</v>
      </c>
      <c r="D418" s="31" t="s">
        <v>693</v>
      </c>
      <c r="E418" s="77">
        <v>44696</v>
      </c>
    </row>
    <row r="419" spans="1:8" ht="28.5" x14ac:dyDescent="0.2">
      <c r="A419" s="53">
        <v>419</v>
      </c>
      <c r="B419" s="106" t="s">
        <v>422</v>
      </c>
      <c r="C419" s="31" t="s">
        <v>1188</v>
      </c>
      <c r="D419" s="31" t="s">
        <v>694</v>
      </c>
      <c r="E419" s="77">
        <v>44696</v>
      </c>
    </row>
    <row r="420" spans="1:8" ht="42.75" x14ac:dyDescent="0.2">
      <c r="A420" s="53">
        <v>420</v>
      </c>
      <c r="B420" s="106" t="s">
        <v>1153</v>
      </c>
      <c r="C420" s="31" t="s">
        <v>697</v>
      </c>
      <c r="D420" s="31" t="s">
        <v>696</v>
      </c>
      <c r="E420" s="77">
        <v>44696</v>
      </c>
    </row>
    <row r="421" spans="1:8" ht="42.75" x14ac:dyDescent="0.2">
      <c r="A421" s="53">
        <v>421</v>
      </c>
      <c r="B421" s="106" t="s">
        <v>1153</v>
      </c>
      <c r="C421" s="31" t="s">
        <v>698</v>
      </c>
      <c r="D421" s="50" t="s">
        <v>729</v>
      </c>
      <c r="E421" s="77">
        <v>44710</v>
      </c>
      <c r="G421" s="92"/>
      <c r="H421" s="50"/>
    </row>
    <row r="422" spans="1:8" ht="18" x14ac:dyDescent="0.2">
      <c r="A422" s="53">
        <v>422</v>
      </c>
      <c r="B422" s="106" t="s">
        <v>427</v>
      </c>
      <c r="C422" s="31" t="s">
        <v>699</v>
      </c>
      <c r="D422" s="31" t="s">
        <v>730</v>
      </c>
      <c r="E422" s="77">
        <v>44710</v>
      </c>
    </row>
    <row r="423" spans="1:8" ht="28.5" x14ac:dyDescent="0.2">
      <c r="A423" s="53">
        <v>423</v>
      </c>
      <c r="B423" s="106" t="s">
        <v>1202</v>
      </c>
      <c r="C423" s="31" t="s">
        <v>1203</v>
      </c>
      <c r="D423" s="31" t="s">
        <v>731</v>
      </c>
      <c r="E423" s="77">
        <v>44710</v>
      </c>
    </row>
    <row r="424" spans="1:8" ht="28.5" x14ac:dyDescent="0.2">
      <c r="A424" s="53">
        <v>424</v>
      </c>
      <c r="B424" s="106" t="s">
        <v>1197</v>
      </c>
      <c r="C424" s="31" t="s">
        <v>700</v>
      </c>
      <c r="D424" s="31" t="s">
        <v>705</v>
      </c>
      <c r="E424" s="77">
        <v>44710</v>
      </c>
    </row>
    <row r="425" spans="1:8" ht="42.75" x14ac:dyDescent="0.2">
      <c r="A425" s="53">
        <v>425</v>
      </c>
      <c r="B425" s="106" t="s">
        <v>1232</v>
      </c>
      <c r="C425" s="31" t="s">
        <v>701</v>
      </c>
      <c r="D425" s="31" t="s">
        <v>732</v>
      </c>
      <c r="E425" s="77">
        <v>44710</v>
      </c>
    </row>
    <row r="426" spans="1:8" ht="42.75" x14ac:dyDescent="0.2">
      <c r="A426" s="53">
        <v>426</v>
      </c>
      <c r="B426" s="106" t="s">
        <v>702</v>
      </c>
      <c r="C426" s="31" t="s">
        <v>703</v>
      </c>
      <c r="D426" s="31" t="s">
        <v>733</v>
      </c>
      <c r="E426" s="77">
        <v>44710</v>
      </c>
    </row>
    <row r="427" spans="1:8" ht="18" x14ac:dyDescent="0.2">
      <c r="A427" s="53">
        <v>427</v>
      </c>
      <c r="B427" s="106" t="s">
        <v>415</v>
      </c>
      <c r="C427" s="31" t="s">
        <v>706</v>
      </c>
      <c r="D427" s="31" t="s">
        <v>707</v>
      </c>
      <c r="E427" s="77">
        <v>44710</v>
      </c>
    </row>
    <row r="428" spans="1:8" ht="28.5" x14ac:dyDescent="0.2">
      <c r="A428" s="53">
        <v>428</v>
      </c>
      <c r="B428" s="106" t="s">
        <v>417</v>
      </c>
      <c r="C428" s="31" t="s">
        <v>708</v>
      </c>
      <c r="D428" s="50" t="s">
        <v>727</v>
      </c>
      <c r="E428" s="77">
        <v>44731</v>
      </c>
      <c r="G428" s="92"/>
      <c r="H428" s="50"/>
    </row>
    <row r="429" spans="1:8" ht="28.5" x14ac:dyDescent="0.2">
      <c r="A429" s="53">
        <v>429</v>
      </c>
      <c r="B429" s="106" t="s">
        <v>1153</v>
      </c>
      <c r="C429" s="31" t="s">
        <v>710</v>
      </c>
      <c r="D429" s="33" t="s">
        <v>740</v>
      </c>
      <c r="E429" s="77">
        <v>44731</v>
      </c>
      <c r="G429" s="88"/>
      <c r="H429" s="33"/>
    </row>
    <row r="430" spans="1:8" ht="28.5" x14ac:dyDescent="0.2">
      <c r="A430" s="53">
        <v>430</v>
      </c>
      <c r="B430" s="106" t="s">
        <v>1153</v>
      </c>
      <c r="C430" s="31" t="s">
        <v>710</v>
      </c>
      <c r="D430" s="33" t="s">
        <v>740</v>
      </c>
      <c r="E430" s="77">
        <v>44731</v>
      </c>
      <c r="G430" s="88"/>
      <c r="H430" s="33"/>
    </row>
    <row r="431" spans="1:8" ht="18" x14ac:dyDescent="0.2">
      <c r="A431" s="53">
        <v>431</v>
      </c>
      <c r="B431" s="106" t="s">
        <v>1231</v>
      </c>
      <c r="C431" s="38" t="s">
        <v>711</v>
      </c>
      <c r="D431" s="31" t="s">
        <v>724</v>
      </c>
      <c r="E431" s="77">
        <v>44731</v>
      </c>
    </row>
    <row r="432" spans="1:8" ht="18" x14ac:dyDescent="0.2">
      <c r="A432" s="53">
        <v>432</v>
      </c>
      <c r="B432" s="106" t="s">
        <v>440</v>
      </c>
      <c r="C432" s="31" t="s">
        <v>712</v>
      </c>
      <c r="D432" s="73" t="s">
        <v>741</v>
      </c>
      <c r="E432" s="77">
        <v>44731</v>
      </c>
      <c r="G432" s="96"/>
      <c r="H432" s="63"/>
    </row>
    <row r="433" spans="1:8" ht="28.5" x14ac:dyDescent="0.2">
      <c r="A433" s="53">
        <v>433</v>
      </c>
      <c r="B433" s="106" t="s">
        <v>422</v>
      </c>
      <c r="C433" s="31" t="s">
        <v>713</v>
      </c>
      <c r="D433" s="31" t="s">
        <v>725</v>
      </c>
      <c r="E433" s="77">
        <v>44731</v>
      </c>
    </row>
    <row r="434" spans="1:8" ht="18" x14ac:dyDescent="0.2">
      <c r="A434" s="53">
        <v>434</v>
      </c>
      <c r="B434" s="106" t="s">
        <v>427</v>
      </c>
      <c r="C434" s="31" t="s">
        <v>714</v>
      </c>
      <c r="D434" s="31" t="s">
        <v>726</v>
      </c>
      <c r="E434" s="77">
        <v>44731</v>
      </c>
    </row>
    <row r="435" spans="1:8" ht="28.5" x14ac:dyDescent="0.2">
      <c r="A435" s="53">
        <v>435</v>
      </c>
      <c r="B435" s="106" t="s">
        <v>425</v>
      </c>
      <c r="C435" s="31" t="s">
        <v>715</v>
      </c>
      <c r="D435" s="39" t="s">
        <v>742</v>
      </c>
      <c r="E435" s="77">
        <v>44731</v>
      </c>
      <c r="G435" s="86"/>
      <c r="H435" s="39"/>
    </row>
    <row r="436" spans="1:8" ht="28.5" x14ac:dyDescent="0.2">
      <c r="A436" s="53">
        <v>436</v>
      </c>
      <c r="B436" s="106" t="s">
        <v>1202</v>
      </c>
      <c r="C436" s="31" t="s">
        <v>1206</v>
      </c>
      <c r="D436" s="31" t="s">
        <v>734</v>
      </c>
      <c r="E436" s="77">
        <v>44745</v>
      </c>
    </row>
    <row r="437" spans="1:8" ht="42.75" x14ac:dyDescent="0.2">
      <c r="A437" s="53">
        <v>437</v>
      </c>
      <c r="B437" s="106" t="s">
        <v>1181</v>
      </c>
      <c r="C437" s="31" t="s">
        <v>1184</v>
      </c>
      <c r="D437" s="31" t="s">
        <v>735</v>
      </c>
      <c r="E437" s="77">
        <v>44745</v>
      </c>
    </row>
    <row r="438" spans="1:8" ht="18" x14ac:dyDescent="0.2">
      <c r="A438" s="53">
        <v>438</v>
      </c>
      <c r="B438" s="106" t="s">
        <v>418</v>
      </c>
      <c r="C438" s="31" t="s">
        <v>721</v>
      </c>
      <c r="D438" s="31" t="s">
        <v>736</v>
      </c>
      <c r="E438" s="77">
        <v>44745</v>
      </c>
    </row>
    <row r="439" spans="1:8" ht="28.5" x14ac:dyDescent="0.2">
      <c r="A439" s="53">
        <v>439</v>
      </c>
      <c r="B439" s="106" t="s">
        <v>1153</v>
      </c>
      <c r="C439" s="31" t="s">
        <v>722</v>
      </c>
      <c r="D439" s="33" t="s">
        <v>739</v>
      </c>
      <c r="E439" s="77">
        <v>44731</v>
      </c>
      <c r="G439" s="88"/>
      <c r="H439" s="33"/>
    </row>
    <row r="440" spans="1:8" ht="28.5" x14ac:dyDescent="0.2">
      <c r="A440" s="53">
        <v>440</v>
      </c>
      <c r="B440" s="106" t="s">
        <v>418</v>
      </c>
      <c r="C440" s="31" t="s">
        <v>723</v>
      </c>
      <c r="D440" s="31" t="s">
        <v>737</v>
      </c>
      <c r="E440" s="77">
        <v>44745</v>
      </c>
    </row>
    <row r="441" spans="1:8" ht="28.5" x14ac:dyDescent="0.2">
      <c r="A441" s="53">
        <v>441</v>
      </c>
      <c r="B441" s="106" t="s">
        <v>1197</v>
      </c>
      <c r="C441" s="31" t="s">
        <v>738</v>
      </c>
      <c r="D441" s="31" t="s">
        <v>762</v>
      </c>
      <c r="E441" s="77">
        <v>44745</v>
      </c>
    </row>
    <row r="442" spans="1:8" ht="28.5" x14ac:dyDescent="0.2">
      <c r="A442" s="53">
        <v>442</v>
      </c>
      <c r="B442" s="106" t="s">
        <v>417</v>
      </c>
      <c r="C442" s="31" t="s">
        <v>743</v>
      </c>
      <c r="D442" s="50" t="s">
        <v>727</v>
      </c>
      <c r="E442" s="77">
        <v>44745</v>
      </c>
      <c r="G442" s="92"/>
      <c r="H442" s="50"/>
    </row>
    <row r="443" spans="1:8" ht="18" x14ac:dyDescent="0.2">
      <c r="A443" s="53">
        <v>443</v>
      </c>
      <c r="B443" s="106" t="s">
        <v>422</v>
      </c>
      <c r="C443" s="31" t="s">
        <v>760</v>
      </c>
      <c r="D443" s="31" t="s">
        <v>726</v>
      </c>
      <c r="E443" s="77">
        <v>44745</v>
      </c>
    </row>
    <row r="444" spans="1:8" ht="18" x14ac:dyDescent="0.2">
      <c r="A444" s="53">
        <v>444</v>
      </c>
      <c r="B444" s="106" t="s">
        <v>418</v>
      </c>
      <c r="C444" s="31" t="s">
        <v>744</v>
      </c>
      <c r="D444" s="31" t="s">
        <v>766</v>
      </c>
      <c r="E444" s="77">
        <v>44815</v>
      </c>
    </row>
    <row r="445" spans="1:8" ht="18" x14ac:dyDescent="0.2">
      <c r="A445" s="53">
        <v>445</v>
      </c>
      <c r="B445" s="106" t="s">
        <v>418</v>
      </c>
      <c r="C445" s="31" t="s">
        <v>745</v>
      </c>
      <c r="D445" s="31" t="s">
        <v>767</v>
      </c>
      <c r="E445" s="77">
        <v>44815</v>
      </c>
    </row>
    <row r="446" spans="1:8" ht="42.75" x14ac:dyDescent="0.2">
      <c r="A446" s="53">
        <v>446</v>
      </c>
      <c r="B446" s="106" t="s">
        <v>422</v>
      </c>
      <c r="C446" s="31" t="s">
        <v>778</v>
      </c>
      <c r="D446" s="31" t="s">
        <v>754</v>
      </c>
      <c r="E446" s="77">
        <v>44787</v>
      </c>
      <c r="F446" s="82" t="s">
        <v>756</v>
      </c>
    </row>
    <row r="447" spans="1:8" ht="28.5" x14ac:dyDescent="0.2">
      <c r="A447" s="53">
        <v>447</v>
      </c>
      <c r="B447" s="106" t="s">
        <v>422</v>
      </c>
      <c r="C447" s="31" t="s">
        <v>748</v>
      </c>
      <c r="D447" s="31" t="s">
        <v>755</v>
      </c>
      <c r="E447" s="77">
        <v>44787</v>
      </c>
    </row>
    <row r="448" spans="1:8" ht="28.5" x14ac:dyDescent="0.2">
      <c r="A448" s="53">
        <v>448</v>
      </c>
      <c r="B448" s="106" t="s">
        <v>440</v>
      </c>
      <c r="C448" s="38" t="s">
        <v>749</v>
      </c>
      <c r="D448" s="31" t="s">
        <v>779</v>
      </c>
      <c r="E448" s="77">
        <v>44787</v>
      </c>
    </row>
    <row r="449" spans="1:6" ht="28.5" x14ac:dyDescent="0.2">
      <c r="A449" s="53">
        <v>449</v>
      </c>
      <c r="B449" s="106" t="s">
        <v>750</v>
      </c>
      <c r="C449" s="31" t="s">
        <v>780</v>
      </c>
      <c r="D449" s="31" t="s">
        <v>781</v>
      </c>
      <c r="E449" s="77">
        <v>44787</v>
      </c>
    </row>
    <row r="450" spans="1:6" ht="28.5" x14ac:dyDescent="0.2">
      <c r="A450" s="53">
        <v>450</v>
      </c>
      <c r="B450" s="106" t="s">
        <v>422</v>
      </c>
      <c r="C450" s="31" t="s">
        <v>751</v>
      </c>
      <c r="D450" s="31" t="s">
        <v>782</v>
      </c>
      <c r="E450" s="77">
        <v>44787</v>
      </c>
    </row>
    <row r="451" spans="1:6" ht="42.75" x14ac:dyDescent="0.2">
      <c r="A451" s="53">
        <v>451</v>
      </c>
      <c r="B451" s="106" t="s">
        <v>425</v>
      </c>
      <c r="C451" s="31" t="s">
        <v>752</v>
      </c>
      <c r="D451" s="31" t="s">
        <v>783</v>
      </c>
      <c r="E451" s="77">
        <v>44787</v>
      </c>
    </row>
    <row r="452" spans="1:6" ht="28.5" x14ac:dyDescent="0.2">
      <c r="A452" s="53">
        <v>452</v>
      </c>
      <c r="B452" s="106" t="s">
        <v>425</v>
      </c>
      <c r="C452" s="31" t="s">
        <v>753</v>
      </c>
      <c r="D452" s="31" t="s">
        <v>784</v>
      </c>
      <c r="E452" s="77">
        <v>44787</v>
      </c>
    </row>
    <row r="453" spans="1:6" ht="28.5" x14ac:dyDescent="0.2">
      <c r="A453" s="53">
        <v>453</v>
      </c>
      <c r="B453" s="106" t="s">
        <v>758</v>
      </c>
      <c r="C453" s="31" t="s">
        <v>763</v>
      </c>
      <c r="D453" s="31" t="s">
        <v>769</v>
      </c>
      <c r="E453" s="77">
        <v>44815</v>
      </c>
      <c r="F453" s="82" t="s">
        <v>768</v>
      </c>
    </row>
    <row r="454" spans="1:6" ht="18" x14ac:dyDescent="0.2">
      <c r="A454" s="53">
        <v>454</v>
      </c>
      <c r="B454" s="106" t="s">
        <v>422</v>
      </c>
      <c r="C454" s="31" t="s">
        <v>770</v>
      </c>
      <c r="D454" s="31" t="s">
        <v>771</v>
      </c>
      <c r="E454" s="77">
        <v>44815</v>
      </c>
    </row>
    <row r="455" spans="1:6" ht="18" x14ac:dyDescent="0.2">
      <c r="A455" s="53">
        <v>455</v>
      </c>
      <c r="B455" s="106" t="s">
        <v>425</v>
      </c>
      <c r="C455" s="31" t="s">
        <v>759</v>
      </c>
      <c r="D455" s="31" t="s">
        <v>772</v>
      </c>
      <c r="E455" s="77">
        <v>44815</v>
      </c>
    </row>
    <row r="456" spans="1:6" ht="18" x14ac:dyDescent="0.2">
      <c r="A456" s="53">
        <v>456</v>
      </c>
      <c r="B456" s="106" t="s">
        <v>425</v>
      </c>
      <c r="C456" s="31" t="s">
        <v>764</v>
      </c>
      <c r="D456" s="31" t="s">
        <v>772</v>
      </c>
      <c r="E456" s="77">
        <v>44815</v>
      </c>
    </row>
    <row r="457" spans="1:6" ht="18" x14ac:dyDescent="0.2">
      <c r="A457" s="53">
        <v>457</v>
      </c>
      <c r="B457" s="106" t="s">
        <v>422</v>
      </c>
      <c r="C457" s="31" t="s">
        <v>765</v>
      </c>
      <c r="D457" s="31" t="s">
        <v>773</v>
      </c>
      <c r="E457" s="77">
        <v>44815</v>
      </c>
    </row>
    <row r="458" spans="1:6" ht="18" x14ac:dyDescent="0.2">
      <c r="A458" s="53">
        <v>458</v>
      </c>
      <c r="B458" s="106" t="s">
        <v>422</v>
      </c>
      <c r="C458" s="31" t="s">
        <v>786</v>
      </c>
      <c r="D458" s="31" t="s">
        <v>774</v>
      </c>
      <c r="E458" s="77">
        <v>44815</v>
      </c>
    </row>
    <row r="459" spans="1:6" ht="18" x14ac:dyDescent="0.2">
      <c r="A459" s="53">
        <v>459</v>
      </c>
      <c r="B459" s="106" t="s">
        <v>422</v>
      </c>
      <c r="C459" s="31" t="s">
        <v>775</v>
      </c>
      <c r="D459" s="31" t="s">
        <v>787</v>
      </c>
      <c r="E459" s="77">
        <v>44815</v>
      </c>
    </row>
    <row r="460" spans="1:6" ht="18" x14ac:dyDescent="0.2">
      <c r="A460" s="53">
        <v>460</v>
      </c>
      <c r="B460" s="106" t="s">
        <v>422</v>
      </c>
      <c r="C460" s="31" t="s">
        <v>788</v>
      </c>
      <c r="D460" s="31" t="s">
        <v>789</v>
      </c>
      <c r="E460" s="77">
        <v>44815</v>
      </c>
    </row>
    <row r="461" spans="1:6" ht="18" x14ac:dyDescent="0.2">
      <c r="A461" s="53">
        <v>461</v>
      </c>
      <c r="B461" s="106" t="s">
        <v>418</v>
      </c>
      <c r="C461" s="31" t="s">
        <v>790</v>
      </c>
      <c r="D461" s="31" t="s">
        <v>791</v>
      </c>
      <c r="E461" s="77">
        <v>44815</v>
      </c>
    </row>
    <row r="462" spans="1:6" ht="28.5" x14ac:dyDescent="0.2">
      <c r="A462" s="53">
        <v>462</v>
      </c>
      <c r="B462" s="106" t="s">
        <v>425</v>
      </c>
      <c r="C462" s="31" t="s">
        <v>792</v>
      </c>
      <c r="D462" s="31" t="s">
        <v>793</v>
      </c>
      <c r="E462" s="77">
        <v>44815</v>
      </c>
    </row>
    <row r="463" spans="1:6" ht="18" x14ac:dyDescent="0.2">
      <c r="A463" s="53">
        <v>463</v>
      </c>
      <c r="B463" s="106" t="s">
        <v>417</v>
      </c>
      <c r="C463" s="31" t="s">
        <v>794</v>
      </c>
      <c r="D463" s="31" t="s">
        <v>777</v>
      </c>
      <c r="E463" s="77">
        <v>44815</v>
      </c>
    </row>
    <row r="464" spans="1:6" ht="18" x14ac:dyDescent="0.2">
      <c r="A464" s="53">
        <v>464</v>
      </c>
      <c r="B464" s="106" t="s">
        <v>422</v>
      </c>
      <c r="C464" s="31" t="s">
        <v>795</v>
      </c>
      <c r="D464" s="31" t="s">
        <v>776</v>
      </c>
      <c r="E464" s="77">
        <v>44815</v>
      </c>
    </row>
    <row r="465" spans="1:9" ht="42.75" x14ac:dyDescent="0.2">
      <c r="A465" s="53">
        <v>465</v>
      </c>
      <c r="B465" s="106" t="s">
        <v>422</v>
      </c>
      <c r="C465" s="31" t="s">
        <v>894</v>
      </c>
      <c r="D465" s="71" t="s">
        <v>901</v>
      </c>
      <c r="E465" s="77">
        <v>44857</v>
      </c>
      <c r="F465" s="82" t="s">
        <v>889</v>
      </c>
      <c r="G465" s="71"/>
      <c r="H465" s="50"/>
    </row>
    <row r="466" spans="1:9" ht="28.5" x14ac:dyDescent="0.2">
      <c r="A466" s="53">
        <v>466</v>
      </c>
      <c r="B466" s="106" t="s">
        <v>422</v>
      </c>
      <c r="C466" s="31" t="s">
        <v>796</v>
      </c>
      <c r="D466" s="31" t="s">
        <v>890</v>
      </c>
      <c r="E466" s="77">
        <v>44857</v>
      </c>
    </row>
    <row r="467" spans="1:9" ht="28.5" x14ac:dyDescent="0.2">
      <c r="A467" s="53">
        <v>467</v>
      </c>
      <c r="B467" s="106" t="s">
        <v>758</v>
      </c>
      <c r="C467" s="31" t="s">
        <v>897</v>
      </c>
      <c r="D467" s="31" t="s">
        <v>902</v>
      </c>
      <c r="E467" s="77">
        <v>44857</v>
      </c>
    </row>
    <row r="468" spans="1:9" ht="28.5" x14ac:dyDescent="0.2">
      <c r="A468" s="53">
        <v>468</v>
      </c>
      <c r="B468" s="106" t="s">
        <v>422</v>
      </c>
      <c r="C468" s="31" t="s">
        <v>895</v>
      </c>
      <c r="D468" s="31" t="s">
        <v>891</v>
      </c>
      <c r="E468" s="77">
        <v>44857</v>
      </c>
    </row>
    <row r="469" spans="1:9" ht="18" x14ac:dyDescent="0.2">
      <c r="A469" s="53">
        <v>469</v>
      </c>
      <c r="B469" s="106" t="s">
        <v>422</v>
      </c>
      <c r="C469" s="31" t="s">
        <v>888</v>
      </c>
      <c r="D469" s="31" t="s">
        <v>903</v>
      </c>
      <c r="E469" s="77">
        <v>44857</v>
      </c>
    </row>
    <row r="470" spans="1:9" ht="18" x14ac:dyDescent="0.2">
      <c r="A470" s="53">
        <v>470</v>
      </c>
      <c r="B470" s="106" t="s">
        <v>425</v>
      </c>
      <c r="C470" s="31" t="s">
        <v>896</v>
      </c>
      <c r="D470" s="31" t="s">
        <v>57</v>
      </c>
      <c r="E470" s="77">
        <v>44857</v>
      </c>
    </row>
    <row r="471" spans="1:9" ht="18" x14ac:dyDescent="0.2">
      <c r="A471" s="53">
        <v>471</v>
      </c>
      <c r="B471" s="106" t="s">
        <v>425</v>
      </c>
      <c r="C471" s="31" t="s">
        <v>752</v>
      </c>
      <c r="D471" s="31" t="s">
        <v>892</v>
      </c>
      <c r="E471" s="77">
        <v>44857</v>
      </c>
    </row>
    <row r="472" spans="1:9" ht="42.75" x14ac:dyDescent="0.2">
      <c r="A472" s="53">
        <v>472</v>
      </c>
      <c r="B472" s="106" t="s">
        <v>415</v>
      </c>
      <c r="C472" s="31" t="s">
        <v>898</v>
      </c>
      <c r="D472" s="31" t="s">
        <v>941</v>
      </c>
      <c r="E472" s="77">
        <v>44885</v>
      </c>
      <c r="F472" s="82" t="s">
        <v>909</v>
      </c>
      <c r="I472" s="97">
        <v>44924</v>
      </c>
    </row>
    <row r="473" spans="1:9" ht="42.75" x14ac:dyDescent="0.2">
      <c r="A473" s="53">
        <v>473</v>
      </c>
      <c r="B473" s="106" t="s">
        <v>418</v>
      </c>
      <c r="C473" s="31" t="s">
        <v>908</v>
      </c>
      <c r="D473" s="31" t="s">
        <v>940</v>
      </c>
      <c r="E473" s="77">
        <v>44885</v>
      </c>
    </row>
    <row r="474" spans="1:9" ht="28.5" x14ac:dyDescent="0.2">
      <c r="A474" s="53">
        <v>474</v>
      </c>
      <c r="B474" s="106" t="s">
        <v>1189</v>
      </c>
      <c r="C474" s="38" t="s">
        <v>1200</v>
      </c>
      <c r="D474" s="31" t="s">
        <v>942</v>
      </c>
      <c r="E474" s="77">
        <v>44885</v>
      </c>
    </row>
    <row r="475" spans="1:9" ht="28.5" x14ac:dyDescent="0.2">
      <c r="A475" s="53">
        <v>475</v>
      </c>
      <c r="B475" s="106" t="s">
        <v>415</v>
      </c>
      <c r="C475" s="31" t="s">
        <v>899</v>
      </c>
      <c r="D475" s="31" t="s">
        <v>910</v>
      </c>
      <c r="E475" s="77">
        <v>44885</v>
      </c>
    </row>
    <row r="476" spans="1:9" ht="28.5" x14ac:dyDescent="0.2">
      <c r="A476" s="53">
        <v>476</v>
      </c>
      <c r="B476" s="106" t="s">
        <v>758</v>
      </c>
      <c r="C476" s="31" t="s">
        <v>900</v>
      </c>
      <c r="D476" s="31" t="s">
        <v>936</v>
      </c>
      <c r="E476" s="77">
        <v>44885</v>
      </c>
    </row>
    <row r="477" spans="1:9" ht="42.75" x14ac:dyDescent="0.2">
      <c r="A477" s="53">
        <v>477</v>
      </c>
      <c r="B477" s="106" t="s">
        <v>418</v>
      </c>
      <c r="C477" s="31" t="s">
        <v>904</v>
      </c>
      <c r="D477" s="31" t="s">
        <v>937</v>
      </c>
      <c r="E477" s="77">
        <v>44885</v>
      </c>
    </row>
    <row r="478" spans="1:9" ht="28.5" x14ac:dyDescent="0.2">
      <c r="A478" s="53">
        <v>478</v>
      </c>
      <c r="B478" s="106" t="s">
        <v>415</v>
      </c>
      <c r="C478" s="31" t="s">
        <v>905</v>
      </c>
      <c r="D478" s="31" t="s">
        <v>938</v>
      </c>
      <c r="E478" s="77">
        <v>44885</v>
      </c>
    </row>
    <row r="479" spans="1:9" ht="28.5" x14ac:dyDescent="0.2">
      <c r="A479" s="53">
        <v>479</v>
      </c>
      <c r="B479" s="106" t="s">
        <v>418</v>
      </c>
      <c r="C479" s="31" t="s">
        <v>907</v>
      </c>
      <c r="D479" s="31" t="s">
        <v>939</v>
      </c>
      <c r="E479" s="77">
        <v>44885</v>
      </c>
    </row>
    <row r="480" spans="1:9" ht="28.5" x14ac:dyDescent="0.2">
      <c r="A480" s="53">
        <v>480</v>
      </c>
      <c r="B480" s="106" t="s">
        <v>853</v>
      </c>
      <c r="C480" s="31" t="s">
        <v>911</v>
      </c>
      <c r="D480" s="31" t="s">
        <v>938</v>
      </c>
      <c r="E480" s="77">
        <v>44906</v>
      </c>
      <c r="F480" s="82" t="s">
        <v>931</v>
      </c>
    </row>
    <row r="481" spans="1:6" ht="28.5" x14ac:dyDescent="0.2">
      <c r="A481" s="53">
        <v>481</v>
      </c>
      <c r="B481" s="106" t="s">
        <v>1181</v>
      </c>
      <c r="C481" s="31" t="s">
        <v>1185</v>
      </c>
      <c r="D481" s="31" t="s">
        <v>956</v>
      </c>
      <c r="E481" s="77">
        <v>44906</v>
      </c>
    </row>
    <row r="482" spans="1:6" ht="18" x14ac:dyDescent="0.2">
      <c r="A482" s="53">
        <v>482</v>
      </c>
      <c r="B482" s="106" t="s">
        <v>414</v>
      </c>
      <c r="C482" s="31" t="s">
        <v>912</v>
      </c>
      <c r="D482" s="31" t="s">
        <v>932</v>
      </c>
      <c r="E482" s="77">
        <v>44906</v>
      </c>
    </row>
    <row r="483" spans="1:6" ht="18" x14ac:dyDescent="0.2">
      <c r="A483" s="53">
        <v>483</v>
      </c>
      <c r="B483" s="106" t="s">
        <v>1153</v>
      </c>
      <c r="C483" s="31" t="s">
        <v>913</v>
      </c>
      <c r="D483" s="31" t="s">
        <v>973</v>
      </c>
      <c r="E483" s="77">
        <v>44906</v>
      </c>
    </row>
    <row r="484" spans="1:6" ht="28.5" x14ac:dyDescent="0.2">
      <c r="A484" s="53">
        <v>484</v>
      </c>
      <c r="B484" s="106" t="s">
        <v>750</v>
      </c>
      <c r="C484" s="31" t="s">
        <v>914</v>
      </c>
      <c r="D484" s="31" t="s">
        <v>933</v>
      </c>
      <c r="E484" s="77">
        <v>44906</v>
      </c>
    </row>
    <row r="485" spans="1:6" ht="18" x14ac:dyDescent="0.2">
      <c r="A485" s="53">
        <v>485</v>
      </c>
      <c r="B485" s="106" t="s">
        <v>1153</v>
      </c>
      <c r="C485" s="31" t="s">
        <v>915</v>
      </c>
      <c r="D485" s="31" t="s">
        <v>934</v>
      </c>
      <c r="E485" s="77">
        <v>44906</v>
      </c>
    </row>
    <row r="486" spans="1:6" ht="42.75" x14ac:dyDescent="0.2">
      <c r="A486" s="53">
        <v>486</v>
      </c>
      <c r="B486" s="106" t="s">
        <v>422</v>
      </c>
      <c r="C486" s="31" t="s">
        <v>930</v>
      </c>
      <c r="D486" s="31" t="s">
        <v>935</v>
      </c>
      <c r="E486" s="77">
        <v>44906</v>
      </c>
    </row>
    <row r="487" spans="1:6" ht="28.5" x14ac:dyDescent="0.2">
      <c r="A487" s="53">
        <v>487</v>
      </c>
      <c r="B487" s="106" t="s">
        <v>853</v>
      </c>
      <c r="C487" s="31" t="s">
        <v>1223</v>
      </c>
      <c r="D487" s="31" t="s">
        <v>950</v>
      </c>
      <c r="E487" s="77">
        <v>44906</v>
      </c>
    </row>
    <row r="488" spans="1:6" ht="28.5" x14ac:dyDescent="0.2">
      <c r="A488" s="53">
        <v>488</v>
      </c>
      <c r="B488" s="106" t="s">
        <v>1180</v>
      </c>
      <c r="C488" s="31" t="s">
        <v>1183</v>
      </c>
      <c r="D488" s="31" t="s">
        <v>987</v>
      </c>
      <c r="E488" s="77">
        <v>44927</v>
      </c>
      <c r="F488" s="82" t="s">
        <v>972</v>
      </c>
    </row>
    <row r="489" spans="1:6" ht="28.5" x14ac:dyDescent="0.2">
      <c r="A489" s="53">
        <v>489</v>
      </c>
      <c r="B489" s="106" t="s">
        <v>415</v>
      </c>
      <c r="C489" s="31" t="s">
        <v>959</v>
      </c>
      <c r="D489" s="31" t="s">
        <v>968</v>
      </c>
      <c r="E489" s="77">
        <v>44927</v>
      </c>
    </row>
    <row r="490" spans="1:6" ht="18" x14ac:dyDescent="0.2">
      <c r="A490" s="53">
        <v>490</v>
      </c>
      <c r="B490" s="106" t="s">
        <v>417</v>
      </c>
      <c r="C490" s="31" t="s">
        <v>960</v>
      </c>
      <c r="D490" s="31" t="s">
        <v>969</v>
      </c>
      <c r="E490" s="77">
        <v>44927</v>
      </c>
    </row>
    <row r="491" spans="1:6" ht="28.5" x14ac:dyDescent="0.2">
      <c r="A491" s="53">
        <v>491</v>
      </c>
      <c r="B491" s="106" t="s">
        <v>440</v>
      </c>
      <c r="C491" s="31" t="s">
        <v>961</v>
      </c>
      <c r="D491" s="31" t="s">
        <v>988</v>
      </c>
      <c r="E491" s="77">
        <v>44927</v>
      </c>
    </row>
    <row r="492" spans="1:6" ht="28.5" x14ac:dyDescent="0.2">
      <c r="A492" s="53">
        <v>492</v>
      </c>
      <c r="B492" s="106" t="s">
        <v>422</v>
      </c>
      <c r="C492" s="31" t="s">
        <v>962</v>
      </c>
      <c r="D492" s="31" t="s">
        <v>970</v>
      </c>
      <c r="E492" s="77">
        <v>44927</v>
      </c>
    </row>
    <row r="493" spans="1:6" ht="28.5" x14ac:dyDescent="0.2">
      <c r="A493" s="53">
        <v>493</v>
      </c>
      <c r="B493" s="106" t="s">
        <v>417</v>
      </c>
      <c r="C493" s="31" t="s">
        <v>963</v>
      </c>
      <c r="D493" s="31" t="s">
        <v>971</v>
      </c>
      <c r="E493" s="77">
        <v>44927</v>
      </c>
    </row>
    <row r="494" spans="1:6" ht="28.5" x14ac:dyDescent="0.2">
      <c r="A494" s="53">
        <v>494</v>
      </c>
      <c r="B494" s="106" t="s">
        <v>417</v>
      </c>
      <c r="C494" s="31" t="s">
        <v>963</v>
      </c>
      <c r="D494" s="31" t="s">
        <v>971</v>
      </c>
      <c r="E494" s="77">
        <v>44927</v>
      </c>
    </row>
    <row r="495" spans="1:6" ht="18" x14ac:dyDescent="0.2">
      <c r="A495" s="53">
        <v>495</v>
      </c>
      <c r="B495" s="106" t="s">
        <v>440</v>
      </c>
      <c r="C495" s="31" t="s">
        <v>976</v>
      </c>
      <c r="D495" s="31" t="s">
        <v>1047</v>
      </c>
      <c r="E495" s="77">
        <v>44958</v>
      </c>
    </row>
    <row r="496" spans="1:6" ht="28.5" x14ac:dyDescent="0.2">
      <c r="A496" s="53">
        <v>496</v>
      </c>
      <c r="B496" s="106" t="s">
        <v>853</v>
      </c>
      <c r="C496" s="31" t="s">
        <v>977</v>
      </c>
      <c r="D496" s="31" t="s">
        <v>1048</v>
      </c>
      <c r="E496" s="77">
        <v>44958</v>
      </c>
    </row>
    <row r="497" spans="1:6" ht="85.5" x14ac:dyDescent="0.2">
      <c r="A497" s="53">
        <v>497</v>
      </c>
      <c r="B497" s="106" t="s">
        <v>418</v>
      </c>
      <c r="C497" s="31" t="s">
        <v>978</v>
      </c>
      <c r="D497" s="31" t="s">
        <v>1049</v>
      </c>
      <c r="E497" s="77">
        <v>44958</v>
      </c>
    </row>
    <row r="498" spans="1:6" ht="42.75" x14ac:dyDescent="0.2">
      <c r="A498" s="53">
        <v>498</v>
      </c>
      <c r="B498" s="106" t="s">
        <v>425</v>
      </c>
      <c r="C498" s="31" t="s">
        <v>979</v>
      </c>
      <c r="D498" s="31" t="s">
        <v>1050</v>
      </c>
      <c r="E498" s="77">
        <v>44958</v>
      </c>
    </row>
    <row r="499" spans="1:6" ht="28.5" x14ac:dyDescent="0.2">
      <c r="A499" s="53">
        <v>499</v>
      </c>
      <c r="B499" s="106" t="s">
        <v>853</v>
      </c>
      <c r="C499" s="31" t="s">
        <v>989</v>
      </c>
      <c r="D499" s="31" t="s">
        <v>1051</v>
      </c>
      <c r="E499" s="77">
        <v>44958</v>
      </c>
    </row>
    <row r="500" spans="1:6" ht="28.5" x14ac:dyDescent="0.2">
      <c r="A500" s="53">
        <v>500</v>
      </c>
      <c r="B500" s="106" t="s">
        <v>425</v>
      </c>
      <c r="C500" s="31" t="s">
        <v>990</v>
      </c>
      <c r="D500" s="31" t="s">
        <v>1052</v>
      </c>
      <c r="E500" s="77">
        <v>44958</v>
      </c>
    </row>
    <row r="501" spans="1:6" ht="28.5" x14ac:dyDescent="0.2">
      <c r="A501" s="53">
        <v>501</v>
      </c>
      <c r="B501" s="106" t="s">
        <v>702</v>
      </c>
      <c r="C501" s="31" t="s">
        <v>991</v>
      </c>
      <c r="D501" s="31" t="s">
        <v>1053</v>
      </c>
      <c r="E501" s="77">
        <v>44958</v>
      </c>
    </row>
    <row r="502" spans="1:6" ht="42.75" x14ac:dyDescent="0.2">
      <c r="A502" s="53">
        <v>502</v>
      </c>
      <c r="B502" s="106" t="s">
        <v>853</v>
      </c>
      <c r="C502" s="31" t="s">
        <v>992</v>
      </c>
      <c r="D502" s="31" t="s">
        <v>1054</v>
      </c>
      <c r="E502" s="77">
        <v>44958</v>
      </c>
    </row>
    <row r="503" spans="1:6" ht="28.5" x14ac:dyDescent="0.2">
      <c r="A503" s="53">
        <v>503</v>
      </c>
      <c r="B503" s="106" t="s">
        <v>418</v>
      </c>
      <c r="C503" s="31" t="s">
        <v>998</v>
      </c>
      <c r="D503" s="31" t="s">
        <v>1055</v>
      </c>
      <c r="E503" s="77">
        <v>44958</v>
      </c>
    </row>
    <row r="504" spans="1:6" ht="28.5" x14ac:dyDescent="0.2">
      <c r="A504" s="53">
        <v>504</v>
      </c>
      <c r="B504" s="106" t="s">
        <v>414</v>
      </c>
      <c r="C504" s="31" t="s">
        <v>994</v>
      </c>
      <c r="D504" s="31" t="s">
        <v>1056</v>
      </c>
      <c r="E504" s="77">
        <v>44958</v>
      </c>
    </row>
    <row r="505" spans="1:6" ht="28.5" x14ac:dyDescent="0.2">
      <c r="A505" s="53">
        <v>505</v>
      </c>
      <c r="B505" s="106" t="s">
        <v>418</v>
      </c>
      <c r="C505" s="31" t="s">
        <v>997</v>
      </c>
      <c r="D505" s="31" t="s">
        <v>999</v>
      </c>
      <c r="E505" s="77">
        <v>44958</v>
      </c>
    </row>
    <row r="506" spans="1:6" ht="28.5" x14ac:dyDescent="0.2">
      <c r="A506" s="53">
        <v>506</v>
      </c>
      <c r="B506" s="106" t="s">
        <v>415</v>
      </c>
      <c r="C506" s="31" t="s">
        <v>1116</v>
      </c>
      <c r="D506" s="31" t="s">
        <v>1117</v>
      </c>
      <c r="E506" s="77">
        <v>44983</v>
      </c>
      <c r="F506" s="82" t="s">
        <v>1069</v>
      </c>
    </row>
    <row r="507" spans="1:6" ht="28.5" x14ac:dyDescent="0.2">
      <c r="A507" s="53">
        <v>507</v>
      </c>
      <c r="B507" s="106" t="s">
        <v>418</v>
      </c>
      <c r="C507" s="31" t="s">
        <v>1118</v>
      </c>
      <c r="D507" s="31" t="s">
        <v>1119</v>
      </c>
      <c r="E507" s="77">
        <v>44983</v>
      </c>
    </row>
    <row r="508" spans="1:6" ht="28.5" x14ac:dyDescent="0.2">
      <c r="A508" s="53">
        <v>508</v>
      </c>
      <c r="B508" s="106" t="s">
        <v>415</v>
      </c>
      <c r="C508" s="31" t="s">
        <v>1057</v>
      </c>
      <c r="D508" s="31" t="s">
        <v>1070</v>
      </c>
      <c r="E508" s="77">
        <v>44983</v>
      </c>
    </row>
    <row r="509" spans="1:6" ht="28.5" x14ac:dyDescent="0.2">
      <c r="A509" s="53">
        <v>509</v>
      </c>
      <c r="B509" s="106" t="s">
        <v>413</v>
      </c>
      <c r="C509" s="31" t="s">
        <v>1058</v>
      </c>
      <c r="D509" s="31" t="s">
        <v>1071</v>
      </c>
      <c r="E509" s="77">
        <v>44983</v>
      </c>
    </row>
    <row r="510" spans="1:6" ht="18" x14ac:dyDescent="0.2">
      <c r="A510" s="53">
        <v>510</v>
      </c>
      <c r="B510" s="106" t="s">
        <v>425</v>
      </c>
      <c r="C510" s="31" t="s">
        <v>1120</v>
      </c>
      <c r="D510" s="31" t="s">
        <v>1072</v>
      </c>
      <c r="E510" s="77">
        <v>44983</v>
      </c>
    </row>
    <row r="511" spans="1:6" ht="57" x14ac:dyDescent="0.2">
      <c r="A511" s="53">
        <v>511</v>
      </c>
      <c r="B511" s="106" t="s">
        <v>415</v>
      </c>
      <c r="C511" s="31" t="s">
        <v>1067</v>
      </c>
      <c r="D511" s="31" t="s">
        <v>1080</v>
      </c>
      <c r="E511" s="77">
        <v>44983</v>
      </c>
    </row>
    <row r="512" spans="1:6" ht="28.5" x14ac:dyDescent="0.2">
      <c r="A512" s="53">
        <v>512</v>
      </c>
      <c r="B512" s="106" t="s">
        <v>758</v>
      </c>
      <c r="C512" s="31" t="s">
        <v>1068</v>
      </c>
      <c r="D512" s="31" t="s">
        <v>1121</v>
      </c>
      <c r="E512" s="77">
        <v>44983</v>
      </c>
    </row>
    <row r="513" spans="1:7" ht="28.5" x14ac:dyDescent="0.2">
      <c r="A513" s="53">
        <v>513</v>
      </c>
      <c r="B513" s="106" t="s">
        <v>1153</v>
      </c>
      <c r="C513" s="31" t="s">
        <v>1083</v>
      </c>
      <c r="D513" s="31" t="s">
        <v>1123</v>
      </c>
      <c r="E513" s="77">
        <v>45011</v>
      </c>
      <c r="F513" s="82" t="s">
        <v>1087</v>
      </c>
    </row>
    <row r="514" spans="1:7" ht="28.5" x14ac:dyDescent="0.2">
      <c r="A514" s="53">
        <v>514</v>
      </c>
      <c r="B514" s="106" t="s">
        <v>853</v>
      </c>
      <c r="C514" s="31" t="s">
        <v>1084</v>
      </c>
      <c r="D514" s="31" t="s">
        <v>727</v>
      </c>
      <c r="E514" s="77">
        <v>45011</v>
      </c>
    </row>
    <row r="515" spans="1:7" ht="18" x14ac:dyDescent="0.2">
      <c r="A515" s="53">
        <v>515</v>
      </c>
      <c r="B515" s="106" t="s">
        <v>415</v>
      </c>
      <c r="C515" s="31" t="s">
        <v>1208</v>
      </c>
      <c r="D515" s="31" t="s">
        <v>1124</v>
      </c>
      <c r="E515" s="77">
        <v>45011</v>
      </c>
    </row>
    <row r="516" spans="1:7" ht="18" x14ac:dyDescent="0.2">
      <c r="A516" s="53">
        <v>516</v>
      </c>
      <c r="B516" s="106" t="s">
        <v>422</v>
      </c>
      <c r="C516" s="31" t="s">
        <v>1085</v>
      </c>
      <c r="D516" s="31" t="s">
        <v>1088</v>
      </c>
      <c r="E516" s="77">
        <v>45011</v>
      </c>
    </row>
    <row r="517" spans="1:7" ht="28.5" x14ac:dyDescent="0.2">
      <c r="A517" s="53">
        <v>517</v>
      </c>
      <c r="B517" s="106" t="s">
        <v>422</v>
      </c>
      <c r="C517" s="31" t="s">
        <v>1086</v>
      </c>
      <c r="D517" s="31" t="s">
        <v>1125</v>
      </c>
      <c r="E517" s="77">
        <v>45011</v>
      </c>
    </row>
    <row r="518" spans="1:7" ht="28.5" x14ac:dyDescent="0.2">
      <c r="A518" s="53">
        <v>518</v>
      </c>
      <c r="B518" s="106" t="s">
        <v>425</v>
      </c>
      <c r="C518" s="31" t="s">
        <v>1089</v>
      </c>
      <c r="D518" s="31" t="s">
        <v>1126</v>
      </c>
      <c r="E518" s="77">
        <v>45011</v>
      </c>
    </row>
    <row r="519" spans="1:7" ht="28.5" x14ac:dyDescent="0.2">
      <c r="A519" s="53">
        <v>519</v>
      </c>
      <c r="B519" s="106" t="s">
        <v>418</v>
      </c>
      <c r="C519" s="31" t="s">
        <v>1090</v>
      </c>
      <c r="D519" s="31" t="s">
        <v>1238</v>
      </c>
      <c r="E519" s="77">
        <v>45046</v>
      </c>
      <c r="F519" s="82" t="s">
        <v>1115</v>
      </c>
      <c r="G519" s="84" t="s">
        <v>1092</v>
      </c>
    </row>
    <row r="520" spans="1:7" ht="18" x14ac:dyDescent="0.2">
      <c r="A520" s="53">
        <v>520</v>
      </c>
      <c r="B520" s="106" t="s">
        <v>422</v>
      </c>
      <c r="C520" s="31" t="s">
        <v>1093</v>
      </c>
      <c r="D520" s="31" t="s">
        <v>1239</v>
      </c>
      <c r="E520" s="77">
        <v>45046</v>
      </c>
    </row>
    <row r="521" spans="1:7" ht="28.5" x14ac:dyDescent="0.2">
      <c r="A521" s="53">
        <v>521</v>
      </c>
      <c r="B521" s="106" t="s">
        <v>853</v>
      </c>
      <c r="C521" s="31" t="s">
        <v>1094</v>
      </c>
      <c r="D521" s="31" t="s">
        <v>1240</v>
      </c>
      <c r="E521" s="77">
        <v>45046</v>
      </c>
    </row>
    <row r="522" spans="1:7" ht="28.5" x14ac:dyDescent="0.2">
      <c r="A522" s="53">
        <v>522</v>
      </c>
      <c r="B522" s="106" t="s">
        <v>425</v>
      </c>
      <c r="C522" s="31" t="s">
        <v>1106</v>
      </c>
      <c r="D522" s="31" t="s">
        <v>1127</v>
      </c>
      <c r="E522" s="77">
        <v>45046</v>
      </c>
    </row>
    <row r="523" spans="1:7" ht="18" x14ac:dyDescent="0.2">
      <c r="A523" s="53">
        <v>523</v>
      </c>
      <c r="B523" s="106" t="s">
        <v>415</v>
      </c>
      <c r="C523" s="31" t="s">
        <v>1107</v>
      </c>
      <c r="D523" s="31" t="s">
        <v>1241</v>
      </c>
      <c r="E523" s="77">
        <v>45046</v>
      </c>
    </row>
    <row r="524" spans="1:7" ht="28.5" x14ac:dyDescent="0.2">
      <c r="A524" s="53">
        <v>524</v>
      </c>
      <c r="B524" s="106" t="s">
        <v>418</v>
      </c>
      <c r="C524" s="31" t="s">
        <v>1128</v>
      </c>
      <c r="D524" s="31" t="s">
        <v>1242</v>
      </c>
      <c r="E524" s="77">
        <v>45046</v>
      </c>
    </row>
    <row r="525" spans="1:7" ht="18" x14ac:dyDescent="0.2">
      <c r="A525" s="53">
        <v>525</v>
      </c>
      <c r="B525" s="106" t="s">
        <v>415</v>
      </c>
      <c r="C525" s="31" t="s">
        <v>1108</v>
      </c>
      <c r="D525" s="31" t="s">
        <v>1241</v>
      </c>
      <c r="E525" s="77">
        <v>45046</v>
      </c>
    </row>
    <row r="526" spans="1:7" ht="28.5" x14ac:dyDescent="0.2">
      <c r="A526" s="53">
        <v>526</v>
      </c>
      <c r="B526" s="106" t="s">
        <v>415</v>
      </c>
      <c r="C526" s="31" t="s">
        <v>1109</v>
      </c>
      <c r="D526" s="31" t="s">
        <v>1243</v>
      </c>
      <c r="E526" s="77">
        <v>45046</v>
      </c>
    </row>
    <row r="527" spans="1:7" ht="18" x14ac:dyDescent="0.2">
      <c r="A527" s="53">
        <v>527</v>
      </c>
      <c r="B527" s="106" t="s">
        <v>1231</v>
      </c>
      <c r="C527" s="31" t="s">
        <v>1244</v>
      </c>
      <c r="D527" s="31" t="s">
        <v>1114</v>
      </c>
      <c r="E527" s="77">
        <v>45046</v>
      </c>
    </row>
    <row r="528" spans="1:7" ht="18" x14ac:dyDescent="0.2">
      <c r="A528" s="53">
        <v>528</v>
      </c>
      <c r="B528" s="106" t="s">
        <v>1153</v>
      </c>
      <c r="C528" s="31" t="s">
        <v>1146</v>
      </c>
      <c r="D528" s="31" t="s">
        <v>1255</v>
      </c>
      <c r="E528" s="77">
        <v>45081</v>
      </c>
      <c r="F528" s="82" t="s">
        <v>1218</v>
      </c>
    </row>
    <row r="529" spans="1:6" ht="18" x14ac:dyDescent="0.2">
      <c r="A529" s="53">
        <v>529</v>
      </c>
      <c r="B529" s="106" t="s">
        <v>1153</v>
      </c>
      <c r="C529" s="31" t="s">
        <v>1147</v>
      </c>
      <c r="D529" s="31" t="s">
        <v>1255</v>
      </c>
      <c r="E529" s="77">
        <v>45081</v>
      </c>
    </row>
    <row r="530" spans="1:6" ht="28.5" x14ac:dyDescent="0.2">
      <c r="A530" s="53">
        <v>530</v>
      </c>
      <c r="B530" s="106" t="s">
        <v>874</v>
      </c>
      <c r="C530" s="31" t="s">
        <v>1148</v>
      </c>
      <c r="D530" s="31" t="s">
        <v>1275</v>
      </c>
      <c r="E530" s="77">
        <v>45081</v>
      </c>
    </row>
    <row r="531" spans="1:6" ht="28.5" x14ac:dyDescent="0.2">
      <c r="A531" s="53">
        <v>531</v>
      </c>
      <c r="B531" s="106" t="s">
        <v>1215</v>
      </c>
      <c r="C531" s="31" t="s">
        <v>1245</v>
      </c>
      <c r="D531" s="31" t="s">
        <v>1246</v>
      </c>
      <c r="E531" s="77">
        <v>45081</v>
      </c>
    </row>
    <row r="532" spans="1:6" ht="28.5" x14ac:dyDescent="0.2">
      <c r="A532" s="53">
        <v>532</v>
      </c>
      <c r="B532" s="106" t="s">
        <v>414</v>
      </c>
      <c r="C532" s="31" t="s">
        <v>1216</v>
      </c>
      <c r="D532" s="31" t="s">
        <v>1247</v>
      </c>
      <c r="E532" s="77">
        <v>45081</v>
      </c>
    </row>
    <row r="533" spans="1:6" ht="28.5" x14ac:dyDescent="0.2">
      <c r="A533" s="53">
        <v>533</v>
      </c>
      <c r="B533" s="106" t="s">
        <v>440</v>
      </c>
      <c r="C533" s="31" t="s">
        <v>1219</v>
      </c>
      <c r="D533" s="31" t="s">
        <v>1220</v>
      </c>
      <c r="E533" s="77">
        <v>45081</v>
      </c>
    </row>
    <row r="534" spans="1:6" ht="28.5" x14ac:dyDescent="0.2">
      <c r="A534" s="53">
        <v>534</v>
      </c>
      <c r="B534" s="106" t="s">
        <v>1153</v>
      </c>
      <c r="C534" s="31" t="s">
        <v>1217</v>
      </c>
      <c r="D534" s="31" t="s">
        <v>1221</v>
      </c>
      <c r="E534" s="77">
        <v>45081</v>
      </c>
    </row>
    <row r="535" spans="1:6" ht="42.75" x14ac:dyDescent="0.2">
      <c r="A535" s="53">
        <v>535</v>
      </c>
      <c r="B535" s="106" t="s">
        <v>1153</v>
      </c>
      <c r="C535" s="31" t="s">
        <v>1248</v>
      </c>
      <c r="D535" s="71" t="s">
        <v>1273</v>
      </c>
      <c r="E535" s="77">
        <v>45095</v>
      </c>
      <c r="F535" s="82" t="s">
        <v>1235</v>
      </c>
    </row>
    <row r="536" spans="1:6" ht="42.75" x14ac:dyDescent="0.2">
      <c r="A536" s="53">
        <v>536</v>
      </c>
      <c r="B536" s="106" t="s">
        <v>422</v>
      </c>
      <c r="C536" s="31" t="s">
        <v>1249</v>
      </c>
      <c r="D536" s="31" t="s">
        <v>1250</v>
      </c>
      <c r="E536" s="77">
        <v>45095</v>
      </c>
    </row>
    <row r="537" spans="1:6" ht="28.5" x14ac:dyDescent="0.2">
      <c r="A537" s="53">
        <v>537</v>
      </c>
      <c r="B537" s="106" t="s">
        <v>440</v>
      </c>
      <c r="C537" s="31" t="s">
        <v>1251</v>
      </c>
      <c r="D537" s="31" t="s">
        <v>726</v>
      </c>
      <c r="E537" s="77">
        <v>45095</v>
      </c>
    </row>
    <row r="538" spans="1:6" ht="28.5" x14ac:dyDescent="0.2">
      <c r="A538" s="53">
        <v>538</v>
      </c>
      <c r="B538" s="106" t="s">
        <v>440</v>
      </c>
      <c r="C538" s="31" t="s">
        <v>1252</v>
      </c>
      <c r="D538" s="31" t="s">
        <v>1263</v>
      </c>
      <c r="E538" s="77">
        <v>45095</v>
      </c>
    </row>
    <row r="539" spans="1:6" ht="28.5" x14ac:dyDescent="0.2">
      <c r="A539" s="53">
        <v>539</v>
      </c>
      <c r="B539" s="106" t="s">
        <v>440</v>
      </c>
      <c r="C539" s="31" t="s">
        <v>1236</v>
      </c>
      <c r="D539" s="31" t="s">
        <v>1237</v>
      </c>
      <c r="E539" s="77">
        <v>45095</v>
      </c>
    </row>
    <row r="540" spans="1:6" ht="28.5" x14ac:dyDescent="0.2">
      <c r="A540" s="53">
        <v>540</v>
      </c>
      <c r="B540" s="36" t="s">
        <v>440</v>
      </c>
      <c r="C540" s="31" t="s">
        <v>1253</v>
      </c>
      <c r="D540" s="31" t="s">
        <v>1254</v>
      </c>
      <c r="E540" s="77">
        <v>45095</v>
      </c>
    </row>
    <row r="541" spans="1:6" ht="28.5" x14ac:dyDescent="0.2">
      <c r="A541" s="53">
        <v>541</v>
      </c>
      <c r="B541" s="106" t="s">
        <v>853</v>
      </c>
      <c r="C541" s="31" t="s">
        <v>1271</v>
      </c>
      <c r="D541" s="31" t="s">
        <v>1277</v>
      </c>
      <c r="E541" s="77">
        <v>45109</v>
      </c>
      <c r="F541" s="82" t="s">
        <v>1276</v>
      </c>
    </row>
    <row r="542" spans="1:6" ht="28.5" x14ac:dyDescent="0.2">
      <c r="A542" s="53">
        <v>542</v>
      </c>
      <c r="B542" s="106" t="s">
        <v>1215</v>
      </c>
      <c r="C542" s="31" t="s">
        <v>1278</v>
      </c>
      <c r="D542" s="31" t="s">
        <v>1304</v>
      </c>
      <c r="E542" s="77">
        <v>45109</v>
      </c>
    </row>
    <row r="543" spans="1:6" ht="28.5" x14ac:dyDescent="0.2">
      <c r="A543" s="53">
        <v>543</v>
      </c>
      <c r="B543" s="106" t="s">
        <v>1180</v>
      </c>
      <c r="C543" s="31" t="s">
        <v>1279</v>
      </c>
      <c r="D543" s="31" t="s">
        <v>1280</v>
      </c>
      <c r="E543" s="77">
        <v>45109</v>
      </c>
    </row>
    <row r="544" spans="1:6" ht="28.5" x14ac:dyDescent="0.2">
      <c r="A544" s="53">
        <v>544</v>
      </c>
      <c r="B544" s="106" t="s">
        <v>418</v>
      </c>
      <c r="C544" s="31" t="s">
        <v>1272</v>
      </c>
      <c r="D544" s="107" t="s">
        <v>1319</v>
      </c>
      <c r="E544" s="77">
        <v>45109</v>
      </c>
    </row>
    <row r="545" spans="1:6" ht="28.5" x14ac:dyDescent="0.2">
      <c r="A545" s="53">
        <v>545</v>
      </c>
      <c r="B545" s="106" t="s">
        <v>1180</v>
      </c>
      <c r="C545" s="31" t="s">
        <v>1274</v>
      </c>
      <c r="D545" s="31" t="s">
        <v>1334</v>
      </c>
      <c r="E545" s="77">
        <v>45165</v>
      </c>
      <c r="F545" s="82" t="s">
        <v>1301</v>
      </c>
    </row>
    <row r="546" spans="1:6" ht="18" x14ac:dyDescent="0.2">
      <c r="A546" s="53">
        <v>546</v>
      </c>
      <c r="B546" s="106" t="s">
        <v>1153</v>
      </c>
      <c r="C546" s="31" t="s">
        <v>1335</v>
      </c>
      <c r="D546" s="31" t="s">
        <v>1334</v>
      </c>
      <c r="E546" s="77">
        <v>45165</v>
      </c>
    </row>
    <row r="547" spans="1:6" ht="28.5" x14ac:dyDescent="0.2">
      <c r="A547" s="53">
        <v>547</v>
      </c>
      <c r="B547" s="106" t="s">
        <v>853</v>
      </c>
      <c r="C547" s="31" t="s">
        <v>1281</v>
      </c>
      <c r="D547" s="31" t="s">
        <v>1336</v>
      </c>
      <c r="E547" s="77">
        <v>45165</v>
      </c>
    </row>
    <row r="548" spans="1:6" ht="28.5" x14ac:dyDescent="0.2">
      <c r="A548" s="53">
        <v>548</v>
      </c>
      <c r="B548" s="106" t="s">
        <v>853</v>
      </c>
      <c r="C548" s="31" t="s">
        <v>1337</v>
      </c>
      <c r="D548" s="31" t="s">
        <v>1336</v>
      </c>
      <c r="E548" s="77">
        <v>45165</v>
      </c>
    </row>
    <row r="549" spans="1:6" ht="18" x14ac:dyDescent="0.2">
      <c r="A549" s="53">
        <v>549</v>
      </c>
      <c r="B549" s="106" t="s">
        <v>414</v>
      </c>
      <c r="C549" s="31" t="s">
        <v>1338</v>
      </c>
      <c r="D549" s="31" t="s">
        <v>1320</v>
      </c>
      <c r="E549" s="77">
        <v>45165</v>
      </c>
    </row>
    <row r="550" spans="1:6" ht="18" x14ac:dyDescent="0.2">
      <c r="A550" s="53">
        <v>550</v>
      </c>
      <c r="B550" s="106" t="s">
        <v>750</v>
      </c>
      <c r="C550" s="31" t="s">
        <v>1339</v>
      </c>
      <c r="D550" s="31" t="s">
        <v>1340</v>
      </c>
      <c r="E550" s="77">
        <v>45165</v>
      </c>
    </row>
    <row r="551" spans="1:6" ht="18" x14ac:dyDescent="0.2">
      <c r="A551" s="53">
        <v>551</v>
      </c>
      <c r="B551" s="106" t="s">
        <v>1153</v>
      </c>
      <c r="C551" s="31" t="s">
        <v>1282</v>
      </c>
      <c r="D551" s="31" t="s">
        <v>1321</v>
      </c>
      <c r="E551" s="77">
        <v>45165</v>
      </c>
    </row>
    <row r="552" spans="1:6" ht="28.5" x14ac:dyDescent="0.2">
      <c r="A552" s="53">
        <v>552</v>
      </c>
      <c r="B552" s="106" t="s">
        <v>422</v>
      </c>
      <c r="C552" s="31" t="s">
        <v>1341</v>
      </c>
      <c r="D552" s="31" t="s">
        <v>1342</v>
      </c>
      <c r="E552" s="77">
        <v>45165</v>
      </c>
    </row>
    <row r="553" spans="1:6" ht="28.5" x14ac:dyDescent="0.2">
      <c r="A553" s="53">
        <v>553</v>
      </c>
      <c r="B553" s="106" t="s">
        <v>853</v>
      </c>
      <c r="C553" s="31" t="s">
        <v>1283</v>
      </c>
      <c r="D553" s="31" t="s">
        <v>1336</v>
      </c>
      <c r="E553" s="77">
        <v>45165</v>
      </c>
    </row>
    <row r="554" spans="1:6" ht="28.5" x14ac:dyDescent="0.2">
      <c r="A554" s="53">
        <v>554</v>
      </c>
      <c r="B554" s="106" t="s">
        <v>853</v>
      </c>
      <c r="C554" s="31" t="s">
        <v>1284</v>
      </c>
      <c r="D554" s="31" t="s">
        <v>1336</v>
      </c>
      <c r="E554" s="77">
        <v>45165</v>
      </c>
    </row>
    <row r="555" spans="1:6" ht="18" x14ac:dyDescent="0.2">
      <c r="A555" s="53">
        <v>555</v>
      </c>
      <c r="B555" s="106" t="s">
        <v>414</v>
      </c>
      <c r="C555" s="31" t="s">
        <v>1343</v>
      </c>
      <c r="D555" s="31" t="s">
        <v>1300</v>
      </c>
      <c r="E555" s="77">
        <v>45165</v>
      </c>
    </row>
    <row r="556" spans="1:6" ht="28.5" x14ac:dyDescent="0.2">
      <c r="A556" s="53">
        <v>556</v>
      </c>
      <c r="B556" s="106" t="s">
        <v>853</v>
      </c>
      <c r="C556" s="31" t="s">
        <v>1288</v>
      </c>
      <c r="D556" s="31" t="s">
        <v>1322</v>
      </c>
      <c r="E556" s="77">
        <v>45165</v>
      </c>
    </row>
    <row r="557" spans="1:6" ht="28.5" x14ac:dyDescent="0.2">
      <c r="A557" s="53">
        <v>557</v>
      </c>
      <c r="B557" s="106" t="s">
        <v>853</v>
      </c>
      <c r="C557" s="31" t="s">
        <v>1344</v>
      </c>
      <c r="D557" s="31" t="s">
        <v>1322</v>
      </c>
      <c r="E557" s="77">
        <v>45165</v>
      </c>
    </row>
    <row r="558" spans="1:6" ht="28.5" x14ac:dyDescent="0.2">
      <c r="A558" s="53">
        <v>558</v>
      </c>
      <c r="B558" s="106" t="s">
        <v>1741</v>
      </c>
      <c r="C558" s="31" t="s">
        <v>1285</v>
      </c>
      <c r="D558" s="31" t="s">
        <v>1323</v>
      </c>
      <c r="E558" s="77">
        <v>45165</v>
      </c>
    </row>
    <row r="559" spans="1:6" ht="18" x14ac:dyDescent="0.2">
      <c r="A559" s="53">
        <v>559</v>
      </c>
      <c r="B559" s="106" t="s">
        <v>440</v>
      </c>
      <c r="C559" s="31" t="s">
        <v>1286</v>
      </c>
      <c r="D559" s="31" t="s">
        <v>1324</v>
      </c>
      <c r="E559" s="77">
        <v>45165</v>
      </c>
    </row>
    <row r="560" spans="1:6" ht="28.5" x14ac:dyDescent="0.2">
      <c r="A560" s="53">
        <v>560</v>
      </c>
      <c r="B560" s="106" t="s">
        <v>422</v>
      </c>
      <c r="C560" s="31" t="s">
        <v>1287</v>
      </c>
      <c r="D560" s="31" t="s">
        <v>1325</v>
      </c>
      <c r="E560" s="77">
        <v>45165</v>
      </c>
    </row>
    <row r="561" spans="1:6" ht="18" x14ac:dyDescent="0.2">
      <c r="A561" s="53">
        <v>561</v>
      </c>
      <c r="B561" s="106" t="s">
        <v>1153</v>
      </c>
      <c r="C561" s="31" t="s">
        <v>1345</v>
      </c>
      <c r="D561" s="31" t="s">
        <v>1346</v>
      </c>
      <c r="E561" s="77">
        <v>45165</v>
      </c>
    </row>
    <row r="562" spans="1:6" ht="18" x14ac:dyDescent="0.2">
      <c r="A562" s="53">
        <v>562</v>
      </c>
    </row>
    <row r="563" spans="1:6" ht="28.5" x14ac:dyDescent="0.2">
      <c r="A563" s="53">
        <v>563</v>
      </c>
      <c r="B563" s="106" t="s">
        <v>1153</v>
      </c>
      <c r="C563" s="31" t="s">
        <v>1289</v>
      </c>
      <c r="D563" s="31" t="s">
        <v>1347</v>
      </c>
      <c r="E563" s="77">
        <v>45165</v>
      </c>
    </row>
    <row r="564" spans="1:6" ht="42.75" x14ac:dyDescent="0.2">
      <c r="A564" s="53">
        <v>564</v>
      </c>
      <c r="B564" s="106" t="s">
        <v>1153</v>
      </c>
      <c r="C564" s="31" t="s">
        <v>1290</v>
      </c>
      <c r="D564" s="31" t="s">
        <v>1348</v>
      </c>
      <c r="E564" s="77">
        <v>45165</v>
      </c>
    </row>
    <row r="565" spans="1:6" ht="28.5" x14ac:dyDescent="0.2">
      <c r="A565" s="53">
        <v>565</v>
      </c>
      <c r="B565" s="106" t="s">
        <v>1153</v>
      </c>
      <c r="C565" s="31" t="s">
        <v>1291</v>
      </c>
      <c r="D565" s="31" t="s">
        <v>1349</v>
      </c>
      <c r="E565" s="77">
        <v>45165</v>
      </c>
    </row>
    <row r="566" spans="1:6" ht="28.5" x14ac:dyDescent="0.2">
      <c r="A566" s="53">
        <v>566</v>
      </c>
      <c r="B566" s="106" t="s">
        <v>1153</v>
      </c>
      <c r="C566" s="31" t="s">
        <v>1292</v>
      </c>
      <c r="D566" s="31" t="s">
        <v>1326</v>
      </c>
      <c r="E566" s="77">
        <v>45165</v>
      </c>
    </row>
    <row r="567" spans="1:6" ht="18" x14ac:dyDescent="0.2">
      <c r="A567" s="53">
        <v>567</v>
      </c>
      <c r="B567" s="106" t="s">
        <v>1153</v>
      </c>
      <c r="C567" s="31" t="s">
        <v>1293</v>
      </c>
      <c r="D567" s="31" t="s">
        <v>1299</v>
      </c>
      <c r="E567" s="77">
        <v>45165</v>
      </c>
    </row>
    <row r="568" spans="1:6" ht="28.5" x14ac:dyDescent="0.2">
      <c r="A568" s="53">
        <v>568</v>
      </c>
      <c r="B568" s="106" t="s">
        <v>853</v>
      </c>
      <c r="C568" s="31" t="s">
        <v>1294</v>
      </c>
      <c r="D568" s="31" t="s">
        <v>1327</v>
      </c>
      <c r="E568" s="77">
        <v>45165</v>
      </c>
    </row>
    <row r="569" spans="1:6" ht="18" x14ac:dyDescent="0.2">
      <c r="A569" s="53">
        <v>569</v>
      </c>
      <c r="B569" s="106" t="s">
        <v>1153</v>
      </c>
      <c r="C569" s="31" t="s">
        <v>1293</v>
      </c>
      <c r="D569" s="31" t="s">
        <v>1299</v>
      </c>
      <c r="E569" s="77">
        <v>45221</v>
      </c>
      <c r="F569" s="82" t="s">
        <v>1357</v>
      </c>
    </row>
    <row r="570" spans="1:6" ht="18" x14ac:dyDescent="0.2">
      <c r="A570" s="53">
        <v>570</v>
      </c>
      <c r="B570" s="106" t="s">
        <v>853</v>
      </c>
      <c r="C570" s="31" t="s">
        <v>1302</v>
      </c>
      <c r="D570" s="31" t="s">
        <v>1354</v>
      </c>
      <c r="E570" s="77">
        <v>45221</v>
      </c>
    </row>
    <row r="571" spans="1:6" ht="28.5" x14ac:dyDescent="0.2">
      <c r="A571" s="53">
        <v>571</v>
      </c>
      <c r="B571" s="106" t="s">
        <v>422</v>
      </c>
      <c r="C571" s="31" t="s">
        <v>1303</v>
      </c>
      <c r="D571" s="31" t="s">
        <v>1358</v>
      </c>
      <c r="E571" s="77">
        <v>45221</v>
      </c>
    </row>
    <row r="572" spans="1:6" ht="28.5" x14ac:dyDescent="0.2">
      <c r="A572" s="53">
        <v>572</v>
      </c>
      <c r="B572" s="106" t="s">
        <v>440</v>
      </c>
      <c r="C572" s="31" t="s">
        <v>1350</v>
      </c>
      <c r="D572" s="71" t="s">
        <v>1359</v>
      </c>
      <c r="E572" s="77">
        <v>45221</v>
      </c>
    </row>
    <row r="573" spans="1:6" ht="28.5" x14ac:dyDescent="0.2">
      <c r="A573" s="53">
        <v>573</v>
      </c>
      <c r="B573" s="106" t="s">
        <v>853</v>
      </c>
      <c r="C573" s="31" t="s">
        <v>1351</v>
      </c>
      <c r="D573" s="31" t="s">
        <v>1358</v>
      </c>
      <c r="E573" s="77">
        <v>45221</v>
      </c>
    </row>
    <row r="574" spans="1:6" ht="28.5" x14ac:dyDescent="0.2">
      <c r="A574" s="53">
        <v>574</v>
      </c>
      <c r="B574" s="106" t="s">
        <v>440</v>
      </c>
      <c r="C574" s="31" t="s">
        <v>1352</v>
      </c>
      <c r="D574" s="31" t="s">
        <v>1355</v>
      </c>
      <c r="E574" s="77">
        <v>45221</v>
      </c>
    </row>
    <row r="575" spans="1:6" ht="28.5" x14ac:dyDescent="0.2">
      <c r="A575" s="53">
        <v>575</v>
      </c>
      <c r="B575" s="106" t="s">
        <v>422</v>
      </c>
      <c r="C575" s="31" t="s">
        <v>1353</v>
      </c>
      <c r="D575" s="31" t="s">
        <v>1356</v>
      </c>
      <c r="E575" s="77">
        <v>45221</v>
      </c>
    </row>
    <row r="576" spans="1:6" ht="28.5" x14ac:dyDescent="0.2">
      <c r="A576" s="53">
        <v>576</v>
      </c>
      <c r="B576" s="106" t="s">
        <v>425</v>
      </c>
      <c r="C576" s="31" t="s">
        <v>1365</v>
      </c>
      <c r="D576" s="31" t="s">
        <v>1381</v>
      </c>
      <c r="E576" s="77">
        <v>45256</v>
      </c>
      <c r="F576" s="82" t="s">
        <v>1370</v>
      </c>
    </row>
    <row r="577" spans="1:6" ht="18" x14ac:dyDescent="0.2">
      <c r="A577" s="53">
        <v>577</v>
      </c>
      <c r="B577" s="106" t="s">
        <v>853</v>
      </c>
      <c r="C577" s="31" t="s">
        <v>1366</v>
      </c>
      <c r="D577" s="31" t="s">
        <v>1418</v>
      </c>
      <c r="E577" s="77">
        <v>45256</v>
      </c>
    </row>
    <row r="578" spans="1:6" ht="57" x14ac:dyDescent="0.2">
      <c r="A578" s="53">
        <v>578</v>
      </c>
      <c r="B578" s="106" t="s">
        <v>1189</v>
      </c>
      <c r="C578" s="31" t="s">
        <v>1367</v>
      </c>
      <c r="D578" s="31" t="s">
        <v>1417</v>
      </c>
      <c r="E578" s="77">
        <v>45256</v>
      </c>
    </row>
    <row r="579" spans="1:6" ht="28.5" x14ac:dyDescent="0.2">
      <c r="A579" s="53">
        <v>579</v>
      </c>
      <c r="B579" s="106" t="s">
        <v>422</v>
      </c>
      <c r="C579" s="31" t="s">
        <v>1382</v>
      </c>
      <c r="D579" s="31" t="s">
        <v>1484</v>
      </c>
      <c r="E579" s="77">
        <v>45256</v>
      </c>
    </row>
    <row r="580" spans="1:6" ht="18" x14ac:dyDescent="0.2">
      <c r="A580" s="53">
        <v>580</v>
      </c>
      <c r="B580" s="106" t="s">
        <v>853</v>
      </c>
      <c r="C580" s="31" t="s">
        <v>1392</v>
      </c>
      <c r="D580" s="31" t="s">
        <v>1381</v>
      </c>
      <c r="E580" s="77">
        <v>45256</v>
      </c>
    </row>
    <row r="581" spans="1:6" ht="28.5" x14ac:dyDescent="0.2">
      <c r="A581" s="53">
        <v>581</v>
      </c>
      <c r="B581" s="106" t="s">
        <v>414</v>
      </c>
      <c r="C581" s="31" t="s">
        <v>1485</v>
      </c>
      <c r="D581" s="31" t="s">
        <v>1416</v>
      </c>
      <c r="E581" s="77">
        <v>45256</v>
      </c>
    </row>
    <row r="582" spans="1:6" ht="57" x14ac:dyDescent="0.2">
      <c r="A582" s="53">
        <v>582</v>
      </c>
      <c r="B582" s="106" t="s">
        <v>414</v>
      </c>
      <c r="C582" s="31" t="s">
        <v>1486</v>
      </c>
      <c r="D582" s="31" t="s">
        <v>1417</v>
      </c>
      <c r="E582" s="77">
        <v>45256</v>
      </c>
    </row>
    <row r="583" spans="1:6" ht="18" x14ac:dyDescent="0.2">
      <c r="A583" s="53">
        <v>583</v>
      </c>
      <c r="B583" s="106" t="s">
        <v>415</v>
      </c>
      <c r="C583" s="31" t="s">
        <v>1369</v>
      </c>
      <c r="D583" s="31" t="s">
        <v>1372</v>
      </c>
      <c r="E583" s="77">
        <v>45256</v>
      </c>
    </row>
    <row r="584" spans="1:6" ht="28.5" x14ac:dyDescent="0.2">
      <c r="A584" s="53">
        <v>584</v>
      </c>
      <c r="B584" s="106" t="s">
        <v>853</v>
      </c>
      <c r="C584" s="31" t="s">
        <v>1383</v>
      </c>
      <c r="D584" s="31" t="s">
        <v>1386</v>
      </c>
      <c r="E584" s="77">
        <v>45277</v>
      </c>
      <c r="F584" s="82" t="s">
        <v>1385</v>
      </c>
    </row>
    <row r="585" spans="1:6" ht="18" x14ac:dyDescent="0.2">
      <c r="A585" s="53">
        <v>585</v>
      </c>
      <c r="B585" s="106" t="s">
        <v>422</v>
      </c>
      <c r="C585" s="31" t="s">
        <v>1384</v>
      </c>
      <c r="D585" s="31" t="s">
        <v>1397</v>
      </c>
      <c r="E585" s="77">
        <v>45277</v>
      </c>
    </row>
    <row r="586" spans="1:6" ht="18" x14ac:dyDescent="0.2">
      <c r="A586" s="53">
        <v>586</v>
      </c>
      <c r="B586" s="106" t="s">
        <v>440</v>
      </c>
      <c r="C586" s="31" t="s">
        <v>1387</v>
      </c>
      <c r="D586" s="31" t="s">
        <v>773</v>
      </c>
      <c r="E586" s="77">
        <v>45277</v>
      </c>
    </row>
    <row r="587" spans="1:6" ht="18" x14ac:dyDescent="0.2">
      <c r="A587" s="53">
        <v>587</v>
      </c>
      <c r="B587" s="106" t="s">
        <v>415</v>
      </c>
      <c r="C587" s="31" t="s">
        <v>1406</v>
      </c>
      <c r="D587" s="31" t="s">
        <v>1487</v>
      </c>
      <c r="E587" s="77">
        <v>45347</v>
      </c>
      <c r="F587" s="82" t="s">
        <v>1411</v>
      </c>
    </row>
    <row r="588" spans="1:6" ht="18" x14ac:dyDescent="0.2">
      <c r="A588" s="53">
        <v>588</v>
      </c>
      <c r="B588" s="106" t="s">
        <v>853</v>
      </c>
      <c r="C588" s="31" t="s">
        <v>1407</v>
      </c>
      <c r="D588" s="31" t="s">
        <v>1410</v>
      </c>
      <c r="E588" s="77">
        <v>45347</v>
      </c>
    </row>
    <row r="589" spans="1:6" ht="18" x14ac:dyDescent="0.2">
      <c r="A589" s="53">
        <v>589</v>
      </c>
      <c r="B589" s="106" t="s">
        <v>853</v>
      </c>
      <c r="C589" s="31" t="s">
        <v>1408</v>
      </c>
      <c r="D589" s="31" t="s">
        <v>1410</v>
      </c>
      <c r="E589" s="77">
        <v>45347</v>
      </c>
    </row>
    <row r="590" spans="1:6" ht="18" x14ac:dyDescent="0.2">
      <c r="A590" s="53">
        <v>590</v>
      </c>
      <c r="B590" s="106" t="s">
        <v>853</v>
      </c>
      <c r="C590" s="31" t="s">
        <v>1413</v>
      </c>
      <c r="D590" s="31" t="s">
        <v>1488</v>
      </c>
      <c r="E590" s="77">
        <v>45347</v>
      </c>
    </row>
    <row r="591" spans="1:6" ht="18" x14ac:dyDescent="0.2">
      <c r="A591" s="53">
        <v>591</v>
      </c>
      <c r="B591" s="106" t="s">
        <v>853</v>
      </c>
      <c r="C591" s="31" t="s">
        <v>1409</v>
      </c>
      <c r="D591" s="31" t="s">
        <v>1488</v>
      </c>
      <c r="E591" s="77">
        <v>45347</v>
      </c>
    </row>
    <row r="592" spans="1:6" ht="28.5" x14ac:dyDescent="0.2">
      <c r="A592" s="53">
        <v>592</v>
      </c>
      <c r="B592" s="106" t="s">
        <v>853</v>
      </c>
      <c r="C592" s="31" t="s">
        <v>1412</v>
      </c>
      <c r="D592" s="31" t="s">
        <v>1414</v>
      </c>
      <c r="E592" s="77">
        <v>45347</v>
      </c>
    </row>
    <row r="593" spans="1:6" ht="57" x14ac:dyDescent="0.2">
      <c r="A593" s="53">
        <v>593</v>
      </c>
      <c r="B593" s="106" t="s">
        <v>422</v>
      </c>
      <c r="C593" s="31" t="s">
        <v>1415</v>
      </c>
      <c r="D593" s="31" t="s">
        <v>1460</v>
      </c>
      <c r="E593" s="77">
        <v>45389</v>
      </c>
      <c r="F593" s="57" t="s">
        <v>1461</v>
      </c>
    </row>
    <row r="594" spans="1:6" ht="18" x14ac:dyDescent="0.2">
      <c r="A594" s="53">
        <v>594</v>
      </c>
      <c r="B594" s="106" t="s">
        <v>853</v>
      </c>
      <c r="C594" s="31" t="s">
        <v>1433</v>
      </c>
      <c r="D594" s="31" t="s">
        <v>1463</v>
      </c>
      <c r="E594" s="77">
        <v>45389</v>
      </c>
    </row>
    <row r="595" spans="1:6" ht="28.5" x14ac:dyDescent="0.2">
      <c r="A595" s="53">
        <v>595</v>
      </c>
      <c r="B595" s="106" t="s">
        <v>414</v>
      </c>
      <c r="C595" s="31" t="s">
        <v>1419</v>
      </c>
      <c r="D595" s="31" t="s">
        <v>1462</v>
      </c>
      <c r="E595" s="77">
        <v>45389</v>
      </c>
    </row>
    <row r="596" spans="1:6" ht="18" x14ac:dyDescent="0.2">
      <c r="A596" s="53">
        <v>596</v>
      </c>
      <c r="B596" s="106" t="s">
        <v>853</v>
      </c>
      <c r="C596" s="31" t="s">
        <v>1434</v>
      </c>
      <c r="D596" s="31" t="s">
        <v>1463</v>
      </c>
      <c r="E596" s="77">
        <v>45389</v>
      </c>
    </row>
    <row r="597" spans="1:6" ht="18" x14ac:dyDescent="0.2">
      <c r="A597" s="53">
        <v>597</v>
      </c>
      <c r="B597" s="106" t="s">
        <v>853</v>
      </c>
      <c r="C597" s="31" t="s">
        <v>1459</v>
      </c>
      <c r="D597" s="31" t="s">
        <v>1463</v>
      </c>
      <c r="E597" s="77">
        <v>45389</v>
      </c>
    </row>
    <row r="598" spans="1:6" ht="42.75" x14ac:dyDescent="0.2">
      <c r="A598" s="53">
        <v>598</v>
      </c>
      <c r="B598" s="106" t="s">
        <v>422</v>
      </c>
      <c r="C598" s="31" t="s">
        <v>1489</v>
      </c>
      <c r="D598" s="31" t="s">
        <v>1464</v>
      </c>
      <c r="E598" s="77">
        <v>45389</v>
      </c>
    </row>
    <row r="599" spans="1:6" ht="18" x14ac:dyDescent="0.2">
      <c r="A599" s="53">
        <v>599</v>
      </c>
      <c r="B599" s="106" t="s">
        <v>414</v>
      </c>
      <c r="C599" s="31" t="s">
        <v>1435</v>
      </c>
      <c r="D599" s="31" t="s">
        <v>1465</v>
      </c>
      <c r="E599" s="77">
        <v>45389</v>
      </c>
    </row>
    <row r="600" spans="1:6" ht="28.5" x14ac:dyDescent="0.2">
      <c r="A600" s="53">
        <v>600</v>
      </c>
      <c r="B600" s="106" t="s">
        <v>853</v>
      </c>
      <c r="C600" s="31" t="s">
        <v>1436</v>
      </c>
      <c r="D600" s="31" t="s">
        <v>1490</v>
      </c>
      <c r="E600" s="77">
        <v>45389</v>
      </c>
    </row>
    <row r="601" spans="1:6" ht="28.5" x14ac:dyDescent="0.2">
      <c r="A601" s="53">
        <v>601</v>
      </c>
      <c r="B601" s="106" t="s">
        <v>440</v>
      </c>
      <c r="C601" s="31" t="s">
        <v>1437</v>
      </c>
      <c r="D601" s="31" t="s">
        <v>1466</v>
      </c>
      <c r="E601" s="77">
        <v>45389</v>
      </c>
    </row>
    <row r="602" spans="1:6" ht="42.75" x14ac:dyDescent="0.2">
      <c r="A602" s="53">
        <v>602</v>
      </c>
      <c r="B602" s="106" t="s">
        <v>750</v>
      </c>
      <c r="C602" s="31" t="s">
        <v>1438</v>
      </c>
      <c r="D602" s="31" t="s">
        <v>1491</v>
      </c>
      <c r="E602" s="77">
        <v>45389</v>
      </c>
    </row>
    <row r="603" spans="1:6" ht="28.5" x14ac:dyDescent="0.2">
      <c r="A603" s="53">
        <v>603</v>
      </c>
      <c r="B603" s="106" t="s">
        <v>853</v>
      </c>
      <c r="C603" s="31" t="s">
        <v>1467</v>
      </c>
      <c r="D603" s="31" t="s">
        <v>1468</v>
      </c>
      <c r="E603" s="77">
        <v>45389</v>
      </c>
    </row>
    <row r="604" spans="1:6" ht="42.75" x14ac:dyDescent="0.2">
      <c r="A604" s="53">
        <v>604</v>
      </c>
      <c r="B604" s="106" t="s">
        <v>418</v>
      </c>
      <c r="C604" s="31" t="s">
        <v>1470</v>
      </c>
      <c r="D604" s="31" t="s">
        <v>1469</v>
      </c>
      <c r="E604" s="77">
        <v>45389</v>
      </c>
    </row>
    <row r="605" spans="1:6" ht="28.5" x14ac:dyDescent="0.2">
      <c r="A605" s="53">
        <v>605</v>
      </c>
      <c r="B605" s="106" t="s">
        <v>702</v>
      </c>
      <c r="C605" s="31" t="s">
        <v>1471</v>
      </c>
      <c r="D605" s="31" t="s">
        <v>1472</v>
      </c>
      <c r="E605" s="77">
        <v>45389</v>
      </c>
    </row>
    <row r="606" spans="1:6" ht="28.5" x14ac:dyDescent="0.2">
      <c r="A606" s="53">
        <v>606</v>
      </c>
      <c r="B606" s="106" t="s">
        <v>702</v>
      </c>
      <c r="C606" s="31" t="s">
        <v>1483</v>
      </c>
      <c r="D606" s="31" t="s">
        <v>1472</v>
      </c>
      <c r="E606" s="77">
        <v>45389</v>
      </c>
    </row>
    <row r="607" spans="1:6" ht="28.5" x14ac:dyDescent="0.2">
      <c r="A607" s="53">
        <v>607</v>
      </c>
      <c r="B607" s="106" t="s">
        <v>440</v>
      </c>
      <c r="C607" s="31" t="s">
        <v>1502</v>
      </c>
      <c r="D607" s="31" t="s">
        <v>1534</v>
      </c>
      <c r="E607" s="77">
        <v>45417</v>
      </c>
      <c r="F607" s="82" t="s">
        <v>1509</v>
      </c>
    </row>
    <row r="608" spans="1:6" ht="28.5" x14ac:dyDescent="0.2">
      <c r="A608" s="53">
        <v>608</v>
      </c>
      <c r="B608" s="106" t="s">
        <v>422</v>
      </c>
      <c r="C608" s="31" t="s">
        <v>1503</v>
      </c>
      <c r="D608" s="31" t="s">
        <v>1510</v>
      </c>
      <c r="E608" s="77">
        <v>45417</v>
      </c>
    </row>
    <row r="609" spans="1:6" ht="18" x14ac:dyDescent="0.2">
      <c r="A609" s="53">
        <v>609</v>
      </c>
      <c r="B609" s="106" t="s">
        <v>1230</v>
      </c>
      <c r="C609" s="31" t="s">
        <v>1535</v>
      </c>
      <c r="D609" s="31" t="s">
        <v>1508</v>
      </c>
      <c r="E609" s="77">
        <v>45417</v>
      </c>
    </row>
    <row r="610" spans="1:6" ht="18" x14ac:dyDescent="0.2">
      <c r="A610" s="53">
        <v>610</v>
      </c>
      <c r="B610" s="106" t="s">
        <v>444</v>
      </c>
      <c r="C610" s="31" t="s">
        <v>1504</v>
      </c>
      <c r="D610" s="31" t="s">
        <v>1508</v>
      </c>
      <c r="E610" s="77">
        <v>45417</v>
      </c>
    </row>
    <row r="611" spans="1:6" ht="18" x14ac:dyDescent="0.2">
      <c r="A611" s="53">
        <v>611</v>
      </c>
      <c r="B611" s="106" t="s">
        <v>1153</v>
      </c>
      <c r="C611" s="31" t="s">
        <v>1506</v>
      </c>
      <c r="D611" s="31" t="s">
        <v>1536</v>
      </c>
      <c r="E611" s="77">
        <v>45417</v>
      </c>
    </row>
    <row r="612" spans="1:6" ht="28.5" x14ac:dyDescent="0.2">
      <c r="A612" s="53">
        <v>612</v>
      </c>
      <c r="B612" s="106" t="s">
        <v>1153</v>
      </c>
      <c r="C612" s="31" t="s">
        <v>1505</v>
      </c>
      <c r="D612" s="31" t="s">
        <v>1537</v>
      </c>
      <c r="E612" s="77">
        <v>45417</v>
      </c>
    </row>
    <row r="613" spans="1:6" ht="18" x14ac:dyDescent="0.2">
      <c r="A613" s="53">
        <v>613</v>
      </c>
      <c r="B613" s="106" t="s">
        <v>853</v>
      </c>
      <c r="C613" s="31" t="s">
        <v>1507</v>
      </c>
      <c r="D613" s="31" t="s">
        <v>1511</v>
      </c>
      <c r="E613" s="77">
        <v>45417</v>
      </c>
    </row>
    <row r="614" spans="1:6" ht="18" x14ac:dyDescent="0.2">
      <c r="A614" s="53">
        <v>614</v>
      </c>
      <c r="B614" s="106" t="s">
        <v>418</v>
      </c>
      <c r="C614" s="31" t="s">
        <v>1538</v>
      </c>
      <c r="D614" s="31" t="s">
        <v>1512</v>
      </c>
      <c r="E614" s="77">
        <v>45417</v>
      </c>
    </row>
    <row r="615" spans="1:6" ht="28.5" x14ac:dyDescent="0.2">
      <c r="A615" s="53">
        <v>615</v>
      </c>
      <c r="B615" s="106" t="s">
        <v>440</v>
      </c>
      <c r="C615" s="31" t="s">
        <v>1513</v>
      </c>
      <c r="D615" s="31" t="s">
        <v>1539</v>
      </c>
      <c r="E615" s="77">
        <v>45431</v>
      </c>
      <c r="F615" s="82" t="s">
        <v>1523</v>
      </c>
    </row>
    <row r="616" spans="1:6" ht="28.5" x14ac:dyDescent="0.2">
      <c r="A616" s="53">
        <v>616</v>
      </c>
      <c r="B616" s="106" t="s">
        <v>1153</v>
      </c>
      <c r="C616" s="31" t="s">
        <v>1540</v>
      </c>
      <c r="D616" s="31" t="s">
        <v>1541</v>
      </c>
      <c r="E616" s="77">
        <v>45431</v>
      </c>
    </row>
    <row r="617" spans="1:6" ht="18" x14ac:dyDescent="0.2">
      <c r="A617" s="53">
        <v>617</v>
      </c>
      <c r="B617" s="106" t="s">
        <v>853</v>
      </c>
      <c r="C617" s="31" t="s">
        <v>1514</v>
      </c>
      <c r="D617" s="31" t="s">
        <v>1524</v>
      </c>
      <c r="E617" s="77">
        <v>45431</v>
      </c>
    </row>
    <row r="618" spans="1:6" ht="28.5" x14ac:dyDescent="0.2">
      <c r="A618" s="53">
        <v>618</v>
      </c>
      <c r="B618" s="106" t="s">
        <v>200</v>
      </c>
      <c r="C618" s="31" t="s">
        <v>1542</v>
      </c>
      <c r="D618" s="31" t="s">
        <v>1526</v>
      </c>
      <c r="E618" s="77">
        <v>45431</v>
      </c>
    </row>
    <row r="619" spans="1:6" ht="28.5" x14ac:dyDescent="0.2">
      <c r="A619" s="53">
        <v>619</v>
      </c>
      <c r="B619" s="106" t="s">
        <v>444</v>
      </c>
      <c r="C619" s="31" t="s">
        <v>1543</v>
      </c>
      <c r="D619" s="31" t="s">
        <v>1527</v>
      </c>
      <c r="E619" s="77">
        <v>45431</v>
      </c>
    </row>
    <row r="620" spans="1:6" ht="42.75" x14ac:dyDescent="0.2">
      <c r="A620" s="53">
        <v>620</v>
      </c>
      <c r="B620" s="106" t="s">
        <v>440</v>
      </c>
      <c r="C620" s="31" t="s">
        <v>1525</v>
      </c>
      <c r="D620" s="31" t="s">
        <v>1528</v>
      </c>
      <c r="E620" s="77">
        <v>45431</v>
      </c>
    </row>
    <row r="621" spans="1:6" ht="42.75" x14ac:dyDescent="0.2">
      <c r="A621" s="53">
        <v>621</v>
      </c>
      <c r="B621" s="106" t="s">
        <v>440</v>
      </c>
      <c r="C621" s="31" t="s">
        <v>1529</v>
      </c>
      <c r="D621" s="31" t="s">
        <v>1528</v>
      </c>
      <c r="E621" s="77">
        <v>45431</v>
      </c>
    </row>
    <row r="622" spans="1:6" ht="42.75" x14ac:dyDescent="0.2">
      <c r="A622" s="53">
        <v>622</v>
      </c>
      <c r="B622" s="106" t="s">
        <v>440</v>
      </c>
      <c r="C622" s="31" t="s">
        <v>1545</v>
      </c>
      <c r="D622" s="31" t="s">
        <v>1552</v>
      </c>
      <c r="E622" s="77">
        <v>45445</v>
      </c>
      <c r="F622" s="82" t="s">
        <v>1551</v>
      </c>
    </row>
    <row r="623" spans="1:6" ht="18" x14ac:dyDescent="0.2">
      <c r="A623" s="53">
        <v>623</v>
      </c>
      <c r="B623" s="106" t="s">
        <v>422</v>
      </c>
      <c r="C623" s="31" t="s">
        <v>1546</v>
      </c>
      <c r="D623" s="31" t="s">
        <v>1553</v>
      </c>
      <c r="E623" s="77">
        <v>45445</v>
      </c>
    </row>
    <row r="624" spans="1:6" ht="42.75" x14ac:dyDescent="0.2">
      <c r="A624" s="53">
        <v>624</v>
      </c>
      <c r="B624" s="106" t="s">
        <v>853</v>
      </c>
      <c r="C624" s="31" t="s">
        <v>1547</v>
      </c>
      <c r="D624" s="31" t="s">
        <v>1550</v>
      </c>
      <c r="E624" s="77">
        <v>45445</v>
      </c>
    </row>
    <row r="625" spans="1:6" ht="28.5" x14ac:dyDescent="0.2">
      <c r="A625" s="53">
        <v>625</v>
      </c>
      <c r="B625" s="106" t="s">
        <v>1189</v>
      </c>
      <c r="C625" s="31" t="s">
        <v>1548</v>
      </c>
      <c r="D625" s="31" t="s">
        <v>1554</v>
      </c>
      <c r="E625" s="77">
        <v>45445</v>
      </c>
    </row>
    <row r="626" spans="1:6" ht="28.5" x14ac:dyDescent="0.2">
      <c r="A626" s="53">
        <v>626</v>
      </c>
      <c r="B626" s="106" t="s">
        <v>1189</v>
      </c>
      <c r="C626" s="31" t="s">
        <v>1549</v>
      </c>
      <c r="D626" s="31" t="s">
        <v>1554</v>
      </c>
      <c r="E626" s="77">
        <v>45445</v>
      </c>
    </row>
    <row r="627" spans="1:6" ht="28.5" x14ac:dyDescent="0.2">
      <c r="A627" s="53">
        <v>627</v>
      </c>
      <c r="B627" s="106" t="s">
        <v>853</v>
      </c>
      <c r="C627" s="31" t="s">
        <v>1555</v>
      </c>
      <c r="D627" s="31" t="s">
        <v>1584</v>
      </c>
      <c r="E627" s="77">
        <v>45487</v>
      </c>
      <c r="F627" s="82" t="s">
        <v>1613</v>
      </c>
    </row>
    <row r="628" spans="1:6" ht="28.5" x14ac:dyDescent="0.2">
      <c r="A628" s="53">
        <v>628</v>
      </c>
      <c r="B628" s="106" t="s">
        <v>1153</v>
      </c>
      <c r="C628" s="31" t="s">
        <v>1564</v>
      </c>
      <c r="D628" s="31" t="s">
        <v>1585</v>
      </c>
      <c r="E628" s="77">
        <v>45487</v>
      </c>
    </row>
    <row r="629" spans="1:6" ht="99.75" x14ac:dyDescent="0.2">
      <c r="A629" s="53">
        <v>629</v>
      </c>
      <c r="B629" s="106" t="s">
        <v>853</v>
      </c>
      <c r="C629" s="31" t="s">
        <v>1565</v>
      </c>
      <c r="D629" s="31" t="s">
        <v>1630</v>
      </c>
      <c r="E629" s="77">
        <v>45487</v>
      </c>
    </row>
    <row r="630" spans="1:6" ht="28.5" x14ac:dyDescent="0.2">
      <c r="A630" s="53">
        <v>630</v>
      </c>
      <c r="B630" s="106" t="s">
        <v>1189</v>
      </c>
      <c r="C630" s="31" t="s">
        <v>1586</v>
      </c>
      <c r="D630" s="31" t="s">
        <v>1587</v>
      </c>
      <c r="E630" s="77">
        <v>45487</v>
      </c>
    </row>
    <row r="631" spans="1:6" ht="28.5" x14ac:dyDescent="0.2">
      <c r="A631" s="53">
        <v>631</v>
      </c>
      <c r="B631" s="106" t="s">
        <v>415</v>
      </c>
      <c r="C631" s="31" t="s">
        <v>1566</v>
      </c>
      <c r="D631" s="31" t="s">
        <v>1588</v>
      </c>
      <c r="E631" s="77">
        <v>45487</v>
      </c>
    </row>
    <row r="632" spans="1:6" ht="18" x14ac:dyDescent="0.2">
      <c r="A632" s="53">
        <v>632</v>
      </c>
      <c r="B632" s="106" t="s">
        <v>1153</v>
      </c>
      <c r="C632" s="31" t="s">
        <v>1567</v>
      </c>
      <c r="D632" s="31" t="s">
        <v>1616</v>
      </c>
      <c r="E632" s="77">
        <v>45487</v>
      </c>
    </row>
    <row r="633" spans="1:6" ht="99.75" x14ac:dyDescent="0.2">
      <c r="A633" s="53">
        <v>633</v>
      </c>
      <c r="B633" s="106" t="s">
        <v>853</v>
      </c>
      <c r="C633" s="31" t="s">
        <v>1568</v>
      </c>
      <c r="D633" s="31" t="s">
        <v>1630</v>
      </c>
      <c r="E633" s="77">
        <v>45487</v>
      </c>
    </row>
    <row r="634" spans="1:6" ht="42.75" x14ac:dyDescent="0.2">
      <c r="A634" s="53">
        <v>634</v>
      </c>
      <c r="B634" s="106" t="s">
        <v>422</v>
      </c>
      <c r="C634" s="31" t="s">
        <v>1569</v>
      </c>
      <c r="D634" s="31" t="s">
        <v>1589</v>
      </c>
      <c r="E634" s="77">
        <v>45487</v>
      </c>
    </row>
    <row r="635" spans="1:6" ht="99.75" x14ac:dyDescent="0.2">
      <c r="A635" s="53">
        <v>635</v>
      </c>
      <c r="B635" s="106" t="s">
        <v>853</v>
      </c>
      <c r="C635" s="31" t="s">
        <v>1570</v>
      </c>
      <c r="D635" s="31" t="s">
        <v>1630</v>
      </c>
      <c r="E635" s="77">
        <v>45487</v>
      </c>
    </row>
    <row r="636" spans="1:6" ht="99.75" x14ac:dyDescent="0.2">
      <c r="A636" s="53">
        <v>636</v>
      </c>
      <c r="B636" s="106" t="s">
        <v>853</v>
      </c>
      <c r="C636" s="31" t="s">
        <v>1571</v>
      </c>
      <c r="D636" s="31" t="s">
        <v>1630</v>
      </c>
      <c r="E636" s="77">
        <v>45487</v>
      </c>
    </row>
    <row r="637" spans="1:6" ht="42.75" x14ac:dyDescent="0.2">
      <c r="A637" s="53">
        <v>637</v>
      </c>
      <c r="B637" s="106" t="s">
        <v>427</v>
      </c>
      <c r="C637" s="31" t="s">
        <v>1572</v>
      </c>
      <c r="D637" s="31" t="s">
        <v>1617</v>
      </c>
      <c r="E637" s="77">
        <v>45487</v>
      </c>
    </row>
    <row r="638" spans="1:6" ht="28.5" x14ac:dyDescent="0.2">
      <c r="A638" s="53">
        <v>638</v>
      </c>
      <c r="B638" s="106" t="s">
        <v>422</v>
      </c>
      <c r="C638" s="31" t="s">
        <v>1573</v>
      </c>
      <c r="D638" s="31" t="s">
        <v>1593</v>
      </c>
      <c r="E638" s="77">
        <v>45487</v>
      </c>
    </row>
    <row r="639" spans="1:6" ht="42.75" x14ac:dyDescent="0.2">
      <c r="A639" s="53">
        <v>639</v>
      </c>
      <c r="B639" s="106" t="s">
        <v>853</v>
      </c>
      <c r="C639" s="31" t="s">
        <v>1574</v>
      </c>
      <c r="D639" s="31" t="s">
        <v>1626</v>
      </c>
      <c r="E639" s="77">
        <v>45487</v>
      </c>
    </row>
    <row r="640" spans="1:6" ht="42.75" x14ac:dyDescent="0.2">
      <c r="A640" s="53">
        <v>640</v>
      </c>
      <c r="B640" s="106" t="s">
        <v>422</v>
      </c>
      <c r="C640" s="31" t="s">
        <v>1575</v>
      </c>
      <c r="D640" s="31" t="s">
        <v>1595</v>
      </c>
      <c r="E640" s="77">
        <v>45487</v>
      </c>
    </row>
    <row r="641" spans="1:6" ht="28.5" x14ac:dyDescent="0.2">
      <c r="A641" s="53">
        <v>641</v>
      </c>
      <c r="B641" s="106" t="s">
        <v>1741</v>
      </c>
      <c r="C641" s="31" t="s">
        <v>1596</v>
      </c>
      <c r="D641" s="31" t="s">
        <v>1597</v>
      </c>
      <c r="E641" s="77">
        <v>45487</v>
      </c>
    </row>
    <row r="642" spans="1:6" ht="28.5" x14ac:dyDescent="0.2">
      <c r="A642" s="53">
        <v>642</v>
      </c>
      <c r="B642" s="106" t="s">
        <v>415</v>
      </c>
      <c r="C642" s="31" t="s">
        <v>1576</v>
      </c>
      <c r="D642" s="31" t="s">
        <v>1598</v>
      </c>
      <c r="E642" s="77">
        <v>45501</v>
      </c>
      <c r="F642" s="82" t="s">
        <v>1590</v>
      </c>
    </row>
    <row r="643" spans="1:6" ht="28.5" x14ac:dyDescent="0.2">
      <c r="A643" s="53">
        <v>643</v>
      </c>
      <c r="B643" s="106" t="s">
        <v>425</v>
      </c>
      <c r="C643" s="31" t="s">
        <v>1577</v>
      </c>
      <c r="D643" s="31" t="s">
        <v>1599</v>
      </c>
      <c r="E643" s="77">
        <v>45501</v>
      </c>
    </row>
    <row r="644" spans="1:6" ht="28.5" x14ac:dyDescent="0.2">
      <c r="A644" s="53">
        <v>644</v>
      </c>
      <c r="B644" s="106" t="s">
        <v>418</v>
      </c>
      <c r="C644" s="31" t="s">
        <v>1578</v>
      </c>
      <c r="D644" s="31" t="s">
        <v>1600</v>
      </c>
      <c r="E644" s="77">
        <v>45501</v>
      </c>
    </row>
    <row r="645" spans="1:6" ht="28.5" x14ac:dyDescent="0.2">
      <c r="A645" s="53">
        <v>645</v>
      </c>
      <c r="B645" s="106" t="s">
        <v>853</v>
      </c>
      <c r="C645" s="31" t="s">
        <v>1579</v>
      </c>
      <c r="D645" s="31" t="s">
        <v>1601</v>
      </c>
      <c r="E645" s="77">
        <v>45501</v>
      </c>
    </row>
    <row r="646" spans="1:6" ht="28.5" x14ac:dyDescent="0.2">
      <c r="A646" s="53">
        <v>646</v>
      </c>
      <c r="B646" s="106" t="s">
        <v>1181</v>
      </c>
      <c r="C646" s="31" t="s">
        <v>1580</v>
      </c>
      <c r="D646" s="31" t="s">
        <v>1591</v>
      </c>
      <c r="E646" s="77">
        <v>45501</v>
      </c>
    </row>
    <row r="647" spans="1:6" ht="28.5" x14ac:dyDescent="0.2">
      <c r="A647" s="53">
        <v>647</v>
      </c>
      <c r="B647" s="106" t="s">
        <v>853</v>
      </c>
      <c r="C647" s="31" t="s">
        <v>1581</v>
      </c>
      <c r="D647" s="31" t="s">
        <v>1601</v>
      </c>
      <c r="E647" s="77">
        <v>45501</v>
      </c>
    </row>
    <row r="648" spans="1:6" ht="28.5" x14ac:dyDescent="0.2">
      <c r="A648" s="53">
        <v>648</v>
      </c>
      <c r="B648" s="106" t="s">
        <v>414</v>
      </c>
      <c r="C648" s="31" t="s">
        <v>1582</v>
      </c>
      <c r="D648" s="31" t="s">
        <v>1602</v>
      </c>
      <c r="E648" s="77">
        <v>45501</v>
      </c>
    </row>
    <row r="649" spans="1:6" ht="28.5" x14ac:dyDescent="0.2">
      <c r="A649" s="53">
        <v>649</v>
      </c>
      <c r="B649" s="106" t="s">
        <v>414</v>
      </c>
      <c r="C649" s="31" t="s">
        <v>1582</v>
      </c>
      <c r="D649" s="31" t="s">
        <v>1602</v>
      </c>
      <c r="E649" s="77">
        <v>45501</v>
      </c>
    </row>
    <row r="650" spans="1:6" ht="28.5" x14ac:dyDescent="0.2">
      <c r="A650" s="53">
        <v>650</v>
      </c>
      <c r="B650" s="106" t="s">
        <v>440</v>
      </c>
      <c r="C650" s="31" t="s">
        <v>1583</v>
      </c>
      <c r="D650" s="31" t="s">
        <v>1603</v>
      </c>
      <c r="E650" s="77">
        <v>45501</v>
      </c>
    </row>
    <row r="651" spans="1:6" ht="18" x14ac:dyDescent="0.2">
      <c r="A651" s="53">
        <v>651</v>
      </c>
      <c r="B651" s="106" t="s">
        <v>440</v>
      </c>
      <c r="C651" s="31" t="s">
        <v>1592</v>
      </c>
      <c r="D651" s="31" t="s">
        <v>1604</v>
      </c>
      <c r="E651" s="77">
        <v>45501</v>
      </c>
    </row>
    <row r="652" spans="1:6" ht="28.5" x14ac:dyDescent="0.2">
      <c r="A652" s="53">
        <v>652</v>
      </c>
      <c r="B652" s="106" t="s">
        <v>440</v>
      </c>
      <c r="C652" s="31" t="s">
        <v>1605</v>
      </c>
      <c r="D652" s="31" t="s">
        <v>1704</v>
      </c>
      <c r="E652" s="77">
        <v>45543</v>
      </c>
      <c r="F652" s="82" t="s">
        <v>1638</v>
      </c>
    </row>
    <row r="653" spans="1:6" ht="28.5" x14ac:dyDescent="0.2">
      <c r="A653" s="53">
        <v>653</v>
      </c>
      <c r="B653" s="106" t="s">
        <v>1153</v>
      </c>
      <c r="C653" s="31" t="s">
        <v>1606</v>
      </c>
      <c r="D653" s="31" t="s">
        <v>1705</v>
      </c>
      <c r="E653" s="77">
        <v>45543</v>
      </c>
    </row>
    <row r="654" spans="1:6" ht="18" x14ac:dyDescent="0.2">
      <c r="A654" s="53">
        <v>654</v>
      </c>
      <c r="B654" s="106" t="s">
        <v>853</v>
      </c>
      <c r="C654" s="31" t="s">
        <v>1706</v>
      </c>
      <c r="D654" s="31" t="s">
        <v>1707</v>
      </c>
      <c r="E654" s="77">
        <v>45543</v>
      </c>
    </row>
    <row r="655" spans="1:6" ht="28.5" x14ac:dyDescent="0.2">
      <c r="A655" s="53">
        <v>655</v>
      </c>
      <c r="B655" s="106" t="s">
        <v>1189</v>
      </c>
      <c r="C655" s="31" t="s">
        <v>1607</v>
      </c>
      <c r="D655" s="31" t="s">
        <v>1641</v>
      </c>
      <c r="E655" s="77">
        <v>45543</v>
      </c>
    </row>
    <row r="656" spans="1:6" ht="18" x14ac:dyDescent="0.2">
      <c r="A656" s="53">
        <v>656</v>
      </c>
      <c r="B656" s="106" t="s">
        <v>440</v>
      </c>
      <c r="C656" s="31" t="s">
        <v>1708</v>
      </c>
      <c r="D656" s="31" t="s">
        <v>1642</v>
      </c>
      <c r="E656" s="77">
        <v>45543</v>
      </c>
    </row>
    <row r="657" spans="1:6" ht="18" x14ac:dyDescent="0.2">
      <c r="A657" s="53">
        <v>657</v>
      </c>
      <c r="B657" s="106" t="s">
        <v>853</v>
      </c>
      <c r="C657" s="31" t="s">
        <v>1709</v>
      </c>
      <c r="D657" s="31" t="s">
        <v>1710</v>
      </c>
      <c r="E657" s="77">
        <v>45543</v>
      </c>
    </row>
    <row r="658" spans="1:6" ht="18" x14ac:dyDescent="0.2">
      <c r="A658" s="53">
        <v>658</v>
      </c>
      <c r="B658" s="106" t="s">
        <v>440</v>
      </c>
      <c r="C658" s="31" t="s">
        <v>1711</v>
      </c>
      <c r="D658" s="31" t="s">
        <v>1712</v>
      </c>
      <c r="E658" s="77">
        <v>45543</v>
      </c>
    </row>
    <row r="659" spans="1:6" ht="18" x14ac:dyDescent="0.2">
      <c r="A659" s="53">
        <v>659</v>
      </c>
      <c r="B659" s="106" t="s">
        <v>853</v>
      </c>
      <c r="C659" s="31" t="s">
        <v>1632</v>
      </c>
      <c r="D659" s="31" t="s">
        <v>1418</v>
      </c>
      <c r="E659" s="77">
        <v>45543</v>
      </c>
    </row>
    <row r="660" spans="1:6" ht="28.5" x14ac:dyDescent="0.2">
      <c r="A660" s="53">
        <v>660</v>
      </c>
      <c r="B660" s="106" t="s">
        <v>440</v>
      </c>
      <c r="C660" s="31" t="s">
        <v>1713</v>
      </c>
      <c r="D660" s="31" t="s">
        <v>1466</v>
      </c>
      <c r="E660" s="77">
        <v>45543</v>
      </c>
    </row>
    <row r="661" spans="1:6" ht="18" x14ac:dyDescent="0.2">
      <c r="A661" s="53">
        <v>661</v>
      </c>
      <c r="B661" s="106" t="s">
        <v>440</v>
      </c>
      <c r="C661" s="31" t="s">
        <v>1633</v>
      </c>
      <c r="D661" s="31" t="s">
        <v>1466</v>
      </c>
      <c r="E661" s="77">
        <v>45543</v>
      </c>
    </row>
    <row r="662" spans="1:6" ht="28.5" x14ac:dyDescent="0.2">
      <c r="A662" s="53">
        <v>662</v>
      </c>
      <c r="B662" s="106" t="s">
        <v>874</v>
      </c>
      <c r="C662" s="31" t="s">
        <v>1634</v>
      </c>
      <c r="D662" s="31" t="s">
        <v>1639</v>
      </c>
      <c r="E662" s="77">
        <v>45543</v>
      </c>
    </row>
    <row r="663" spans="1:6" ht="28.5" x14ac:dyDescent="0.2">
      <c r="A663" s="53">
        <v>663</v>
      </c>
      <c r="B663" s="106" t="s">
        <v>421</v>
      </c>
      <c r="C663" s="31" t="s">
        <v>1714</v>
      </c>
      <c r="D663" s="31" t="s">
        <v>1715</v>
      </c>
      <c r="E663" s="77">
        <v>45543</v>
      </c>
    </row>
    <row r="664" spans="1:6" ht="18" x14ac:dyDescent="0.2">
      <c r="A664" s="53">
        <v>664</v>
      </c>
      <c r="B664" s="106" t="s">
        <v>417</v>
      </c>
      <c r="C664" s="31" t="s">
        <v>1666</v>
      </c>
      <c r="D664" s="31" t="s">
        <v>1716</v>
      </c>
      <c r="E664" s="77">
        <v>45543</v>
      </c>
    </row>
    <row r="665" spans="1:6" ht="28.5" x14ac:dyDescent="0.2">
      <c r="A665" s="53">
        <v>665</v>
      </c>
      <c r="B665" s="106" t="s">
        <v>874</v>
      </c>
      <c r="C665" s="31" t="s">
        <v>1635</v>
      </c>
      <c r="D665" s="31" t="s">
        <v>1639</v>
      </c>
      <c r="E665" s="77">
        <v>45543</v>
      </c>
    </row>
    <row r="666" spans="1:6" ht="18" x14ac:dyDescent="0.2">
      <c r="A666" s="53">
        <v>666</v>
      </c>
      <c r="B666" s="106" t="s">
        <v>874</v>
      </c>
      <c r="C666" s="31" t="s">
        <v>1636</v>
      </c>
      <c r="D666" s="31" t="s">
        <v>1640</v>
      </c>
      <c r="E666" s="77">
        <v>45543</v>
      </c>
    </row>
    <row r="667" spans="1:6" ht="28.5" x14ac:dyDescent="0.2">
      <c r="A667" s="53">
        <v>667</v>
      </c>
      <c r="B667" s="106" t="s">
        <v>425</v>
      </c>
      <c r="C667" s="31" t="s">
        <v>1717</v>
      </c>
      <c r="D667" s="31" t="s">
        <v>1466</v>
      </c>
      <c r="E667" s="77">
        <v>45543</v>
      </c>
    </row>
    <row r="668" spans="1:6" ht="28.5" x14ac:dyDescent="0.2">
      <c r="A668" s="53">
        <v>668</v>
      </c>
      <c r="B668" s="106" t="s">
        <v>414</v>
      </c>
      <c r="C668" s="31" t="s">
        <v>1718</v>
      </c>
      <c r="D668" s="31" t="s">
        <v>1603</v>
      </c>
      <c r="E668" s="77">
        <v>45578</v>
      </c>
      <c r="F668" s="82" t="s">
        <v>1681</v>
      </c>
    </row>
    <row r="669" spans="1:6" ht="28.5" x14ac:dyDescent="0.2">
      <c r="A669" s="53">
        <v>669</v>
      </c>
      <c r="B669" s="106" t="s">
        <v>1741</v>
      </c>
      <c r="C669" s="31" t="s">
        <v>1669</v>
      </c>
      <c r="D669" s="31" t="s">
        <v>1719</v>
      </c>
      <c r="E669" s="77">
        <v>45578</v>
      </c>
    </row>
    <row r="670" spans="1:6" ht="28.5" x14ac:dyDescent="0.2">
      <c r="A670" s="53">
        <v>670</v>
      </c>
      <c r="B670" s="106" t="s">
        <v>853</v>
      </c>
      <c r="C670" s="31" t="s">
        <v>1671</v>
      </c>
      <c r="D670" s="31" t="s">
        <v>1720</v>
      </c>
      <c r="E670" s="77">
        <v>45578</v>
      </c>
    </row>
    <row r="671" spans="1:6" ht="28.5" x14ac:dyDescent="0.2">
      <c r="A671" s="53">
        <v>671</v>
      </c>
      <c r="B671" s="106" t="s">
        <v>853</v>
      </c>
      <c r="C671" s="31" t="s">
        <v>1674</v>
      </c>
      <c r="D671" s="31" t="s">
        <v>1682</v>
      </c>
      <c r="E671" s="77">
        <v>45578</v>
      </c>
    </row>
    <row r="672" spans="1:6" ht="28.5" x14ac:dyDescent="0.2">
      <c r="A672" s="53">
        <v>672</v>
      </c>
      <c r="B672" s="106" t="s">
        <v>853</v>
      </c>
      <c r="C672" s="31" t="s">
        <v>1675</v>
      </c>
      <c r="D672" s="31" t="s">
        <v>1682</v>
      </c>
      <c r="E672" s="77">
        <v>45578</v>
      </c>
    </row>
    <row r="673" spans="1:8" ht="28.5" x14ac:dyDescent="0.2">
      <c r="A673" s="53">
        <v>673</v>
      </c>
      <c r="B673" s="106" t="s">
        <v>424</v>
      </c>
      <c r="C673" s="31" t="s">
        <v>1676</v>
      </c>
      <c r="D673" s="31" t="s">
        <v>1721</v>
      </c>
      <c r="E673" s="77">
        <v>45578</v>
      </c>
    </row>
    <row r="674" spans="1:8" ht="28.5" x14ac:dyDescent="0.2">
      <c r="A674" s="53">
        <v>674</v>
      </c>
      <c r="B674" s="106" t="s">
        <v>853</v>
      </c>
      <c r="C674" s="31" t="s">
        <v>1677</v>
      </c>
      <c r="D674" s="31" t="s">
        <v>1603</v>
      </c>
      <c r="E674" s="77">
        <v>45578</v>
      </c>
    </row>
    <row r="675" spans="1:8" ht="28.5" x14ac:dyDescent="0.2">
      <c r="A675" s="53">
        <v>675</v>
      </c>
      <c r="B675" s="106" t="s">
        <v>1189</v>
      </c>
      <c r="C675" s="31" t="s">
        <v>1678</v>
      </c>
      <c r="D675" s="31" t="s">
        <v>1733</v>
      </c>
      <c r="E675" s="77">
        <v>45578</v>
      </c>
    </row>
    <row r="676" spans="1:8" ht="28.5" x14ac:dyDescent="0.2">
      <c r="A676" s="53">
        <v>676</v>
      </c>
      <c r="B676" s="106" t="s">
        <v>422</v>
      </c>
      <c r="C676" s="31" t="s">
        <v>1679</v>
      </c>
      <c r="D676" s="31" t="s">
        <v>1722</v>
      </c>
      <c r="E676" s="77">
        <v>45578</v>
      </c>
    </row>
    <row r="677" spans="1:8" ht="28.5" x14ac:dyDescent="0.2">
      <c r="A677" s="53">
        <v>677</v>
      </c>
      <c r="B677" s="106" t="s">
        <v>1181</v>
      </c>
      <c r="C677" s="31" t="s">
        <v>1680</v>
      </c>
      <c r="D677" s="31" t="s">
        <v>1683</v>
      </c>
      <c r="E677" s="77">
        <v>45578</v>
      </c>
    </row>
    <row r="678" spans="1:8" ht="42.75" x14ac:dyDescent="0.2">
      <c r="A678" s="53">
        <v>678</v>
      </c>
      <c r="B678" s="106" t="s">
        <v>853</v>
      </c>
      <c r="C678" s="31" t="s">
        <v>1685</v>
      </c>
      <c r="D678" s="31" t="s">
        <v>1691</v>
      </c>
      <c r="E678" s="77">
        <v>45613</v>
      </c>
      <c r="F678" s="82" t="s">
        <v>1694</v>
      </c>
    </row>
    <row r="679" spans="1:8" ht="28.5" x14ac:dyDescent="0.2">
      <c r="A679" s="53">
        <v>679</v>
      </c>
      <c r="B679" s="106" t="s">
        <v>853</v>
      </c>
      <c r="C679" s="31" t="s">
        <v>1686</v>
      </c>
      <c r="D679" s="31" t="s">
        <v>1692</v>
      </c>
      <c r="E679" s="77">
        <v>45613</v>
      </c>
    </row>
    <row r="680" spans="1:8" ht="28.5" x14ac:dyDescent="0.2">
      <c r="A680" s="53">
        <v>680</v>
      </c>
      <c r="B680" s="106" t="s">
        <v>1180</v>
      </c>
      <c r="C680" s="31" t="s">
        <v>1687</v>
      </c>
      <c r="D680" s="31" t="s">
        <v>1693</v>
      </c>
      <c r="E680" s="77">
        <v>45613</v>
      </c>
    </row>
    <row r="681" spans="1:8" ht="28.5" x14ac:dyDescent="0.2">
      <c r="A681" s="53">
        <v>681</v>
      </c>
      <c r="B681" s="106" t="s">
        <v>440</v>
      </c>
      <c r="C681" s="31" t="s">
        <v>1743</v>
      </c>
      <c r="D681" s="31" t="s">
        <v>1701</v>
      </c>
      <c r="E681" s="77">
        <v>45627</v>
      </c>
      <c r="F681" s="82" t="s">
        <v>1700</v>
      </c>
    </row>
    <row r="682" spans="1:8" ht="28.5" x14ac:dyDescent="0.2">
      <c r="A682" s="53">
        <v>682</v>
      </c>
      <c r="B682" s="106" t="s">
        <v>414</v>
      </c>
      <c r="C682" s="31" t="s">
        <v>1688</v>
      </c>
      <c r="D682" s="31" t="s">
        <v>1744</v>
      </c>
      <c r="E682" s="77">
        <v>45627</v>
      </c>
    </row>
    <row r="683" spans="1:8" ht="42.75" x14ac:dyDescent="0.2">
      <c r="A683" s="53">
        <v>683</v>
      </c>
      <c r="B683" s="106" t="s">
        <v>418</v>
      </c>
      <c r="C683" s="31" t="s">
        <v>1689</v>
      </c>
      <c r="D683" s="31" t="s">
        <v>1734</v>
      </c>
      <c r="E683" s="77">
        <v>45613</v>
      </c>
      <c r="G683" s="84" t="s">
        <v>1092</v>
      </c>
      <c r="H683" s="124">
        <v>45599</v>
      </c>
    </row>
    <row r="684" spans="1:8" ht="28.5" x14ac:dyDescent="0.2">
      <c r="A684" s="53">
        <v>684</v>
      </c>
      <c r="B684" s="106" t="s">
        <v>1180</v>
      </c>
      <c r="C684" s="31" t="s">
        <v>1745</v>
      </c>
      <c r="D684" s="31" t="s">
        <v>1746</v>
      </c>
      <c r="E684" s="77">
        <v>45627</v>
      </c>
    </row>
    <row r="685" spans="1:8" ht="28.5" x14ac:dyDescent="0.2">
      <c r="A685" s="53">
        <v>685</v>
      </c>
      <c r="B685" s="106" t="s">
        <v>414</v>
      </c>
      <c r="C685" s="31" t="s">
        <v>1742</v>
      </c>
      <c r="D685" s="31" t="s">
        <v>1747</v>
      </c>
      <c r="E685" s="77">
        <v>45627</v>
      </c>
    </row>
    <row r="686" spans="1:8" ht="28.5" x14ac:dyDescent="0.2">
      <c r="A686" s="53">
        <v>686</v>
      </c>
      <c r="B686" s="106" t="s">
        <v>853</v>
      </c>
      <c r="C686" s="31" t="s">
        <v>1690</v>
      </c>
      <c r="D686" s="31" t="s">
        <v>1748</v>
      </c>
      <c r="E686" s="77">
        <v>45627</v>
      </c>
    </row>
    <row r="687" spans="1:8" ht="18" x14ac:dyDescent="0.2">
      <c r="A687" s="53">
        <v>687</v>
      </c>
      <c r="B687" s="106" t="s">
        <v>425</v>
      </c>
      <c r="C687" s="31" t="s">
        <v>1749</v>
      </c>
      <c r="D687" s="31" t="s">
        <v>1750</v>
      </c>
      <c r="E687" s="77">
        <v>45627</v>
      </c>
    </row>
    <row r="688" spans="1:8" ht="28.5" x14ac:dyDescent="0.2">
      <c r="A688" s="53">
        <v>688</v>
      </c>
      <c r="B688" s="106" t="s">
        <v>853</v>
      </c>
      <c r="C688" s="31" t="s">
        <v>1751</v>
      </c>
      <c r="D688" s="31" t="s">
        <v>1702</v>
      </c>
      <c r="E688" s="77">
        <v>45627</v>
      </c>
    </row>
    <row r="689" spans="1:6" ht="28.5" x14ac:dyDescent="0.2">
      <c r="A689" s="53">
        <v>689</v>
      </c>
      <c r="B689" s="106" t="s">
        <v>853</v>
      </c>
      <c r="C689" s="31" t="s">
        <v>1695</v>
      </c>
      <c r="D689" s="31" t="s">
        <v>1703</v>
      </c>
      <c r="E689" s="77">
        <v>45627</v>
      </c>
    </row>
    <row r="690" spans="1:6" ht="18" x14ac:dyDescent="0.2">
      <c r="A690" s="53">
        <v>690</v>
      </c>
      <c r="B690" s="106" t="s">
        <v>417</v>
      </c>
      <c r="C690" s="31" t="s">
        <v>1696</v>
      </c>
      <c r="D690" s="31" t="s">
        <v>1752</v>
      </c>
      <c r="E690" s="77">
        <v>45627</v>
      </c>
    </row>
    <row r="691" spans="1:6" ht="28.5" x14ac:dyDescent="0.2">
      <c r="A691" s="53">
        <v>691</v>
      </c>
      <c r="B691" s="106" t="s">
        <v>874</v>
      </c>
      <c r="C691" s="31" t="s">
        <v>1697</v>
      </c>
      <c r="D691" s="31" t="s">
        <v>1753</v>
      </c>
      <c r="E691" s="77">
        <v>45627</v>
      </c>
    </row>
    <row r="692" spans="1:6" ht="18" x14ac:dyDescent="0.2">
      <c r="A692" s="53">
        <v>692</v>
      </c>
      <c r="B692" s="106" t="s">
        <v>486</v>
      </c>
      <c r="C692" s="31" t="s">
        <v>1698</v>
      </c>
      <c r="D692" s="31" t="s">
        <v>1631</v>
      </c>
      <c r="E692" s="77">
        <v>45627</v>
      </c>
    </row>
    <row r="693" spans="1:6" ht="42.75" x14ac:dyDescent="0.2">
      <c r="A693" s="53">
        <v>693</v>
      </c>
      <c r="B693" s="106" t="s">
        <v>1189</v>
      </c>
      <c r="C693" s="31" t="s">
        <v>1699</v>
      </c>
      <c r="D693" s="31" t="s">
        <v>1754</v>
      </c>
      <c r="E693" s="77">
        <v>45627</v>
      </c>
    </row>
    <row r="694" spans="1:6" ht="28.5" x14ac:dyDescent="0.2">
      <c r="A694" s="53">
        <v>694</v>
      </c>
      <c r="B694" s="106" t="s">
        <v>750</v>
      </c>
      <c r="C694" s="31" t="s">
        <v>1755</v>
      </c>
      <c r="D694" s="57" t="s">
        <v>1756</v>
      </c>
      <c r="E694" s="77">
        <v>45627</v>
      </c>
    </row>
    <row r="695" spans="1:6" ht="18" x14ac:dyDescent="0.2">
      <c r="A695" s="53">
        <v>695</v>
      </c>
      <c r="B695" s="106" t="s">
        <v>486</v>
      </c>
      <c r="C695" s="31" t="s">
        <v>1757</v>
      </c>
      <c r="D695" s="31" t="s">
        <v>1777</v>
      </c>
      <c r="E695" s="77">
        <v>45669</v>
      </c>
      <c r="F695" s="82" t="s">
        <v>1732</v>
      </c>
    </row>
    <row r="696" spans="1:6" ht="18" x14ac:dyDescent="0.2">
      <c r="A696" s="53">
        <v>696</v>
      </c>
      <c r="B696" s="106" t="s">
        <v>440</v>
      </c>
      <c r="C696" s="31" t="s">
        <v>1758</v>
      </c>
      <c r="D696" s="31" t="s">
        <v>1759</v>
      </c>
      <c r="E696" s="77">
        <v>45669</v>
      </c>
    </row>
    <row r="697" spans="1:6" ht="18" x14ac:dyDescent="0.2">
      <c r="A697" s="53">
        <v>697</v>
      </c>
      <c r="B697" s="106" t="s">
        <v>853</v>
      </c>
      <c r="C697" s="31" t="s">
        <v>1723</v>
      </c>
      <c r="D697" s="31" t="s">
        <v>1778</v>
      </c>
      <c r="E697" s="77">
        <v>45669</v>
      </c>
    </row>
    <row r="698" spans="1:6" ht="42.75" x14ac:dyDescent="0.2">
      <c r="A698" s="53">
        <v>698</v>
      </c>
      <c r="B698" s="106" t="s">
        <v>422</v>
      </c>
      <c r="C698" s="31" t="s">
        <v>1760</v>
      </c>
      <c r="D698" s="31" t="s">
        <v>1761</v>
      </c>
      <c r="E698" s="77">
        <v>45669</v>
      </c>
    </row>
    <row r="699" spans="1:6" ht="28.5" x14ac:dyDescent="0.2">
      <c r="A699" s="53">
        <v>699</v>
      </c>
      <c r="B699" s="106" t="s">
        <v>853</v>
      </c>
      <c r="C699" s="31" t="s">
        <v>1724</v>
      </c>
      <c r="D699" s="31" t="s">
        <v>1762</v>
      </c>
      <c r="E699" s="77">
        <v>45669</v>
      </c>
    </row>
    <row r="700" spans="1:6" ht="28.5" x14ac:dyDescent="0.2">
      <c r="A700" s="53">
        <v>700</v>
      </c>
      <c r="B700" s="106" t="s">
        <v>418</v>
      </c>
      <c r="C700" s="31" t="s">
        <v>1725</v>
      </c>
      <c r="D700" s="31" t="s">
        <v>1787</v>
      </c>
      <c r="E700" s="77">
        <v>45669</v>
      </c>
    </row>
    <row r="701" spans="1:6" ht="18" x14ac:dyDescent="0.2">
      <c r="A701" s="53">
        <v>701</v>
      </c>
      <c r="B701" s="106" t="s">
        <v>440</v>
      </c>
      <c r="C701" s="31" t="s">
        <v>1726</v>
      </c>
      <c r="D701" s="31" t="s">
        <v>1788</v>
      </c>
      <c r="E701" s="77">
        <v>45669</v>
      </c>
    </row>
    <row r="702" spans="1:6" ht="28.5" x14ac:dyDescent="0.2">
      <c r="A702" s="53">
        <v>702</v>
      </c>
      <c r="B702" s="106" t="s">
        <v>874</v>
      </c>
      <c r="C702" s="31" t="s">
        <v>1727</v>
      </c>
      <c r="D702" s="31" t="s">
        <v>1789</v>
      </c>
      <c r="E702" s="77">
        <v>45669</v>
      </c>
    </row>
    <row r="703" spans="1:6" ht="28.5" x14ac:dyDescent="0.2">
      <c r="A703" s="53">
        <v>703</v>
      </c>
      <c r="B703" s="106" t="s">
        <v>440</v>
      </c>
      <c r="C703" s="31" t="s">
        <v>1790</v>
      </c>
      <c r="D703" s="31" t="s">
        <v>1791</v>
      </c>
      <c r="E703" s="77">
        <v>45683</v>
      </c>
      <c r="F703" s="82" t="s">
        <v>1739</v>
      </c>
    </row>
    <row r="704" spans="1:6" ht="28.5" x14ac:dyDescent="0.2">
      <c r="A704" s="53">
        <v>704</v>
      </c>
      <c r="B704" s="106" t="s">
        <v>422</v>
      </c>
      <c r="C704" s="31" t="s">
        <v>1728</v>
      </c>
      <c r="D704" s="31" t="s">
        <v>1792</v>
      </c>
      <c r="E704" s="77">
        <v>45683</v>
      </c>
    </row>
    <row r="705" spans="1:6" ht="28.5" x14ac:dyDescent="0.2">
      <c r="A705" s="53">
        <v>705</v>
      </c>
      <c r="B705" s="106" t="s">
        <v>415</v>
      </c>
      <c r="C705" s="31" t="s">
        <v>1729</v>
      </c>
      <c r="D705" s="31" t="s">
        <v>1793</v>
      </c>
      <c r="E705" s="77">
        <v>45683</v>
      </c>
    </row>
    <row r="706" spans="1:6" ht="28.5" x14ac:dyDescent="0.2">
      <c r="A706" s="53">
        <v>706</v>
      </c>
      <c r="B706" s="106" t="s">
        <v>415</v>
      </c>
      <c r="C706" s="31" t="s">
        <v>1794</v>
      </c>
      <c r="D706" s="31" t="s">
        <v>1795</v>
      </c>
      <c r="E706" s="77">
        <v>45683</v>
      </c>
    </row>
    <row r="707" spans="1:6" ht="18" x14ac:dyDescent="0.2">
      <c r="A707" s="53">
        <v>707</v>
      </c>
      <c r="B707" s="106" t="s">
        <v>440</v>
      </c>
      <c r="C707" s="31" t="s">
        <v>1730</v>
      </c>
      <c r="D707" s="31" t="s">
        <v>1796</v>
      </c>
      <c r="E707" s="77">
        <v>45683</v>
      </c>
    </row>
    <row r="708" spans="1:6" ht="28.5" x14ac:dyDescent="0.2">
      <c r="A708" s="53">
        <v>708</v>
      </c>
      <c r="B708" s="106" t="s">
        <v>874</v>
      </c>
      <c r="C708" s="31" t="s">
        <v>1731</v>
      </c>
      <c r="D708" s="31" t="s">
        <v>1797</v>
      </c>
      <c r="E708" s="77">
        <v>45683</v>
      </c>
    </row>
    <row r="709" spans="1:6" ht="18" x14ac:dyDescent="0.2">
      <c r="A709" s="53">
        <v>709</v>
      </c>
      <c r="B709" s="106" t="s">
        <v>853</v>
      </c>
      <c r="C709" s="31" t="s">
        <v>1735</v>
      </c>
      <c r="D709" s="31" t="s">
        <v>1707</v>
      </c>
      <c r="E709" s="77">
        <v>45683</v>
      </c>
    </row>
    <row r="710" spans="1:6" ht="28.5" x14ac:dyDescent="0.2">
      <c r="A710" s="53">
        <v>710</v>
      </c>
      <c r="B710" s="106" t="s">
        <v>853</v>
      </c>
      <c r="C710" s="31" t="s">
        <v>1798</v>
      </c>
      <c r="D710" s="31" t="s">
        <v>1799</v>
      </c>
      <c r="E710" s="77">
        <v>45683</v>
      </c>
    </row>
    <row r="711" spans="1:6" ht="28.5" x14ac:dyDescent="0.2">
      <c r="A711" s="53">
        <v>711</v>
      </c>
      <c r="B711" s="106" t="s">
        <v>415</v>
      </c>
      <c r="C711" s="31" t="s">
        <v>1736</v>
      </c>
      <c r="D711" s="31" t="s">
        <v>1800</v>
      </c>
      <c r="E711" s="77">
        <v>45683</v>
      </c>
    </row>
    <row r="712" spans="1:6" ht="28.5" x14ac:dyDescent="0.2">
      <c r="A712" s="53">
        <v>712</v>
      </c>
      <c r="B712" s="106" t="s">
        <v>415</v>
      </c>
      <c r="C712" s="31" t="s">
        <v>1737</v>
      </c>
      <c r="D712" s="31" t="s">
        <v>1801</v>
      </c>
      <c r="E712" s="77">
        <v>45683</v>
      </c>
    </row>
    <row r="713" spans="1:6" ht="18" x14ac:dyDescent="0.2">
      <c r="A713" s="53">
        <v>713</v>
      </c>
      <c r="B713" s="106" t="s">
        <v>853</v>
      </c>
      <c r="C713" s="31" t="s">
        <v>1738</v>
      </c>
      <c r="D713" s="31" t="s">
        <v>1740</v>
      </c>
      <c r="E713" s="77">
        <v>45683</v>
      </c>
    </row>
    <row r="714" spans="1:6" ht="28.5" x14ac:dyDescent="0.2">
      <c r="A714" s="53">
        <v>714</v>
      </c>
      <c r="B714" s="106" t="s">
        <v>422</v>
      </c>
      <c r="C714" s="31" t="s">
        <v>1802</v>
      </c>
      <c r="D714" s="31" t="s">
        <v>1803</v>
      </c>
      <c r="E714" s="77">
        <v>45683</v>
      </c>
    </row>
    <row r="715" spans="1:6" ht="18" x14ac:dyDescent="0.2">
      <c r="A715" s="53">
        <v>715</v>
      </c>
      <c r="B715" s="106" t="s">
        <v>1180</v>
      </c>
      <c r="C715" s="31" t="s">
        <v>1806</v>
      </c>
      <c r="D715" s="31" t="s">
        <v>1804</v>
      </c>
      <c r="E715" s="77">
        <v>45683</v>
      </c>
    </row>
    <row r="716" spans="1:6" ht="18" x14ac:dyDescent="0.2">
      <c r="A716" s="53">
        <v>716</v>
      </c>
      <c r="B716" s="106" t="s">
        <v>853</v>
      </c>
      <c r="C716" s="31" t="s">
        <v>1805</v>
      </c>
      <c r="D716" s="31" t="s">
        <v>1707</v>
      </c>
      <c r="E716" s="77">
        <v>45683</v>
      </c>
    </row>
    <row r="717" spans="1:6" ht="28.5" x14ac:dyDescent="0.2">
      <c r="A717" s="53">
        <v>717</v>
      </c>
      <c r="B717" s="106" t="s">
        <v>1181</v>
      </c>
      <c r="C717" s="31" t="s">
        <v>1813</v>
      </c>
      <c r="D717" s="31" t="s">
        <v>1814</v>
      </c>
      <c r="E717" s="77">
        <v>45739</v>
      </c>
      <c r="F717" s="82" t="s">
        <v>1739</v>
      </c>
    </row>
    <row r="718" spans="1:6" ht="28.5" x14ac:dyDescent="0.2">
      <c r="A718" s="53">
        <v>718</v>
      </c>
      <c r="B718" s="106" t="s">
        <v>440</v>
      </c>
      <c r="C718" s="31" t="s">
        <v>1763</v>
      </c>
      <c r="D718" s="31" t="s">
        <v>1815</v>
      </c>
      <c r="E718" s="77">
        <v>45739</v>
      </c>
    </row>
    <row r="719" spans="1:6" ht="28.5" x14ac:dyDescent="0.2">
      <c r="A719" s="53">
        <v>719</v>
      </c>
      <c r="B719" s="106" t="s">
        <v>1765</v>
      </c>
      <c r="C719" s="31" t="s">
        <v>1764</v>
      </c>
      <c r="D719" s="31" t="s">
        <v>1816</v>
      </c>
      <c r="E719" s="77">
        <v>45739</v>
      </c>
    </row>
    <row r="720" spans="1:6" ht="18" x14ac:dyDescent="0.2">
      <c r="A720" s="53">
        <v>720</v>
      </c>
      <c r="B720" s="106" t="s">
        <v>414</v>
      </c>
      <c r="C720" s="31" t="s">
        <v>1817</v>
      </c>
      <c r="D720" s="31" t="s">
        <v>1818</v>
      </c>
      <c r="E720" s="77">
        <v>45739</v>
      </c>
    </row>
    <row r="721" spans="1:5" ht="28.5" x14ac:dyDescent="0.2">
      <c r="A721" s="53">
        <v>721</v>
      </c>
      <c r="B721" s="106" t="s">
        <v>874</v>
      </c>
      <c r="C721" s="31" t="s">
        <v>1819</v>
      </c>
      <c r="D721" s="31" t="s">
        <v>1820</v>
      </c>
      <c r="E721" s="77">
        <v>45739</v>
      </c>
    </row>
    <row r="722" spans="1:5" ht="28.5" x14ac:dyDescent="0.2">
      <c r="A722" s="53">
        <v>722</v>
      </c>
      <c r="B722" s="106" t="s">
        <v>1189</v>
      </c>
      <c r="C722" s="31" t="s">
        <v>1821</v>
      </c>
      <c r="D722" s="31" t="s">
        <v>1822</v>
      </c>
      <c r="E722" s="77">
        <v>45739</v>
      </c>
    </row>
    <row r="723" spans="1:5" ht="42.75" x14ac:dyDescent="0.2">
      <c r="A723" s="53">
        <v>723</v>
      </c>
      <c r="B723" s="106" t="s">
        <v>874</v>
      </c>
      <c r="C723" s="31" t="s">
        <v>1824</v>
      </c>
      <c r="D723" s="31" t="s">
        <v>1825</v>
      </c>
      <c r="E723" s="77">
        <v>45739</v>
      </c>
    </row>
    <row r="724" spans="1:5" ht="18" x14ac:dyDescent="0.2">
      <c r="A724" s="53">
        <v>724</v>
      </c>
      <c r="B724" s="106" t="s">
        <v>853</v>
      </c>
      <c r="C724" s="31" t="s">
        <v>1766</v>
      </c>
      <c r="D724" s="31" t="s">
        <v>1418</v>
      </c>
      <c r="E724" s="77">
        <v>45739</v>
      </c>
    </row>
    <row r="725" spans="1:5" ht="42.75" x14ac:dyDescent="0.2">
      <c r="A725" s="53">
        <v>725</v>
      </c>
      <c r="B725" s="106" t="s">
        <v>853</v>
      </c>
      <c r="C725" s="31" t="s">
        <v>1826</v>
      </c>
      <c r="D725" s="31" t="s">
        <v>1844</v>
      </c>
      <c r="E725" s="77">
        <v>45739</v>
      </c>
    </row>
    <row r="726" spans="1:5" ht="18" x14ac:dyDescent="0.2">
      <c r="A726" s="53">
        <v>726</v>
      </c>
      <c r="B726" s="106" t="s">
        <v>422</v>
      </c>
      <c r="C726" s="31" t="s">
        <v>1767</v>
      </c>
      <c r="D726" s="31" t="s">
        <v>1845</v>
      </c>
      <c r="E726" s="77">
        <v>45739</v>
      </c>
    </row>
    <row r="727" spans="1:5" ht="28.5" x14ac:dyDescent="0.2">
      <c r="A727" s="53">
        <v>727</v>
      </c>
      <c r="B727" s="106" t="s">
        <v>440</v>
      </c>
      <c r="C727" s="31" t="s">
        <v>1846</v>
      </c>
      <c r="D727" s="31" t="s">
        <v>1847</v>
      </c>
      <c r="E727" s="77">
        <v>45739</v>
      </c>
    </row>
    <row r="728" spans="1:5" ht="28.5" x14ac:dyDescent="0.2">
      <c r="A728" s="53">
        <v>728</v>
      </c>
      <c r="B728" s="106" t="s">
        <v>455</v>
      </c>
      <c r="C728" s="31" t="s">
        <v>1768</v>
      </c>
      <c r="D728" s="31" t="s">
        <v>1848</v>
      </c>
      <c r="E728" s="77">
        <v>45739</v>
      </c>
    </row>
    <row r="729" spans="1:5" ht="28.5" x14ac:dyDescent="0.2">
      <c r="A729" s="53">
        <v>729</v>
      </c>
      <c r="B729" s="106" t="s">
        <v>200</v>
      </c>
      <c r="C729" s="31" t="s">
        <v>1769</v>
      </c>
      <c r="D729" s="31" t="s">
        <v>1849</v>
      </c>
      <c r="E729" s="77">
        <v>45739</v>
      </c>
    </row>
    <row r="730" spans="1:5" ht="28.5" x14ac:dyDescent="0.2">
      <c r="A730" s="53">
        <v>730</v>
      </c>
      <c r="B730" s="106" t="s">
        <v>853</v>
      </c>
      <c r="C730" s="31" t="s">
        <v>1770</v>
      </c>
      <c r="D730" s="31" t="s">
        <v>1850</v>
      </c>
      <c r="E730" s="77">
        <v>45739</v>
      </c>
    </row>
    <row r="731" spans="1:5" ht="28.5" x14ac:dyDescent="0.2">
      <c r="A731" s="53">
        <v>731</v>
      </c>
      <c r="B731" s="106" t="s">
        <v>418</v>
      </c>
      <c r="C731" s="31" t="s">
        <v>1771</v>
      </c>
      <c r="D731" s="31" t="s">
        <v>1851</v>
      </c>
      <c r="E731" s="77">
        <v>45739</v>
      </c>
    </row>
    <row r="732" spans="1:5" ht="28.5" x14ac:dyDescent="0.2">
      <c r="A732" s="53">
        <v>732</v>
      </c>
      <c r="B732" s="106" t="s">
        <v>853</v>
      </c>
      <c r="C732" s="31" t="s">
        <v>1852</v>
      </c>
      <c r="D732" s="31" t="s">
        <v>1853</v>
      </c>
      <c r="E732" s="77">
        <v>45739</v>
      </c>
    </row>
    <row r="733" spans="1:5" ht="18" x14ac:dyDescent="0.2">
      <c r="A733" s="53">
        <v>733</v>
      </c>
      <c r="B733" s="106" t="s">
        <v>440</v>
      </c>
      <c r="C733" s="31" t="s">
        <v>1772</v>
      </c>
      <c r="D733" s="31" t="s">
        <v>1854</v>
      </c>
      <c r="E733" s="77">
        <v>45739</v>
      </c>
    </row>
    <row r="734" spans="1:5" ht="28.5" x14ac:dyDescent="0.2">
      <c r="A734" s="53">
        <v>734</v>
      </c>
      <c r="B734" s="106" t="s">
        <v>200</v>
      </c>
      <c r="C734" s="31" t="s">
        <v>1779</v>
      </c>
      <c r="D734" s="31" t="s">
        <v>1855</v>
      </c>
      <c r="E734" s="77">
        <v>45739</v>
      </c>
    </row>
    <row r="735" spans="1:5" ht="28.5" x14ac:dyDescent="0.2">
      <c r="A735" s="53">
        <v>735</v>
      </c>
      <c r="B735" s="106" t="s">
        <v>200</v>
      </c>
      <c r="C735" s="31" t="s">
        <v>1779</v>
      </c>
      <c r="D735" s="31" t="s">
        <v>1855</v>
      </c>
      <c r="E735" s="77">
        <v>45739</v>
      </c>
    </row>
    <row r="736" spans="1:5" ht="28.5" x14ac:dyDescent="0.2">
      <c r="A736" s="53">
        <v>736</v>
      </c>
      <c r="B736" s="106" t="s">
        <v>200</v>
      </c>
      <c r="C736" s="31" t="s">
        <v>1780</v>
      </c>
      <c r="D736" s="31" t="s">
        <v>1849</v>
      </c>
      <c r="E736" s="77">
        <v>45739</v>
      </c>
    </row>
    <row r="737" spans="1:6" ht="18" x14ac:dyDescent="0.2">
      <c r="A737" s="53">
        <v>737</v>
      </c>
      <c r="B737" s="106" t="s">
        <v>415</v>
      </c>
      <c r="C737" s="31" t="s">
        <v>1807</v>
      </c>
      <c r="D737" s="31" t="s">
        <v>1784</v>
      </c>
      <c r="E737" s="77">
        <v>45739</v>
      </c>
    </row>
    <row r="738" spans="1:6" ht="18" x14ac:dyDescent="0.2">
      <c r="A738" s="53">
        <v>738</v>
      </c>
      <c r="B738" s="106" t="s">
        <v>440</v>
      </c>
      <c r="C738" s="31" t="s">
        <v>1781</v>
      </c>
      <c r="D738" s="31" t="s">
        <v>1785</v>
      </c>
      <c r="E738" s="77">
        <v>45739</v>
      </c>
    </row>
    <row r="739" spans="1:6" ht="18" x14ac:dyDescent="0.2">
      <c r="A739" s="53">
        <v>739</v>
      </c>
      <c r="B739" s="106" t="s">
        <v>422</v>
      </c>
      <c r="C739" s="31" t="s">
        <v>1782</v>
      </c>
      <c r="D739" s="31" t="s">
        <v>1784</v>
      </c>
      <c r="E739" s="77">
        <v>45739</v>
      </c>
    </row>
    <row r="740" spans="1:6" ht="28.5" x14ac:dyDescent="0.2">
      <c r="A740" s="53">
        <v>740</v>
      </c>
      <c r="B740" s="106" t="s">
        <v>1741</v>
      </c>
      <c r="C740" s="31" t="s">
        <v>1860</v>
      </c>
      <c r="D740" s="31" t="s">
        <v>1786</v>
      </c>
      <c r="E740" s="77">
        <v>45739</v>
      </c>
    </row>
    <row r="741" spans="1:6" ht="28.5" x14ac:dyDescent="0.2">
      <c r="A741" s="53">
        <v>741</v>
      </c>
      <c r="B741" s="106" t="s">
        <v>853</v>
      </c>
      <c r="C741" s="31" t="s">
        <v>1783</v>
      </c>
      <c r="D741" s="31" t="s">
        <v>1808</v>
      </c>
      <c r="E741" s="77">
        <v>45739</v>
      </c>
    </row>
    <row r="742" spans="1:6" ht="42.75" x14ac:dyDescent="0.2">
      <c r="A742" s="53">
        <v>742</v>
      </c>
      <c r="B742" s="106" t="s">
        <v>1189</v>
      </c>
      <c r="C742" s="31" t="s">
        <v>1809</v>
      </c>
      <c r="D742" s="31" t="s">
        <v>1810</v>
      </c>
      <c r="E742" s="77">
        <v>45739</v>
      </c>
    </row>
    <row r="743" spans="1:6" ht="28.5" x14ac:dyDescent="0.2">
      <c r="A743" s="53">
        <v>743</v>
      </c>
      <c r="B743" s="106" t="s">
        <v>1189</v>
      </c>
      <c r="C743" s="31" t="s">
        <v>1811</v>
      </c>
      <c r="D743" s="31" t="s">
        <v>1812</v>
      </c>
      <c r="E743" s="77">
        <v>45739</v>
      </c>
    </row>
    <row r="744" spans="1:6" ht="28.5" x14ac:dyDescent="0.2">
      <c r="A744" s="53">
        <v>744</v>
      </c>
      <c r="B744" s="106" t="s">
        <v>440</v>
      </c>
      <c r="C744" s="31" t="s">
        <v>1823</v>
      </c>
      <c r="D744" s="31" t="s">
        <v>1861</v>
      </c>
      <c r="E744" s="77">
        <v>45818</v>
      </c>
      <c r="F744" s="82" t="s">
        <v>1859</v>
      </c>
    </row>
    <row r="745" spans="1:6" ht="28.5" x14ac:dyDescent="0.2">
      <c r="A745" s="53">
        <v>745</v>
      </c>
      <c r="B745" s="106" t="s">
        <v>853</v>
      </c>
      <c r="C745" s="31" t="s">
        <v>1856</v>
      </c>
      <c r="D745" s="31" t="s">
        <v>1862</v>
      </c>
      <c r="E745" s="77">
        <v>45818</v>
      </c>
    </row>
    <row r="746" spans="1:6" ht="18" x14ac:dyDescent="0.2">
      <c r="A746" s="53">
        <v>746</v>
      </c>
      <c r="B746" s="106" t="s">
        <v>440</v>
      </c>
      <c r="C746" s="31" t="s">
        <v>1863</v>
      </c>
      <c r="D746" s="31" t="s">
        <v>1864</v>
      </c>
      <c r="E746" s="77">
        <v>45818</v>
      </c>
    </row>
    <row r="747" spans="1:6" ht="42.75" x14ac:dyDescent="0.2">
      <c r="A747" s="53">
        <v>747</v>
      </c>
      <c r="B747" s="106" t="s">
        <v>702</v>
      </c>
      <c r="C747" s="31" t="s">
        <v>1827</v>
      </c>
      <c r="D747" s="31" t="s">
        <v>1866</v>
      </c>
      <c r="E747" s="77">
        <v>45818</v>
      </c>
    </row>
    <row r="748" spans="1:6" ht="42.75" x14ac:dyDescent="0.2">
      <c r="A748" s="53">
        <v>748</v>
      </c>
      <c r="B748" s="106" t="s">
        <v>853</v>
      </c>
      <c r="C748" s="31" t="s">
        <v>1828</v>
      </c>
      <c r="D748" s="31" t="s">
        <v>1865</v>
      </c>
      <c r="E748" s="77">
        <v>45818</v>
      </c>
    </row>
    <row r="749" spans="1:6" ht="18" x14ac:dyDescent="0.2">
      <c r="A749" s="53">
        <v>749</v>
      </c>
      <c r="B749" s="106" t="s">
        <v>853</v>
      </c>
      <c r="C749" s="31" t="s">
        <v>1829</v>
      </c>
      <c r="D749" s="31" t="s">
        <v>1895</v>
      </c>
      <c r="E749" s="77">
        <v>45818</v>
      </c>
    </row>
    <row r="750" spans="1:6" ht="28.5" x14ac:dyDescent="0.2">
      <c r="A750" s="53">
        <v>750</v>
      </c>
      <c r="B750" s="106" t="s">
        <v>440</v>
      </c>
      <c r="C750" s="31" t="s">
        <v>1830</v>
      </c>
      <c r="D750" s="31" t="s">
        <v>1896</v>
      </c>
      <c r="E750" s="77">
        <v>45818</v>
      </c>
    </row>
    <row r="751" spans="1:6" ht="28.5" x14ac:dyDescent="0.2">
      <c r="A751" s="53">
        <v>751</v>
      </c>
      <c r="B751" s="106" t="s">
        <v>486</v>
      </c>
      <c r="C751" s="31" t="s">
        <v>1897</v>
      </c>
      <c r="D751" s="31" t="s">
        <v>1898</v>
      </c>
      <c r="E751" s="77">
        <v>45818</v>
      </c>
    </row>
    <row r="752" spans="1:6" ht="18" x14ac:dyDescent="0.2">
      <c r="A752" s="53">
        <v>752</v>
      </c>
      <c r="B752" s="106" t="s">
        <v>415</v>
      </c>
      <c r="C752" s="31" t="s">
        <v>1831</v>
      </c>
      <c r="D752" s="31" t="s">
        <v>1857</v>
      </c>
      <c r="E752" s="77">
        <v>45818</v>
      </c>
    </row>
    <row r="753" spans="1:5" ht="28.5" x14ac:dyDescent="0.2">
      <c r="A753" s="53">
        <v>753</v>
      </c>
      <c r="B753" s="106" t="s">
        <v>874</v>
      </c>
      <c r="C753" s="31" t="s">
        <v>1899</v>
      </c>
      <c r="D753" s="31" t="s">
        <v>1900</v>
      </c>
      <c r="E753" s="77">
        <v>45818</v>
      </c>
    </row>
    <row r="754" spans="1:5" ht="28.5" x14ac:dyDescent="0.2">
      <c r="A754" s="53">
        <v>754</v>
      </c>
      <c r="B754" s="106" t="s">
        <v>1180</v>
      </c>
      <c r="C754" s="31" t="s">
        <v>1901</v>
      </c>
      <c r="D754" s="31" t="s">
        <v>1902</v>
      </c>
      <c r="E754" s="77">
        <v>45818</v>
      </c>
    </row>
    <row r="755" spans="1:5" ht="42.75" x14ac:dyDescent="0.2">
      <c r="A755" s="53">
        <v>755</v>
      </c>
      <c r="B755" s="106" t="s">
        <v>853</v>
      </c>
      <c r="C755" s="31" t="s">
        <v>1832</v>
      </c>
      <c r="D755" s="31" t="s">
        <v>1903</v>
      </c>
      <c r="E755" s="77">
        <v>45818</v>
      </c>
    </row>
    <row r="756" spans="1:5" ht="42.75" x14ac:dyDescent="0.2">
      <c r="A756" s="53">
        <v>756</v>
      </c>
      <c r="B756" s="106" t="s">
        <v>853</v>
      </c>
      <c r="C756" s="31" t="s">
        <v>1834</v>
      </c>
      <c r="D756" s="31" t="s">
        <v>1903</v>
      </c>
      <c r="E756" s="77">
        <v>45818</v>
      </c>
    </row>
    <row r="757" spans="1:5" ht="42.75" x14ac:dyDescent="0.2">
      <c r="A757" s="53">
        <v>757</v>
      </c>
      <c r="B757" s="106" t="s">
        <v>853</v>
      </c>
      <c r="C757" s="31" t="s">
        <v>1833</v>
      </c>
      <c r="D757" s="31" t="s">
        <v>1903</v>
      </c>
      <c r="E757" s="77">
        <v>45818</v>
      </c>
    </row>
    <row r="758" spans="1:5" ht="42.75" x14ac:dyDescent="0.2">
      <c r="A758" s="53">
        <v>758</v>
      </c>
      <c r="B758" s="106" t="s">
        <v>853</v>
      </c>
      <c r="C758" s="31" t="s">
        <v>1835</v>
      </c>
      <c r="D758" s="31" t="s">
        <v>1903</v>
      </c>
      <c r="E758" s="77">
        <v>45818</v>
      </c>
    </row>
    <row r="759" spans="1:5" ht="28.5" x14ac:dyDescent="0.2">
      <c r="A759" s="53">
        <v>759</v>
      </c>
      <c r="B759" s="106" t="s">
        <v>414</v>
      </c>
      <c r="C759" s="31" t="s">
        <v>1836</v>
      </c>
      <c r="D759" s="31" t="s">
        <v>1904</v>
      </c>
      <c r="E759" s="77">
        <v>45818</v>
      </c>
    </row>
    <row r="760" spans="1:5" ht="28.5" x14ac:dyDescent="0.2">
      <c r="A760" s="53">
        <v>760</v>
      </c>
      <c r="B760" s="106" t="s">
        <v>414</v>
      </c>
      <c r="C760" s="31" t="s">
        <v>1836</v>
      </c>
      <c r="D760" s="31" t="s">
        <v>1904</v>
      </c>
      <c r="E760" s="77">
        <v>45818</v>
      </c>
    </row>
    <row r="761" spans="1:5" ht="28.5" x14ac:dyDescent="0.2">
      <c r="A761" s="53">
        <v>761</v>
      </c>
      <c r="B761" s="106" t="s">
        <v>414</v>
      </c>
      <c r="C761" s="31" t="s">
        <v>1836</v>
      </c>
      <c r="D761" s="31" t="s">
        <v>1904</v>
      </c>
      <c r="E761" s="77">
        <v>45818</v>
      </c>
    </row>
    <row r="762" spans="1:5" ht="28.5" x14ac:dyDescent="0.2">
      <c r="A762" s="53">
        <v>762</v>
      </c>
      <c r="B762" s="106" t="s">
        <v>422</v>
      </c>
      <c r="C762" s="31" t="s">
        <v>1837</v>
      </c>
      <c r="D762" s="31" t="s">
        <v>1905</v>
      </c>
      <c r="E762" s="77">
        <v>45818</v>
      </c>
    </row>
    <row r="763" spans="1:5" ht="28.5" x14ac:dyDescent="0.2">
      <c r="A763" s="53">
        <v>763</v>
      </c>
      <c r="B763" s="106" t="s">
        <v>414</v>
      </c>
      <c r="C763" s="31" t="s">
        <v>1836</v>
      </c>
      <c r="D763" s="31" t="s">
        <v>1904</v>
      </c>
      <c r="E763" s="77">
        <v>45818</v>
      </c>
    </row>
    <row r="764" spans="1:5" ht="28.5" x14ac:dyDescent="0.2">
      <c r="A764" s="53">
        <v>764</v>
      </c>
      <c r="B764" s="106" t="s">
        <v>415</v>
      </c>
      <c r="C764" s="31" t="s">
        <v>1838</v>
      </c>
      <c r="D764" s="31" t="s">
        <v>1858</v>
      </c>
      <c r="E764" s="77">
        <v>45818</v>
      </c>
    </row>
    <row r="765" spans="1:5" ht="18" x14ac:dyDescent="0.2">
      <c r="A765" s="53">
        <v>765</v>
      </c>
      <c r="B765" s="106" t="s">
        <v>440</v>
      </c>
      <c r="C765" s="31" t="s">
        <v>1839</v>
      </c>
      <c r="D765" s="31" t="s">
        <v>1932</v>
      </c>
      <c r="E765" s="77">
        <v>45818</v>
      </c>
    </row>
    <row r="766" spans="1:5" ht="28.5" x14ac:dyDescent="0.2">
      <c r="A766" s="53">
        <v>766</v>
      </c>
      <c r="B766" s="106" t="s">
        <v>853</v>
      </c>
      <c r="C766" s="31" t="s">
        <v>1840</v>
      </c>
      <c r="D766" s="31" t="s">
        <v>1933</v>
      </c>
      <c r="E766" s="77">
        <v>45818</v>
      </c>
    </row>
    <row r="767" spans="1:5" ht="18" x14ac:dyDescent="0.2">
      <c r="A767" s="53">
        <v>767</v>
      </c>
      <c r="B767" s="106" t="s">
        <v>440</v>
      </c>
      <c r="C767" s="31" t="s">
        <v>1841</v>
      </c>
      <c r="D767" s="31" t="s">
        <v>1934</v>
      </c>
      <c r="E767" s="77">
        <v>45818</v>
      </c>
    </row>
    <row r="768" spans="1:5" ht="26.25" customHeight="1" x14ac:dyDescent="0.2">
      <c r="A768" s="53">
        <v>768</v>
      </c>
      <c r="B768" s="106" t="s">
        <v>418</v>
      </c>
      <c r="C768" s="31" t="s">
        <v>1936</v>
      </c>
      <c r="D768" s="31" t="s">
        <v>1935</v>
      </c>
      <c r="E768" s="77">
        <v>45818</v>
      </c>
    </row>
    <row r="769" spans="1:8" ht="28.5" x14ac:dyDescent="0.2">
      <c r="A769" s="53">
        <v>769</v>
      </c>
      <c r="B769" s="106" t="s">
        <v>440</v>
      </c>
      <c r="C769" s="31" t="s">
        <v>1842</v>
      </c>
      <c r="D769" s="31" t="s">
        <v>1937</v>
      </c>
      <c r="E769" s="77">
        <v>45818</v>
      </c>
    </row>
    <row r="770" spans="1:8" ht="28.5" x14ac:dyDescent="0.2">
      <c r="A770" s="53">
        <v>770</v>
      </c>
      <c r="B770" s="106" t="s">
        <v>853</v>
      </c>
      <c r="C770" s="31" t="s">
        <v>1938</v>
      </c>
      <c r="D770" s="31" t="s">
        <v>1939</v>
      </c>
      <c r="E770" s="77">
        <v>45818</v>
      </c>
    </row>
    <row r="771" spans="1:8" ht="28.5" x14ac:dyDescent="0.2">
      <c r="A771" s="53">
        <v>771</v>
      </c>
      <c r="B771" s="106" t="s">
        <v>418</v>
      </c>
      <c r="C771" s="31" t="s">
        <v>1843</v>
      </c>
      <c r="D771" s="31" t="s">
        <v>1940</v>
      </c>
      <c r="E771" s="77">
        <v>45818</v>
      </c>
      <c r="G771" s="84" t="s">
        <v>1092</v>
      </c>
      <c r="H771" s="124">
        <v>45804</v>
      </c>
    </row>
    <row r="772" spans="1:8" ht="28.5" x14ac:dyDescent="0.2">
      <c r="A772" s="53">
        <v>772</v>
      </c>
      <c r="B772" s="106" t="s">
        <v>1153</v>
      </c>
      <c r="C772" s="31" t="s">
        <v>1941</v>
      </c>
      <c r="D772" s="31" t="s">
        <v>1955</v>
      </c>
      <c r="E772" s="77">
        <v>45818</v>
      </c>
    </row>
    <row r="773" spans="1:8" ht="29.25" thickBot="1" x14ac:dyDescent="0.25">
      <c r="A773" s="53">
        <v>773</v>
      </c>
      <c r="B773" s="106" t="s">
        <v>853</v>
      </c>
      <c r="C773" s="31" t="s">
        <v>1956</v>
      </c>
      <c r="D773" s="31" t="s">
        <v>1957</v>
      </c>
      <c r="E773" s="77">
        <v>45818</v>
      </c>
    </row>
    <row r="774" spans="1:8" ht="29.25" thickBot="1" x14ac:dyDescent="0.25">
      <c r="A774" s="53">
        <v>774</v>
      </c>
      <c r="B774" s="106" t="s">
        <v>422</v>
      </c>
      <c r="C774" s="125" t="s">
        <v>1872</v>
      </c>
      <c r="D774" s="125" t="s">
        <v>2023</v>
      </c>
      <c r="E774" s="77">
        <v>45837</v>
      </c>
      <c r="F774" s="82" t="s">
        <v>1876</v>
      </c>
    </row>
    <row r="775" spans="1:8" ht="29.25" thickBot="1" x14ac:dyDescent="0.25">
      <c r="A775" s="53">
        <v>775</v>
      </c>
      <c r="B775" s="106" t="s">
        <v>853</v>
      </c>
      <c r="C775" s="126" t="s">
        <v>1867</v>
      </c>
      <c r="D775" s="126" t="s">
        <v>2024</v>
      </c>
      <c r="E775" s="77">
        <v>45837</v>
      </c>
    </row>
    <row r="776" spans="1:8" ht="29.25" thickBot="1" x14ac:dyDescent="0.25">
      <c r="A776" s="53">
        <v>776</v>
      </c>
      <c r="B776" s="106" t="s">
        <v>440</v>
      </c>
      <c r="C776" s="126" t="s">
        <v>1868</v>
      </c>
      <c r="D776" s="126" t="s">
        <v>2025</v>
      </c>
      <c r="E776" s="77">
        <v>45837</v>
      </c>
    </row>
    <row r="777" spans="1:8" ht="29.25" thickBot="1" x14ac:dyDescent="0.25">
      <c r="A777" s="53">
        <v>777</v>
      </c>
      <c r="B777" s="106" t="s">
        <v>853</v>
      </c>
      <c r="C777" s="126" t="s">
        <v>2022</v>
      </c>
      <c r="D777" s="126" t="s">
        <v>2026</v>
      </c>
      <c r="E777" s="77">
        <v>45837</v>
      </c>
    </row>
    <row r="778" spans="1:8" ht="29.25" thickBot="1" x14ac:dyDescent="0.25">
      <c r="A778" s="53">
        <v>778</v>
      </c>
      <c r="B778" s="106" t="s">
        <v>415</v>
      </c>
      <c r="C778" s="126" t="s">
        <v>1869</v>
      </c>
      <c r="D778" s="126" t="s">
        <v>2027</v>
      </c>
      <c r="E778" s="77">
        <v>45837</v>
      </c>
    </row>
    <row r="779" spans="1:8" ht="29.25" thickBot="1" x14ac:dyDescent="0.25">
      <c r="A779" s="53">
        <v>779</v>
      </c>
      <c r="B779" s="106" t="s">
        <v>417</v>
      </c>
      <c r="C779" s="126" t="s">
        <v>1870</v>
      </c>
      <c r="D779" s="126" t="s">
        <v>1989</v>
      </c>
      <c r="E779" s="77">
        <v>45837</v>
      </c>
    </row>
    <row r="780" spans="1:8" ht="18.75" thickBot="1" x14ac:dyDescent="0.25">
      <c r="A780" s="53">
        <v>780</v>
      </c>
      <c r="B780" s="106" t="s">
        <v>422</v>
      </c>
      <c r="C780" s="126" t="s">
        <v>1871</v>
      </c>
      <c r="D780" s="126" t="s">
        <v>2028</v>
      </c>
      <c r="E780" s="77">
        <v>45837</v>
      </c>
    </row>
    <row r="781" spans="1:8" ht="29.25" thickBot="1" x14ac:dyDescent="0.25">
      <c r="A781" s="53">
        <v>781</v>
      </c>
      <c r="B781" s="106" t="s">
        <v>415</v>
      </c>
      <c r="C781" s="126" t="s">
        <v>2018</v>
      </c>
      <c r="D781" s="126" t="s">
        <v>2029</v>
      </c>
      <c r="E781" s="77">
        <v>45837</v>
      </c>
    </row>
    <row r="782" spans="1:8" ht="29.25" thickBot="1" x14ac:dyDescent="0.25">
      <c r="A782" s="53">
        <v>782</v>
      </c>
      <c r="B782" s="106" t="s">
        <v>853</v>
      </c>
      <c r="C782" s="126" t="s">
        <v>1873</v>
      </c>
      <c r="D782" s="126" t="s">
        <v>2030</v>
      </c>
      <c r="E782" s="77">
        <v>45837</v>
      </c>
    </row>
    <row r="783" spans="1:8" ht="46.5" thickBot="1" x14ac:dyDescent="0.25">
      <c r="A783" s="53">
        <v>783</v>
      </c>
      <c r="B783" s="106" t="s">
        <v>1180</v>
      </c>
      <c r="C783" s="126" t="s">
        <v>2019</v>
      </c>
      <c r="D783" s="126" t="s">
        <v>2031</v>
      </c>
      <c r="E783" s="77">
        <v>45837</v>
      </c>
    </row>
    <row r="784" spans="1:8" ht="29.25" thickBot="1" x14ac:dyDescent="0.25">
      <c r="A784" s="53">
        <v>784</v>
      </c>
      <c r="B784" s="106" t="s">
        <v>429</v>
      </c>
      <c r="C784" s="126" t="s">
        <v>2020</v>
      </c>
      <c r="D784" s="126" t="s">
        <v>2032</v>
      </c>
      <c r="E784" s="77">
        <v>45837</v>
      </c>
    </row>
    <row r="785" spans="1:6" ht="29.25" thickBot="1" x14ac:dyDescent="0.25">
      <c r="A785" s="53">
        <v>785</v>
      </c>
      <c r="B785" s="106" t="s">
        <v>853</v>
      </c>
      <c r="C785" s="126" t="s">
        <v>2021</v>
      </c>
      <c r="D785" s="126" t="s">
        <v>2033</v>
      </c>
      <c r="E785" s="77">
        <v>45837</v>
      </c>
    </row>
    <row r="786" spans="1:6" ht="26.25" customHeight="1" thickBot="1" x14ac:dyDescent="0.25">
      <c r="A786" s="53">
        <v>786</v>
      </c>
      <c r="B786" s="106" t="s">
        <v>418</v>
      </c>
      <c r="C786" s="126" t="s">
        <v>1874</v>
      </c>
      <c r="D786" s="126" t="s">
        <v>1990</v>
      </c>
      <c r="E786" s="77">
        <v>45837</v>
      </c>
    </row>
    <row r="787" spans="1:6" ht="28.5" x14ac:dyDescent="0.2">
      <c r="A787" s="53">
        <v>787</v>
      </c>
      <c r="B787" s="106" t="s">
        <v>440</v>
      </c>
      <c r="C787" s="31" t="s">
        <v>1875</v>
      </c>
      <c r="D787" s="31" t="s">
        <v>1885</v>
      </c>
      <c r="E787" s="77">
        <v>45865</v>
      </c>
      <c r="F787" s="82" t="s">
        <v>1894</v>
      </c>
    </row>
    <row r="788" spans="1:6" ht="28.5" x14ac:dyDescent="0.2">
      <c r="A788" s="53">
        <v>788</v>
      </c>
      <c r="B788" s="106" t="s">
        <v>440</v>
      </c>
      <c r="C788" s="31" t="s">
        <v>1877</v>
      </c>
      <c r="D788" s="31" t="s">
        <v>1886</v>
      </c>
      <c r="E788" s="77">
        <v>45865</v>
      </c>
    </row>
    <row r="789" spans="1:6" ht="18" x14ac:dyDescent="0.2">
      <c r="A789" s="53">
        <v>789</v>
      </c>
      <c r="B789" s="106" t="s">
        <v>440</v>
      </c>
      <c r="C789" s="31" t="s">
        <v>1878</v>
      </c>
      <c r="D789" s="31" t="s">
        <v>1887</v>
      </c>
      <c r="E789" s="77">
        <v>45865</v>
      </c>
    </row>
    <row r="790" spans="1:6" ht="28.5" x14ac:dyDescent="0.2">
      <c r="A790" s="53">
        <v>790</v>
      </c>
      <c r="B790" s="106" t="s">
        <v>440</v>
      </c>
      <c r="C790" s="31" t="s">
        <v>1879</v>
      </c>
      <c r="D790" s="31" t="s">
        <v>1888</v>
      </c>
      <c r="E790" s="77">
        <v>45865</v>
      </c>
    </row>
    <row r="791" spans="1:6" ht="28.5" x14ac:dyDescent="0.2">
      <c r="A791" s="53">
        <v>791</v>
      </c>
      <c r="B791" s="106" t="s">
        <v>486</v>
      </c>
      <c r="C791" s="31" t="s">
        <v>1880</v>
      </c>
      <c r="D791" s="31" t="s">
        <v>1889</v>
      </c>
      <c r="E791" s="77">
        <v>45865</v>
      </c>
    </row>
    <row r="792" spans="1:6" ht="28.5" x14ac:dyDescent="0.2">
      <c r="A792" s="53">
        <v>792</v>
      </c>
      <c r="B792" s="106" t="s">
        <v>425</v>
      </c>
      <c r="C792" s="31" t="s">
        <v>1881</v>
      </c>
      <c r="D792" s="31" t="s">
        <v>1890</v>
      </c>
      <c r="E792" s="77">
        <v>45865</v>
      </c>
    </row>
    <row r="793" spans="1:6" ht="18" x14ac:dyDescent="0.2">
      <c r="A793" s="53">
        <v>793</v>
      </c>
      <c r="B793" s="106" t="s">
        <v>853</v>
      </c>
      <c r="C793" s="31" t="s">
        <v>1882</v>
      </c>
      <c r="D793" s="31" t="s">
        <v>1891</v>
      </c>
      <c r="E793" s="77">
        <v>45865</v>
      </c>
    </row>
    <row r="794" spans="1:6" ht="18" x14ac:dyDescent="0.2">
      <c r="A794" s="53">
        <v>794</v>
      </c>
      <c r="B794" s="106" t="s">
        <v>853</v>
      </c>
      <c r="C794" s="31" t="s">
        <v>1883</v>
      </c>
      <c r="D794" s="31" t="s">
        <v>1892</v>
      </c>
      <c r="E794" s="77">
        <v>45865</v>
      </c>
    </row>
    <row r="795" spans="1:6" ht="18" x14ac:dyDescent="0.2">
      <c r="A795" s="53">
        <v>795</v>
      </c>
      <c r="B795" s="106" t="s">
        <v>414</v>
      </c>
      <c r="C795" s="31" t="s">
        <v>1884</v>
      </c>
      <c r="D795" s="31" t="s">
        <v>1893</v>
      </c>
      <c r="E795" s="77">
        <v>45865</v>
      </c>
    </row>
    <row r="796" spans="1:6" ht="28.5" x14ac:dyDescent="0.2">
      <c r="A796" s="53">
        <v>796</v>
      </c>
      <c r="B796" s="106" t="s">
        <v>414</v>
      </c>
      <c r="C796" s="31" t="s">
        <v>1958</v>
      </c>
      <c r="D796" s="31" t="s">
        <v>1904</v>
      </c>
      <c r="E796" s="77">
        <v>45818</v>
      </c>
    </row>
    <row r="797" spans="1:6" ht="28.5" x14ac:dyDescent="0.2">
      <c r="A797" s="53">
        <v>797</v>
      </c>
      <c r="B797" s="106" t="s">
        <v>414</v>
      </c>
      <c r="C797" s="31" t="s">
        <v>1927</v>
      </c>
      <c r="D797" s="31" t="s">
        <v>1916</v>
      </c>
      <c r="E797" s="77">
        <v>45907</v>
      </c>
      <c r="F797" s="82" t="s">
        <v>1923</v>
      </c>
    </row>
    <row r="798" spans="1:6" ht="28.5" x14ac:dyDescent="0.2">
      <c r="A798" s="53">
        <v>798</v>
      </c>
      <c r="C798" s="31" t="s">
        <v>1906</v>
      </c>
      <c r="D798" s="31" t="s">
        <v>1917</v>
      </c>
      <c r="E798" s="77">
        <v>45907</v>
      </c>
    </row>
    <row r="799" spans="1:6" ht="42.75" x14ac:dyDescent="0.2">
      <c r="A799" s="53">
        <v>799</v>
      </c>
      <c r="B799" s="106" t="s">
        <v>415</v>
      </c>
      <c r="C799" s="31" t="s">
        <v>1907</v>
      </c>
      <c r="D799" s="31" t="s">
        <v>1918</v>
      </c>
      <c r="E799" s="77">
        <v>45907</v>
      </c>
    </row>
    <row r="800" spans="1:6" ht="28.5" x14ac:dyDescent="0.2">
      <c r="A800" s="53">
        <v>800</v>
      </c>
      <c r="B800" s="106" t="s">
        <v>440</v>
      </c>
      <c r="C800" s="31" t="s">
        <v>1908</v>
      </c>
      <c r="D800" s="31" t="s">
        <v>1919</v>
      </c>
      <c r="E800" s="77">
        <v>45907</v>
      </c>
    </row>
    <row r="801" spans="1:6" ht="18" x14ac:dyDescent="0.2">
      <c r="A801" s="53">
        <v>801</v>
      </c>
      <c r="B801" s="106" t="s">
        <v>1909</v>
      </c>
      <c r="C801" s="31" t="s">
        <v>1910</v>
      </c>
      <c r="D801" s="31" t="s">
        <v>1920</v>
      </c>
      <c r="E801" s="77">
        <v>45907</v>
      </c>
    </row>
    <row r="802" spans="1:6" ht="18" x14ac:dyDescent="0.2">
      <c r="A802" s="53">
        <v>802</v>
      </c>
      <c r="B802" s="106" t="s">
        <v>414</v>
      </c>
      <c r="C802" s="31" t="s">
        <v>1911</v>
      </c>
      <c r="D802" s="31" t="s">
        <v>1921</v>
      </c>
      <c r="E802" s="77">
        <v>45907</v>
      </c>
    </row>
    <row r="803" spans="1:6" ht="18" x14ac:dyDescent="0.2">
      <c r="A803" s="53">
        <v>803</v>
      </c>
      <c r="B803" s="106" t="s">
        <v>1230</v>
      </c>
      <c r="C803" s="31" t="s">
        <v>1912</v>
      </c>
      <c r="D803" s="31" t="s">
        <v>1922</v>
      </c>
      <c r="E803" s="77">
        <v>45907</v>
      </c>
    </row>
    <row r="804" spans="1:6" ht="18" x14ac:dyDescent="0.2">
      <c r="A804" s="53">
        <v>804</v>
      </c>
      <c r="B804" s="106" t="s">
        <v>1230</v>
      </c>
      <c r="C804" s="31" t="s">
        <v>1912</v>
      </c>
      <c r="D804" s="31" t="s">
        <v>1922</v>
      </c>
      <c r="E804" s="77">
        <v>45907</v>
      </c>
    </row>
    <row r="805" spans="1:6" ht="18" x14ac:dyDescent="0.2">
      <c r="A805" s="53">
        <v>805</v>
      </c>
      <c r="B805" s="106" t="s">
        <v>1153</v>
      </c>
      <c r="C805" s="31" t="s">
        <v>1913</v>
      </c>
      <c r="D805" s="31" t="s">
        <v>1924</v>
      </c>
      <c r="E805" s="77">
        <v>45907</v>
      </c>
    </row>
    <row r="806" spans="1:6" ht="28.5" x14ac:dyDescent="0.2">
      <c r="A806" s="53">
        <v>806</v>
      </c>
      <c r="B806" s="106" t="s">
        <v>1189</v>
      </c>
      <c r="C806" s="31" t="s">
        <v>1914</v>
      </c>
      <c r="D806" s="31" t="s">
        <v>1925</v>
      </c>
      <c r="E806" s="77">
        <v>45907</v>
      </c>
    </row>
    <row r="807" spans="1:6" ht="18" x14ac:dyDescent="0.2">
      <c r="A807" s="53">
        <v>807</v>
      </c>
      <c r="B807" s="106" t="s">
        <v>1909</v>
      </c>
      <c r="C807" s="31" t="s">
        <v>1915</v>
      </c>
      <c r="D807" s="31" t="s">
        <v>1926</v>
      </c>
      <c r="E807" s="77">
        <v>45907</v>
      </c>
    </row>
    <row r="808" spans="1:6" ht="28.5" x14ac:dyDescent="0.2">
      <c r="A808" s="53">
        <v>808</v>
      </c>
      <c r="B808" s="106" t="s">
        <v>422</v>
      </c>
      <c r="C808" s="31" t="s">
        <v>1928</v>
      </c>
      <c r="D808" s="31" t="s">
        <v>1959</v>
      </c>
      <c r="E808" s="77">
        <v>45991</v>
      </c>
      <c r="F808" s="82" t="s">
        <v>1967</v>
      </c>
    </row>
    <row r="809" spans="1:6" ht="18" x14ac:dyDescent="0.2">
      <c r="A809" s="53">
        <v>809</v>
      </c>
      <c r="B809" s="106" t="s">
        <v>422</v>
      </c>
      <c r="C809" s="31" t="s">
        <v>1929</v>
      </c>
      <c r="D809" s="31" t="s">
        <v>1959</v>
      </c>
      <c r="E809" s="77">
        <v>45991</v>
      </c>
    </row>
    <row r="810" spans="1:6" ht="28.5" x14ac:dyDescent="0.2">
      <c r="A810" s="53">
        <v>810</v>
      </c>
      <c r="B810" s="106" t="s">
        <v>853</v>
      </c>
      <c r="C810" s="31" t="s">
        <v>1930</v>
      </c>
      <c r="D810" s="31" t="s">
        <v>1960</v>
      </c>
      <c r="E810" s="77">
        <v>45991</v>
      </c>
    </row>
    <row r="811" spans="1:6" ht="18" x14ac:dyDescent="0.2">
      <c r="A811" s="53">
        <v>811</v>
      </c>
      <c r="B811" s="106" t="s">
        <v>425</v>
      </c>
      <c r="C811" s="31" t="s">
        <v>1931</v>
      </c>
      <c r="D811" s="31" t="s">
        <v>1961</v>
      </c>
      <c r="E811" s="77">
        <v>45991</v>
      </c>
    </row>
    <row r="812" spans="1:6" ht="28.5" x14ac:dyDescent="0.2">
      <c r="A812" s="53">
        <v>812</v>
      </c>
      <c r="B812" s="106" t="s">
        <v>414</v>
      </c>
      <c r="C812" s="31" t="s">
        <v>1942</v>
      </c>
      <c r="D812" s="31" t="s">
        <v>1962</v>
      </c>
      <c r="E812" s="77">
        <v>45991</v>
      </c>
    </row>
    <row r="813" spans="1:6" ht="18" x14ac:dyDescent="0.2">
      <c r="A813" s="53">
        <v>813</v>
      </c>
      <c r="B813" s="106" t="s">
        <v>1153</v>
      </c>
      <c r="C813" s="31" t="s">
        <v>1943</v>
      </c>
      <c r="D813" s="31" t="s">
        <v>1968</v>
      </c>
      <c r="E813" s="77">
        <v>45991</v>
      </c>
    </row>
    <row r="814" spans="1:6" ht="18" x14ac:dyDescent="0.2">
      <c r="A814" s="53">
        <v>814</v>
      </c>
      <c r="B814" s="106" t="s">
        <v>440</v>
      </c>
      <c r="C814" s="31" t="s">
        <v>1944</v>
      </c>
      <c r="D814" s="31" t="s">
        <v>1963</v>
      </c>
      <c r="E814" s="77">
        <v>45991</v>
      </c>
    </row>
    <row r="815" spans="1:6" ht="28.5" x14ac:dyDescent="0.2">
      <c r="A815" s="53">
        <v>815</v>
      </c>
      <c r="B815" s="106" t="s">
        <v>1945</v>
      </c>
      <c r="C815" s="31" t="s">
        <v>1946</v>
      </c>
      <c r="D815" s="31" t="s">
        <v>1964</v>
      </c>
      <c r="E815" s="77">
        <v>45991</v>
      </c>
    </row>
    <row r="816" spans="1:6" ht="18" x14ac:dyDescent="0.2">
      <c r="A816" s="53">
        <v>816</v>
      </c>
      <c r="B816" s="106" t="s">
        <v>414</v>
      </c>
      <c r="C816" s="31" t="s">
        <v>1947</v>
      </c>
      <c r="D816" s="31" t="s">
        <v>1965</v>
      </c>
      <c r="E816" s="77">
        <v>45991</v>
      </c>
    </row>
    <row r="817" spans="1:6" ht="18" x14ac:dyDescent="0.2">
      <c r="A817" s="53">
        <v>817</v>
      </c>
      <c r="B817" s="106" t="s">
        <v>415</v>
      </c>
      <c r="C817" s="31" t="s">
        <v>1948</v>
      </c>
      <c r="D817" s="31" t="s">
        <v>1966</v>
      </c>
      <c r="E817" s="77">
        <v>45991</v>
      </c>
    </row>
    <row r="818" spans="1:6" ht="18" x14ac:dyDescent="0.2">
      <c r="A818" s="53">
        <v>818</v>
      </c>
      <c r="B818" s="106" t="s">
        <v>415</v>
      </c>
      <c r="C818" s="31" t="s">
        <v>1949</v>
      </c>
      <c r="D818" s="31" t="s">
        <v>1966</v>
      </c>
      <c r="E818" s="77">
        <v>45991</v>
      </c>
    </row>
    <row r="819" spans="1:6" ht="18" x14ac:dyDescent="0.2">
      <c r="A819" s="53">
        <v>819</v>
      </c>
      <c r="B819" s="106" t="s">
        <v>415</v>
      </c>
      <c r="C819" s="31" t="s">
        <v>1950</v>
      </c>
      <c r="D819" s="31" t="s">
        <v>1966</v>
      </c>
      <c r="E819" s="77">
        <v>45991</v>
      </c>
    </row>
    <row r="820" spans="1:6" ht="28.5" x14ac:dyDescent="0.2">
      <c r="A820" s="53">
        <v>820</v>
      </c>
      <c r="B820" s="106" t="s">
        <v>418</v>
      </c>
      <c r="C820" s="31" t="s">
        <v>1951</v>
      </c>
      <c r="D820" s="31" t="s">
        <v>1972</v>
      </c>
      <c r="E820" s="77">
        <v>45991</v>
      </c>
    </row>
    <row r="821" spans="1:6" ht="42.75" x14ac:dyDescent="0.2">
      <c r="A821" s="53">
        <v>821</v>
      </c>
      <c r="B821" s="106" t="s">
        <v>418</v>
      </c>
      <c r="C821" s="31" t="s">
        <v>1952</v>
      </c>
      <c r="D821" s="31" t="s">
        <v>1969</v>
      </c>
      <c r="E821" s="77">
        <v>45991</v>
      </c>
    </row>
    <row r="822" spans="1:6" ht="42.75" x14ac:dyDescent="0.2">
      <c r="A822" s="53">
        <v>822</v>
      </c>
      <c r="B822" s="106" t="s">
        <v>1189</v>
      </c>
      <c r="C822" s="31" t="s">
        <v>1953</v>
      </c>
      <c r="D822" s="31" t="s">
        <v>1970</v>
      </c>
      <c r="E822" s="77">
        <v>45991</v>
      </c>
    </row>
    <row r="823" spans="1:6" ht="28.5" x14ac:dyDescent="0.2">
      <c r="A823" s="53">
        <v>823</v>
      </c>
      <c r="B823" s="106" t="s">
        <v>440</v>
      </c>
      <c r="C823" s="31" t="s">
        <v>1954</v>
      </c>
      <c r="D823" s="31" t="s">
        <v>1971</v>
      </c>
      <c r="E823" s="77">
        <v>45991</v>
      </c>
    </row>
    <row r="824" spans="1:6" ht="28.5" x14ac:dyDescent="0.2">
      <c r="A824" s="53">
        <v>824</v>
      </c>
      <c r="B824" s="106" t="s">
        <v>440</v>
      </c>
      <c r="C824" s="31" t="s">
        <v>1973</v>
      </c>
      <c r="D824" s="31" t="s">
        <v>1980</v>
      </c>
      <c r="E824" s="77">
        <v>46033</v>
      </c>
      <c r="F824" s="82" t="s">
        <v>1981</v>
      </c>
    </row>
    <row r="825" spans="1:6" ht="42.75" x14ac:dyDescent="0.2">
      <c r="A825" s="53">
        <v>825</v>
      </c>
      <c r="B825" s="106" t="s">
        <v>853</v>
      </c>
      <c r="C825" s="31" t="s">
        <v>1974</v>
      </c>
      <c r="D825" s="31" t="s">
        <v>1982</v>
      </c>
      <c r="E825" s="77">
        <v>46033</v>
      </c>
    </row>
    <row r="826" spans="1:6" ht="28.5" x14ac:dyDescent="0.2">
      <c r="A826" s="53">
        <v>826</v>
      </c>
      <c r="B826" s="106" t="s">
        <v>1189</v>
      </c>
      <c r="C826" s="31" t="s">
        <v>1975</v>
      </c>
      <c r="D826" s="31" t="s">
        <v>1983</v>
      </c>
      <c r="E826" s="77">
        <v>46033</v>
      </c>
    </row>
    <row r="827" spans="1:6" ht="42.75" x14ac:dyDescent="0.2">
      <c r="A827" s="53">
        <v>827</v>
      </c>
      <c r="B827" s="106" t="s">
        <v>418</v>
      </c>
      <c r="C827" s="31" t="s">
        <v>1976</v>
      </c>
      <c r="D827" s="31" t="s">
        <v>1984</v>
      </c>
      <c r="E827" s="77">
        <v>46033</v>
      </c>
    </row>
    <row r="828" spans="1:6" ht="57" x14ac:dyDescent="0.2">
      <c r="A828" s="53">
        <v>828</v>
      </c>
      <c r="B828" s="106" t="s">
        <v>1180</v>
      </c>
      <c r="C828" s="31" t="s">
        <v>1977</v>
      </c>
      <c r="D828" s="31" t="s">
        <v>1985</v>
      </c>
      <c r="E828" s="77">
        <v>46033</v>
      </c>
    </row>
    <row r="829" spans="1:6" ht="57" x14ac:dyDescent="0.2">
      <c r="A829" s="53">
        <v>829</v>
      </c>
      <c r="B829" s="106" t="s">
        <v>1180</v>
      </c>
      <c r="C829" s="31" t="s">
        <v>1977</v>
      </c>
      <c r="D829" s="31" t="s">
        <v>1985</v>
      </c>
      <c r="E829" s="77">
        <v>46033</v>
      </c>
    </row>
    <row r="830" spans="1:6" ht="18" x14ac:dyDescent="0.2">
      <c r="A830" s="53">
        <v>830</v>
      </c>
      <c r="B830" s="106" t="s">
        <v>424</v>
      </c>
      <c r="C830" s="31" t="s">
        <v>1978</v>
      </c>
      <c r="D830" s="31" t="s">
        <v>1986</v>
      </c>
      <c r="E830" s="77">
        <v>46033</v>
      </c>
    </row>
    <row r="831" spans="1:6" ht="28.5" x14ac:dyDescent="0.2">
      <c r="A831" s="53">
        <v>831</v>
      </c>
      <c r="B831" s="106" t="s">
        <v>200</v>
      </c>
      <c r="C831" s="31" t="s">
        <v>1979</v>
      </c>
      <c r="D831" s="31" t="s">
        <v>1987</v>
      </c>
      <c r="E831" s="77">
        <v>46033</v>
      </c>
    </row>
    <row r="832" spans="1:6" ht="28.5" x14ac:dyDescent="0.2">
      <c r="A832" s="53">
        <v>832</v>
      </c>
      <c r="B832" s="106" t="s">
        <v>440</v>
      </c>
      <c r="C832" s="31" t="s">
        <v>1995</v>
      </c>
      <c r="D832" s="31" t="s">
        <v>1996</v>
      </c>
      <c r="E832" s="77">
        <v>46075</v>
      </c>
      <c r="F832" s="82" t="s">
        <v>1994</v>
      </c>
    </row>
    <row r="833" spans="1:6" ht="18" x14ac:dyDescent="0.2">
      <c r="A833" s="53">
        <v>833</v>
      </c>
      <c r="B833" s="106" t="s">
        <v>874</v>
      </c>
      <c r="C833" s="31" t="s">
        <v>1991</v>
      </c>
      <c r="D833" s="31" t="s">
        <v>1997</v>
      </c>
      <c r="E833" s="77">
        <v>46075</v>
      </c>
    </row>
    <row r="834" spans="1:6" ht="28.5" x14ac:dyDescent="0.2">
      <c r="A834" s="53">
        <v>834</v>
      </c>
      <c r="B834" s="106" t="s">
        <v>853</v>
      </c>
      <c r="C834" s="31" t="s">
        <v>1999</v>
      </c>
      <c r="E834" s="77">
        <v>46075</v>
      </c>
    </row>
    <row r="835" spans="1:6" ht="28.5" x14ac:dyDescent="0.2">
      <c r="A835" s="53">
        <v>835</v>
      </c>
      <c r="B835" s="106" t="s">
        <v>440</v>
      </c>
      <c r="C835" s="31" t="s">
        <v>1993</v>
      </c>
      <c r="D835" s="31" t="s">
        <v>1998</v>
      </c>
      <c r="E835" s="77">
        <v>46075</v>
      </c>
    </row>
    <row r="836" spans="1:6" ht="28.5" x14ac:dyDescent="0.2">
      <c r="A836" s="53">
        <v>836</v>
      </c>
      <c r="B836" s="106" t="s">
        <v>874</v>
      </c>
      <c r="C836" s="31" t="s">
        <v>2000</v>
      </c>
      <c r="D836" s="31" t="s">
        <v>2010</v>
      </c>
      <c r="E836" s="77">
        <v>46103</v>
      </c>
      <c r="F836" s="82" t="s">
        <v>2009</v>
      </c>
    </row>
    <row r="837" spans="1:6" ht="18" x14ac:dyDescent="0.2">
      <c r="A837" s="53">
        <v>837</v>
      </c>
      <c r="B837" s="106" t="s">
        <v>853</v>
      </c>
      <c r="C837" s="31" t="s">
        <v>2001</v>
      </c>
      <c r="D837" s="31" t="s">
        <v>2011</v>
      </c>
      <c r="E837" s="77">
        <v>46103</v>
      </c>
    </row>
    <row r="838" spans="1:6" ht="18" x14ac:dyDescent="0.2">
      <c r="A838" s="53">
        <v>838</v>
      </c>
      <c r="B838" s="106" t="s">
        <v>853</v>
      </c>
      <c r="C838" s="31" t="s">
        <v>2002</v>
      </c>
      <c r="D838" s="31" t="s">
        <v>2012</v>
      </c>
      <c r="E838" s="77">
        <v>46103</v>
      </c>
    </row>
    <row r="839" spans="1:6" ht="28.5" x14ac:dyDescent="0.2">
      <c r="A839" s="53">
        <v>839</v>
      </c>
      <c r="B839" s="106" t="s">
        <v>1153</v>
      </c>
      <c r="C839" s="31" t="s">
        <v>2003</v>
      </c>
      <c r="D839" s="31" t="s">
        <v>2016</v>
      </c>
      <c r="E839" s="77">
        <v>46103</v>
      </c>
    </row>
    <row r="840" spans="1:6" ht="28.5" x14ac:dyDescent="0.2">
      <c r="A840" s="53">
        <v>840</v>
      </c>
      <c r="B840" s="106" t="s">
        <v>414</v>
      </c>
      <c r="C840" s="31" t="s">
        <v>2004</v>
      </c>
      <c r="D840" s="31" t="s">
        <v>2016</v>
      </c>
      <c r="E840" s="77">
        <v>46103</v>
      </c>
    </row>
    <row r="841" spans="1:6" ht="28.5" x14ac:dyDescent="0.2">
      <c r="A841" s="53">
        <v>841</v>
      </c>
      <c r="B841" s="106" t="s">
        <v>414</v>
      </c>
      <c r="C841" s="31" t="s">
        <v>2004</v>
      </c>
      <c r="D841" s="31" t="s">
        <v>2016</v>
      </c>
      <c r="E841" s="77">
        <v>46103</v>
      </c>
    </row>
    <row r="842" spans="1:6" ht="42.75" x14ac:dyDescent="0.2">
      <c r="A842" s="53">
        <v>842</v>
      </c>
      <c r="B842" s="106" t="s">
        <v>414</v>
      </c>
      <c r="C842" s="31" t="s">
        <v>2005</v>
      </c>
      <c r="D842" s="31" t="s">
        <v>2013</v>
      </c>
      <c r="E842" s="77">
        <v>46103</v>
      </c>
    </row>
    <row r="843" spans="1:6" ht="18" x14ac:dyDescent="0.2">
      <c r="A843" s="53">
        <v>843</v>
      </c>
      <c r="B843" s="106" t="s">
        <v>1153</v>
      </c>
      <c r="C843" s="31" t="s">
        <v>2006</v>
      </c>
      <c r="D843" s="31" t="s">
        <v>2014</v>
      </c>
      <c r="E843" s="77">
        <v>46103</v>
      </c>
    </row>
    <row r="844" spans="1:6" ht="18" x14ac:dyDescent="0.2">
      <c r="A844" s="53">
        <v>844</v>
      </c>
      <c r="B844" s="106" t="s">
        <v>418</v>
      </c>
      <c r="C844" s="31" t="s">
        <v>2007</v>
      </c>
      <c r="E844" s="77">
        <v>46103</v>
      </c>
    </row>
    <row r="845" spans="1:6" ht="28.5" x14ac:dyDescent="0.2">
      <c r="A845" s="53">
        <v>845</v>
      </c>
      <c r="B845" s="106" t="s">
        <v>1189</v>
      </c>
      <c r="C845" s="31" t="s">
        <v>2008</v>
      </c>
      <c r="D845" s="31" t="s">
        <v>2015</v>
      </c>
      <c r="E845" s="77">
        <v>46103</v>
      </c>
    </row>
    <row r="846" spans="1:6" ht="28.5" x14ac:dyDescent="0.2">
      <c r="A846" s="53">
        <v>846</v>
      </c>
      <c r="B846" s="106" t="s">
        <v>1153</v>
      </c>
      <c r="C846" s="31" t="s">
        <v>2064</v>
      </c>
      <c r="D846" s="31" t="s">
        <v>2065</v>
      </c>
      <c r="E846" s="77">
        <v>46138</v>
      </c>
      <c r="F846" s="82" t="s">
        <v>1981</v>
      </c>
    </row>
    <row r="847" spans="1:6" ht="28.5" x14ac:dyDescent="0.2">
      <c r="A847" s="53">
        <v>847</v>
      </c>
      <c r="B847" s="106" t="s">
        <v>853</v>
      </c>
      <c r="C847" s="31" t="s">
        <v>2066</v>
      </c>
      <c r="D847" s="31" t="s">
        <v>2067</v>
      </c>
      <c r="E847" s="77">
        <v>46138</v>
      </c>
    </row>
    <row r="848" spans="1:6" ht="28.5" x14ac:dyDescent="0.2">
      <c r="A848" s="53">
        <v>848</v>
      </c>
      <c r="B848" s="106" t="s">
        <v>853</v>
      </c>
      <c r="C848" s="31" t="s">
        <v>2017</v>
      </c>
      <c r="D848" s="31" t="s">
        <v>2068</v>
      </c>
      <c r="E848" s="77">
        <v>46138</v>
      </c>
    </row>
    <row r="849" spans="1:6" ht="18" x14ac:dyDescent="0.2">
      <c r="A849" s="53">
        <v>849</v>
      </c>
      <c r="B849" s="106" t="s">
        <v>414</v>
      </c>
      <c r="C849" s="31" t="s">
        <v>2034</v>
      </c>
      <c r="D849" s="31" t="s">
        <v>2069</v>
      </c>
      <c r="E849" s="77">
        <v>46138</v>
      </c>
    </row>
    <row r="850" spans="1:6" ht="28.5" x14ac:dyDescent="0.2">
      <c r="A850" s="53">
        <v>850</v>
      </c>
      <c r="B850" s="106" t="s">
        <v>440</v>
      </c>
      <c r="C850" s="31" t="s">
        <v>2038</v>
      </c>
      <c r="D850" s="31" t="s">
        <v>2070</v>
      </c>
      <c r="E850" s="77">
        <v>46138</v>
      </c>
    </row>
    <row r="851" spans="1:6" ht="28.5" x14ac:dyDescent="0.2">
      <c r="A851" s="53">
        <v>851</v>
      </c>
      <c r="B851" s="106" t="s">
        <v>440</v>
      </c>
      <c r="C851" s="31" t="s">
        <v>2035</v>
      </c>
      <c r="D851" s="31" t="s">
        <v>2071</v>
      </c>
      <c r="E851" s="77">
        <v>46138</v>
      </c>
    </row>
    <row r="852" spans="1:6" ht="28.5" x14ac:dyDescent="0.2">
      <c r="A852" s="53">
        <v>852</v>
      </c>
      <c r="B852" s="106" t="s">
        <v>425</v>
      </c>
      <c r="C852" s="31" t="s">
        <v>2072</v>
      </c>
      <c r="D852" s="31" t="s">
        <v>2073</v>
      </c>
      <c r="E852" s="77">
        <v>46138</v>
      </c>
    </row>
    <row r="853" spans="1:6" ht="28.5" x14ac:dyDescent="0.2">
      <c r="A853" s="53">
        <v>853</v>
      </c>
      <c r="B853" s="106" t="s">
        <v>1765</v>
      </c>
      <c r="C853" s="31" t="s">
        <v>2036</v>
      </c>
      <c r="D853" s="31" t="s">
        <v>2074</v>
      </c>
      <c r="E853" s="77">
        <v>46138</v>
      </c>
    </row>
    <row r="854" spans="1:6" ht="28.5" x14ac:dyDescent="0.2">
      <c r="A854" s="53">
        <v>854</v>
      </c>
      <c r="B854" s="106" t="s">
        <v>1765</v>
      </c>
      <c r="C854" s="31" t="s">
        <v>2036</v>
      </c>
      <c r="D854" s="31" t="s">
        <v>2074</v>
      </c>
      <c r="E854" s="77">
        <v>46138</v>
      </c>
    </row>
    <row r="855" spans="1:6" ht="42.75" x14ac:dyDescent="0.2">
      <c r="A855" s="53">
        <v>855</v>
      </c>
      <c r="B855" s="106" t="s">
        <v>1202</v>
      </c>
      <c r="C855" s="31" t="s">
        <v>2075</v>
      </c>
      <c r="D855" s="31" t="s">
        <v>2037</v>
      </c>
      <c r="E855" s="77">
        <v>46138</v>
      </c>
    </row>
    <row r="856" spans="1:6" ht="42.75" x14ac:dyDescent="0.2">
      <c r="A856" s="53">
        <v>856</v>
      </c>
      <c r="B856" s="106" t="s">
        <v>853</v>
      </c>
      <c r="C856" s="31" t="s">
        <v>2051</v>
      </c>
      <c r="D856" s="31" t="s">
        <v>2055</v>
      </c>
      <c r="E856" s="77">
        <v>46159</v>
      </c>
      <c r="F856" s="82" t="s">
        <v>2050</v>
      </c>
    </row>
    <row r="857" spans="1:6" ht="28.5" x14ac:dyDescent="0.2">
      <c r="A857" s="53">
        <v>857</v>
      </c>
      <c r="B857" s="106" t="s">
        <v>1230</v>
      </c>
      <c r="C857" s="31" t="s">
        <v>2039</v>
      </c>
      <c r="D857" s="31" t="s">
        <v>2056</v>
      </c>
      <c r="E857" s="77">
        <v>46159</v>
      </c>
    </row>
    <row r="858" spans="1:6" ht="28.5" x14ac:dyDescent="0.2">
      <c r="A858" s="53">
        <v>858</v>
      </c>
      <c r="B858" s="106" t="s">
        <v>440</v>
      </c>
      <c r="C858" s="31" t="s">
        <v>2040</v>
      </c>
      <c r="D858" s="31" t="s">
        <v>2057</v>
      </c>
      <c r="E858" s="77">
        <v>46159</v>
      </c>
    </row>
    <row r="859" spans="1:6" ht="28.5" x14ac:dyDescent="0.2">
      <c r="A859" s="53">
        <v>859</v>
      </c>
      <c r="B859" s="106" t="s">
        <v>702</v>
      </c>
      <c r="C859" s="31" t="s">
        <v>2041</v>
      </c>
      <c r="D859" s="31" t="s">
        <v>2058</v>
      </c>
      <c r="E859" s="77">
        <v>46159</v>
      </c>
    </row>
    <row r="860" spans="1:6" ht="18" x14ac:dyDescent="0.2">
      <c r="A860" s="53">
        <v>860</v>
      </c>
      <c r="B860" s="106" t="s">
        <v>1180</v>
      </c>
      <c r="C860" s="31" t="s">
        <v>2053</v>
      </c>
      <c r="D860" s="31" t="s">
        <v>2059</v>
      </c>
      <c r="E860" s="77">
        <v>46159</v>
      </c>
    </row>
    <row r="861" spans="1:6" ht="18" x14ac:dyDescent="0.2">
      <c r="A861" s="53">
        <v>861</v>
      </c>
      <c r="B861" s="106" t="s">
        <v>422</v>
      </c>
      <c r="C861" s="31" t="s">
        <v>2042</v>
      </c>
      <c r="D861" s="31" t="s">
        <v>2060</v>
      </c>
      <c r="E861" s="77">
        <v>46159</v>
      </c>
    </row>
    <row r="862" spans="1:6" ht="18" x14ac:dyDescent="0.2">
      <c r="A862" s="53">
        <v>862</v>
      </c>
      <c r="B862" s="106" t="s">
        <v>853</v>
      </c>
      <c r="C862" s="31" t="s">
        <v>2046</v>
      </c>
      <c r="D862" s="31" t="s">
        <v>2047</v>
      </c>
      <c r="E862" s="77">
        <v>46159</v>
      </c>
    </row>
    <row r="863" spans="1:6" ht="28.5" x14ac:dyDescent="0.2">
      <c r="A863" s="53">
        <v>863</v>
      </c>
      <c r="B863" s="106" t="s">
        <v>440</v>
      </c>
      <c r="C863" s="31" t="s">
        <v>2054</v>
      </c>
      <c r="D863" s="31" t="s">
        <v>2048</v>
      </c>
      <c r="E863" s="77">
        <v>46159</v>
      </c>
    </row>
    <row r="864" spans="1:6" ht="28.5" x14ac:dyDescent="0.2">
      <c r="A864" s="53">
        <v>864</v>
      </c>
      <c r="B864" s="106" t="s">
        <v>853</v>
      </c>
      <c r="C864" s="31" t="s">
        <v>2052</v>
      </c>
      <c r="D864" s="31" t="s">
        <v>2055</v>
      </c>
      <c r="E864" s="77">
        <v>46159</v>
      </c>
    </row>
    <row r="865" spans="1:5" ht="18" x14ac:dyDescent="0.2">
      <c r="A865" s="53">
        <v>865</v>
      </c>
      <c r="B865" s="106" t="s">
        <v>414</v>
      </c>
      <c r="C865" s="31" t="s">
        <v>2043</v>
      </c>
      <c r="D865" s="31" t="s">
        <v>2049</v>
      </c>
      <c r="E865" s="77">
        <v>46159</v>
      </c>
    </row>
    <row r="866" spans="1:5" ht="42.75" x14ac:dyDescent="0.2">
      <c r="A866" s="53">
        <v>866</v>
      </c>
      <c r="B866" s="106" t="s">
        <v>1197</v>
      </c>
      <c r="C866" s="31" t="s">
        <v>2044</v>
      </c>
      <c r="D866" s="31" t="s">
        <v>2061</v>
      </c>
      <c r="E866" s="77">
        <v>46159</v>
      </c>
    </row>
    <row r="867" spans="1:5" ht="18" x14ac:dyDescent="0.2">
      <c r="A867" s="53">
        <v>867</v>
      </c>
      <c r="B867" s="106" t="s">
        <v>853</v>
      </c>
      <c r="C867" s="31" t="s">
        <v>2045</v>
      </c>
      <c r="D867" s="31" t="s">
        <v>2062</v>
      </c>
      <c r="E867" s="77">
        <v>46159</v>
      </c>
    </row>
    <row r="868" spans="1:5" ht="28.5" x14ac:dyDescent="0.2">
      <c r="A868" s="53">
        <v>868</v>
      </c>
      <c r="B868" s="106" t="s">
        <v>1189</v>
      </c>
      <c r="C868" s="31" t="s">
        <v>2076</v>
      </c>
    </row>
    <row r="869" spans="1:5" ht="18" x14ac:dyDescent="0.2">
      <c r="A869" s="53">
        <v>869</v>
      </c>
      <c r="B869" s="106" t="s">
        <v>422</v>
      </c>
      <c r="C869" s="31" t="s">
        <v>2077</v>
      </c>
    </row>
    <row r="870" spans="1:5" ht="18" x14ac:dyDescent="0.2">
      <c r="A870" s="53">
        <v>870</v>
      </c>
      <c r="B870" s="106" t="s">
        <v>1180</v>
      </c>
      <c r="C870" s="31" t="s">
        <v>2078</v>
      </c>
    </row>
    <row r="871" spans="1:5" ht="18" x14ac:dyDescent="0.2">
      <c r="A871" s="53">
        <v>871</v>
      </c>
      <c r="B871" s="106" t="s">
        <v>414</v>
      </c>
      <c r="C871" s="31" t="s">
        <v>2079</v>
      </c>
    </row>
    <row r="872" spans="1:5" ht="18" x14ac:dyDescent="0.2">
      <c r="A872" s="53">
        <v>872</v>
      </c>
      <c r="B872" s="106" t="s">
        <v>1230</v>
      </c>
      <c r="C872" s="31" t="s">
        <v>2080</v>
      </c>
    </row>
    <row r="873" spans="1:5" ht="18" x14ac:dyDescent="0.2">
      <c r="A873" s="53">
        <v>873</v>
      </c>
      <c r="B873" s="106" t="s">
        <v>1153</v>
      </c>
      <c r="C873" s="31" t="s">
        <v>2081</v>
      </c>
    </row>
    <row r="874" spans="1:5" ht="18" x14ac:dyDescent="0.2">
      <c r="A874" s="53">
        <v>874</v>
      </c>
    </row>
    <row r="875" spans="1:5" ht="18" x14ac:dyDescent="0.2">
      <c r="A875" s="53">
        <v>875</v>
      </c>
    </row>
    <row r="876" spans="1:5" ht="18" x14ac:dyDescent="0.2">
      <c r="A876" s="53">
        <v>876</v>
      </c>
    </row>
    <row r="877" spans="1:5" ht="18" x14ac:dyDescent="0.2">
      <c r="A877" s="53">
        <v>877</v>
      </c>
    </row>
    <row r="878" spans="1:5" ht="18" x14ac:dyDescent="0.2">
      <c r="A878" s="53">
        <v>878</v>
      </c>
    </row>
    <row r="879" spans="1:5" ht="18" x14ac:dyDescent="0.2">
      <c r="A879" s="53">
        <v>879</v>
      </c>
    </row>
    <row r="880" spans="1:5" ht="18" x14ac:dyDescent="0.2">
      <c r="A880" s="53">
        <v>880</v>
      </c>
    </row>
    <row r="881" spans="1:1" ht="18" x14ac:dyDescent="0.2">
      <c r="A881" s="53">
        <v>881</v>
      </c>
    </row>
    <row r="882" spans="1:1" ht="18" x14ac:dyDescent="0.2">
      <c r="A882" s="53">
        <v>882</v>
      </c>
    </row>
    <row r="883" spans="1:1" ht="18" x14ac:dyDescent="0.2">
      <c r="A883" s="53">
        <v>883</v>
      </c>
    </row>
    <row r="884" spans="1:1" ht="18" x14ac:dyDescent="0.2">
      <c r="A884" s="53">
        <v>884</v>
      </c>
    </row>
    <row r="885" spans="1:1" ht="18" x14ac:dyDescent="0.2">
      <c r="A885" s="53">
        <v>885</v>
      </c>
    </row>
    <row r="886" spans="1:1" ht="18" x14ac:dyDescent="0.2">
      <c r="A886" s="53">
        <v>886</v>
      </c>
    </row>
    <row r="887" spans="1:1" ht="18" x14ac:dyDescent="0.2">
      <c r="A887" s="53">
        <v>887</v>
      </c>
    </row>
    <row r="888" spans="1:1" ht="18" x14ac:dyDescent="0.2">
      <c r="A888" s="53">
        <v>888</v>
      </c>
    </row>
    <row r="889" spans="1:1" ht="18" x14ac:dyDescent="0.2">
      <c r="A889" s="53">
        <v>889</v>
      </c>
    </row>
    <row r="890" spans="1:1" ht="18" x14ac:dyDescent="0.2">
      <c r="A890" s="53">
        <v>890</v>
      </c>
    </row>
    <row r="891" spans="1:1" ht="18" x14ac:dyDescent="0.2">
      <c r="A891" s="53">
        <v>891</v>
      </c>
    </row>
    <row r="892" spans="1:1" ht="18" x14ac:dyDescent="0.2">
      <c r="A892" s="53">
        <v>892</v>
      </c>
    </row>
    <row r="893" spans="1:1" ht="18" x14ac:dyDescent="0.2">
      <c r="A893" s="53">
        <v>893</v>
      </c>
    </row>
    <row r="894" spans="1:1" ht="18" x14ac:dyDescent="0.2">
      <c r="A894" s="53">
        <v>894</v>
      </c>
    </row>
    <row r="895" spans="1:1" ht="18" x14ac:dyDescent="0.2">
      <c r="A895" s="53">
        <v>895</v>
      </c>
    </row>
    <row r="896" spans="1:1" ht="18" x14ac:dyDescent="0.2">
      <c r="A896" s="53">
        <v>896</v>
      </c>
    </row>
    <row r="897" spans="1:1" ht="18" x14ac:dyDescent="0.2">
      <c r="A897" s="53">
        <v>897</v>
      </c>
    </row>
    <row r="898" spans="1:1" ht="18" x14ac:dyDescent="0.2">
      <c r="A898" s="53">
        <v>898</v>
      </c>
    </row>
    <row r="899" spans="1:1" ht="18" x14ac:dyDescent="0.2">
      <c r="A899" s="53">
        <v>899</v>
      </c>
    </row>
    <row r="900" spans="1:1" ht="18" x14ac:dyDescent="0.2">
      <c r="A900" s="53">
        <v>900</v>
      </c>
    </row>
    <row r="901" spans="1:1" ht="18" x14ac:dyDescent="0.2">
      <c r="A901" s="53">
        <v>901</v>
      </c>
    </row>
    <row r="902" spans="1:1" ht="18" x14ac:dyDescent="0.2">
      <c r="A902" s="53">
        <v>902</v>
      </c>
    </row>
    <row r="903" spans="1:1" ht="18" x14ac:dyDescent="0.2">
      <c r="A903" s="53">
        <v>903</v>
      </c>
    </row>
    <row r="904" spans="1:1" ht="18" x14ac:dyDescent="0.2">
      <c r="A904" s="53">
        <v>904</v>
      </c>
    </row>
    <row r="905" spans="1:1" ht="18" x14ac:dyDescent="0.2">
      <c r="A905" s="53">
        <v>905</v>
      </c>
    </row>
    <row r="906" spans="1:1" ht="18" x14ac:dyDescent="0.2">
      <c r="A906" s="53">
        <v>906</v>
      </c>
    </row>
    <row r="907" spans="1:1" ht="18" x14ac:dyDescent="0.2">
      <c r="A907" s="53">
        <v>907</v>
      </c>
    </row>
    <row r="908" spans="1:1" ht="18" x14ac:dyDescent="0.2">
      <c r="A908" s="53">
        <v>908</v>
      </c>
    </row>
    <row r="909" spans="1:1" ht="18" x14ac:dyDescent="0.2">
      <c r="A909" s="53">
        <v>909</v>
      </c>
    </row>
    <row r="910" spans="1:1" ht="18" x14ac:dyDescent="0.2">
      <c r="A910" s="53">
        <v>910</v>
      </c>
    </row>
    <row r="911" spans="1:1" ht="18" x14ac:dyDescent="0.2">
      <c r="A911" s="53">
        <v>911</v>
      </c>
    </row>
    <row r="912" spans="1:1" ht="18" x14ac:dyDescent="0.2">
      <c r="A912" s="53">
        <v>912</v>
      </c>
    </row>
    <row r="913" spans="1:1" ht="18" x14ac:dyDescent="0.2">
      <c r="A913" s="53">
        <v>913</v>
      </c>
    </row>
    <row r="914" spans="1:1" ht="18" x14ac:dyDescent="0.2">
      <c r="A914" s="53">
        <v>914</v>
      </c>
    </row>
    <row r="915" spans="1:1" ht="18" x14ac:dyDescent="0.2">
      <c r="A915" s="53">
        <v>915</v>
      </c>
    </row>
    <row r="916" spans="1:1" ht="18" x14ac:dyDescent="0.2">
      <c r="A916" s="53">
        <v>916</v>
      </c>
    </row>
    <row r="917" spans="1:1" ht="18" x14ac:dyDescent="0.2">
      <c r="A917" s="53">
        <v>917</v>
      </c>
    </row>
    <row r="918" spans="1:1" ht="18" x14ac:dyDescent="0.2">
      <c r="A918" s="53">
        <v>918</v>
      </c>
    </row>
    <row r="919" spans="1:1" ht="18" x14ac:dyDescent="0.2">
      <c r="A919" s="53">
        <v>919</v>
      </c>
    </row>
    <row r="920" spans="1:1" ht="18" x14ac:dyDescent="0.2">
      <c r="A920" s="53">
        <v>920</v>
      </c>
    </row>
    <row r="921" spans="1:1" ht="18" x14ac:dyDescent="0.2">
      <c r="A921" s="53">
        <v>921</v>
      </c>
    </row>
    <row r="922" spans="1:1" ht="18" x14ac:dyDescent="0.2">
      <c r="A922" s="53">
        <v>922</v>
      </c>
    </row>
    <row r="923" spans="1:1" ht="18" x14ac:dyDescent="0.2">
      <c r="A923" s="53">
        <v>923</v>
      </c>
    </row>
    <row r="924" spans="1:1" ht="18" x14ac:dyDescent="0.2">
      <c r="A924" s="53">
        <v>924</v>
      </c>
    </row>
    <row r="925" spans="1:1" ht="18" x14ac:dyDescent="0.2">
      <c r="A925" s="53">
        <v>925</v>
      </c>
    </row>
    <row r="926" spans="1:1" ht="18" x14ac:dyDescent="0.2">
      <c r="A926" s="53">
        <v>926</v>
      </c>
    </row>
    <row r="927" spans="1:1" ht="18" x14ac:dyDescent="0.2">
      <c r="A927" s="53">
        <v>927</v>
      </c>
    </row>
    <row r="928" spans="1:1" ht="18" x14ac:dyDescent="0.2">
      <c r="A928" s="53">
        <v>928</v>
      </c>
    </row>
    <row r="929" spans="1:1" ht="18" x14ac:dyDescent="0.2">
      <c r="A929" s="53">
        <v>929</v>
      </c>
    </row>
    <row r="930" spans="1:1" ht="18" x14ac:dyDescent="0.2">
      <c r="A930" s="53">
        <v>930</v>
      </c>
    </row>
    <row r="931" spans="1:1" ht="18" x14ac:dyDescent="0.2">
      <c r="A931" s="53">
        <v>931</v>
      </c>
    </row>
    <row r="932" spans="1:1" ht="18" x14ac:dyDescent="0.2">
      <c r="A932" s="53">
        <v>932</v>
      </c>
    </row>
    <row r="933" spans="1:1" ht="18" x14ac:dyDescent="0.2">
      <c r="A933" s="53">
        <v>933</v>
      </c>
    </row>
    <row r="934" spans="1:1" ht="18" x14ac:dyDescent="0.2">
      <c r="A934" s="53">
        <v>934</v>
      </c>
    </row>
    <row r="935" spans="1:1" ht="18" x14ac:dyDescent="0.2">
      <c r="A935" s="53">
        <v>935</v>
      </c>
    </row>
    <row r="936" spans="1:1" ht="18" x14ac:dyDescent="0.2">
      <c r="A936" s="53">
        <v>936</v>
      </c>
    </row>
    <row r="937" spans="1:1" ht="18" x14ac:dyDescent="0.2">
      <c r="A937" s="53">
        <v>937</v>
      </c>
    </row>
    <row r="938" spans="1:1" ht="18" x14ac:dyDescent="0.2">
      <c r="A938" s="53">
        <v>938</v>
      </c>
    </row>
    <row r="939" spans="1:1" ht="18" x14ac:dyDescent="0.2">
      <c r="A939" s="53">
        <v>939</v>
      </c>
    </row>
    <row r="940" spans="1:1" ht="18" x14ac:dyDescent="0.2">
      <c r="A940" s="53">
        <v>940</v>
      </c>
    </row>
    <row r="941" spans="1:1" ht="18" x14ac:dyDescent="0.2">
      <c r="A941" s="53">
        <v>941</v>
      </c>
    </row>
    <row r="942" spans="1:1" ht="18" x14ac:dyDescent="0.2">
      <c r="A942" s="53">
        <v>942</v>
      </c>
    </row>
    <row r="943" spans="1:1" ht="18" x14ac:dyDescent="0.2">
      <c r="A943" s="53">
        <v>943</v>
      </c>
    </row>
    <row r="944" spans="1:1" ht="18" x14ac:dyDescent="0.2">
      <c r="A944" s="53">
        <v>944</v>
      </c>
    </row>
    <row r="945" spans="1:1" ht="18" x14ac:dyDescent="0.2">
      <c r="A945" s="53">
        <v>945</v>
      </c>
    </row>
    <row r="946" spans="1:1" ht="18" x14ac:dyDescent="0.2">
      <c r="A946" s="53">
        <v>946</v>
      </c>
    </row>
    <row r="947" spans="1:1" ht="18" x14ac:dyDescent="0.2">
      <c r="A947" s="53">
        <v>947</v>
      </c>
    </row>
    <row r="948" spans="1:1" ht="18" x14ac:dyDescent="0.2">
      <c r="A948" s="53">
        <v>948</v>
      </c>
    </row>
    <row r="949" spans="1:1" ht="18" x14ac:dyDescent="0.2">
      <c r="A949" s="53">
        <v>949</v>
      </c>
    </row>
    <row r="950" spans="1:1" ht="18" x14ac:dyDescent="0.2">
      <c r="A950" s="53">
        <v>950</v>
      </c>
    </row>
    <row r="951" spans="1:1" ht="18" x14ac:dyDescent="0.2">
      <c r="A951" s="53">
        <v>951</v>
      </c>
    </row>
    <row r="952" spans="1:1" ht="18" x14ac:dyDescent="0.2">
      <c r="A952" s="53">
        <v>952</v>
      </c>
    </row>
    <row r="953" spans="1:1" ht="18" x14ac:dyDescent="0.2">
      <c r="A953" s="53">
        <v>953</v>
      </c>
    </row>
    <row r="954" spans="1:1" ht="18" x14ac:dyDescent="0.2">
      <c r="A954" s="53">
        <v>954</v>
      </c>
    </row>
    <row r="955" spans="1:1" ht="18" x14ac:dyDescent="0.2">
      <c r="A955" s="53">
        <v>955</v>
      </c>
    </row>
    <row r="956" spans="1:1" ht="18" x14ac:dyDescent="0.2">
      <c r="A956" s="53">
        <v>956</v>
      </c>
    </row>
    <row r="957" spans="1:1" ht="18" x14ac:dyDescent="0.2">
      <c r="A957" s="53">
        <v>957</v>
      </c>
    </row>
    <row r="958" spans="1:1" ht="18" x14ac:dyDescent="0.2">
      <c r="A958" s="53">
        <v>958</v>
      </c>
    </row>
    <row r="959" spans="1:1" ht="18" x14ac:dyDescent="0.2">
      <c r="A959" s="53">
        <v>959</v>
      </c>
    </row>
    <row r="960" spans="1:1" ht="18" x14ac:dyDescent="0.2">
      <c r="A960" s="53">
        <v>960</v>
      </c>
    </row>
    <row r="961" spans="1:1" ht="18" x14ac:dyDescent="0.2">
      <c r="A961" s="53">
        <v>961</v>
      </c>
    </row>
    <row r="962" spans="1:1" ht="18" x14ac:dyDescent="0.2">
      <c r="A962" s="53">
        <v>962</v>
      </c>
    </row>
    <row r="963" spans="1:1" ht="18" x14ac:dyDescent="0.2">
      <c r="A963" s="53">
        <v>963</v>
      </c>
    </row>
    <row r="964" spans="1:1" ht="18" x14ac:dyDescent="0.2">
      <c r="A964" s="53">
        <v>964</v>
      </c>
    </row>
    <row r="965" spans="1:1" ht="18" x14ac:dyDescent="0.2">
      <c r="A965" s="53">
        <v>965</v>
      </c>
    </row>
    <row r="966" spans="1:1" ht="18" x14ac:dyDescent="0.2">
      <c r="A966" s="53">
        <v>966</v>
      </c>
    </row>
    <row r="967" spans="1:1" ht="18" x14ac:dyDescent="0.2">
      <c r="A967" s="53">
        <v>967</v>
      </c>
    </row>
    <row r="968" spans="1:1" ht="18" x14ac:dyDescent="0.2">
      <c r="A968" s="53">
        <v>968</v>
      </c>
    </row>
    <row r="969" spans="1:1" ht="18" x14ac:dyDescent="0.2">
      <c r="A969" s="53">
        <v>969</v>
      </c>
    </row>
    <row r="970" spans="1:1" ht="18" x14ac:dyDescent="0.2">
      <c r="A970" s="53">
        <v>970</v>
      </c>
    </row>
    <row r="971" spans="1:1" ht="18" x14ac:dyDescent="0.2">
      <c r="A971" s="53">
        <v>971</v>
      </c>
    </row>
    <row r="972" spans="1:1" ht="18" x14ac:dyDescent="0.2">
      <c r="A972" s="53">
        <v>972</v>
      </c>
    </row>
    <row r="973" spans="1:1" ht="18" x14ac:dyDescent="0.2">
      <c r="A973" s="53">
        <v>973</v>
      </c>
    </row>
    <row r="974" spans="1:1" ht="18" x14ac:dyDescent="0.2">
      <c r="A974" s="53">
        <v>974</v>
      </c>
    </row>
    <row r="975" spans="1:1" ht="18" x14ac:dyDescent="0.2">
      <c r="A975" s="53">
        <v>975</v>
      </c>
    </row>
    <row r="976" spans="1:1" ht="18" x14ac:dyDescent="0.2">
      <c r="A976" s="53">
        <v>976</v>
      </c>
    </row>
    <row r="977" spans="1:1" ht="18" x14ac:dyDescent="0.2">
      <c r="A977" s="53">
        <v>977</v>
      </c>
    </row>
    <row r="978" spans="1:1" ht="18" x14ac:dyDescent="0.2">
      <c r="A978" s="53">
        <v>978</v>
      </c>
    </row>
    <row r="979" spans="1:1" ht="18" x14ac:dyDescent="0.2">
      <c r="A979" s="53">
        <v>979</v>
      </c>
    </row>
    <row r="980" spans="1:1" ht="18" x14ac:dyDescent="0.2">
      <c r="A980" s="53">
        <v>980</v>
      </c>
    </row>
    <row r="981" spans="1:1" ht="18" x14ac:dyDescent="0.2">
      <c r="A981" s="53">
        <v>981</v>
      </c>
    </row>
    <row r="982" spans="1:1" ht="18" x14ac:dyDescent="0.2">
      <c r="A982" s="53">
        <v>982</v>
      </c>
    </row>
    <row r="983" spans="1:1" ht="18" x14ac:dyDescent="0.2">
      <c r="A983" s="53">
        <v>983</v>
      </c>
    </row>
    <row r="984" spans="1:1" ht="18" x14ac:dyDescent="0.2">
      <c r="A984" s="53">
        <v>984</v>
      </c>
    </row>
    <row r="985" spans="1:1" ht="18" x14ac:dyDescent="0.2">
      <c r="A985" s="53">
        <v>985</v>
      </c>
    </row>
    <row r="986" spans="1:1" ht="18" x14ac:dyDescent="0.2">
      <c r="A986" s="53">
        <v>986</v>
      </c>
    </row>
    <row r="987" spans="1:1" ht="18" x14ac:dyDescent="0.2">
      <c r="A987" s="53">
        <v>987</v>
      </c>
    </row>
    <row r="988" spans="1:1" ht="18" x14ac:dyDescent="0.2">
      <c r="A988" s="53">
        <v>988</v>
      </c>
    </row>
    <row r="989" spans="1:1" ht="18" x14ac:dyDescent="0.2">
      <c r="A989" s="53">
        <v>989</v>
      </c>
    </row>
    <row r="990" spans="1:1" ht="18" x14ac:dyDescent="0.2">
      <c r="A990" s="53">
        <v>990</v>
      </c>
    </row>
    <row r="991" spans="1:1" ht="18" x14ac:dyDescent="0.2">
      <c r="A991" s="53">
        <v>991</v>
      </c>
    </row>
    <row r="992" spans="1:1" ht="18" x14ac:dyDescent="0.2">
      <c r="A992" s="53">
        <v>992</v>
      </c>
    </row>
    <row r="993" spans="1:1" ht="18" x14ac:dyDescent="0.2">
      <c r="A993" s="53">
        <v>993</v>
      </c>
    </row>
    <row r="994" spans="1:1" ht="18" x14ac:dyDescent="0.2">
      <c r="A994" s="53">
        <v>994</v>
      </c>
    </row>
    <row r="995" spans="1:1" ht="18" x14ac:dyDescent="0.2">
      <c r="A995" s="53">
        <v>995</v>
      </c>
    </row>
    <row r="996" spans="1:1" ht="18" x14ac:dyDescent="0.2">
      <c r="A996" s="53">
        <v>996</v>
      </c>
    </row>
    <row r="997" spans="1:1" ht="18" x14ac:dyDescent="0.2">
      <c r="A997" s="53">
        <v>997</v>
      </c>
    </row>
    <row r="998" spans="1:1" ht="18" x14ac:dyDescent="0.2">
      <c r="A998" s="53">
        <v>998</v>
      </c>
    </row>
    <row r="999" spans="1:1" ht="18" x14ac:dyDescent="0.2">
      <c r="A999" s="53">
        <v>999</v>
      </c>
    </row>
    <row r="1000" spans="1:1" ht="18" x14ac:dyDescent="0.2">
      <c r="A1000" s="53">
        <v>1000</v>
      </c>
    </row>
    <row r="1001" spans="1:1" ht="18" x14ac:dyDescent="0.2">
      <c r="A1001" s="53">
        <v>1001</v>
      </c>
    </row>
    <row r="1002" spans="1:1" ht="18" x14ac:dyDescent="0.2">
      <c r="A1002" s="53">
        <v>1002</v>
      </c>
    </row>
    <row r="1003" spans="1:1" ht="18" x14ac:dyDescent="0.2">
      <c r="A1003" s="53">
        <v>1003</v>
      </c>
    </row>
    <row r="1004" spans="1:1" ht="18" x14ac:dyDescent="0.2">
      <c r="A1004" s="53">
        <v>1004</v>
      </c>
    </row>
    <row r="1005" spans="1:1" ht="18" x14ac:dyDescent="0.2">
      <c r="A1005" s="53">
        <v>1005</v>
      </c>
    </row>
    <row r="1006" spans="1:1" ht="18" x14ac:dyDescent="0.2">
      <c r="A1006" s="53">
        <v>1006</v>
      </c>
    </row>
    <row r="1007" spans="1:1" ht="18" x14ac:dyDescent="0.2">
      <c r="A1007" s="53">
        <v>1007</v>
      </c>
    </row>
    <row r="1008" spans="1:1" ht="18" x14ac:dyDescent="0.2">
      <c r="A1008" s="53">
        <v>1008</v>
      </c>
    </row>
    <row r="1009" spans="1:1" ht="18" x14ac:dyDescent="0.2">
      <c r="A1009" s="53">
        <v>1009</v>
      </c>
    </row>
    <row r="1010" spans="1:1" ht="18" x14ac:dyDescent="0.2">
      <c r="A1010" s="53">
        <v>1010</v>
      </c>
    </row>
    <row r="1011" spans="1:1" ht="18" x14ac:dyDescent="0.2">
      <c r="A1011" s="53">
        <v>1011</v>
      </c>
    </row>
    <row r="1012" spans="1:1" ht="18" x14ac:dyDescent="0.2">
      <c r="A1012" s="53">
        <v>1012</v>
      </c>
    </row>
    <row r="1013" spans="1:1" ht="18" x14ac:dyDescent="0.2">
      <c r="A1013" s="53">
        <v>1013</v>
      </c>
    </row>
    <row r="1014" spans="1:1" ht="18" x14ac:dyDescent="0.2">
      <c r="A1014" s="53">
        <v>1014</v>
      </c>
    </row>
    <row r="1015" spans="1:1" ht="18" x14ac:dyDescent="0.2">
      <c r="A1015" s="53">
        <v>1015</v>
      </c>
    </row>
    <row r="1016" spans="1:1" ht="18" x14ac:dyDescent="0.2">
      <c r="A1016" s="53">
        <v>1016</v>
      </c>
    </row>
    <row r="1017" spans="1:1" ht="18" x14ac:dyDescent="0.2">
      <c r="A1017" s="53">
        <v>1017</v>
      </c>
    </row>
    <row r="1018" spans="1:1" ht="18" x14ac:dyDescent="0.2">
      <c r="A1018" s="53">
        <v>1018</v>
      </c>
    </row>
    <row r="1019" spans="1:1" ht="18" x14ac:dyDescent="0.2">
      <c r="A1019" s="53">
        <v>1019</v>
      </c>
    </row>
    <row r="1020" spans="1:1" ht="18" x14ac:dyDescent="0.2">
      <c r="A1020" s="53">
        <v>1020</v>
      </c>
    </row>
    <row r="1021" spans="1:1" ht="18" x14ac:dyDescent="0.2">
      <c r="A1021" s="53">
        <v>1021</v>
      </c>
    </row>
    <row r="1022" spans="1:1" ht="18" x14ac:dyDescent="0.2">
      <c r="A1022" s="53">
        <v>1022</v>
      </c>
    </row>
    <row r="1023" spans="1:1" ht="18" x14ac:dyDescent="0.2">
      <c r="A1023" s="53">
        <v>1023</v>
      </c>
    </row>
    <row r="1024" spans="1:1" ht="18" x14ac:dyDescent="0.2">
      <c r="A1024" s="53">
        <v>1024</v>
      </c>
    </row>
    <row r="1025" spans="1:1" ht="18" x14ac:dyDescent="0.2">
      <c r="A1025" s="53">
        <v>1025</v>
      </c>
    </row>
    <row r="1026" spans="1:1" ht="18" x14ac:dyDescent="0.2">
      <c r="A1026" s="53">
        <v>1026</v>
      </c>
    </row>
    <row r="1027" spans="1:1" ht="18" x14ac:dyDescent="0.2">
      <c r="A1027" s="53">
        <v>1027</v>
      </c>
    </row>
    <row r="1028" spans="1:1" ht="18" x14ac:dyDescent="0.2">
      <c r="A1028" s="53">
        <v>1028</v>
      </c>
    </row>
    <row r="1029" spans="1:1" ht="18" x14ac:dyDescent="0.2">
      <c r="A1029" s="53">
        <v>1029</v>
      </c>
    </row>
    <row r="1030" spans="1:1" ht="18" x14ac:dyDescent="0.2">
      <c r="A1030" s="53">
        <v>1030</v>
      </c>
    </row>
    <row r="1031" spans="1:1" ht="18" x14ac:dyDescent="0.2">
      <c r="A1031" s="53">
        <v>1031</v>
      </c>
    </row>
    <row r="1032" spans="1:1" ht="18" x14ac:dyDescent="0.2">
      <c r="A1032" s="53">
        <v>1032</v>
      </c>
    </row>
    <row r="1033" spans="1:1" ht="18" x14ac:dyDescent="0.2">
      <c r="A1033" s="53">
        <v>1033</v>
      </c>
    </row>
    <row r="1034" spans="1:1" ht="18" x14ac:dyDescent="0.2">
      <c r="A1034" s="53">
        <v>1034</v>
      </c>
    </row>
    <row r="1035" spans="1:1" ht="18" x14ac:dyDescent="0.2">
      <c r="A1035" s="53">
        <v>1035</v>
      </c>
    </row>
    <row r="1036" spans="1:1" ht="18" x14ac:dyDescent="0.2">
      <c r="A1036" s="53">
        <v>1036</v>
      </c>
    </row>
    <row r="1037" spans="1:1" ht="18" x14ac:dyDescent="0.2">
      <c r="A1037" s="53">
        <v>1037</v>
      </c>
    </row>
    <row r="1038" spans="1:1" ht="18" x14ac:dyDescent="0.2">
      <c r="A1038" s="53">
        <v>1038</v>
      </c>
    </row>
    <row r="1039" spans="1:1" ht="18" x14ac:dyDescent="0.2">
      <c r="A1039" s="53">
        <v>1039</v>
      </c>
    </row>
    <row r="1040" spans="1:1" ht="18" x14ac:dyDescent="0.2">
      <c r="A1040" s="53">
        <v>1040</v>
      </c>
    </row>
    <row r="1041" spans="1:1" ht="18" x14ac:dyDescent="0.2">
      <c r="A1041" s="53">
        <v>1041</v>
      </c>
    </row>
    <row r="1042" spans="1:1" ht="18" x14ac:dyDescent="0.2">
      <c r="A1042" s="53">
        <v>1042</v>
      </c>
    </row>
    <row r="1043" spans="1:1" ht="18" x14ac:dyDescent="0.2">
      <c r="A1043" s="53">
        <v>1043</v>
      </c>
    </row>
    <row r="1044" spans="1:1" ht="18" x14ac:dyDescent="0.2">
      <c r="A1044" s="53">
        <v>1044</v>
      </c>
    </row>
    <row r="1045" spans="1:1" ht="18" x14ac:dyDescent="0.2">
      <c r="A1045" s="53">
        <v>1045</v>
      </c>
    </row>
    <row r="1046" spans="1:1" ht="18" x14ac:dyDescent="0.2">
      <c r="A1046" s="53">
        <v>1046</v>
      </c>
    </row>
    <row r="1047" spans="1:1" ht="18" x14ac:dyDescent="0.2">
      <c r="A1047" s="53">
        <v>1047</v>
      </c>
    </row>
    <row r="1048" spans="1:1" ht="18" x14ac:dyDescent="0.2">
      <c r="A1048" s="53">
        <v>1048</v>
      </c>
    </row>
    <row r="1049" spans="1:1" ht="18" x14ac:dyDescent="0.2">
      <c r="A1049" s="53">
        <v>1049</v>
      </c>
    </row>
    <row r="1050" spans="1:1" ht="18" x14ac:dyDescent="0.2">
      <c r="A1050" s="53">
        <v>1050</v>
      </c>
    </row>
    <row r="1051" spans="1:1" ht="18" x14ac:dyDescent="0.2">
      <c r="A1051" s="53">
        <v>1051</v>
      </c>
    </row>
    <row r="1052" spans="1:1" ht="18" x14ac:dyDescent="0.2">
      <c r="A1052" s="53">
        <v>1052</v>
      </c>
    </row>
    <row r="1053" spans="1:1" ht="18" x14ac:dyDescent="0.2">
      <c r="A1053" s="53">
        <v>1053</v>
      </c>
    </row>
    <row r="1054" spans="1:1" ht="18" x14ac:dyDescent="0.2">
      <c r="A1054" s="53">
        <v>1054</v>
      </c>
    </row>
    <row r="1055" spans="1:1" ht="18" x14ac:dyDescent="0.2">
      <c r="A1055" s="53">
        <v>1055</v>
      </c>
    </row>
    <row r="1056" spans="1:1" ht="18" x14ac:dyDescent="0.2">
      <c r="A1056" s="53">
        <v>1056</v>
      </c>
    </row>
    <row r="1057" spans="1:1" ht="18" x14ac:dyDescent="0.2">
      <c r="A1057" s="53">
        <v>1057</v>
      </c>
    </row>
    <row r="1058" spans="1:1" ht="18" x14ac:dyDescent="0.2">
      <c r="A1058" s="53">
        <v>1058</v>
      </c>
    </row>
    <row r="1059" spans="1:1" ht="18" x14ac:dyDescent="0.2">
      <c r="A1059" s="53">
        <v>1059</v>
      </c>
    </row>
    <row r="1060" spans="1:1" ht="18" x14ac:dyDescent="0.2">
      <c r="A1060" s="53">
        <v>1060</v>
      </c>
    </row>
    <row r="1061" spans="1:1" ht="18" x14ac:dyDescent="0.2">
      <c r="A1061" s="53">
        <v>1061</v>
      </c>
    </row>
    <row r="1062" spans="1:1" ht="18" x14ac:dyDescent="0.2">
      <c r="A1062" s="53">
        <v>1062</v>
      </c>
    </row>
    <row r="1063" spans="1:1" ht="18" x14ac:dyDescent="0.2">
      <c r="A1063" s="53">
        <v>1063</v>
      </c>
    </row>
    <row r="1064" spans="1:1" ht="18" x14ac:dyDescent="0.2">
      <c r="A1064" s="53">
        <v>1064</v>
      </c>
    </row>
    <row r="1065" spans="1:1" ht="18" x14ac:dyDescent="0.2">
      <c r="A1065" s="53">
        <v>1065</v>
      </c>
    </row>
    <row r="1066" spans="1:1" ht="18" x14ac:dyDescent="0.2">
      <c r="A1066" s="53">
        <v>1066</v>
      </c>
    </row>
    <row r="1067" spans="1:1" ht="18" x14ac:dyDescent="0.2">
      <c r="A1067" s="53">
        <v>1067</v>
      </c>
    </row>
    <row r="1068" spans="1:1" ht="18" x14ac:dyDescent="0.2">
      <c r="A1068" s="53">
        <v>1068</v>
      </c>
    </row>
    <row r="1069" spans="1:1" ht="18" x14ac:dyDescent="0.2">
      <c r="A1069" s="53">
        <v>1069</v>
      </c>
    </row>
    <row r="1070" spans="1:1" ht="18" x14ac:dyDescent="0.2">
      <c r="A1070" s="53">
        <v>1070</v>
      </c>
    </row>
    <row r="1071" spans="1:1" ht="18" x14ac:dyDescent="0.2">
      <c r="A1071" s="53">
        <v>1071</v>
      </c>
    </row>
    <row r="1072" spans="1:1" ht="18" x14ac:dyDescent="0.2">
      <c r="A1072" s="53">
        <v>1072</v>
      </c>
    </row>
    <row r="1073" spans="1:1" ht="18" x14ac:dyDescent="0.2">
      <c r="A1073" s="53">
        <v>1073</v>
      </c>
    </row>
    <row r="1074" spans="1:1" ht="18" x14ac:dyDescent="0.2">
      <c r="A1074" s="53">
        <v>1074</v>
      </c>
    </row>
    <row r="1075" spans="1:1" ht="18" x14ac:dyDescent="0.2">
      <c r="A1075" s="53">
        <v>1075</v>
      </c>
    </row>
    <row r="1076" spans="1:1" ht="18" x14ac:dyDescent="0.2">
      <c r="A1076" s="53">
        <v>1076</v>
      </c>
    </row>
    <row r="1077" spans="1:1" ht="18" x14ac:dyDescent="0.2">
      <c r="A1077" s="53">
        <v>1077</v>
      </c>
    </row>
    <row r="1078" spans="1:1" ht="18" x14ac:dyDescent="0.2">
      <c r="A1078" s="53">
        <v>1078</v>
      </c>
    </row>
    <row r="1079" spans="1:1" ht="18" x14ac:dyDescent="0.2">
      <c r="A1079" s="53">
        <v>1079</v>
      </c>
    </row>
    <row r="1080" spans="1:1" ht="18" x14ac:dyDescent="0.2">
      <c r="A1080" s="53">
        <v>1080</v>
      </c>
    </row>
    <row r="1081" spans="1:1" ht="18" x14ac:dyDescent="0.2">
      <c r="A1081" s="53">
        <v>1081</v>
      </c>
    </row>
    <row r="1082" spans="1:1" ht="18" x14ac:dyDescent="0.2">
      <c r="A1082" s="53">
        <v>1082</v>
      </c>
    </row>
    <row r="1083" spans="1:1" ht="18" x14ac:dyDescent="0.2">
      <c r="A1083" s="53">
        <v>1083</v>
      </c>
    </row>
    <row r="1084" spans="1:1" ht="18" x14ac:dyDescent="0.2">
      <c r="A1084" s="53">
        <v>1084</v>
      </c>
    </row>
    <row r="1085" spans="1:1" ht="18" x14ac:dyDescent="0.2">
      <c r="A1085" s="53">
        <v>1085</v>
      </c>
    </row>
    <row r="1086" spans="1:1" ht="18" x14ac:dyDescent="0.2">
      <c r="A1086" s="53">
        <v>1086</v>
      </c>
    </row>
    <row r="1087" spans="1:1" ht="18" x14ac:dyDescent="0.2">
      <c r="A1087" s="53">
        <v>1087</v>
      </c>
    </row>
    <row r="1088" spans="1:1" ht="18" x14ac:dyDescent="0.2">
      <c r="A1088" s="53">
        <v>1088</v>
      </c>
    </row>
    <row r="1089" spans="1:1" ht="18" x14ac:dyDescent="0.2">
      <c r="A1089" s="53">
        <v>1089</v>
      </c>
    </row>
    <row r="1090" spans="1:1" ht="18" x14ac:dyDescent="0.2">
      <c r="A1090" s="53">
        <v>1090</v>
      </c>
    </row>
    <row r="1091" spans="1:1" ht="18" x14ac:dyDescent="0.2">
      <c r="A1091" s="53">
        <v>1091</v>
      </c>
    </row>
    <row r="1092" spans="1:1" ht="18" x14ac:dyDescent="0.2">
      <c r="A1092" s="53">
        <v>1092</v>
      </c>
    </row>
    <row r="1093" spans="1:1" ht="18" x14ac:dyDescent="0.2">
      <c r="A1093" s="53">
        <v>1093</v>
      </c>
    </row>
    <row r="1094" spans="1:1" ht="18" x14ac:dyDescent="0.2">
      <c r="A1094" s="53">
        <v>1094</v>
      </c>
    </row>
    <row r="1095" spans="1:1" ht="18" x14ac:dyDescent="0.2">
      <c r="A1095" s="53">
        <v>1095</v>
      </c>
    </row>
    <row r="1096" spans="1:1" ht="18" x14ac:dyDescent="0.2">
      <c r="A1096" s="53">
        <v>1096</v>
      </c>
    </row>
    <row r="1097" spans="1:1" ht="18" x14ac:dyDescent="0.2">
      <c r="A1097" s="53">
        <v>1097</v>
      </c>
    </row>
    <row r="1098" spans="1:1" ht="18" x14ac:dyDescent="0.2">
      <c r="A1098" s="53">
        <v>1098</v>
      </c>
    </row>
    <row r="1099" spans="1:1" ht="18" x14ac:dyDescent="0.2">
      <c r="A1099" s="53">
        <v>1099</v>
      </c>
    </row>
    <row r="1100" spans="1:1" ht="18" x14ac:dyDescent="0.2">
      <c r="A1100" s="53">
        <v>1100</v>
      </c>
    </row>
    <row r="1101" spans="1:1" ht="18" x14ac:dyDescent="0.2">
      <c r="A1101" s="53">
        <v>1101</v>
      </c>
    </row>
    <row r="1102" spans="1:1" ht="18" x14ac:dyDescent="0.2">
      <c r="A1102" s="53">
        <v>1102</v>
      </c>
    </row>
    <row r="1103" spans="1:1" ht="18" x14ac:dyDescent="0.2">
      <c r="A1103" s="53">
        <v>1103</v>
      </c>
    </row>
    <row r="1104" spans="1:1" ht="18" x14ac:dyDescent="0.2">
      <c r="A1104" s="53">
        <v>1104</v>
      </c>
    </row>
    <row r="1105" spans="1:1" ht="18" x14ac:dyDescent="0.2">
      <c r="A1105" s="53">
        <v>1105</v>
      </c>
    </row>
    <row r="1106" spans="1:1" ht="18" x14ac:dyDescent="0.2">
      <c r="A1106" s="53">
        <v>1106</v>
      </c>
    </row>
    <row r="1107" spans="1:1" ht="18" x14ac:dyDescent="0.2">
      <c r="A1107" s="53">
        <v>1107</v>
      </c>
    </row>
    <row r="1108" spans="1:1" ht="18" x14ac:dyDescent="0.2">
      <c r="A1108" s="53">
        <v>1108</v>
      </c>
    </row>
    <row r="1109" spans="1:1" ht="18" x14ac:dyDescent="0.2">
      <c r="A1109" s="53">
        <v>1109</v>
      </c>
    </row>
    <row r="1110" spans="1:1" ht="18" x14ac:dyDescent="0.2">
      <c r="A1110" s="53">
        <v>1110</v>
      </c>
    </row>
    <row r="1111" spans="1:1" ht="18" x14ac:dyDescent="0.2">
      <c r="A1111" s="53">
        <v>1111</v>
      </c>
    </row>
    <row r="1112" spans="1:1" ht="18" x14ac:dyDescent="0.2">
      <c r="A1112" s="53">
        <v>1112</v>
      </c>
    </row>
    <row r="1113" spans="1:1" ht="18" x14ac:dyDescent="0.2">
      <c r="A1113" s="53">
        <v>1113</v>
      </c>
    </row>
    <row r="1114" spans="1:1" ht="18" x14ac:dyDescent="0.2">
      <c r="A1114" s="53">
        <v>1114</v>
      </c>
    </row>
    <row r="1115" spans="1:1" ht="18" x14ac:dyDescent="0.2">
      <c r="A1115" s="53">
        <v>1115</v>
      </c>
    </row>
    <row r="1116" spans="1:1" ht="18" x14ac:dyDescent="0.2">
      <c r="A1116" s="53">
        <v>1116</v>
      </c>
    </row>
    <row r="1117" spans="1:1" ht="18" x14ac:dyDescent="0.2">
      <c r="A1117" s="53">
        <v>1117</v>
      </c>
    </row>
    <row r="1118" spans="1:1" ht="18" x14ac:dyDescent="0.2">
      <c r="A1118" s="53">
        <v>1118</v>
      </c>
    </row>
    <row r="1119" spans="1:1" ht="18" x14ac:dyDescent="0.2">
      <c r="A1119" s="53">
        <v>1119</v>
      </c>
    </row>
    <row r="1120" spans="1:1" ht="18" x14ac:dyDescent="0.2">
      <c r="A1120" s="53">
        <v>1120</v>
      </c>
    </row>
    <row r="1121" spans="1:1" ht="18" x14ac:dyDescent="0.2">
      <c r="A1121" s="53">
        <v>1121</v>
      </c>
    </row>
    <row r="1122" spans="1:1" ht="18" x14ac:dyDescent="0.2">
      <c r="A1122" s="53">
        <v>1122</v>
      </c>
    </row>
    <row r="1123" spans="1:1" ht="18" x14ac:dyDescent="0.2">
      <c r="A1123" s="53">
        <v>1123</v>
      </c>
    </row>
    <row r="1124" spans="1:1" ht="18" x14ac:dyDescent="0.2">
      <c r="A1124" s="53">
        <v>1124</v>
      </c>
    </row>
    <row r="1125" spans="1:1" ht="18" x14ac:dyDescent="0.2">
      <c r="A1125" s="53">
        <v>1125</v>
      </c>
    </row>
    <row r="1126" spans="1:1" ht="18" x14ac:dyDescent="0.2">
      <c r="A1126" s="53">
        <v>1126</v>
      </c>
    </row>
    <row r="1127" spans="1:1" ht="18" x14ac:dyDescent="0.2">
      <c r="A1127" s="53">
        <v>1127</v>
      </c>
    </row>
    <row r="1128" spans="1:1" ht="18" x14ac:dyDescent="0.2">
      <c r="A1128" s="53">
        <v>1128</v>
      </c>
    </row>
    <row r="1129" spans="1:1" ht="18" x14ac:dyDescent="0.2">
      <c r="A1129" s="53">
        <v>1129</v>
      </c>
    </row>
    <row r="1130" spans="1:1" ht="18" x14ac:dyDescent="0.2">
      <c r="A1130" s="53">
        <v>1130</v>
      </c>
    </row>
    <row r="1131" spans="1:1" ht="18" x14ac:dyDescent="0.2">
      <c r="A1131" s="53">
        <v>1131</v>
      </c>
    </row>
    <row r="1132" spans="1:1" ht="18" x14ac:dyDescent="0.2">
      <c r="A1132" s="53">
        <v>1132</v>
      </c>
    </row>
    <row r="1133" spans="1:1" ht="18" x14ac:dyDescent="0.2">
      <c r="A1133" s="53">
        <v>1133</v>
      </c>
    </row>
    <row r="1134" spans="1:1" ht="18" x14ac:dyDescent="0.2">
      <c r="A1134" s="53">
        <v>1134</v>
      </c>
    </row>
    <row r="1135" spans="1:1" ht="18" x14ac:dyDescent="0.2">
      <c r="A1135" s="53">
        <v>1135</v>
      </c>
    </row>
    <row r="1136" spans="1:1" ht="18" x14ac:dyDescent="0.2">
      <c r="A1136" s="53">
        <v>1136</v>
      </c>
    </row>
    <row r="1137" spans="1:1" ht="18" x14ac:dyDescent="0.2">
      <c r="A1137" s="53">
        <v>1137</v>
      </c>
    </row>
    <row r="1138" spans="1:1" ht="18" x14ac:dyDescent="0.2">
      <c r="A1138" s="53">
        <v>1138</v>
      </c>
    </row>
    <row r="1139" spans="1:1" ht="18" x14ac:dyDescent="0.2">
      <c r="A1139" s="53">
        <v>1139</v>
      </c>
    </row>
    <row r="1140" spans="1:1" ht="18" x14ac:dyDescent="0.2">
      <c r="A1140" s="53">
        <v>1140</v>
      </c>
    </row>
    <row r="1141" spans="1:1" ht="18" x14ac:dyDescent="0.2">
      <c r="A1141" s="53">
        <v>1141</v>
      </c>
    </row>
    <row r="1142" spans="1:1" ht="18" x14ac:dyDescent="0.2">
      <c r="A1142" s="53">
        <v>1142</v>
      </c>
    </row>
    <row r="1143" spans="1:1" ht="18" x14ac:dyDescent="0.2">
      <c r="A1143" s="53">
        <v>1143</v>
      </c>
    </row>
    <row r="1144" spans="1:1" ht="18" x14ac:dyDescent="0.2">
      <c r="A1144" s="53">
        <v>1144</v>
      </c>
    </row>
    <row r="1145" spans="1:1" ht="18" x14ac:dyDescent="0.2">
      <c r="A1145" s="53">
        <v>1145</v>
      </c>
    </row>
    <row r="1146" spans="1:1" ht="18" x14ac:dyDescent="0.2">
      <c r="A1146" s="53">
        <v>1146</v>
      </c>
    </row>
    <row r="1147" spans="1:1" ht="18" x14ac:dyDescent="0.2">
      <c r="A1147" s="53">
        <v>1147</v>
      </c>
    </row>
    <row r="1148" spans="1:1" ht="18" x14ac:dyDescent="0.2">
      <c r="A1148" s="53">
        <v>1148</v>
      </c>
    </row>
    <row r="1149" spans="1:1" ht="18" x14ac:dyDescent="0.2">
      <c r="A1149" s="53">
        <v>1149</v>
      </c>
    </row>
    <row r="1150" spans="1:1" ht="18" x14ac:dyDescent="0.2">
      <c r="A1150" s="53">
        <v>1150</v>
      </c>
    </row>
    <row r="1151" spans="1:1" ht="18" x14ac:dyDescent="0.2">
      <c r="A1151" s="53">
        <v>1151</v>
      </c>
    </row>
    <row r="1152" spans="1:1" ht="18" x14ac:dyDescent="0.2">
      <c r="A1152" s="53">
        <v>1152</v>
      </c>
    </row>
    <row r="1153" spans="1:1" ht="18" x14ac:dyDescent="0.2">
      <c r="A1153" s="53">
        <v>1153</v>
      </c>
    </row>
    <row r="1154" spans="1:1" ht="18" x14ac:dyDescent="0.2">
      <c r="A1154" s="53">
        <v>1154</v>
      </c>
    </row>
    <row r="1155" spans="1:1" ht="18" x14ac:dyDescent="0.2">
      <c r="A1155" s="53">
        <v>1155</v>
      </c>
    </row>
    <row r="1156" spans="1:1" ht="18" x14ac:dyDescent="0.2">
      <c r="A1156" s="53">
        <v>1156</v>
      </c>
    </row>
    <row r="1157" spans="1:1" ht="18" x14ac:dyDescent="0.2">
      <c r="A1157" s="53">
        <v>1157</v>
      </c>
    </row>
    <row r="1158" spans="1:1" ht="18" x14ac:dyDescent="0.2">
      <c r="A1158" s="53">
        <v>1158</v>
      </c>
    </row>
    <row r="1159" spans="1:1" ht="18" x14ac:dyDescent="0.2">
      <c r="A1159" s="53">
        <v>1159</v>
      </c>
    </row>
    <row r="1160" spans="1:1" ht="18" x14ac:dyDescent="0.2">
      <c r="A1160" s="53">
        <v>1160</v>
      </c>
    </row>
    <row r="1161" spans="1:1" ht="18" x14ac:dyDescent="0.2">
      <c r="A1161" s="53">
        <v>1161</v>
      </c>
    </row>
    <row r="1162" spans="1:1" ht="18" x14ac:dyDescent="0.2">
      <c r="A1162" s="53">
        <v>1162</v>
      </c>
    </row>
    <row r="1163" spans="1:1" ht="18" x14ac:dyDescent="0.2">
      <c r="A1163" s="53">
        <v>1163</v>
      </c>
    </row>
    <row r="1164" spans="1:1" ht="18" x14ac:dyDescent="0.2">
      <c r="A1164" s="53">
        <v>1164</v>
      </c>
    </row>
    <row r="1165" spans="1:1" ht="18" x14ac:dyDescent="0.2">
      <c r="A1165" s="53">
        <v>1165</v>
      </c>
    </row>
    <row r="1166" spans="1:1" ht="18" x14ac:dyDescent="0.2">
      <c r="A1166" s="53">
        <v>1166</v>
      </c>
    </row>
    <row r="1167" spans="1:1" ht="18" x14ac:dyDescent="0.2">
      <c r="A1167" s="53">
        <v>1167</v>
      </c>
    </row>
    <row r="1168" spans="1:1" ht="18" x14ac:dyDescent="0.2">
      <c r="A1168" s="53">
        <v>1168</v>
      </c>
    </row>
    <row r="1169" spans="1:1" ht="18" x14ac:dyDescent="0.2">
      <c r="A1169" s="53">
        <v>1169</v>
      </c>
    </row>
    <row r="1170" spans="1:1" ht="18" x14ac:dyDescent="0.2">
      <c r="A1170" s="53">
        <v>1170</v>
      </c>
    </row>
    <row r="1171" spans="1:1" ht="18" x14ac:dyDescent="0.2">
      <c r="A1171" s="53">
        <v>1171</v>
      </c>
    </row>
    <row r="1172" spans="1:1" ht="18" x14ac:dyDescent="0.2">
      <c r="A1172" s="53">
        <v>1172</v>
      </c>
    </row>
    <row r="1173" spans="1:1" ht="18" x14ac:dyDescent="0.2">
      <c r="A1173" s="53">
        <v>1173</v>
      </c>
    </row>
    <row r="1174" spans="1:1" ht="18" x14ac:dyDescent="0.2">
      <c r="A1174" s="53">
        <v>1174</v>
      </c>
    </row>
    <row r="1175" spans="1:1" ht="18" x14ac:dyDescent="0.2">
      <c r="A1175" s="53">
        <v>1175</v>
      </c>
    </row>
    <row r="1176" spans="1:1" ht="18" x14ac:dyDescent="0.2">
      <c r="A1176" s="53">
        <v>1176</v>
      </c>
    </row>
    <row r="1177" spans="1:1" ht="18" x14ac:dyDescent="0.2">
      <c r="A1177" s="53">
        <v>1177</v>
      </c>
    </row>
    <row r="1178" spans="1:1" ht="18" x14ac:dyDescent="0.2">
      <c r="A1178" s="53">
        <v>1178</v>
      </c>
    </row>
    <row r="1179" spans="1:1" ht="18" x14ac:dyDescent="0.2">
      <c r="A1179" s="53">
        <v>1179</v>
      </c>
    </row>
    <row r="1180" spans="1:1" ht="18" x14ac:dyDescent="0.2">
      <c r="A1180" s="53">
        <v>1180</v>
      </c>
    </row>
    <row r="1181" spans="1:1" ht="18" x14ac:dyDescent="0.2">
      <c r="A1181" s="53">
        <v>1181</v>
      </c>
    </row>
    <row r="1182" spans="1:1" ht="18" x14ac:dyDescent="0.2">
      <c r="A1182" s="53">
        <v>1182</v>
      </c>
    </row>
    <row r="1183" spans="1:1" ht="18" x14ac:dyDescent="0.2">
      <c r="A1183" s="53">
        <v>1183</v>
      </c>
    </row>
    <row r="1184" spans="1:1" ht="18" x14ac:dyDescent="0.2">
      <c r="A1184" s="53">
        <v>1184</v>
      </c>
    </row>
    <row r="1185" spans="1:1" ht="18" x14ac:dyDescent="0.2">
      <c r="A1185" s="53">
        <v>1185</v>
      </c>
    </row>
    <row r="1186" spans="1:1" ht="18" x14ac:dyDescent="0.2">
      <c r="A1186" s="53">
        <v>1186</v>
      </c>
    </row>
    <row r="1187" spans="1:1" ht="18" x14ac:dyDescent="0.2">
      <c r="A1187" s="53">
        <v>1187</v>
      </c>
    </row>
  </sheetData>
  <autoFilter ref="A1:I1187" xr:uid="{00000000-0009-0000-0000-000001000000}"/>
  <phoneticPr fontId="18" type="noConversion"/>
  <dataValidations count="1">
    <dataValidation type="list" allowBlank="1" showInputMessage="1" showErrorMessage="1" sqref="G2:G1048576" xr:uid="{00000000-0002-0000-0100-000000000000}">
      <formula1>"נ""ס, נ""ס+ משה""ב"</formula1>
    </dataValidation>
  </dataValidations>
  <pageMargins left="0.70866141732283472" right="0.70866141732283472" top="0.74803149606299213" bottom="0.74803149606299213" header="0.31496062992125984" footer="0.31496062992125984"/>
  <pageSetup paperSize="9" scale="1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1000000}">
          <x14:formula1>
            <xm:f>Taxonomy!$A$2:$A$41</xm:f>
          </x14:formula1>
          <xm:sqref>B2:B1048576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F211"/>
  <sheetViews>
    <sheetView rightToLeft="1" zoomScale="130" zoomScaleNormal="130" workbookViewId="0">
      <pane ySplit="1" topLeftCell="A20" activePane="bottomLeft" state="frozen"/>
      <selection pane="bottomLeft" activeCell="A2" sqref="A2"/>
    </sheetView>
  </sheetViews>
  <sheetFormatPr defaultColWidth="9" defaultRowHeight="14.25" x14ac:dyDescent="0.2"/>
  <cols>
    <col min="1" max="1" width="29.75" style="35" customWidth="1"/>
    <col min="2" max="2" width="9" style="35" customWidth="1"/>
    <col min="3" max="3" width="25.25" style="46" customWidth="1"/>
    <col min="4" max="4" width="6" style="5" customWidth="1"/>
    <col min="5" max="5" width="12.75" style="5" bestFit="1" customWidth="1"/>
    <col min="6" max="6" width="18" style="5" customWidth="1"/>
    <col min="7" max="7" width="0" style="5" hidden="1" customWidth="1"/>
    <col min="8" max="84" width="9" style="5"/>
    <col min="85" max="16384" width="9" style="26"/>
  </cols>
  <sheetData>
    <row r="1" spans="1:84" ht="18" x14ac:dyDescent="0.2">
      <c r="A1" s="53" t="s">
        <v>1229</v>
      </c>
      <c r="B1" s="53" t="s">
        <v>132</v>
      </c>
      <c r="D1" s="35">
        <f>SUM(B:B)</f>
        <v>799</v>
      </c>
      <c r="E1" s="60" t="s">
        <v>250</v>
      </c>
      <c r="F1" s="98"/>
    </row>
    <row r="2" spans="1:84" s="35" customFormat="1" x14ac:dyDescent="0.2">
      <c r="A2" s="36" t="s">
        <v>853</v>
      </c>
      <c r="B2" s="35">
        <f>COUNTIF('Event summary'!B:B,A2)</f>
        <v>157</v>
      </c>
      <c r="C2" s="35" t="str">
        <f t="shared" ref="C2:C41" si="0">IF(OR(ISBLANK($F$1),G2&lt;&gt;1),"",A2)</f>
        <v/>
      </c>
      <c r="D2" s="105">
        <f t="shared" ref="D2:D40" si="1">B2/$D$1</f>
        <v>0.1964956195244055</v>
      </c>
      <c r="E2" s="54"/>
      <c r="F2" s="54"/>
      <c r="G2" s="54">
        <f t="shared" ref="G2:G31" si="2">TYPE(SEARCH($F$1,A2))</f>
        <v>1</v>
      </c>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row>
    <row r="3" spans="1:84" s="35" customFormat="1" x14ac:dyDescent="0.2">
      <c r="A3" s="31" t="s">
        <v>422</v>
      </c>
      <c r="B3" s="35">
        <f>COUNTIF('Event summary'!B:B,A3)</f>
        <v>74</v>
      </c>
      <c r="C3" s="35" t="str">
        <f t="shared" si="0"/>
        <v/>
      </c>
      <c r="D3" s="105">
        <f t="shared" si="1"/>
        <v>9.2615769712140181E-2</v>
      </c>
      <c r="E3" s="54"/>
      <c r="F3" s="54"/>
      <c r="G3" s="54">
        <f t="shared" si="2"/>
        <v>1</v>
      </c>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row>
    <row r="4" spans="1:84" s="35" customFormat="1" x14ac:dyDescent="0.2">
      <c r="A4" s="36" t="s">
        <v>418</v>
      </c>
      <c r="B4" s="35">
        <f>COUNTIF('Event summary'!B:B,A4)</f>
        <v>69</v>
      </c>
      <c r="C4" s="35" t="str">
        <f t="shared" si="0"/>
        <v/>
      </c>
      <c r="D4" s="105">
        <f t="shared" si="1"/>
        <v>8.635794743429287E-2</v>
      </c>
      <c r="E4" s="54"/>
      <c r="F4" s="54"/>
      <c r="G4" s="54">
        <f t="shared" si="2"/>
        <v>1</v>
      </c>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row>
    <row r="5" spans="1:84" s="35" customFormat="1" x14ac:dyDescent="0.2">
      <c r="A5" s="36" t="s">
        <v>440</v>
      </c>
      <c r="B5" s="35">
        <f>COUNTIF('Event summary'!B:B,A5)</f>
        <v>69</v>
      </c>
      <c r="C5" s="35" t="str">
        <f t="shared" si="0"/>
        <v/>
      </c>
      <c r="D5" s="105">
        <f t="shared" si="1"/>
        <v>8.635794743429287E-2</v>
      </c>
      <c r="E5" s="54"/>
      <c r="F5" s="54"/>
      <c r="G5" s="54">
        <f t="shared" si="2"/>
        <v>1</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row>
    <row r="6" spans="1:84" s="35" customFormat="1" x14ac:dyDescent="0.2">
      <c r="A6" s="35" t="s">
        <v>425</v>
      </c>
      <c r="B6" s="35">
        <f>COUNTIF('Event summary'!B:B,A6)</f>
        <v>53</v>
      </c>
      <c r="C6" s="35" t="str">
        <f t="shared" si="0"/>
        <v/>
      </c>
      <c r="D6" s="105">
        <f t="shared" si="1"/>
        <v>6.6332916145181484E-2</v>
      </c>
      <c r="E6" s="54"/>
      <c r="F6" s="54"/>
      <c r="G6" s="54">
        <f t="shared" si="2"/>
        <v>1</v>
      </c>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row>
    <row r="7" spans="1:84" s="35" customFormat="1" x14ac:dyDescent="0.2">
      <c r="A7" s="36" t="s">
        <v>1153</v>
      </c>
      <c r="B7" s="35">
        <f>COUNTIF('Event summary'!B:B,A7)</f>
        <v>56</v>
      </c>
      <c r="C7" s="35" t="str">
        <f t="shared" si="0"/>
        <v/>
      </c>
      <c r="D7" s="105">
        <f t="shared" si="1"/>
        <v>7.0087609511889859E-2</v>
      </c>
      <c r="E7" s="54"/>
      <c r="F7" s="54"/>
      <c r="G7" s="54">
        <f t="shared" si="2"/>
        <v>1</v>
      </c>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row>
    <row r="8" spans="1:84" s="35" customFormat="1" x14ac:dyDescent="0.2">
      <c r="A8" s="36" t="s">
        <v>415</v>
      </c>
      <c r="B8" s="35">
        <f>COUNTIF('Event summary'!B:B,A8)</f>
        <v>54</v>
      </c>
      <c r="C8" s="35" t="str">
        <f t="shared" si="0"/>
        <v/>
      </c>
      <c r="D8" s="105">
        <f t="shared" si="1"/>
        <v>6.7584480600750937E-2</v>
      </c>
      <c r="E8" s="54"/>
      <c r="F8" s="54"/>
      <c r="G8" s="54">
        <f t="shared" si="2"/>
        <v>1</v>
      </c>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row>
    <row r="9" spans="1:84" s="35" customFormat="1" x14ac:dyDescent="0.2">
      <c r="A9" s="35" t="s">
        <v>414</v>
      </c>
      <c r="B9" s="35">
        <f>COUNTIF('Event summary'!B:B,A9)</f>
        <v>37</v>
      </c>
      <c r="C9" s="35" t="str">
        <f t="shared" si="0"/>
        <v/>
      </c>
      <c r="D9" s="105">
        <f t="shared" si="1"/>
        <v>4.630788485607009E-2</v>
      </c>
      <c r="E9" s="104"/>
      <c r="F9" s="5"/>
      <c r="G9" s="54">
        <f t="shared" si="2"/>
        <v>1</v>
      </c>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row>
    <row r="10" spans="1:84" s="35" customFormat="1" x14ac:dyDescent="0.2">
      <c r="A10" s="36" t="s">
        <v>1189</v>
      </c>
      <c r="B10" s="35">
        <f>COUNTIF('Event summary'!B:B,A10)</f>
        <v>25</v>
      </c>
      <c r="C10" s="35" t="str">
        <f t="shared" si="0"/>
        <v/>
      </c>
      <c r="D10" s="105">
        <f t="shared" si="1"/>
        <v>3.1289111389236547E-2</v>
      </c>
      <c r="E10" s="104"/>
      <c r="F10" s="5"/>
      <c r="G10" s="54">
        <f t="shared" si="2"/>
        <v>1</v>
      </c>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row>
    <row r="11" spans="1:84" s="35" customFormat="1" x14ac:dyDescent="0.2">
      <c r="A11" s="38" t="s">
        <v>874</v>
      </c>
      <c r="B11" s="35">
        <f>COUNTIF('Event summary'!B:B,A11)</f>
        <v>22</v>
      </c>
      <c r="C11" s="35" t="str">
        <f t="shared" si="0"/>
        <v/>
      </c>
      <c r="D11" s="105">
        <f t="shared" si="1"/>
        <v>2.7534418022528161E-2</v>
      </c>
      <c r="E11" s="54"/>
      <c r="F11" s="54"/>
      <c r="G11" s="54">
        <f t="shared" si="2"/>
        <v>1</v>
      </c>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row>
    <row r="12" spans="1:84" s="35" customFormat="1" x14ac:dyDescent="0.2">
      <c r="A12" s="35" t="s">
        <v>417</v>
      </c>
      <c r="B12" s="35">
        <f>COUNTIF('Event summary'!B:B,A12)</f>
        <v>19</v>
      </c>
      <c r="C12" s="35" t="str">
        <f t="shared" si="0"/>
        <v/>
      </c>
      <c r="D12" s="105">
        <f t="shared" si="1"/>
        <v>2.3779724655819776E-2</v>
      </c>
      <c r="E12" s="54"/>
      <c r="F12" s="54"/>
      <c r="G12" s="54">
        <f t="shared" si="2"/>
        <v>1</v>
      </c>
      <c r="H12" s="54"/>
      <c r="I12" s="54"/>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row>
    <row r="13" spans="1:84" s="35" customFormat="1" x14ac:dyDescent="0.2">
      <c r="A13" s="35" t="s">
        <v>427</v>
      </c>
      <c r="B13" s="35">
        <f>COUNTIF('Event summary'!B:B,A13)</f>
        <v>12</v>
      </c>
      <c r="C13" s="35" t="str">
        <f t="shared" si="0"/>
        <v/>
      </c>
      <c r="D13" s="105">
        <f t="shared" si="1"/>
        <v>1.5018773466833541E-2</v>
      </c>
      <c r="E13" s="54"/>
      <c r="F13" s="54"/>
      <c r="G13" s="54">
        <f t="shared" si="2"/>
        <v>1</v>
      </c>
      <c r="H13" s="54"/>
      <c r="I13" s="54"/>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row>
    <row r="14" spans="1:84" x14ac:dyDescent="0.2">
      <c r="A14" s="35" t="s">
        <v>200</v>
      </c>
      <c r="B14" s="35">
        <f>COUNTIF('Event summary'!B:B,A14)</f>
        <v>12</v>
      </c>
      <c r="C14" s="35" t="str">
        <f t="shared" si="0"/>
        <v/>
      </c>
      <c r="D14" s="105">
        <f t="shared" si="1"/>
        <v>1.5018773466833541E-2</v>
      </c>
      <c r="G14" s="54">
        <f t="shared" si="2"/>
        <v>1</v>
      </c>
    </row>
    <row r="15" spans="1:84" x14ac:dyDescent="0.2">
      <c r="A15" s="36" t="s">
        <v>1197</v>
      </c>
      <c r="B15" s="35">
        <f>COUNTIF('Event summary'!B:B,A15)</f>
        <v>11</v>
      </c>
      <c r="C15" s="35" t="str">
        <f t="shared" si="0"/>
        <v/>
      </c>
      <c r="D15" s="105">
        <f t="shared" si="1"/>
        <v>1.3767209011264081E-2</v>
      </c>
      <c r="E15" s="54"/>
      <c r="F15" s="54"/>
      <c r="G15" s="54">
        <f t="shared" si="2"/>
        <v>1</v>
      </c>
    </row>
    <row r="16" spans="1:84" x14ac:dyDescent="0.2">
      <c r="A16" s="35" t="s">
        <v>421</v>
      </c>
      <c r="B16" s="35">
        <f>COUNTIF('Event summary'!B:B,A16)</f>
        <v>10</v>
      </c>
      <c r="C16" s="35" t="str">
        <f t="shared" si="0"/>
        <v/>
      </c>
      <c r="D16" s="105">
        <f t="shared" si="1"/>
        <v>1.2515644555694618E-2</v>
      </c>
      <c r="E16" s="104"/>
      <c r="G16" s="54">
        <f t="shared" si="2"/>
        <v>1</v>
      </c>
    </row>
    <row r="17" spans="1:84" x14ac:dyDescent="0.2">
      <c r="A17" s="35" t="s">
        <v>1202</v>
      </c>
      <c r="B17" s="35">
        <f>COUNTIF('Event summary'!B:B,A17)</f>
        <v>9</v>
      </c>
      <c r="C17" s="35" t="str">
        <f t="shared" si="0"/>
        <v/>
      </c>
      <c r="D17" s="105">
        <f t="shared" si="1"/>
        <v>1.1264080100125156E-2</v>
      </c>
      <c r="E17" s="104"/>
      <c r="G17" s="54">
        <f t="shared" si="2"/>
        <v>1</v>
      </c>
    </row>
    <row r="18" spans="1:84" x14ac:dyDescent="0.2">
      <c r="A18" s="36" t="s">
        <v>413</v>
      </c>
      <c r="B18" s="35">
        <f>COUNTIF('Event summary'!B:B,A18)</f>
        <v>8</v>
      </c>
      <c r="C18" s="35" t="str">
        <f t="shared" si="0"/>
        <v/>
      </c>
      <c r="D18" s="105">
        <f t="shared" si="1"/>
        <v>1.0012515644555695E-2</v>
      </c>
      <c r="E18" s="54"/>
      <c r="F18" s="54"/>
      <c r="G18" s="54">
        <f t="shared" si="2"/>
        <v>1</v>
      </c>
    </row>
    <row r="19" spans="1:84" x14ac:dyDescent="0.2">
      <c r="A19" s="35" t="s">
        <v>1181</v>
      </c>
      <c r="B19" s="35">
        <f>COUNTIF('Event summary'!B:B,A19)</f>
        <v>8</v>
      </c>
      <c r="C19" s="35" t="str">
        <f t="shared" si="0"/>
        <v/>
      </c>
      <c r="D19" s="105">
        <f t="shared" si="1"/>
        <v>1.0012515644555695E-2</v>
      </c>
      <c r="G19" s="54">
        <f t="shared" si="2"/>
        <v>1</v>
      </c>
    </row>
    <row r="20" spans="1:84" x14ac:dyDescent="0.2">
      <c r="A20" s="35" t="s">
        <v>1180</v>
      </c>
      <c r="B20" s="35">
        <f>COUNTIF('Event summary'!B:B,A20)</f>
        <v>12</v>
      </c>
      <c r="C20" s="35" t="str">
        <f t="shared" si="0"/>
        <v/>
      </c>
      <c r="D20" s="105">
        <f t="shared" si="1"/>
        <v>1.5018773466833541E-2</v>
      </c>
      <c r="G20" s="54">
        <f t="shared" si="2"/>
        <v>1</v>
      </c>
    </row>
    <row r="21" spans="1:84" x14ac:dyDescent="0.2">
      <c r="A21" s="36" t="s">
        <v>444</v>
      </c>
      <c r="B21" s="35">
        <f>COUNTIF('Event summary'!B:B,A21)</f>
        <v>7</v>
      </c>
      <c r="C21" s="35" t="str">
        <f t="shared" si="0"/>
        <v/>
      </c>
      <c r="D21" s="105">
        <f t="shared" si="1"/>
        <v>8.7609511889862324E-3</v>
      </c>
      <c r="G21" s="54">
        <f t="shared" si="2"/>
        <v>1</v>
      </c>
    </row>
    <row r="22" spans="1:84" x14ac:dyDescent="0.2">
      <c r="A22" s="35" t="s">
        <v>486</v>
      </c>
      <c r="B22" s="35">
        <f>COUNTIF('Event summary'!B:B,A22)</f>
        <v>7</v>
      </c>
      <c r="C22" s="35" t="str">
        <f t="shared" si="0"/>
        <v/>
      </c>
      <c r="D22" s="105">
        <f t="shared" si="1"/>
        <v>8.7609511889862324E-3</v>
      </c>
      <c r="G22" s="54">
        <f t="shared" si="2"/>
        <v>1</v>
      </c>
    </row>
    <row r="23" spans="1:84" x14ac:dyDescent="0.2">
      <c r="A23" s="36" t="s">
        <v>1231</v>
      </c>
      <c r="B23" s="35">
        <f>COUNTIF('Event summary'!B:B,A23)</f>
        <v>6</v>
      </c>
      <c r="C23" s="35" t="str">
        <f t="shared" si="0"/>
        <v/>
      </c>
      <c r="D23" s="105">
        <f t="shared" si="1"/>
        <v>7.5093867334167707E-3</v>
      </c>
      <c r="E23" s="104"/>
      <c r="G23" s="54">
        <f t="shared" si="2"/>
        <v>1</v>
      </c>
    </row>
    <row r="24" spans="1:84" x14ac:dyDescent="0.2">
      <c r="A24" s="35" t="s">
        <v>702</v>
      </c>
      <c r="B24" s="35">
        <f>COUNTIF('Event summary'!B:B,A24)</f>
        <v>7</v>
      </c>
      <c r="C24" s="35" t="str">
        <f t="shared" si="0"/>
        <v/>
      </c>
      <c r="D24" s="105">
        <f t="shared" si="1"/>
        <v>8.7609511889862324E-3</v>
      </c>
      <c r="E24" s="54"/>
      <c r="F24" s="54"/>
      <c r="G24" s="54">
        <f t="shared" si="2"/>
        <v>1</v>
      </c>
    </row>
    <row r="25" spans="1:84" x14ac:dyDescent="0.2">
      <c r="A25" s="36" t="s">
        <v>455</v>
      </c>
      <c r="B25" s="35">
        <f>COUNTIF('Event summary'!B:B,A25)</f>
        <v>5</v>
      </c>
      <c r="C25" s="35" t="str">
        <f t="shared" si="0"/>
        <v/>
      </c>
      <c r="D25" s="105">
        <f t="shared" si="1"/>
        <v>6.2578222778473091E-3</v>
      </c>
      <c r="G25" s="54">
        <f t="shared" si="2"/>
        <v>1</v>
      </c>
    </row>
    <row r="26" spans="1:84" x14ac:dyDescent="0.2">
      <c r="A26" s="35" t="s">
        <v>750</v>
      </c>
      <c r="B26" s="35">
        <f>COUNTIF('Event summary'!B:B,A26)</f>
        <v>5</v>
      </c>
      <c r="C26" s="35" t="str">
        <f t="shared" si="0"/>
        <v/>
      </c>
      <c r="D26" s="105">
        <f t="shared" si="1"/>
        <v>6.2578222778473091E-3</v>
      </c>
      <c r="G26" s="54">
        <f t="shared" si="2"/>
        <v>1</v>
      </c>
    </row>
    <row r="27" spans="1:84" x14ac:dyDescent="0.2">
      <c r="A27" s="36" t="s">
        <v>457</v>
      </c>
      <c r="B27" s="35">
        <f>COUNTIF('Event summary'!B:B,A27)</f>
        <v>4</v>
      </c>
      <c r="C27" s="35" t="str">
        <f t="shared" si="0"/>
        <v/>
      </c>
      <c r="D27" s="105">
        <f t="shared" si="1"/>
        <v>5.0062578222778474E-3</v>
      </c>
      <c r="G27" s="54">
        <f t="shared" si="2"/>
        <v>1</v>
      </c>
    </row>
    <row r="28" spans="1:84" x14ac:dyDescent="0.2">
      <c r="A28" s="35" t="s">
        <v>1158</v>
      </c>
      <c r="B28" s="35">
        <f>COUNTIF('Event summary'!B:B,A28)</f>
        <v>4</v>
      </c>
      <c r="C28" s="35" t="str">
        <f t="shared" si="0"/>
        <v/>
      </c>
      <c r="D28" s="105">
        <f t="shared" si="1"/>
        <v>5.0062578222778474E-3</v>
      </c>
      <c r="G28" s="54">
        <f t="shared" si="2"/>
        <v>1</v>
      </c>
    </row>
    <row r="29" spans="1:84" s="35" customFormat="1" x14ac:dyDescent="0.2">
      <c r="A29" s="36" t="s">
        <v>875</v>
      </c>
      <c r="B29" s="35">
        <f>COUNTIF('Event summary'!B:B,A29)</f>
        <v>4</v>
      </c>
      <c r="C29" s="35" t="str">
        <f t="shared" si="0"/>
        <v/>
      </c>
      <c r="D29" s="105">
        <f t="shared" si="1"/>
        <v>5.0062578222778474E-3</v>
      </c>
      <c r="E29" s="5"/>
      <c r="F29" s="5"/>
      <c r="G29" s="54">
        <f t="shared" si="2"/>
        <v>1</v>
      </c>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row>
    <row r="30" spans="1:84" x14ac:dyDescent="0.2">
      <c r="A30" s="35" t="s">
        <v>758</v>
      </c>
      <c r="B30" s="35">
        <f>COUNTIF('Event summary'!B:B,A30)</f>
        <v>4</v>
      </c>
      <c r="C30" s="35" t="str">
        <f t="shared" si="0"/>
        <v/>
      </c>
      <c r="D30" s="105">
        <f t="shared" si="1"/>
        <v>5.0062578222778474E-3</v>
      </c>
      <c r="G30" s="54">
        <f t="shared" si="2"/>
        <v>1</v>
      </c>
    </row>
    <row r="31" spans="1:84" x14ac:dyDescent="0.2">
      <c r="A31" s="35" t="s">
        <v>1230</v>
      </c>
      <c r="B31" s="35">
        <f>COUNTIF('Event summary'!B:B,A31)</f>
        <v>6</v>
      </c>
      <c r="C31" s="35" t="str">
        <f t="shared" si="0"/>
        <v/>
      </c>
      <c r="D31" s="105">
        <f t="shared" si="1"/>
        <v>7.5093867334167707E-3</v>
      </c>
      <c r="G31" s="54">
        <f t="shared" si="2"/>
        <v>1</v>
      </c>
    </row>
    <row r="32" spans="1:84" x14ac:dyDescent="0.2">
      <c r="A32" s="35" t="s">
        <v>1741</v>
      </c>
      <c r="B32" s="35">
        <f>COUNTIF('Event summary'!B:B,A32)</f>
        <v>4</v>
      </c>
      <c r="C32" s="35" t="str">
        <f t="shared" si="0"/>
        <v/>
      </c>
      <c r="D32" s="105">
        <f t="shared" si="1"/>
        <v>5.0062578222778474E-3</v>
      </c>
    </row>
    <row r="33" spans="1:7" x14ac:dyDescent="0.2">
      <c r="A33" s="31" t="s">
        <v>429</v>
      </c>
      <c r="B33" s="35">
        <f>COUNTIF('Event summary'!B:B,A33)</f>
        <v>3</v>
      </c>
      <c r="C33" s="35" t="str">
        <f t="shared" si="0"/>
        <v/>
      </c>
      <c r="D33" s="105">
        <f t="shared" si="1"/>
        <v>3.7546933667083854E-3</v>
      </c>
      <c r="G33" s="54">
        <f>TYPE(SEARCH($F$1,A33))</f>
        <v>1</v>
      </c>
    </row>
    <row r="34" spans="1:7" x14ac:dyDescent="0.2">
      <c r="A34" s="36" t="s">
        <v>456</v>
      </c>
      <c r="B34" s="35">
        <f>COUNTIF('Event summary'!B:B,A34)</f>
        <v>2</v>
      </c>
      <c r="C34" s="35" t="str">
        <f t="shared" si="0"/>
        <v/>
      </c>
      <c r="D34" s="105">
        <f t="shared" si="1"/>
        <v>2.5031289111389237E-3</v>
      </c>
      <c r="G34" s="54">
        <f>TYPE(SEARCH($F$1,A34))</f>
        <v>1</v>
      </c>
    </row>
    <row r="35" spans="1:7" x14ac:dyDescent="0.2">
      <c r="A35" s="35" t="s">
        <v>877</v>
      </c>
      <c r="B35" s="35">
        <f>COUNTIF('Event summary'!B:B,A35)</f>
        <v>2</v>
      </c>
      <c r="C35" s="35" t="str">
        <f t="shared" si="0"/>
        <v/>
      </c>
      <c r="D35" s="105">
        <f t="shared" si="1"/>
        <v>2.5031289111389237E-3</v>
      </c>
      <c r="G35" s="54">
        <f>TYPE(SEARCH($F$1,A35))</f>
        <v>1</v>
      </c>
    </row>
    <row r="36" spans="1:7" x14ac:dyDescent="0.2">
      <c r="A36" s="35" t="s">
        <v>1215</v>
      </c>
      <c r="B36" s="35">
        <f>COUNTIF('Event summary'!B:B,A36)</f>
        <v>2</v>
      </c>
      <c r="C36" s="35" t="str">
        <f t="shared" si="0"/>
        <v/>
      </c>
      <c r="D36" s="105">
        <f t="shared" si="1"/>
        <v>2.5031289111389237E-3</v>
      </c>
      <c r="G36" s="54">
        <f>TYPE(SEARCH($F$1,A36))</f>
        <v>1</v>
      </c>
    </row>
    <row r="37" spans="1:7" s="5" customFormat="1" x14ac:dyDescent="0.2">
      <c r="A37" s="35" t="s">
        <v>424</v>
      </c>
      <c r="B37" s="35">
        <f>COUNTIF('Event summary'!B:B,A37)</f>
        <v>3</v>
      </c>
      <c r="C37" s="35" t="str">
        <f t="shared" si="0"/>
        <v/>
      </c>
      <c r="D37" s="105">
        <f t="shared" si="1"/>
        <v>3.7546933667083854E-3</v>
      </c>
    </row>
    <row r="38" spans="1:7" x14ac:dyDescent="0.2">
      <c r="A38" s="35" t="s">
        <v>1909</v>
      </c>
      <c r="B38" s="35">
        <f>COUNTIF('Event summary'!B:B,A38)</f>
        <v>2</v>
      </c>
      <c r="C38" s="35" t="str">
        <f t="shared" si="0"/>
        <v/>
      </c>
      <c r="D38" s="105">
        <f t="shared" si="1"/>
        <v>2.5031289111389237E-3</v>
      </c>
    </row>
    <row r="39" spans="1:7" x14ac:dyDescent="0.2">
      <c r="A39" s="31" t="s">
        <v>428</v>
      </c>
      <c r="B39" s="35">
        <f>COUNTIF('Event summary'!B:B,A39)</f>
        <v>1</v>
      </c>
      <c r="C39" s="35" t="str">
        <f t="shared" si="0"/>
        <v/>
      </c>
      <c r="D39" s="105">
        <f t="shared" si="1"/>
        <v>1.2515644555694619E-3</v>
      </c>
      <c r="G39" s="54">
        <f>TYPE(SEARCH($F$1,A39))</f>
        <v>1</v>
      </c>
    </row>
    <row r="40" spans="1:7" x14ac:dyDescent="0.2">
      <c r="A40" s="35" t="s">
        <v>1765</v>
      </c>
      <c r="B40" s="35">
        <f>COUNTIF('Event summary'!B:B,A40)</f>
        <v>3</v>
      </c>
      <c r="C40" s="35" t="str">
        <f t="shared" si="0"/>
        <v/>
      </c>
      <c r="D40" s="105">
        <f t="shared" si="1"/>
        <v>3.7546933667083854E-3</v>
      </c>
    </row>
    <row r="41" spans="1:7" x14ac:dyDescent="0.2">
      <c r="A41" s="35" t="s">
        <v>1945</v>
      </c>
      <c r="B41" s="35">
        <f>COUNTIF('Event summary'!B:B,A41)</f>
        <v>1</v>
      </c>
      <c r="C41" s="35" t="str">
        <f t="shared" si="0"/>
        <v/>
      </c>
      <c r="D41" s="105">
        <f>B41/$D$1</f>
        <v>1.2515644555694619E-3</v>
      </c>
    </row>
    <row r="42" spans="1:7" x14ac:dyDescent="0.2">
      <c r="A42" s="54"/>
      <c r="B42" s="54"/>
      <c r="C42" s="5"/>
    </row>
    <row r="43" spans="1:7" x14ac:dyDescent="0.2">
      <c r="A43" s="54"/>
      <c r="B43" s="54"/>
      <c r="C43" s="5"/>
    </row>
    <row r="44" spans="1:7" x14ac:dyDescent="0.2">
      <c r="A44" s="54"/>
      <c r="B44" s="54"/>
      <c r="C44" s="5"/>
    </row>
    <row r="45" spans="1:7" x14ac:dyDescent="0.2">
      <c r="A45" s="54"/>
      <c r="B45" s="54"/>
      <c r="C45" s="5"/>
    </row>
    <row r="46" spans="1:7" x14ac:dyDescent="0.2">
      <c r="A46" s="54"/>
      <c r="B46" s="54"/>
      <c r="C46" s="5"/>
    </row>
    <row r="47" spans="1:7" x14ac:dyDescent="0.2">
      <c r="A47" s="54"/>
      <c r="B47" s="54"/>
      <c r="C47" s="5"/>
    </row>
    <row r="48" spans="1:7" x14ac:dyDescent="0.2">
      <c r="A48" s="54"/>
      <c r="B48" s="54"/>
      <c r="C48" s="5"/>
    </row>
    <row r="49" spans="1:3" x14ac:dyDescent="0.2">
      <c r="A49" s="54"/>
      <c r="B49" s="54"/>
      <c r="C49" s="5"/>
    </row>
    <row r="50" spans="1:3" x14ac:dyDescent="0.2">
      <c r="A50" s="54"/>
      <c r="B50" s="54"/>
      <c r="C50" s="5"/>
    </row>
    <row r="51" spans="1:3" x14ac:dyDescent="0.2">
      <c r="A51" s="54"/>
      <c r="B51" s="54"/>
      <c r="C51" s="5"/>
    </row>
    <row r="52" spans="1:3" x14ac:dyDescent="0.2">
      <c r="A52" s="54"/>
      <c r="B52" s="54"/>
      <c r="C52" s="5"/>
    </row>
    <row r="53" spans="1:3" x14ac:dyDescent="0.2">
      <c r="A53" s="54"/>
      <c r="B53" s="54"/>
      <c r="C53" s="5"/>
    </row>
    <row r="54" spans="1:3" x14ac:dyDescent="0.2">
      <c r="A54" s="54"/>
      <c r="B54" s="54"/>
      <c r="C54" s="5"/>
    </row>
    <row r="55" spans="1:3" x14ac:dyDescent="0.2">
      <c r="A55" s="54"/>
      <c r="B55" s="54"/>
      <c r="C55" s="5"/>
    </row>
    <row r="56" spans="1:3" x14ac:dyDescent="0.2">
      <c r="A56" s="54"/>
      <c r="B56" s="54"/>
      <c r="C56" s="5"/>
    </row>
    <row r="57" spans="1:3" x14ac:dyDescent="0.2">
      <c r="A57" s="54"/>
      <c r="B57" s="54"/>
      <c r="C57" s="5"/>
    </row>
    <row r="58" spans="1:3" x14ac:dyDescent="0.2">
      <c r="A58" s="54"/>
      <c r="B58" s="54"/>
      <c r="C58" s="5"/>
    </row>
    <row r="59" spans="1:3" x14ac:dyDescent="0.2">
      <c r="A59" s="54"/>
      <c r="B59" s="54"/>
      <c r="C59" s="5"/>
    </row>
    <row r="60" spans="1:3" x14ac:dyDescent="0.2">
      <c r="A60" s="54"/>
      <c r="B60" s="54"/>
      <c r="C60" s="5"/>
    </row>
    <row r="61" spans="1:3" x14ac:dyDescent="0.2">
      <c r="A61" s="54"/>
      <c r="B61" s="54"/>
      <c r="C61" s="5"/>
    </row>
    <row r="62" spans="1:3" x14ac:dyDescent="0.2">
      <c r="A62" s="54"/>
      <c r="B62" s="54"/>
      <c r="C62" s="5"/>
    </row>
    <row r="63" spans="1:3" x14ac:dyDescent="0.2">
      <c r="A63" s="54"/>
      <c r="B63" s="54"/>
      <c r="C63" s="5"/>
    </row>
    <row r="64" spans="1:3" x14ac:dyDescent="0.2">
      <c r="A64" s="54"/>
      <c r="B64" s="54"/>
      <c r="C64" s="5"/>
    </row>
    <row r="65" spans="1:3" x14ac:dyDescent="0.2">
      <c r="A65" s="54"/>
      <c r="B65" s="54"/>
      <c r="C65" s="5"/>
    </row>
    <row r="66" spans="1:3" x14ac:dyDescent="0.2">
      <c r="A66" s="54"/>
      <c r="B66" s="54"/>
      <c r="C66" s="5"/>
    </row>
    <row r="67" spans="1:3" x14ac:dyDescent="0.2">
      <c r="A67" s="54"/>
      <c r="B67" s="54"/>
      <c r="C67" s="5"/>
    </row>
    <row r="68" spans="1:3" x14ac:dyDescent="0.2">
      <c r="A68" s="54"/>
      <c r="B68" s="54"/>
      <c r="C68" s="5"/>
    </row>
    <row r="69" spans="1:3" x14ac:dyDescent="0.2">
      <c r="A69" s="54"/>
      <c r="B69" s="54"/>
      <c r="C69" s="5"/>
    </row>
    <row r="70" spans="1:3" x14ac:dyDescent="0.2">
      <c r="A70" s="54"/>
      <c r="B70" s="54"/>
      <c r="C70" s="5"/>
    </row>
    <row r="71" spans="1:3" x14ac:dyDescent="0.2">
      <c r="A71" s="54"/>
      <c r="B71" s="54"/>
      <c r="C71" s="5"/>
    </row>
    <row r="72" spans="1:3" x14ac:dyDescent="0.2">
      <c r="A72" s="54"/>
      <c r="B72" s="54"/>
      <c r="C72" s="5"/>
    </row>
    <row r="73" spans="1:3" x14ac:dyDescent="0.2">
      <c r="A73" s="54"/>
      <c r="B73" s="54"/>
      <c r="C73" s="5"/>
    </row>
    <row r="74" spans="1:3" x14ac:dyDescent="0.2">
      <c r="A74" s="54"/>
      <c r="B74" s="54"/>
      <c r="C74" s="5"/>
    </row>
    <row r="75" spans="1:3" x14ac:dyDescent="0.2">
      <c r="A75" s="54"/>
      <c r="B75" s="54"/>
      <c r="C75" s="5"/>
    </row>
    <row r="76" spans="1:3" x14ac:dyDescent="0.2">
      <c r="A76" s="54"/>
      <c r="B76" s="54"/>
      <c r="C76" s="5"/>
    </row>
    <row r="77" spans="1:3" x14ac:dyDescent="0.2">
      <c r="A77" s="54"/>
      <c r="B77" s="54"/>
      <c r="C77" s="5"/>
    </row>
    <row r="78" spans="1:3" x14ac:dyDescent="0.2">
      <c r="A78" s="54"/>
      <c r="B78" s="54"/>
      <c r="C78" s="5"/>
    </row>
    <row r="79" spans="1:3" x14ac:dyDescent="0.2">
      <c r="A79" s="54"/>
      <c r="B79" s="54"/>
      <c r="C79" s="5"/>
    </row>
    <row r="80" spans="1:3" x14ac:dyDescent="0.2">
      <c r="A80" s="54"/>
      <c r="B80" s="54"/>
      <c r="C80" s="5"/>
    </row>
    <row r="81" spans="1:3" x14ac:dyDescent="0.2">
      <c r="A81" s="54"/>
      <c r="B81" s="54"/>
      <c r="C81" s="5"/>
    </row>
    <row r="82" spans="1:3" x14ac:dyDescent="0.2">
      <c r="A82" s="54"/>
      <c r="B82" s="54"/>
      <c r="C82" s="5"/>
    </row>
    <row r="83" spans="1:3" x14ac:dyDescent="0.2">
      <c r="A83" s="54"/>
      <c r="B83" s="54"/>
      <c r="C83" s="5"/>
    </row>
    <row r="84" spans="1:3" x14ac:dyDescent="0.2">
      <c r="A84" s="54"/>
      <c r="B84" s="54"/>
      <c r="C84" s="5"/>
    </row>
    <row r="85" spans="1:3" x14ac:dyDescent="0.2">
      <c r="A85" s="54"/>
      <c r="B85" s="54"/>
      <c r="C85" s="5"/>
    </row>
    <row r="86" spans="1:3" x14ac:dyDescent="0.2">
      <c r="A86" s="54"/>
      <c r="B86" s="54"/>
      <c r="C86" s="5"/>
    </row>
    <row r="87" spans="1:3" x14ac:dyDescent="0.2">
      <c r="A87" s="54"/>
      <c r="B87" s="54"/>
      <c r="C87" s="5"/>
    </row>
    <row r="88" spans="1:3" x14ac:dyDescent="0.2">
      <c r="A88" s="54"/>
      <c r="B88" s="54"/>
      <c r="C88" s="5"/>
    </row>
    <row r="89" spans="1:3" x14ac:dyDescent="0.2">
      <c r="A89" s="54"/>
      <c r="B89" s="54"/>
      <c r="C89" s="5"/>
    </row>
    <row r="90" spans="1:3" x14ac:dyDescent="0.2">
      <c r="A90" s="54"/>
      <c r="B90" s="54"/>
      <c r="C90" s="5"/>
    </row>
    <row r="91" spans="1:3" x14ac:dyDescent="0.2">
      <c r="A91" s="54"/>
      <c r="B91" s="54"/>
      <c r="C91" s="5"/>
    </row>
    <row r="92" spans="1:3" x14ac:dyDescent="0.2">
      <c r="A92" s="54"/>
      <c r="B92" s="54"/>
      <c r="C92" s="5"/>
    </row>
    <row r="93" spans="1:3" x14ac:dyDescent="0.2">
      <c r="A93" s="54"/>
      <c r="B93" s="54"/>
      <c r="C93" s="5"/>
    </row>
    <row r="94" spans="1:3" x14ac:dyDescent="0.2">
      <c r="A94" s="54"/>
      <c r="B94" s="54"/>
      <c r="C94" s="5"/>
    </row>
    <row r="95" spans="1:3" x14ac:dyDescent="0.2">
      <c r="A95" s="54"/>
      <c r="B95" s="54"/>
      <c r="C95" s="5"/>
    </row>
    <row r="96" spans="1:3" x14ac:dyDescent="0.2">
      <c r="A96" s="54"/>
      <c r="B96" s="54"/>
      <c r="C96" s="5"/>
    </row>
    <row r="97" spans="1:3" x14ac:dyDescent="0.2">
      <c r="A97" s="54"/>
      <c r="B97" s="54"/>
      <c r="C97" s="5"/>
    </row>
    <row r="98" spans="1:3" x14ac:dyDescent="0.2">
      <c r="A98" s="54"/>
      <c r="B98" s="54"/>
      <c r="C98" s="5"/>
    </row>
    <row r="99" spans="1:3" x14ac:dyDescent="0.2">
      <c r="A99" s="54"/>
      <c r="B99" s="54"/>
      <c r="C99" s="5"/>
    </row>
    <row r="100" spans="1:3" x14ac:dyDescent="0.2">
      <c r="A100" s="54"/>
      <c r="B100" s="54"/>
      <c r="C100" s="5"/>
    </row>
    <row r="101" spans="1:3" x14ac:dyDescent="0.2">
      <c r="A101" s="54"/>
      <c r="B101" s="54"/>
      <c r="C101" s="5"/>
    </row>
    <row r="102" spans="1:3" x14ac:dyDescent="0.2">
      <c r="A102" s="54"/>
      <c r="B102" s="54"/>
      <c r="C102" s="5"/>
    </row>
    <row r="103" spans="1:3" x14ac:dyDescent="0.2">
      <c r="A103" s="54"/>
      <c r="B103" s="54"/>
      <c r="C103" s="5"/>
    </row>
    <row r="104" spans="1:3" x14ac:dyDescent="0.2">
      <c r="A104" s="54"/>
      <c r="B104" s="54"/>
      <c r="C104" s="5"/>
    </row>
    <row r="105" spans="1:3" x14ac:dyDescent="0.2">
      <c r="A105" s="54"/>
      <c r="B105" s="54"/>
      <c r="C105" s="5"/>
    </row>
    <row r="106" spans="1:3" x14ac:dyDescent="0.2">
      <c r="A106" s="54"/>
      <c r="B106" s="54"/>
      <c r="C106" s="5"/>
    </row>
    <row r="107" spans="1:3" x14ac:dyDescent="0.2">
      <c r="A107" s="54"/>
      <c r="B107" s="54"/>
      <c r="C107" s="5"/>
    </row>
    <row r="108" spans="1:3" x14ac:dyDescent="0.2">
      <c r="A108" s="54"/>
      <c r="B108" s="54"/>
      <c r="C108" s="5"/>
    </row>
    <row r="109" spans="1:3" x14ac:dyDescent="0.2">
      <c r="A109" s="54"/>
      <c r="B109" s="54"/>
      <c r="C109" s="5"/>
    </row>
    <row r="110" spans="1:3" x14ac:dyDescent="0.2">
      <c r="A110" s="54"/>
      <c r="B110" s="54"/>
      <c r="C110" s="5"/>
    </row>
    <row r="111" spans="1:3" x14ac:dyDescent="0.2">
      <c r="A111" s="54"/>
      <c r="B111" s="54"/>
      <c r="C111" s="5"/>
    </row>
    <row r="112" spans="1:3" x14ac:dyDescent="0.2">
      <c r="A112" s="54"/>
      <c r="B112" s="54"/>
      <c r="C112" s="5"/>
    </row>
    <row r="113" spans="1:3" x14ac:dyDescent="0.2">
      <c r="A113" s="54"/>
      <c r="B113" s="54"/>
      <c r="C113" s="5"/>
    </row>
    <row r="114" spans="1:3" x14ac:dyDescent="0.2">
      <c r="A114" s="54"/>
      <c r="B114" s="54"/>
      <c r="C114" s="5"/>
    </row>
    <row r="115" spans="1:3" x14ac:dyDescent="0.2">
      <c r="A115" s="54"/>
      <c r="B115" s="54"/>
      <c r="C115" s="5"/>
    </row>
    <row r="116" spans="1:3" x14ac:dyDescent="0.2">
      <c r="A116" s="54"/>
      <c r="B116" s="54"/>
      <c r="C116" s="5"/>
    </row>
    <row r="117" spans="1:3" x14ac:dyDescent="0.2">
      <c r="A117" s="54"/>
      <c r="B117" s="54"/>
      <c r="C117" s="5"/>
    </row>
    <row r="118" spans="1:3" x14ac:dyDescent="0.2">
      <c r="A118" s="54"/>
      <c r="B118" s="54"/>
      <c r="C118" s="5"/>
    </row>
    <row r="119" spans="1:3" x14ac:dyDescent="0.2">
      <c r="A119" s="54"/>
      <c r="B119" s="54"/>
      <c r="C119" s="5"/>
    </row>
    <row r="120" spans="1:3" x14ac:dyDescent="0.2">
      <c r="A120" s="54"/>
      <c r="B120" s="54"/>
      <c r="C120" s="5"/>
    </row>
    <row r="121" spans="1:3" x14ac:dyDescent="0.2">
      <c r="A121" s="54"/>
      <c r="B121" s="54"/>
      <c r="C121" s="5"/>
    </row>
    <row r="122" spans="1:3" x14ac:dyDescent="0.2">
      <c r="A122" s="54"/>
      <c r="B122" s="54"/>
      <c r="C122" s="5"/>
    </row>
    <row r="123" spans="1:3" x14ac:dyDescent="0.2">
      <c r="A123" s="54"/>
      <c r="B123" s="54"/>
      <c r="C123" s="5"/>
    </row>
    <row r="124" spans="1:3" x14ac:dyDescent="0.2">
      <c r="A124" s="54"/>
      <c r="B124" s="54"/>
      <c r="C124" s="5"/>
    </row>
    <row r="125" spans="1:3" x14ac:dyDescent="0.2">
      <c r="A125" s="54"/>
      <c r="B125" s="54"/>
      <c r="C125" s="5"/>
    </row>
    <row r="126" spans="1:3" x14ac:dyDescent="0.2">
      <c r="A126" s="54"/>
      <c r="B126" s="54"/>
      <c r="C126" s="5"/>
    </row>
    <row r="127" spans="1:3" x14ac:dyDescent="0.2">
      <c r="A127" s="54"/>
      <c r="B127" s="54"/>
      <c r="C127" s="5"/>
    </row>
    <row r="128" spans="1:3" x14ac:dyDescent="0.2">
      <c r="A128" s="54"/>
      <c r="B128" s="54"/>
      <c r="C128" s="5"/>
    </row>
    <row r="129" spans="1:3" x14ac:dyDescent="0.2">
      <c r="A129" s="54"/>
      <c r="B129" s="54"/>
      <c r="C129" s="5"/>
    </row>
    <row r="130" spans="1:3" x14ac:dyDescent="0.2">
      <c r="A130" s="54"/>
      <c r="B130" s="54"/>
      <c r="C130" s="5"/>
    </row>
    <row r="131" spans="1:3" x14ac:dyDescent="0.2">
      <c r="A131" s="54"/>
      <c r="B131" s="54"/>
      <c r="C131" s="5"/>
    </row>
    <row r="132" spans="1:3" x14ac:dyDescent="0.2">
      <c r="A132" s="54"/>
      <c r="B132" s="54"/>
      <c r="C132" s="5"/>
    </row>
    <row r="133" spans="1:3" x14ac:dyDescent="0.2">
      <c r="A133" s="54"/>
      <c r="B133" s="54"/>
      <c r="C133" s="5"/>
    </row>
    <row r="134" spans="1:3" x14ac:dyDescent="0.2">
      <c r="A134" s="54"/>
      <c r="B134" s="54"/>
      <c r="C134" s="5"/>
    </row>
    <row r="135" spans="1:3" x14ac:dyDescent="0.2">
      <c r="A135" s="54"/>
      <c r="B135" s="54"/>
      <c r="C135" s="5"/>
    </row>
    <row r="136" spans="1:3" x14ac:dyDescent="0.2">
      <c r="A136" s="54"/>
      <c r="B136" s="54"/>
      <c r="C136" s="5"/>
    </row>
    <row r="137" spans="1:3" x14ac:dyDescent="0.2">
      <c r="A137" s="54"/>
      <c r="B137" s="54"/>
      <c r="C137" s="5"/>
    </row>
    <row r="138" spans="1:3" x14ac:dyDescent="0.2">
      <c r="A138" s="54"/>
      <c r="B138" s="54"/>
      <c r="C138" s="5"/>
    </row>
    <row r="139" spans="1:3" x14ac:dyDescent="0.2">
      <c r="A139" s="54"/>
      <c r="B139" s="54"/>
      <c r="C139" s="5"/>
    </row>
    <row r="140" spans="1:3" x14ac:dyDescent="0.2">
      <c r="A140" s="54"/>
      <c r="B140" s="54"/>
      <c r="C140" s="5"/>
    </row>
    <row r="141" spans="1:3" x14ac:dyDescent="0.2">
      <c r="A141" s="54"/>
      <c r="B141" s="54"/>
      <c r="C141" s="5"/>
    </row>
    <row r="142" spans="1:3" x14ac:dyDescent="0.2">
      <c r="A142" s="54"/>
      <c r="B142" s="54"/>
      <c r="C142" s="5"/>
    </row>
    <row r="143" spans="1:3" x14ac:dyDescent="0.2">
      <c r="A143" s="54"/>
      <c r="B143" s="54"/>
      <c r="C143" s="5"/>
    </row>
    <row r="144" spans="1:3" x14ac:dyDescent="0.2">
      <c r="A144" s="54"/>
      <c r="B144" s="54"/>
      <c r="C144" s="5"/>
    </row>
    <row r="145" spans="1:3" x14ac:dyDescent="0.2">
      <c r="A145" s="54"/>
      <c r="B145" s="54"/>
      <c r="C145" s="5"/>
    </row>
    <row r="146" spans="1:3" x14ac:dyDescent="0.2">
      <c r="A146" s="54"/>
      <c r="B146" s="54"/>
      <c r="C146" s="5"/>
    </row>
    <row r="147" spans="1:3" x14ac:dyDescent="0.2">
      <c r="A147" s="54"/>
      <c r="B147" s="54"/>
      <c r="C147" s="5"/>
    </row>
    <row r="148" spans="1:3" x14ac:dyDescent="0.2">
      <c r="A148" s="54"/>
      <c r="B148" s="54"/>
      <c r="C148" s="5"/>
    </row>
    <row r="149" spans="1:3" x14ac:dyDescent="0.2">
      <c r="A149" s="54"/>
      <c r="B149" s="54"/>
      <c r="C149" s="5"/>
    </row>
    <row r="150" spans="1:3" x14ac:dyDescent="0.2">
      <c r="A150" s="54"/>
      <c r="B150" s="54"/>
      <c r="C150" s="5"/>
    </row>
    <row r="151" spans="1:3" x14ac:dyDescent="0.2">
      <c r="A151" s="54"/>
      <c r="B151" s="54"/>
      <c r="C151" s="5"/>
    </row>
    <row r="152" spans="1:3" x14ac:dyDescent="0.2">
      <c r="A152" s="54"/>
      <c r="B152" s="54"/>
      <c r="C152" s="5"/>
    </row>
    <row r="153" spans="1:3" x14ac:dyDescent="0.2">
      <c r="A153" s="54"/>
      <c r="B153" s="54"/>
      <c r="C153" s="5"/>
    </row>
    <row r="154" spans="1:3" x14ac:dyDescent="0.2">
      <c r="A154" s="54"/>
      <c r="B154" s="54"/>
      <c r="C154" s="5"/>
    </row>
    <row r="155" spans="1:3" x14ac:dyDescent="0.2">
      <c r="A155" s="54"/>
      <c r="B155" s="54"/>
      <c r="C155" s="5"/>
    </row>
    <row r="156" spans="1:3" x14ac:dyDescent="0.2">
      <c r="A156" s="54"/>
      <c r="B156" s="54"/>
      <c r="C156" s="5"/>
    </row>
    <row r="157" spans="1:3" x14ac:dyDescent="0.2">
      <c r="A157" s="54"/>
      <c r="B157" s="54"/>
      <c r="C157" s="5"/>
    </row>
    <row r="158" spans="1:3" x14ac:dyDescent="0.2">
      <c r="A158" s="54"/>
      <c r="B158" s="54"/>
      <c r="C158" s="5"/>
    </row>
    <row r="159" spans="1:3" x14ac:dyDescent="0.2">
      <c r="A159" s="54"/>
      <c r="B159" s="54"/>
      <c r="C159" s="5"/>
    </row>
    <row r="160" spans="1:3" x14ac:dyDescent="0.2">
      <c r="A160" s="54"/>
      <c r="B160" s="54"/>
      <c r="C160" s="5"/>
    </row>
    <row r="161" spans="1:3" x14ac:dyDescent="0.2">
      <c r="A161" s="54"/>
      <c r="B161" s="54"/>
      <c r="C161" s="5"/>
    </row>
    <row r="162" spans="1:3" x14ac:dyDescent="0.2">
      <c r="A162" s="54"/>
      <c r="B162" s="54"/>
      <c r="C162" s="5"/>
    </row>
    <row r="163" spans="1:3" x14ac:dyDescent="0.2">
      <c r="A163" s="54"/>
      <c r="B163" s="54"/>
      <c r="C163" s="5"/>
    </row>
    <row r="164" spans="1:3" x14ac:dyDescent="0.2">
      <c r="A164" s="54"/>
      <c r="B164" s="54"/>
      <c r="C164" s="5"/>
    </row>
    <row r="165" spans="1:3" x14ac:dyDescent="0.2">
      <c r="A165" s="54"/>
      <c r="B165" s="54"/>
      <c r="C165" s="5"/>
    </row>
    <row r="166" spans="1:3" x14ac:dyDescent="0.2">
      <c r="A166" s="54"/>
      <c r="B166" s="54"/>
      <c r="C166" s="5"/>
    </row>
    <row r="167" spans="1:3" x14ac:dyDescent="0.2">
      <c r="A167" s="54"/>
      <c r="B167" s="54"/>
      <c r="C167" s="5"/>
    </row>
    <row r="168" spans="1:3" x14ac:dyDescent="0.2">
      <c r="A168" s="54"/>
      <c r="B168" s="54"/>
      <c r="C168" s="5"/>
    </row>
    <row r="169" spans="1:3" x14ac:dyDescent="0.2">
      <c r="A169" s="54"/>
      <c r="B169" s="54"/>
      <c r="C169" s="5"/>
    </row>
    <row r="170" spans="1:3" x14ac:dyDescent="0.2">
      <c r="A170" s="54"/>
      <c r="B170" s="54"/>
      <c r="C170" s="5"/>
    </row>
    <row r="171" spans="1:3" x14ac:dyDescent="0.2">
      <c r="A171" s="54"/>
      <c r="B171" s="54"/>
      <c r="C171" s="5"/>
    </row>
    <row r="172" spans="1:3" x14ac:dyDescent="0.2">
      <c r="A172" s="54"/>
      <c r="B172" s="54"/>
      <c r="C172" s="5"/>
    </row>
    <row r="173" spans="1:3" x14ac:dyDescent="0.2">
      <c r="A173" s="54"/>
      <c r="B173" s="54"/>
      <c r="C173" s="5"/>
    </row>
    <row r="174" spans="1:3" x14ac:dyDescent="0.2">
      <c r="A174" s="54"/>
      <c r="B174" s="54"/>
      <c r="C174" s="5"/>
    </row>
    <row r="175" spans="1:3" x14ac:dyDescent="0.2">
      <c r="A175" s="54"/>
      <c r="B175" s="54"/>
      <c r="C175" s="5"/>
    </row>
    <row r="176" spans="1:3" x14ac:dyDescent="0.2">
      <c r="A176" s="54"/>
      <c r="B176" s="54"/>
      <c r="C176" s="5"/>
    </row>
    <row r="177" spans="1:3" x14ac:dyDescent="0.2">
      <c r="A177" s="54"/>
      <c r="B177" s="54"/>
      <c r="C177" s="5"/>
    </row>
    <row r="178" spans="1:3" x14ac:dyDescent="0.2">
      <c r="A178" s="54"/>
      <c r="B178" s="54"/>
      <c r="C178" s="5"/>
    </row>
    <row r="179" spans="1:3" x14ac:dyDescent="0.2">
      <c r="A179" s="54"/>
      <c r="B179" s="54"/>
      <c r="C179" s="5"/>
    </row>
    <row r="180" spans="1:3" x14ac:dyDescent="0.2">
      <c r="A180" s="54"/>
      <c r="B180" s="54"/>
      <c r="C180" s="5"/>
    </row>
    <row r="181" spans="1:3" x14ac:dyDescent="0.2">
      <c r="A181" s="54"/>
      <c r="B181" s="54"/>
      <c r="C181" s="5"/>
    </row>
    <row r="182" spans="1:3" x14ac:dyDescent="0.2">
      <c r="A182" s="54"/>
      <c r="B182" s="54"/>
      <c r="C182" s="5"/>
    </row>
    <row r="183" spans="1:3" x14ac:dyDescent="0.2">
      <c r="A183" s="54"/>
      <c r="B183" s="54"/>
      <c r="C183" s="5"/>
    </row>
    <row r="184" spans="1:3" x14ac:dyDescent="0.2">
      <c r="A184" s="54"/>
      <c r="B184" s="54"/>
      <c r="C184" s="5"/>
    </row>
    <row r="185" spans="1:3" x14ac:dyDescent="0.2">
      <c r="A185" s="54"/>
      <c r="B185" s="54"/>
      <c r="C185" s="5"/>
    </row>
    <row r="186" spans="1:3" x14ac:dyDescent="0.2">
      <c r="A186" s="54"/>
      <c r="B186" s="54"/>
      <c r="C186" s="5"/>
    </row>
    <row r="187" spans="1:3" x14ac:dyDescent="0.2">
      <c r="A187" s="54"/>
      <c r="B187" s="54"/>
      <c r="C187" s="5"/>
    </row>
    <row r="188" spans="1:3" x14ac:dyDescent="0.2">
      <c r="A188" s="54"/>
      <c r="B188" s="54"/>
      <c r="C188" s="5"/>
    </row>
    <row r="189" spans="1:3" x14ac:dyDescent="0.2">
      <c r="A189" s="54"/>
      <c r="B189" s="54"/>
      <c r="C189" s="5"/>
    </row>
    <row r="190" spans="1:3" x14ac:dyDescent="0.2">
      <c r="A190" s="54"/>
      <c r="B190" s="54"/>
      <c r="C190" s="5"/>
    </row>
    <row r="191" spans="1:3" x14ac:dyDescent="0.2">
      <c r="A191" s="54"/>
      <c r="B191" s="54"/>
      <c r="C191" s="5"/>
    </row>
    <row r="192" spans="1:3" x14ac:dyDescent="0.2">
      <c r="A192" s="54"/>
      <c r="B192" s="54"/>
      <c r="C192" s="5"/>
    </row>
    <row r="193" spans="1:3" x14ac:dyDescent="0.2">
      <c r="A193" s="54"/>
      <c r="B193" s="54"/>
      <c r="C193" s="5"/>
    </row>
    <row r="194" spans="1:3" x14ac:dyDescent="0.2">
      <c r="A194" s="54"/>
      <c r="B194" s="54"/>
      <c r="C194" s="5"/>
    </row>
    <row r="195" spans="1:3" x14ac:dyDescent="0.2">
      <c r="A195" s="54"/>
      <c r="B195" s="54"/>
      <c r="C195" s="5"/>
    </row>
    <row r="196" spans="1:3" x14ac:dyDescent="0.2">
      <c r="A196" s="54"/>
      <c r="B196" s="54"/>
      <c r="C196" s="5"/>
    </row>
    <row r="197" spans="1:3" x14ac:dyDescent="0.2">
      <c r="A197" s="54"/>
      <c r="B197" s="54"/>
      <c r="C197" s="5"/>
    </row>
    <row r="198" spans="1:3" x14ac:dyDescent="0.2">
      <c r="A198" s="54"/>
      <c r="B198" s="54"/>
      <c r="C198" s="5"/>
    </row>
    <row r="199" spans="1:3" x14ac:dyDescent="0.2">
      <c r="A199" s="54"/>
      <c r="B199" s="54"/>
      <c r="C199" s="5"/>
    </row>
    <row r="200" spans="1:3" x14ac:dyDescent="0.2">
      <c r="A200" s="54"/>
      <c r="B200" s="54"/>
      <c r="C200" s="5"/>
    </row>
    <row r="201" spans="1:3" x14ac:dyDescent="0.2">
      <c r="A201" s="54"/>
      <c r="B201" s="54"/>
      <c r="C201" s="5"/>
    </row>
    <row r="202" spans="1:3" x14ac:dyDescent="0.2">
      <c r="A202" s="54"/>
      <c r="B202" s="54"/>
      <c r="C202" s="5"/>
    </row>
    <row r="203" spans="1:3" x14ac:dyDescent="0.2">
      <c r="A203" s="54"/>
      <c r="B203" s="54"/>
      <c r="C203" s="5"/>
    </row>
    <row r="204" spans="1:3" x14ac:dyDescent="0.2">
      <c r="A204" s="54"/>
      <c r="B204" s="54"/>
      <c r="C204" s="5"/>
    </row>
    <row r="205" spans="1:3" x14ac:dyDescent="0.2">
      <c r="A205" s="54"/>
      <c r="B205" s="54"/>
      <c r="C205" s="5"/>
    </row>
    <row r="206" spans="1:3" x14ac:dyDescent="0.2">
      <c r="A206" s="54"/>
      <c r="B206" s="54"/>
      <c r="C206" s="5"/>
    </row>
    <row r="207" spans="1:3" x14ac:dyDescent="0.2">
      <c r="A207" s="54"/>
      <c r="B207" s="54"/>
      <c r="C207" s="5"/>
    </row>
    <row r="208" spans="1:3" x14ac:dyDescent="0.2">
      <c r="A208" s="54"/>
      <c r="B208" s="54"/>
      <c r="C208" s="5"/>
    </row>
    <row r="209" spans="1:3" x14ac:dyDescent="0.2">
      <c r="A209" s="54"/>
      <c r="B209" s="54"/>
      <c r="C209" s="5"/>
    </row>
    <row r="210" spans="1:3" x14ac:dyDescent="0.2">
      <c r="A210" s="54"/>
      <c r="B210" s="54"/>
      <c r="C210" s="5"/>
    </row>
    <row r="211" spans="1:3" x14ac:dyDescent="0.2">
      <c r="A211" s="54"/>
      <c r="B211" s="54"/>
      <c r="C211" s="5"/>
    </row>
  </sheetData>
  <autoFilter ref="A1:G1" xr:uid="{00000000-0009-0000-0000-000002000000}">
    <sortState xmlns:xlrd2="http://schemas.microsoft.com/office/spreadsheetml/2017/richdata2" ref="A2:G41">
      <sortCondition descending="1" ref="B1"/>
    </sortState>
  </autoFilter>
  <pageMargins left="0.70866141732283472" right="0.70866141732283472" top="0.74803149606299213" bottom="0.74803149606299213" header="0.31496062992125984" footer="0.31496062992125984"/>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77"/>
  <sheetViews>
    <sheetView rightToLeft="1" topLeftCell="F1" workbookViewId="0">
      <selection activeCell="P3" sqref="P3"/>
    </sheetView>
  </sheetViews>
  <sheetFormatPr defaultRowHeight="14.25" x14ac:dyDescent="0.2"/>
  <cols>
    <col min="1" max="1" width="12.875" customWidth="1"/>
    <col min="2" max="2" width="20" customWidth="1"/>
    <col min="3" max="3" width="11.25" bestFit="1" customWidth="1"/>
    <col min="4" max="4" width="12" bestFit="1" customWidth="1"/>
    <col min="5" max="5" width="12.375" bestFit="1" customWidth="1"/>
    <col min="6" max="6" width="12.375" customWidth="1"/>
    <col min="7" max="7" width="14.375" bestFit="1" customWidth="1"/>
    <col min="8" max="8" width="9.125" bestFit="1" customWidth="1"/>
    <col min="9" max="9" width="10.25" bestFit="1" customWidth="1"/>
    <col min="10" max="10" width="14.375" bestFit="1" customWidth="1"/>
    <col min="11" max="11" width="14.625" bestFit="1" customWidth="1"/>
    <col min="12" max="12" width="2.375" customWidth="1"/>
    <col min="13" max="13" width="66.25" customWidth="1"/>
    <col min="14" max="14" width="4.375" hidden="1" customWidth="1"/>
    <col min="15" max="15" width="83.875" customWidth="1"/>
    <col min="16" max="16" width="4.25" customWidth="1"/>
  </cols>
  <sheetData>
    <row r="1" spans="1:16" x14ac:dyDescent="0.2">
      <c r="A1" s="78" t="s">
        <v>2</v>
      </c>
      <c r="B1" s="78" t="s">
        <v>3</v>
      </c>
      <c r="C1" s="78" t="s">
        <v>4</v>
      </c>
      <c r="D1" s="78" t="s">
        <v>5</v>
      </c>
      <c r="E1" s="78" t="s">
        <v>110</v>
      </c>
      <c r="F1" s="78" t="s">
        <v>125</v>
      </c>
      <c r="G1" s="78" t="s">
        <v>6</v>
      </c>
      <c r="H1" s="78" t="s">
        <v>7</v>
      </c>
      <c r="I1" s="78" t="s">
        <v>8</v>
      </c>
      <c r="J1" s="78" t="s">
        <v>52</v>
      </c>
      <c r="K1" s="78" t="s">
        <v>56</v>
      </c>
      <c r="L1" s="78"/>
      <c r="M1" s="78" t="s">
        <v>114</v>
      </c>
      <c r="N1" s="78" t="s">
        <v>124</v>
      </c>
      <c r="O1" s="78" t="s">
        <v>113</v>
      </c>
      <c r="P1" s="78" t="s">
        <v>124</v>
      </c>
    </row>
    <row r="2" spans="1:16" x14ac:dyDescent="0.2">
      <c r="A2" t="s">
        <v>10</v>
      </c>
      <c r="B2" t="s">
        <v>111</v>
      </c>
      <c r="C2" t="s">
        <v>111</v>
      </c>
      <c r="D2" t="s">
        <v>26</v>
      </c>
      <c r="E2" t="s">
        <v>28</v>
      </c>
      <c r="F2" t="s">
        <v>126</v>
      </c>
      <c r="G2" t="s">
        <v>11</v>
      </c>
      <c r="H2" t="s">
        <v>43</v>
      </c>
      <c r="I2" t="s">
        <v>49</v>
      </c>
      <c r="J2" t="s">
        <v>53</v>
      </c>
      <c r="K2" t="s">
        <v>57</v>
      </c>
      <c r="M2" t="s">
        <v>115</v>
      </c>
      <c r="N2">
        <v>0</v>
      </c>
      <c r="O2" t="s">
        <v>123</v>
      </c>
      <c r="P2">
        <v>0</v>
      </c>
    </row>
    <row r="3" spans="1:16" x14ac:dyDescent="0.2">
      <c r="A3" t="s">
        <v>11</v>
      </c>
      <c r="B3" t="s">
        <v>20</v>
      </c>
      <c r="C3" t="s">
        <v>23</v>
      </c>
      <c r="D3" t="s">
        <v>27</v>
      </c>
      <c r="E3" t="s">
        <v>29</v>
      </c>
      <c r="F3" t="s">
        <v>127</v>
      </c>
      <c r="G3" t="s">
        <v>33</v>
      </c>
      <c r="H3" t="s">
        <v>39</v>
      </c>
      <c r="I3" t="s">
        <v>50</v>
      </c>
      <c r="J3" t="s">
        <v>54</v>
      </c>
      <c r="K3" t="s">
        <v>58</v>
      </c>
      <c r="M3" t="s">
        <v>116</v>
      </c>
      <c r="N3">
        <v>1</v>
      </c>
      <c r="O3" t="s">
        <v>329</v>
      </c>
      <c r="P3">
        <v>1</v>
      </c>
    </row>
    <row r="4" spans="1:16" x14ac:dyDescent="0.2">
      <c r="A4" t="s">
        <v>12</v>
      </c>
      <c r="B4" t="s">
        <v>21</v>
      </c>
      <c r="C4" t="s">
        <v>24</v>
      </c>
      <c r="E4" t="s">
        <v>30</v>
      </c>
      <c r="G4" t="s">
        <v>34</v>
      </c>
      <c r="H4" t="s">
        <v>44</v>
      </c>
      <c r="I4" t="s">
        <v>51</v>
      </c>
      <c r="J4" t="s">
        <v>55</v>
      </c>
      <c r="K4" t="s">
        <v>59</v>
      </c>
      <c r="M4" t="s">
        <v>117</v>
      </c>
      <c r="N4">
        <v>2</v>
      </c>
      <c r="O4" t="s">
        <v>330</v>
      </c>
      <c r="P4">
        <v>4</v>
      </c>
    </row>
    <row r="5" spans="1:16" x14ac:dyDescent="0.2">
      <c r="A5" t="s">
        <v>13</v>
      </c>
      <c r="B5" t="s">
        <v>22</v>
      </c>
      <c r="C5" t="s">
        <v>25</v>
      </c>
      <c r="E5" t="s">
        <v>31</v>
      </c>
      <c r="G5" t="s">
        <v>35</v>
      </c>
      <c r="H5" t="s">
        <v>45</v>
      </c>
      <c r="I5" t="s">
        <v>63</v>
      </c>
      <c r="K5" t="s">
        <v>112</v>
      </c>
      <c r="M5" t="s">
        <v>118</v>
      </c>
      <c r="N5">
        <v>4</v>
      </c>
      <c r="O5" t="s">
        <v>331</v>
      </c>
      <c r="P5">
        <v>6</v>
      </c>
    </row>
    <row r="6" spans="1:16" x14ac:dyDescent="0.2">
      <c r="A6" t="s">
        <v>14</v>
      </c>
      <c r="E6" t="s">
        <v>32</v>
      </c>
      <c r="G6" t="s">
        <v>36</v>
      </c>
      <c r="H6" t="s">
        <v>46</v>
      </c>
      <c r="K6" t="s">
        <v>61</v>
      </c>
      <c r="M6" t="s">
        <v>119</v>
      </c>
      <c r="N6">
        <v>6</v>
      </c>
      <c r="O6" t="s">
        <v>332</v>
      </c>
      <c r="P6">
        <v>8</v>
      </c>
    </row>
    <row r="7" spans="1:16" x14ac:dyDescent="0.2">
      <c r="A7" t="s">
        <v>15</v>
      </c>
      <c r="E7" t="s">
        <v>19</v>
      </c>
      <c r="G7" t="s">
        <v>37</v>
      </c>
      <c r="H7" t="s">
        <v>1672</v>
      </c>
      <c r="M7" t="s">
        <v>120</v>
      </c>
      <c r="N7">
        <v>7</v>
      </c>
      <c r="O7" t="s">
        <v>370</v>
      </c>
      <c r="P7">
        <v>10</v>
      </c>
    </row>
    <row r="8" spans="1:16" x14ac:dyDescent="0.2">
      <c r="A8" t="s">
        <v>16</v>
      </c>
      <c r="G8" t="s">
        <v>38</v>
      </c>
      <c r="H8" t="s">
        <v>1673</v>
      </c>
      <c r="M8" t="s">
        <v>121</v>
      </c>
      <c r="N8">
        <v>9</v>
      </c>
    </row>
    <row r="9" spans="1:16" x14ac:dyDescent="0.2">
      <c r="A9" t="s">
        <v>17</v>
      </c>
      <c r="G9" t="s">
        <v>39</v>
      </c>
      <c r="H9" t="s">
        <v>48</v>
      </c>
      <c r="M9" t="s">
        <v>122</v>
      </c>
      <c r="N9">
        <v>10</v>
      </c>
    </row>
    <row r="10" spans="1:16" x14ac:dyDescent="0.2">
      <c r="A10" t="s">
        <v>18</v>
      </c>
      <c r="G10" t="s">
        <v>40</v>
      </c>
      <c r="H10" t="s">
        <v>36</v>
      </c>
    </row>
    <row r="11" spans="1:16" x14ac:dyDescent="0.2">
      <c r="A11" t="s">
        <v>19</v>
      </c>
      <c r="G11" t="s">
        <v>41</v>
      </c>
      <c r="H11" t="s">
        <v>19</v>
      </c>
    </row>
    <row r="12" spans="1:16" x14ac:dyDescent="0.2">
      <c r="G12" t="s">
        <v>42</v>
      </c>
    </row>
    <row r="13" spans="1:16" x14ac:dyDescent="0.2">
      <c r="G13" t="s">
        <v>63</v>
      </c>
    </row>
    <row r="14" spans="1:16" x14ac:dyDescent="0.2">
      <c r="A14">
        <f>COUNTIF(A1:A13,"*")-1</f>
        <v>10</v>
      </c>
      <c r="B14">
        <f t="shared" ref="B14:O14" si="0">COUNTIF(B1:B13,"*")-1</f>
        <v>4</v>
      </c>
      <c r="C14">
        <f t="shared" si="0"/>
        <v>4</v>
      </c>
      <c r="D14">
        <f t="shared" si="0"/>
        <v>2</v>
      </c>
      <c r="E14">
        <f t="shared" si="0"/>
        <v>6</v>
      </c>
      <c r="F14">
        <f t="shared" si="0"/>
        <v>2</v>
      </c>
      <c r="G14">
        <f t="shared" si="0"/>
        <v>12</v>
      </c>
      <c r="H14">
        <f t="shared" si="0"/>
        <v>10</v>
      </c>
      <c r="I14">
        <f t="shared" si="0"/>
        <v>4</v>
      </c>
      <c r="J14">
        <f t="shared" si="0"/>
        <v>3</v>
      </c>
      <c r="K14">
        <f t="shared" si="0"/>
        <v>5</v>
      </c>
      <c r="M14">
        <f t="shared" si="0"/>
        <v>8</v>
      </c>
      <c r="O14">
        <f t="shared" si="0"/>
        <v>6</v>
      </c>
    </row>
    <row r="16" spans="1:16" x14ac:dyDescent="0.2">
      <c r="A16" t="s">
        <v>64</v>
      </c>
      <c r="B16" t="s">
        <v>74</v>
      </c>
      <c r="C16" t="s">
        <v>77</v>
      </c>
      <c r="D16" t="s">
        <v>80</v>
      </c>
      <c r="E16" t="s">
        <v>82</v>
      </c>
      <c r="G16" t="s">
        <v>65</v>
      </c>
      <c r="H16" t="s">
        <v>43</v>
      </c>
      <c r="I16" t="s">
        <v>99</v>
      </c>
      <c r="J16" t="s">
        <v>96</v>
      </c>
      <c r="K16" t="s">
        <v>104</v>
      </c>
    </row>
    <row r="17" spans="1:16" x14ac:dyDescent="0.2">
      <c r="A17" t="s">
        <v>65</v>
      </c>
      <c r="B17" t="s">
        <v>75</v>
      </c>
      <c r="C17" t="s">
        <v>78</v>
      </c>
      <c r="D17" t="s">
        <v>81</v>
      </c>
      <c r="E17" t="s">
        <v>83</v>
      </c>
      <c r="G17" t="s">
        <v>87</v>
      </c>
      <c r="H17" t="s">
        <v>93</v>
      </c>
      <c r="I17" t="s">
        <v>100</v>
      </c>
      <c r="J17" t="s">
        <v>102</v>
      </c>
      <c r="K17" t="s">
        <v>105</v>
      </c>
    </row>
    <row r="18" spans="1:16" x14ac:dyDescent="0.2">
      <c r="A18" t="s">
        <v>66</v>
      </c>
      <c r="B18" t="s">
        <v>76</v>
      </c>
      <c r="C18" t="s">
        <v>79</v>
      </c>
      <c r="E18" t="s">
        <v>84</v>
      </c>
      <c r="G18" t="s">
        <v>88</v>
      </c>
      <c r="H18" t="s">
        <v>44</v>
      </c>
      <c r="I18" t="s">
        <v>101</v>
      </c>
      <c r="J18" t="s">
        <v>103</v>
      </c>
      <c r="K18" t="s">
        <v>106</v>
      </c>
    </row>
    <row r="19" spans="1:16" x14ac:dyDescent="0.2">
      <c r="A19" t="s">
        <v>67</v>
      </c>
      <c r="E19" t="s">
        <v>85</v>
      </c>
      <c r="G19" t="s">
        <v>89</v>
      </c>
      <c r="H19" t="s">
        <v>45</v>
      </c>
      <c r="I19" t="s">
        <v>109</v>
      </c>
      <c r="K19" t="s">
        <v>107</v>
      </c>
    </row>
    <row r="20" spans="1:16" x14ac:dyDescent="0.2">
      <c r="A20" t="s">
        <v>68</v>
      </c>
      <c r="E20" t="s">
        <v>86</v>
      </c>
      <c r="G20" t="s">
        <v>90</v>
      </c>
      <c r="H20" t="s">
        <v>46</v>
      </c>
      <c r="K20" t="s">
        <v>108</v>
      </c>
    </row>
    <row r="21" spans="1:16" x14ac:dyDescent="0.2">
      <c r="A21" t="s">
        <v>69</v>
      </c>
      <c r="E21" t="s">
        <v>73</v>
      </c>
      <c r="G21" t="s">
        <v>91</v>
      </c>
      <c r="H21" t="s">
        <v>47</v>
      </c>
    </row>
    <row r="22" spans="1:16" x14ac:dyDescent="0.2">
      <c r="A22" t="s">
        <v>70</v>
      </c>
      <c r="G22" t="s">
        <v>92</v>
      </c>
      <c r="H22" t="s">
        <v>98</v>
      </c>
    </row>
    <row r="23" spans="1:16" x14ac:dyDescent="0.2">
      <c r="A23" t="s">
        <v>71</v>
      </c>
      <c r="G23" t="s">
        <v>93</v>
      </c>
      <c r="H23" t="s">
        <v>73</v>
      </c>
    </row>
    <row r="24" spans="1:16" x14ac:dyDescent="0.2">
      <c r="A24" t="s">
        <v>72</v>
      </c>
      <c r="G24" t="s">
        <v>94</v>
      </c>
    </row>
    <row r="25" spans="1:16" x14ac:dyDescent="0.2">
      <c r="A25" t="s">
        <v>73</v>
      </c>
      <c r="G25" t="s">
        <v>95</v>
      </c>
    </row>
    <row r="26" spans="1:16" x14ac:dyDescent="0.2">
      <c r="G26" t="s">
        <v>97</v>
      </c>
    </row>
    <row r="27" spans="1:16" x14ac:dyDescent="0.2">
      <c r="G27" t="s">
        <v>96</v>
      </c>
    </row>
    <row r="28" spans="1:16" s="79" customFormat="1" x14ac:dyDescent="0.2"/>
    <row r="29" spans="1:16" ht="15" thickBot="1" x14ac:dyDescent="0.25"/>
    <row r="30" spans="1:16" ht="15" thickBot="1" x14ac:dyDescent="0.25">
      <c r="A30" s="130" t="s">
        <v>3</v>
      </c>
      <c r="B30" s="131"/>
      <c r="C30" s="78"/>
      <c r="D30" s="78"/>
      <c r="E30" s="78"/>
      <c r="F30" s="78"/>
      <c r="G30" s="78" t="s">
        <v>6</v>
      </c>
      <c r="H30" s="78"/>
      <c r="I30" s="78"/>
      <c r="J30" s="78"/>
      <c r="K30" s="78"/>
      <c r="L30" s="78"/>
      <c r="M30" s="78" t="s">
        <v>1013</v>
      </c>
      <c r="N30" s="78"/>
      <c r="O30" s="78"/>
      <c r="P30" s="78"/>
    </row>
    <row r="31" spans="1:16" x14ac:dyDescent="0.2">
      <c r="A31" s="127" t="s">
        <v>115</v>
      </c>
      <c r="B31" s="99" t="s">
        <v>111</v>
      </c>
      <c r="G31" t="s">
        <v>1010</v>
      </c>
      <c r="M31" t="s">
        <v>818</v>
      </c>
      <c r="O31" s="26"/>
    </row>
    <row r="32" spans="1:16" x14ac:dyDescent="0.2">
      <c r="A32" s="128"/>
      <c r="B32" s="100" t="s">
        <v>20</v>
      </c>
      <c r="G32" t="s">
        <v>1011</v>
      </c>
      <c r="M32" t="s">
        <v>819</v>
      </c>
      <c r="O32" s="26"/>
    </row>
    <row r="33" spans="1:15" x14ac:dyDescent="0.2">
      <c r="A33" s="128"/>
      <c r="B33" s="100" t="s">
        <v>21</v>
      </c>
      <c r="G33" t="s">
        <v>39</v>
      </c>
      <c r="M33" t="s">
        <v>820</v>
      </c>
      <c r="O33" s="26"/>
    </row>
    <row r="34" spans="1:15" ht="15" thickBot="1" x14ac:dyDescent="0.25">
      <c r="A34" s="129"/>
      <c r="B34" s="101" t="s">
        <v>1096</v>
      </c>
      <c r="G34" t="s">
        <v>1012</v>
      </c>
      <c r="M34" t="s">
        <v>1041</v>
      </c>
      <c r="O34" s="26"/>
    </row>
    <row r="35" spans="1:15" ht="15" thickBot="1" x14ac:dyDescent="0.25">
      <c r="A35" s="102" t="s">
        <v>22</v>
      </c>
      <c r="B35" s="103" t="s">
        <v>1095</v>
      </c>
      <c r="G35" t="s">
        <v>63</v>
      </c>
      <c r="M35" t="s">
        <v>1033</v>
      </c>
      <c r="O35" s="26"/>
    </row>
    <row r="36" spans="1:15" x14ac:dyDescent="0.2">
      <c r="M36" s="80" t="s">
        <v>1042</v>
      </c>
      <c r="O36" s="26"/>
    </row>
    <row r="37" spans="1:15" x14ac:dyDescent="0.2">
      <c r="M37" t="s">
        <v>1034</v>
      </c>
      <c r="O37" s="80"/>
    </row>
    <row r="38" spans="1:15" x14ac:dyDescent="0.2">
      <c r="M38" t="s">
        <v>1043</v>
      </c>
      <c r="O38" s="26"/>
    </row>
    <row r="39" spans="1:15" x14ac:dyDescent="0.2">
      <c r="M39" s="26" t="s">
        <v>1044</v>
      </c>
      <c r="O39" s="26"/>
    </row>
    <row r="40" spans="1:15" x14ac:dyDescent="0.2">
      <c r="M40" t="s">
        <v>1073</v>
      </c>
      <c r="O40" s="80"/>
    </row>
    <row r="41" spans="1:15" x14ac:dyDescent="0.2">
      <c r="M41" t="s">
        <v>425</v>
      </c>
      <c r="O41" s="26"/>
    </row>
    <row r="42" spans="1:15" x14ac:dyDescent="0.2">
      <c r="M42" t="s">
        <v>415</v>
      </c>
      <c r="O42" s="26"/>
    </row>
    <row r="43" spans="1:15" x14ac:dyDescent="0.2">
      <c r="M43" s="81" t="s">
        <v>1074</v>
      </c>
      <c r="O43" s="26"/>
    </row>
    <row r="44" spans="1:15" x14ac:dyDescent="0.2">
      <c r="M44" s="26"/>
      <c r="O44" s="26"/>
    </row>
    <row r="45" spans="1:15" x14ac:dyDescent="0.2">
      <c r="M45" t="s">
        <v>832</v>
      </c>
      <c r="O45" s="26" t="s">
        <v>1029</v>
      </c>
    </row>
    <row r="46" spans="1:15" x14ac:dyDescent="0.2">
      <c r="M46" t="s">
        <v>833</v>
      </c>
      <c r="O46" s="26" t="s">
        <v>1030</v>
      </c>
    </row>
    <row r="47" spans="1:15" x14ac:dyDescent="0.2">
      <c r="M47" t="s">
        <v>834</v>
      </c>
      <c r="O47" s="26" t="s">
        <v>1031</v>
      </c>
    </row>
    <row r="48" spans="1:15" x14ac:dyDescent="0.2">
      <c r="M48" t="s">
        <v>835</v>
      </c>
      <c r="O48" s="26" t="s">
        <v>1032</v>
      </c>
    </row>
    <row r="49" spans="13:15" x14ac:dyDescent="0.2">
      <c r="M49" t="s">
        <v>836</v>
      </c>
      <c r="O49" s="26" t="s">
        <v>73</v>
      </c>
    </row>
    <row r="50" spans="13:15" x14ac:dyDescent="0.2">
      <c r="M50" t="s">
        <v>837</v>
      </c>
    </row>
    <row r="51" spans="13:15" x14ac:dyDescent="0.2">
      <c r="M51" t="s">
        <v>838</v>
      </c>
    </row>
    <row r="52" spans="13:15" x14ac:dyDescent="0.2">
      <c r="M52" t="s">
        <v>839</v>
      </c>
    </row>
    <row r="53" spans="13:15" x14ac:dyDescent="0.2">
      <c r="M53" t="s">
        <v>840</v>
      </c>
    </row>
    <row r="54" spans="13:15" x14ac:dyDescent="0.2">
      <c r="M54" t="s">
        <v>19</v>
      </c>
    </row>
    <row r="56" spans="13:15" x14ac:dyDescent="0.2">
      <c r="M56" t="s">
        <v>1014</v>
      </c>
    </row>
    <row r="57" spans="13:15" x14ac:dyDescent="0.2">
      <c r="M57" t="s">
        <v>1015</v>
      </c>
    </row>
    <row r="58" spans="13:15" x14ac:dyDescent="0.2">
      <c r="M58" t="s">
        <v>798</v>
      </c>
    </row>
    <row r="59" spans="13:15" x14ac:dyDescent="0.2">
      <c r="M59" t="s">
        <v>1016</v>
      </c>
    </row>
    <row r="60" spans="13:15" x14ac:dyDescent="0.2">
      <c r="M60" t="s">
        <v>1017</v>
      </c>
    </row>
    <row r="61" spans="13:15" x14ac:dyDescent="0.2">
      <c r="M61" t="s">
        <v>1018</v>
      </c>
    </row>
    <row r="62" spans="13:15" x14ac:dyDescent="0.2">
      <c r="M62" t="s">
        <v>1019</v>
      </c>
    </row>
    <row r="63" spans="13:15" x14ac:dyDescent="0.2">
      <c r="M63" t="s">
        <v>1020</v>
      </c>
    </row>
    <row r="64" spans="13:15" x14ac:dyDescent="0.2">
      <c r="M64" t="s">
        <v>1021</v>
      </c>
    </row>
    <row r="65" spans="13:13" x14ac:dyDescent="0.2">
      <c r="M65" t="s">
        <v>1022</v>
      </c>
    </row>
    <row r="66" spans="13:13" x14ac:dyDescent="0.2">
      <c r="M66" t="s">
        <v>826</v>
      </c>
    </row>
    <row r="67" spans="13:13" x14ac:dyDescent="0.2">
      <c r="M67" t="s">
        <v>1023</v>
      </c>
    </row>
    <row r="68" spans="13:13" x14ac:dyDescent="0.2">
      <c r="M68" t="s">
        <v>1024</v>
      </c>
    </row>
    <row r="69" spans="13:13" x14ac:dyDescent="0.2">
      <c r="M69" t="s">
        <v>1025</v>
      </c>
    </row>
    <row r="70" spans="13:13" x14ac:dyDescent="0.2">
      <c r="M70" t="s">
        <v>1026</v>
      </c>
    </row>
    <row r="71" spans="13:13" x14ac:dyDescent="0.2">
      <c r="M71" t="s">
        <v>1027</v>
      </c>
    </row>
    <row r="72" spans="13:13" x14ac:dyDescent="0.2">
      <c r="M72" t="s">
        <v>1028</v>
      </c>
    </row>
    <row r="73" spans="13:13" x14ac:dyDescent="0.2">
      <c r="M73" t="s">
        <v>1029</v>
      </c>
    </row>
    <row r="74" spans="13:13" x14ac:dyDescent="0.2">
      <c r="M74" t="s">
        <v>1030</v>
      </c>
    </row>
    <row r="75" spans="13:13" x14ac:dyDescent="0.2">
      <c r="M75" t="s">
        <v>1031</v>
      </c>
    </row>
    <row r="76" spans="13:13" x14ac:dyDescent="0.2">
      <c r="M76" t="s">
        <v>1032</v>
      </c>
    </row>
    <row r="77" spans="13:13" x14ac:dyDescent="0.2">
      <c r="M77" t="s">
        <v>73</v>
      </c>
    </row>
  </sheetData>
  <mergeCells count="2">
    <mergeCell ref="A31:A34"/>
    <mergeCell ref="A30:B30"/>
  </mergeCells>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AC142"/>
  <sheetViews>
    <sheetView topLeftCell="A55" zoomScaleNormal="100" workbookViewId="0">
      <selection activeCell="AB42" sqref="AB42"/>
    </sheetView>
  </sheetViews>
  <sheetFormatPr defaultRowHeight="14.25" x14ac:dyDescent="0.2"/>
  <cols>
    <col min="2" max="3" width="4.875" bestFit="1" customWidth="1"/>
    <col min="4" max="4" width="10.125" bestFit="1" customWidth="1"/>
    <col min="5" max="5" width="9.375" bestFit="1" customWidth="1"/>
    <col min="6" max="6" width="12" bestFit="1" customWidth="1"/>
    <col min="7" max="7" width="11.375" bestFit="1" customWidth="1"/>
    <col min="8" max="8" width="11.375" customWidth="1"/>
    <col min="9" max="9" width="7.375" bestFit="1" customWidth="1"/>
    <col min="10" max="10" width="9.125" bestFit="1" customWidth="1"/>
    <col min="11" max="11" width="10.25" bestFit="1" customWidth="1"/>
    <col min="12" max="12" width="13.375" bestFit="1" customWidth="1"/>
    <col min="13" max="13" width="6.375" bestFit="1" customWidth="1"/>
    <col min="18" max="18" width="10.25" bestFit="1" customWidth="1"/>
    <col min="21" max="21" width="9.375" bestFit="1" customWidth="1"/>
  </cols>
  <sheetData>
    <row r="1" spans="2:29" x14ac:dyDescent="0.2">
      <c r="B1" s="1"/>
      <c r="C1" s="8">
        <v>10</v>
      </c>
      <c r="D1" s="2">
        <v>4</v>
      </c>
      <c r="E1" s="2">
        <v>3</v>
      </c>
      <c r="F1" s="2">
        <v>2</v>
      </c>
      <c r="G1" s="2">
        <v>6</v>
      </c>
      <c r="H1" s="2">
        <v>2</v>
      </c>
      <c r="I1" s="2">
        <v>12</v>
      </c>
      <c r="J1" s="2">
        <v>8</v>
      </c>
      <c r="K1" s="2">
        <v>4</v>
      </c>
      <c r="L1" s="2">
        <v>3</v>
      </c>
      <c r="M1" s="2">
        <v>5</v>
      </c>
      <c r="N1" s="2"/>
      <c r="O1" s="3"/>
      <c r="P1" s="3"/>
    </row>
    <row r="2" spans="2:29" x14ac:dyDescent="0.2">
      <c r="B2" s="9"/>
      <c r="C2" s="7" t="str">
        <f>'טבלת פרמטרים'!A1</f>
        <v>שלב</v>
      </c>
      <c r="D2" s="7" t="str">
        <f>'טבלת פרמטרים'!B1</f>
        <v>סוג פגיעה</v>
      </c>
      <c r="E2" s="7" t="str">
        <f>'טבלת פרמטרים'!C1</f>
        <v>אופי הפגיעה</v>
      </c>
      <c r="F2" s="7" t="str">
        <f>'טבלת פרמטרים'!D1</f>
        <v>תדירות הפגיעה</v>
      </c>
      <c r="G2" s="7" t="str">
        <f>'טבלת פרמטרים'!E1</f>
        <v>פגיעה עקרית</v>
      </c>
      <c r="H2" s="7" t="str">
        <f>'טבלת פרמטרים'!F1</f>
        <v>מועד פגיעה</v>
      </c>
      <c r="I2" s="7" t="str">
        <f>'טבלת פרמטרים'!G1</f>
        <v>סוג מתקן</v>
      </c>
      <c r="J2" s="7" t="str">
        <f>'טבלת פרמטרים'!H1</f>
        <v>שיטת טיפול</v>
      </c>
      <c r="K2" s="7" t="str">
        <f>'טבלת פרמטרים'!I1</f>
        <v>דחיפות טיפול</v>
      </c>
      <c r="L2" s="7" t="str">
        <f>'טבלת פרמטרים'!J1</f>
        <v>פרמטרים תומכים</v>
      </c>
      <c r="M2" s="7" t="str">
        <f>'טבלת פרמטרים'!K1</f>
        <v>מסקנות</v>
      </c>
      <c r="N2" s="5"/>
      <c r="O2" s="5"/>
      <c r="P2" s="6"/>
      <c r="R2" s="9"/>
      <c r="S2" s="46" t="s">
        <v>1594</v>
      </c>
      <c r="T2" s="46" t="s">
        <v>3</v>
      </c>
      <c r="U2" s="46" t="s">
        <v>4</v>
      </c>
      <c r="V2" s="46" t="s">
        <v>5</v>
      </c>
      <c r="W2" s="46" t="s">
        <v>110</v>
      </c>
      <c r="X2" s="46" t="s">
        <v>125</v>
      </c>
      <c r="Y2" s="46" t="s">
        <v>6</v>
      </c>
      <c r="Z2" s="46" t="s">
        <v>7</v>
      </c>
      <c r="AA2" s="46" t="s">
        <v>8</v>
      </c>
      <c r="AB2" s="46" t="s">
        <v>52</v>
      </c>
      <c r="AC2" s="46" t="s">
        <v>56</v>
      </c>
    </row>
    <row r="3" spans="2:29" x14ac:dyDescent="0.2">
      <c r="B3" s="9">
        <v>1</v>
      </c>
      <c r="C3" s="16">
        <f>COUNTIF('Incident Reporting'!D:D,'טבלת פרמטרים'!A2)</f>
        <v>129</v>
      </c>
      <c r="D3" s="16">
        <f>COUNTIF('Incident Reporting'!E:E,'טבלת פרמטרים'!B2)</f>
        <v>273</v>
      </c>
      <c r="E3" s="16">
        <f>COUNTIF('Incident Reporting'!F:F,'טבלת פרמטרים'!C3)</f>
        <v>705</v>
      </c>
      <c r="F3" s="16">
        <f>COUNTIF('Incident Reporting'!G:G,'טבלת פרמטרים'!D2)</f>
        <v>777</v>
      </c>
      <c r="G3" s="7">
        <f>COUNTIF('Incident Reporting'!H:H,'טבלת פרמטרים'!E2)</f>
        <v>29</v>
      </c>
      <c r="H3" s="16">
        <f>COUNTIF('Incident Reporting'!I:I,'טבלת פרמטרים'!F2)</f>
        <v>353</v>
      </c>
      <c r="I3" s="7">
        <f>COUNTIF('Incident Reporting'!J:J,'טבלת פרמטרים'!G2)</f>
        <v>141</v>
      </c>
      <c r="J3" s="16">
        <f>COUNTIF('Incident Reporting'!K:K,'טבלת פרמטרים'!H2)</f>
        <v>186</v>
      </c>
      <c r="K3" s="16">
        <f>COUNTIF('Incident Reporting'!L:L,'טבלת פרמטרים'!I2)</f>
        <v>94</v>
      </c>
      <c r="L3" s="16">
        <f>COUNTIF('Incident Reporting'!M:M,'טבלת פרמטרים'!J2)</f>
        <v>223</v>
      </c>
      <c r="M3" s="7">
        <f>COUNTIF('Incident Reporting'!N:N,'טבלת פרמטרים'!K2)</f>
        <v>63</v>
      </c>
      <c r="N3" s="5"/>
      <c r="O3" s="5"/>
      <c r="P3" s="6"/>
      <c r="R3" s="9">
        <v>1</v>
      </c>
      <c r="S3" s="47">
        <f>C3/C$16</f>
        <v>0.14827586206896551</v>
      </c>
      <c r="T3" s="47">
        <f t="shared" ref="T3:AC3" si="0">D3/D$16</f>
        <v>0.31487889273356401</v>
      </c>
      <c r="U3" s="47">
        <f t="shared" si="0"/>
        <v>0.81502890173410403</v>
      </c>
      <c r="V3" s="48">
        <f t="shared" si="0"/>
        <v>0.89930555555555558</v>
      </c>
      <c r="W3" s="49">
        <f t="shared" si="0"/>
        <v>3.348729792147806E-2</v>
      </c>
      <c r="X3" s="48">
        <f t="shared" si="0"/>
        <v>0.7478813559322034</v>
      </c>
      <c r="Y3" s="49">
        <f t="shared" si="0"/>
        <v>0.23190789473684212</v>
      </c>
      <c r="Z3" s="47">
        <f t="shared" si="0"/>
        <v>0.33155080213903743</v>
      </c>
      <c r="AA3" s="47">
        <f t="shared" si="0"/>
        <v>0.15112540192926044</v>
      </c>
      <c r="AB3" s="48">
        <f t="shared" si="0"/>
        <v>0.26642771804062126</v>
      </c>
      <c r="AC3" s="49">
        <f t="shared" si="0"/>
        <v>8.6065573770491802E-2</v>
      </c>
    </row>
    <row r="4" spans="2:29" x14ac:dyDescent="0.2">
      <c r="B4" s="9">
        <v>2</v>
      </c>
      <c r="C4" s="16">
        <f>COUNTIF('Incident Reporting'!D:D,'טבלת פרמטרים'!A3)</f>
        <v>156</v>
      </c>
      <c r="D4" s="16">
        <f>COUNTIF('Incident Reporting'!E:E,'טבלת פרמטרים'!B3)</f>
        <v>313</v>
      </c>
      <c r="E4" s="16">
        <f>COUNTIF('Incident Reporting'!F:F,'טבלת פרמטרים'!C4)</f>
        <v>150</v>
      </c>
      <c r="F4" s="16">
        <f>COUNTIF('Incident Reporting'!G:G,'טבלת פרמטרים'!D3)</f>
        <v>87</v>
      </c>
      <c r="G4" s="7">
        <f>COUNTIF('Incident Reporting'!H:H,'טבלת פרמטרים'!E3)</f>
        <v>233</v>
      </c>
      <c r="H4" s="16">
        <f>COUNTIF('Incident Reporting'!I:I,'טבלת פרמטרים'!F3)</f>
        <v>119</v>
      </c>
      <c r="I4" s="7">
        <f>COUNTIF('Incident Reporting'!J:J,'טבלת פרמטרים'!G3)</f>
        <v>148</v>
      </c>
      <c r="J4" s="16">
        <f>COUNTIF('Incident Reporting'!K:K,'טבלת פרמטרים'!H3)</f>
        <v>24</v>
      </c>
      <c r="K4" s="16">
        <f>COUNTIF('Incident Reporting'!L:L,'טבלת פרמטרים'!I3)</f>
        <v>75</v>
      </c>
      <c r="L4" s="16">
        <f>COUNTIF('Incident Reporting'!M:M,'טבלת פרמטרים'!J3)</f>
        <v>327</v>
      </c>
      <c r="M4" s="7">
        <f>COUNTIF('Incident Reporting'!N:N,'טבלת פרמטרים'!K3)</f>
        <v>385</v>
      </c>
      <c r="N4" s="5"/>
      <c r="O4" s="5"/>
      <c r="P4" s="6"/>
      <c r="R4" s="9">
        <v>2</v>
      </c>
      <c r="S4" s="47">
        <f t="shared" ref="S4:AC14" si="1">C4/C$16</f>
        <v>0.1793103448275862</v>
      </c>
      <c r="T4" s="47">
        <f t="shared" si="1"/>
        <v>0.36101499423298733</v>
      </c>
      <c r="U4" s="47">
        <f t="shared" si="1"/>
        <v>0.17341040462427745</v>
      </c>
      <c r="V4" s="48">
        <f t="shared" si="1"/>
        <v>0.10069444444444445</v>
      </c>
      <c r="W4" s="49">
        <f t="shared" si="1"/>
        <v>0.26905311778290991</v>
      </c>
      <c r="X4" s="48">
        <f t="shared" si="1"/>
        <v>0.2521186440677966</v>
      </c>
      <c r="Y4" s="49">
        <f t="shared" si="1"/>
        <v>0.24342105263157895</v>
      </c>
      <c r="Z4" s="47">
        <f t="shared" si="1"/>
        <v>4.2780748663101602E-2</v>
      </c>
      <c r="AA4" s="47">
        <f t="shared" si="1"/>
        <v>0.12057877813504823</v>
      </c>
      <c r="AB4" s="48">
        <f t="shared" si="1"/>
        <v>0.39068100358422941</v>
      </c>
      <c r="AC4" s="49">
        <f t="shared" si="1"/>
        <v>0.52595628415300544</v>
      </c>
    </row>
    <row r="5" spans="2:29" x14ac:dyDescent="0.2">
      <c r="B5" s="9">
        <v>3</v>
      </c>
      <c r="C5" s="16">
        <f>COUNTIF('Incident Reporting'!D:D,'טבלת פרמטרים'!A4)</f>
        <v>30</v>
      </c>
      <c r="D5" s="16">
        <f>COUNTIF('Incident Reporting'!E:E,'טבלת פרמטרים'!B4)</f>
        <v>143</v>
      </c>
      <c r="E5" s="16">
        <f>COUNTIF('Incident Reporting'!F:F,'טבלת פרמטרים'!C5)</f>
        <v>10</v>
      </c>
      <c r="F5" s="5"/>
      <c r="G5" s="7">
        <f>COUNTIF('Incident Reporting'!H:H,'טבלת פרמטרים'!E4)</f>
        <v>275</v>
      </c>
      <c r="H5" s="5"/>
      <c r="I5" s="7">
        <f>COUNTIF('Incident Reporting'!J:J,'טבלת פרמטרים'!G4)</f>
        <v>39</v>
      </c>
      <c r="J5" s="16">
        <f>COUNTIF('Incident Reporting'!K:K,'טבלת פרמטרים'!H4)</f>
        <v>155</v>
      </c>
      <c r="K5" s="16">
        <f>COUNTIF('Incident Reporting'!L:L,'טבלת פרמטרים'!I4)</f>
        <v>444</v>
      </c>
      <c r="L5" s="16">
        <f>COUNTIF('Incident Reporting'!M:M,'טבלת פרמטרים'!J4)</f>
        <v>287</v>
      </c>
      <c r="M5" s="7">
        <f>COUNTIF('Incident Reporting'!N:N,'טבלת פרמטרים'!K4)</f>
        <v>213</v>
      </c>
      <c r="N5" s="5"/>
      <c r="O5" s="5"/>
      <c r="P5" s="6"/>
      <c r="R5" s="9">
        <v>3</v>
      </c>
      <c r="S5" s="47">
        <f t="shared" si="1"/>
        <v>3.4482758620689655E-2</v>
      </c>
      <c r="T5" s="47">
        <f t="shared" si="1"/>
        <v>0.16493656286043828</v>
      </c>
      <c r="U5" s="47">
        <f t="shared" si="1"/>
        <v>1.1560693641618497E-2</v>
      </c>
      <c r="V5" s="5"/>
      <c r="W5" s="49">
        <f t="shared" si="1"/>
        <v>0.31755196304849886</v>
      </c>
      <c r="X5" s="5"/>
      <c r="Y5" s="49">
        <f t="shared" si="1"/>
        <v>6.4144736842105268E-2</v>
      </c>
      <c r="Z5" s="47">
        <f t="shared" si="1"/>
        <v>0.27629233511586454</v>
      </c>
      <c r="AA5" s="47">
        <f t="shared" si="1"/>
        <v>0.7138263665594855</v>
      </c>
      <c r="AB5" s="48">
        <f t="shared" si="1"/>
        <v>0.34289127837514932</v>
      </c>
      <c r="AC5" s="49">
        <f t="shared" si="1"/>
        <v>0.29098360655737704</v>
      </c>
    </row>
    <row r="6" spans="2:29" x14ac:dyDescent="0.2">
      <c r="B6" s="9">
        <v>4</v>
      </c>
      <c r="C6" s="16">
        <f>COUNTIF('Incident Reporting'!D:D,'טבלת פרמטרים'!A5)</f>
        <v>78</v>
      </c>
      <c r="D6" s="16">
        <f>COUNTIF('Incident Reporting'!E:E,'טבלת פרמטרים'!B5)</f>
        <v>138</v>
      </c>
      <c r="E6" s="5"/>
      <c r="F6" s="5"/>
      <c r="G6" s="7">
        <f>COUNTIF('Incident Reporting'!H:H,'טבלת פרמטרים'!E5)</f>
        <v>194</v>
      </c>
      <c r="H6" s="5"/>
      <c r="I6" s="7">
        <f>COUNTIF('Incident Reporting'!J:J,'טבלת פרמטרים'!G5)</f>
        <v>129</v>
      </c>
      <c r="J6" s="16">
        <f>COUNTIF('Incident Reporting'!K:K,'טבלת פרמטרים'!H5)</f>
        <v>116</v>
      </c>
      <c r="K6" s="16">
        <f>COUNTIF('Incident Reporting'!L:L,'טבלת פרמטרים'!I5)</f>
        <v>9</v>
      </c>
      <c r="L6" s="5"/>
      <c r="M6" s="7">
        <f>COUNTIF('Incident Reporting'!N:N,'טבלת פרמטרים'!K5)</f>
        <v>55</v>
      </c>
      <c r="N6" s="5"/>
      <c r="O6" s="5"/>
      <c r="P6" s="6"/>
      <c r="R6" s="9">
        <v>4</v>
      </c>
      <c r="S6" s="47">
        <f t="shared" si="1"/>
        <v>8.9655172413793102E-2</v>
      </c>
      <c r="T6" s="47">
        <f t="shared" si="1"/>
        <v>0.15916955017301038</v>
      </c>
      <c r="U6" s="5"/>
      <c r="V6" s="5"/>
      <c r="W6" s="49">
        <f t="shared" si="1"/>
        <v>0.22401847575057737</v>
      </c>
      <c r="X6" s="5"/>
      <c r="Y6" s="49">
        <f t="shared" si="1"/>
        <v>0.21217105263157895</v>
      </c>
      <c r="Z6" s="47">
        <f t="shared" si="1"/>
        <v>0.20677361853832443</v>
      </c>
      <c r="AA6" s="47">
        <f t="shared" si="1"/>
        <v>1.4469453376205787E-2</v>
      </c>
      <c r="AB6" s="5"/>
      <c r="AC6" s="49">
        <f>M6/M$16</f>
        <v>7.5136612021857924E-2</v>
      </c>
    </row>
    <row r="7" spans="2:29" x14ac:dyDescent="0.2">
      <c r="B7" s="9">
        <v>5</v>
      </c>
      <c r="C7" s="16">
        <f>COUNTIF('Incident Reporting'!D:D,'טבלת פרמטרים'!A6)</f>
        <v>50</v>
      </c>
      <c r="D7" s="5"/>
      <c r="E7" s="5"/>
      <c r="F7" s="5"/>
      <c r="G7" s="7">
        <f>COUNTIF('Incident Reporting'!H:H,'טבלת פרמטרים'!E6)</f>
        <v>124</v>
      </c>
      <c r="H7" s="5"/>
      <c r="I7" s="7">
        <f>COUNTIF('Incident Reporting'!J:J,'טבלת פרמטרים'!G6)</f>
        <v>15</v>
      </c>
      <c r="J7" s="16">
        <f>COUNTIF('Incident Reporting'!K:K,'טבלת פרמטרים'!H6)</f>
        <v>40</v>
      </c>
      <c r="K7" s="5"/>
      <c r="L7" s="5"/>
      <c r="M7" s="7">
        <f>COUNTIF('Incident Reporting'!N:N,'טבלת פרמטרים'!K6)</f>
        <v>16</v>
      </c>
      <c r="N7" s="5"/>
      <c r="O7" s="5"/>
      <c r="P7" s="6"/>
      <c r="R7" s="9">
        <v>5</v>
      </c>
      <c r="S7" s="47">
        <f t="shared" si="1"/>
        <v>5.7471264367816091E-2</v>
      </c>
      <c r="T7" s="5"/>
      <c r="U7" s="5"/>
      <c r="V7" s="5"/>
      <c r="W7" s="49">
        <f t="shared" si="1"/>
        <v>0.14318706697459585</v>
      </c>
      <c r="X7" s="5"/>
      <c r="Y7" s="49">
        <f t="shared" si="1"/>
        <v>2.4671052631578948E-2</v>
      </c>
      <c r="Z7" s="47">
        <f t="shared" si="1"/>
        <v>7.130124777183601E-2</v>
      </c>
      <c r="AA7" s="5"/>
      <c r="AB7" s="5"/>
      <c r="AC7" s="49">
        <f t="shared" si="1"/>
        <v>2.185792349726776E-2</v>
      </c>
    </row>
    <row r="8" spans="2:29" x14ac:dyDescent="0.2">
      <c r="B8" s="9">
        <v>6</v>
      </c>
      <c r="C8" s="16">
        <f>COUNTIF('Incident Reporting'!D:D,'טבלת פרמטרים'!A7)</f>
        <v>64</v>
      </c>
      <c r="D8" s="5"/>
      <c r="E8" s="5"/>
      <c r="F8" s="5"/>
      <c r="G8" s="7">
        <f>COUNTIF('Incident Reporting'!H:H,'טבלת פרמטרים'!E7)</f>
        <v>11</v>
      </c>
      <c r="H8" s="5"/>
      <c r="I8" s="7">
        <f>COUNTIF('Incident Reporting'!J:J,'טבלת פרמטרים'!G7)</f>
        <v>1</v>
      </c>
      <c r="J8" s="16">
        <f>COUNTIF('Incident Reporting'!K:K,'טבלת פרמטרים'!H8)</f>
        <v>5</v>
      </c>
      <c r="K8" s="5"/>
      <c r="L8" s="5"/>
      <c r="M8" s="5"/>
      <c r="N8" s="5"/>
      <c r="O8" s="5"/>
      <c r="P8" s="6"/>
      <c r="R8" s="9">
        <v>6</v>
      </c>
      <c r="S8" s="47">
        <f t="shared" si="1"/>
        <v>7.3563218390804597E-2</v>
      </c>
      <c r="T8" s="5"/>
      <c r="U8" s="5"/>
      <c r="V8" s="5"/>
      <c r="W8" s="49">
        <f t="shared" si="1"/>
        <v>1.2702078521939953E-2</v>
      </c>
      <c r="X8" s="5"/>
      <c r="Y8" s="49">
        <f t="shared" si="1"/>
        <v>1.6447368421052631E-3</v>
      </c>
      <c r="Z8" s="47">
        <f t="shared" si="1"/>
        <v>8.9126559714795012E-3</v>
      </c>
      <c r="AA8" s="5"/>
      <c r="AB8" s="5"/>
      <c r="AC8" s="5"/>
    </row>
    <row r="9" spans="2:29" x14ac:dyDescent="0.2">
      <c r="B9" s="9">
        <v>7</v>
      </c>
      <c r="C9" s="16">
        <f>COUNTIF('Incident Reporting'!D:D,'טבלת פרמטרים'!A8)</f>
        <v>95</v>
      </c>
      <c r="D9" s="5"/>
      <c r="E9" s="5"/>
      <c r="F9" s="5"/>
      <c r="G9" s="5"/>
      <c r="H9" s="5"/>
      <c r="I9" s="7">
        <f>COUNTIF('Incident Reporting'!J:J,'טבלת פרמטרים'!G8)</f>
        <v>0</v>
      </c>
      <c r="J9" s="16">
        <f>COUNTIF('Incident Reporting'!K:K,'טבלת פרמטרים'!H9)</f>
        <v>20</v>
      </c>
      <c r="K9" s="5"/>
      <c r="L9" s="5"/>
      <c r="M9" s="5"/>
      <c r="N9" s="5"/>
      <c r="O9" s="5"/>
      <c r="P9" s="6"/>
      <c r="R9" s="9">
        <v>7</v>
      </c>
      <c r="S9" s="47">
        <f t="shared" si="1"/>
        <v>0.10919540229885058</v>
      </c>
      <c r="T9" s="5"/>
      <c r="U9" s="5"/>
      <c r="V9" s="5"/>
      <c r="W9" s="5"/>
      <c r="X9" s="5"/>
      <c r="Y9" s="49">
        <f t="shared" si="1"/>
        <v>0</v>
      </c>
      <c r="Z9" s="47">
        <f t="shared" si="1"/>
        <v>3.5650623885918005E-2</v>
      </c>
      <c r="AA9" s="5"/>
      <c r="AB9" s="5"/>
      <c r="AC9" s="5"/>
    </row>
    <row r="10" spans="2:29" x14ac:dyDescent="0.2">
      <c r="B10" s="9">
        <v>8</v>
      </c>
      <c r="C10" s="16">
        <f>COUNTIF('Incident Reporting'!D:D,'טבלת פרמטרים'!A9)</f>
        <v>235</v>
      </c>
      <c r="D10" s="5"/>
      <c r="E10" s="5"/>
      <c r="F10" s="5"/>
      <c r="G10" s="5"/>
      <c r="H10" s="5"/>
      <c r="I10" s="7">
        <f>COUNTIF('Incident Reporting'!J:J,'טבלת פרמטרים'!G9)</f>
        <v>21</v>
      </c>
      <c r="J10" s="16">
        <f>COUNTIF('Incident Reporting'!K:K,'טבלת פרמטרים'!H10)</f>
        <v>15</v>
      </c>
      <c r="K10" s="5"/>
      <c r="L10" s="5"/>
      <c r="M10" s="5"/>
      <c r="N10" s="5"/>
      <c r="O10" s="5"/>
      <c r="P10" s="6"/>
      <c r="R10" s="9">
        <v>8</v>
      </c>
      <c r="S10" s="47">
        <f t="shared" si="1"/>
        <v>0.27011494252873564</v>
      </c>
      <c r="T10" s="5"/>
      <c r="U10" s="5"/>
      <c r="V10" s="5"/>
      <c r="W10" s="5"/>
      <c r="X10" s="5"/>
      <c r="Y10" s="49">
        <f t="shared" si="1"/>
        <v>3.453947368421053E-2</v>
      </c>
      <c r="Z10" s="47">
        <f t="shared" si="1"/>
        <v>2.6737967914438502E-2</v>
      </c>
      <c r="AA10" s="5"/>
      <c r="AB10" s="5"/>
      <c r="AC10" s="5"/>
    </row>
    <row r="11" spans="2:29" x14ac:dyDescent="0.2">
      <c r="B11" s="9">
        <v>9</v>
      </c>
      <c r="C11" s="16">
        <f>COUNTIF('Incident Reporting'!D:D,'טבלת פרמטרים'!A10)</f>
        <v>12</v>
      </c>
      <c r="D11" s="5"/>
      <c r="E11" s="5"/>
      <c r="F11" s="5"/>
      <c r="G11" s="5"/>
      <c r="H11" s="5"/>
      <c r="I11" s="7">
        <f>COUNTIF('Incident Reporting'!J:J,'טבלת פרמטרים'!G10)</f>
        <v>16</v>
      </c>
      <c r="J11" s="5"/>
      <c r="K11" s="5"/>
      <c r="L11" s="5"/>
      <c r="M11" s="5"/>
      <c r="N11" s="5"/>
      <c r="O11" s="5"/>
      <c r="P11" s="6"/>
      <c r="R11" s="9">
        <v>9</v>
      </c>
      <c r="S11" s="47">
        <f t="shared" si="1"/>
        <v>1.3793103448275862E-2</v>
      </c>
      <c r="T11" s="5"/>
      <c r="U11" s="5"/>
      <c r="V11" s="5"/>
      <c r="W11" s="5"/>
      <c r="X11" s="5"/>
      <c r="Y11" s="49">
        <f t="shared" si="1"/>
        <v>2.6315789473684209E-2</v>
      </c>
      <c r="Z11" s="5"/>
      <c r="AA11" s="5"/>
      <c r="AB11" s="5"/>
      <c r="AC11" s="5"/>
    </row>
    <row r="12" spans="2:29" x14ac:dyDescent="0.2">
      <c r="B12" s="9">
        <v>10</v>
      </c>
      <c r="C12" s="16">
        <f>COUNTIF('Incident Reporting'!D:D,'טבלת פרמטרים'!A11)</f>
        <v>21</v>
      </c>
      <c r="D12" s="5"/>
      <c r="E12" s="5"/>
      <c r="F12" s="5"/>
      <c r="G12" s="5"/>
      <c r="H12" s="5"/>
      <c r="I12" s="7">
        <f>COUNTIF('Incident Reporting'!J:J,'טבלת פרמטרים'!G11)</f>
        <v>34</v>
      </c>
      <c r="J12" s="5"/>
      <c r="K12" s="5"/>
      <c r="L12" s="5"/>
      <c r="M12" s="5"/>
      <c r="N12" s="5"/>
      <c r="O12" s="5"/>
      <c r="P12" s="6"/>
      <c r="R12" s="9">
        <v>10</v>
      </c>
      <c r="S12" s="47">
        <f>C12/C$16</f>
        <v>2.4137931034482758E-2</v>
      </c>
      <c r="T12" s="5"/>
      <c r="U12" s="5"/>
      <c r="V12" s="5"/>
      <c r="W12" s="5"/>
      <c r="X12" s="5"/>
      <c r="Y12" s="49">
        <f t="shared" si="1"/>
        <v>5.5921052631578948E-2</v>
      </c>
      <c r="Z12" s="5"/>
      <c r="AA12" s="5"/>
      <c r="AB12" s="5"/>
      <c r="AC12" s="5"/>
    </row>
    <row r="13" spans="2:29" x14ac:dyDescent="0.2">
      <c r="B13" s="9">
        <v>11</v>
      </c>
      <c r="C13" s="5"/>
      <c r="D13" s="5"/>
      <c r="E13" s="5"/>
      <c r="F13" s="5"/>
      <c r="G13" s="5"/>
      <c r="H13" s="5"/>
      <c r="I13" s="7">
        <f>COUNTIF('Incident Reporting'!J:J,'טבלת פרמטרים'!G12)</f>
        <v>30</v>
      </c>
      <c r="J13" s="5"/>
      <c r="K13" s="5"/>
      <c r="L13" s="5"/>
      <c r="M13" s="5"/>
      <c r="N13" s="5"/>
      <c r="O13" s="5"/>
      <c r="P13" s="6"/>
      <c r="R13" s="9">
        <v>11</v>
      </c>
      <c r="S13" s="5"/>
      <c r="T13" s="5"/>
      <c r="U13" s="5"/>
      <c r="V13" s="5"/>
      <c r="W13" s="5"/>
      <c r="X13" s="5"/>
      <c r="Y13" s="49">
        <f t="shared" si="1"/>
        <v>4.9342105263157895E-2</v>
      </c>
      <c r="Z13" s="5"/>
      <c r="AA13" s="5"/>
      <c r="AB13" s="5"/>
      <c r="AC13" s="5"/>
    </row>
    <row r="14" spans="2:29" x14ac:dyDescent="0.2">
      <c r="B14" s="9">
        <v>12</v>
      </c>
      <c r="C14" s="5"/>
      <c r="D14" s="5"/>
      <c r="E14" s="5"/>
      <c r="F14" s="5"/>
      <c r="G14" s="5"/>
      <c r="H14" s="5"/>
      <c r="I14" s="7">
        <f>COUNTIF('Incident Reporting'!J:J,'טבלת פרמטרים'!G13)</f>
        <v>34</v>
      </c>
      <c r="J14" s="5"/>
      <c r="K14" s="5"/>
      <c r="L14" s="5"/>
      <c r="M14" s="5"/>
      <c r="N14" s="5"/>
      <c r="O14" s="5"/>
      <c r="P14" s="6"/>
      <c r="R14" s="9">
        <v>12</v>
      </c>
      <c r="S14" s="5"/>
      <c r="T14" s="5"/>
      <c r="U14" s="5"/>
      <c r="V14" s="5"/>
      <c r="W14" s="5"/>
      <c r="X14" s="5"/>
      <c r="Y14" s="49">
        <f t="shared" si="1"/>
        <v>5.5921052631578948E-2</v>
      </c>
      <c r="Z14" s="5"/>
      <c r="AA14" s="5"/>
      <c r="AB14" s="5"/>
      <c r="AC14" s="5"/>
    </row>
    <row r="15" spans="2:29" x14ac:dyDescent="0.2">
      <c r="B15" s="4"/>
      <c r="C15" s="5"/>
      <c r="D15" s="5"/>
      <c r="E15" s="5"/>
      <c r="F15" s="5"/>
      <c r="G15" s="5"/>
      <c r="H15" s="5"/>
      <c r="I15" s="5"/>
      <c r="J15" s="5"/>
      <c r="K15" s="5"/>
      <c r="L15" s="5"/>
      <c r="M15" s="5"/>
      <c r="N15" s="5"/>
      <c r="O15" s="5"/>
      <c r="P15" s="6"/>
    </row>
    <row r="16" spans="2:29" x14ac:dyDescent="0.2">
      <c r="B16" s="4"/>
      <c r="C16" s="5">
        <f>SUM(C3:C14)</f>
        <v>870</v>
      </c>
      <c r="D16" s="5">
        <f t="shared" ref="D16:M16" si="2">SUM(D3:D14)</f>
        <v>867</v>
      </c>
      <c r="E16" s="5">
        <f t="shared" si="2"/>
        <v>865</v>
      </c>
      <c r="F16" s="5">
        <f t="shared" si="2"/>
        <v>864</v>
      </c>
      <c r="G16" s="5">
        <f t="shared" si="2"/>
        <v>866</v>
      </c>
      <c r="H16" s="5">
        <f t="shared" si="2"/>
        <v>472</v>
      </c>
      <c r="I16" s="5">
        <f t="shared" si="2"/>
        <v>608</v>
      </c>
      <c r="J16" s="5">
        <f t="shared" si="2"/>
        <v>561</v>
      </c>
      <c r="K16" s="5">
        <f t="shared" si="2"/>
        <v>622</v>
      </c>
      <c r="L16" s="5">
        <f t="shared" si="2"/>
        <v>837</v>
      </c>
      <c r="M16" s="5">
        <f t="shared" si="2"/>
        <v>732</v>
      </c>
      <c r="N16" s="5"/>
      <c r="O16" s="5"/>
      <c r="P16" s="6"/>
    </row>
    <row r="17" spans="2:16" x14ac:dyDescent="0.2">
      <c r="B17" s="5"/>
      <c r="C17" s="5"/>
      <c r="D17" s="5"/>
      <c r="E17" s="5"/>
      <c r="F17" s="5"/>
      <c r="G17" s="5"/>
      <c r="H17" s="5"/>
      <c r="I17" s="5"/>
      <c r="J17" s="5"/>
      <c r="K17" s="5"/>
      <c r="L17" s="5"/>
      <c r="M17" s="5"/>
      <c r="N17" s="5"/>
      <c r="O17" s="5"/>
      <c r="P17" s="5"/>
    </row>
    <row r="18" spans="2:16" x14ac:dyDescent="0.2">
      <c r="B18" s="5"/>
      <c r="C18" s="5"/>
      <c r="D18" s="5"/>
      <c r="E18" s="5"/>
      <c r="F18" s="5"/>
      <c r="G18" s="5"/>
      <c r="H18" s="5"/>
      <c r="I18" s="5"/>
      <c r="J18" s="5"/>
      <c r="K18" s="5"/>
      <c r="L18" s="5"/>
      <c r="M18" s="5"/>
      <c r="N18" s="5"/>
      <c r="O18" s="5"/>
      <c r="P18" s="5"/>
    </row>
    <row r="19" spans="2:16" x14ac:dyDescent="0.2">
      <c r="B19" s="5"/>
      <c r="C19" s="5"/>
      <c r="D19" s="5"/>
      <c r="E19" s="5"/>
      <c r="F19" s="5"/>
      <c r="G19" s="5"/>
      <c r="H19" s="5"/>
      <c r="I19" s="5"/>
      <c r="J19" s="5"/>
      <c r="K19" s="5"/>
      <c r="L19" s="5"/>
      <c r="M19" s="5"/>
      <c r="N19" s="5"/>
      <c r="O19" s="5"/>
      <c r="P19" s="5"/>
    </row>
    <row r="20" spans="2:16" x14ac:dyDescent="0.2">
      <c r="B20" s="5"/>
      <c r="C20" s="5"/>
      <c r="D20" s="5"/>
      <c r="E20" s="5"/>
      <c r="F20" s="5"/>
      <c r="G20" s="5"/>
      <c r="H20" s="5"/>
      <c r="I20" s="5"/>
      <c r="J20" s="5"/>
      <c r="K20" s="5"/>
      <c r="L20" s="5"/>
      <c r="M20" s="5"/>
      <c r="N20" s="5"/>
      <c r="O20" s="5"/>
      <c r="P20" s="5"/>
    </row>
    <row r="21" spans="2:16" x14ac:dyDescent="0.2">
      <c r="B21" s="5"/>
      <c r="C21" s="5"/>
      <c r="D21" s="5"/>
      <c r="E21" s="5"/>
      <c r="F21" s="5"/>
      <c r="G21" s="5"/>
      <c r="H21" s="5"/>
      <c r="I21" s="5"/>
      <c r="J21" s="5"/>
      <c r="K21" s="5"/>
      <c r="L21" s="5"/>
      <c r="M21" s="5"/>
      <c r="N21" s="5"/>
      <c r="O21" s="5"/>
      <c r="P21" s="5"/>
    </row>
    <row r="22" spans="2:16" x14ac:dyDescent="0.2">
      <c r="B22" s="5"/>
      <c r="C22" s="5"/>
      <c r="D22" s="5"/>
      <c r="E22" s="5"/>
      <c r="F22" s="5"/>
      <c r="G22" s="5"/>
      <c r="H22" s="5"/>
      <c r="I22" s="5"/>
      <c r="J22" s="5"/>
      <c r="K22" s="5"/>
      <c r="L22" s="5"/>
      <c r="M22" s="5"/>
      <c r="N22" s="5"/>
      <c r="O22" s="5"/>
      <c r="P22" s="5"/>
    </row>
    <row r="23" spans="2:16" x14ac:dyDescent="0.2">
      <c r="B23" s="5"/>
      <c r="C23" s="5"/>
      <c r="D23" s="5"/>
      <c r="E23" s="5"/>
      <c r="F23" s="5"/>
      <c r="G23" s="5"/>
      <c r="H23" s="5"/>
      <c r="I23" s="5"/>
      <c r="J23" s="5"/>
      <c r="K23" s="5"/>
      <c r="L23" s="5"/>
      <c r="M23" s="5"/>
      <c r="N23" s="5"/>
      <c r="O23" s="5"/>
      <c r="P23" s="5"/>
    </row>
    <row r="24" spans="2:16" x14ac:dyDescent="0.2">
      <c r="B24" s="5"/>
      <c r="C24" s="5"/>
      <c r="D24" s="5"/>
      <c r="E24" s="5"/>
      <c r="F24" s="5"/>
      <c r="G24" s="5"/>
      <c r="H24" s="5"/>
      <c r="I24" s="5"/>
      <c r="J24" s="5"/>
      <c r="K24" s="5"/>
      <c r="L24" s="5"/>
      <c r="M24" s="5"/>
      <c r="N24" s="5"/>
      <c r="O24" s="5"/>
      <c r="P24" s="5"/>
    </row>
    <row r="25" spans="2:16" x14ac:dyDescent="0.2">
      <c r="B25" s="5"/>
      <c r="C25" s="5"/>
      <c r="D25" s="5"/>
      <c r="E25" s="5"/>
      <c r="F25" s="5"/>
      <c r="G25" s="5"/>
      <c r="H25" s="5"/>
      <c r="I25" s="5"/>
      <c r="J25" s="5"/>
      <c r="K25" s="5"/>
      <c r="L25" s="5"/>
      <c r="M25" s="5"/>
      <c r="N25" s="5"/>
      <c r="O25" s="5"/>
      <c r="P25" s="5"/>
    </row>
    <row r="26" spans="2:16" x14ac:dyDescent="0.2">
      <c r="B26" s="5"/>
      <c r="C26" s="5"/>
      <c r="D26" s="5"/>
      <c r="E26" s="5"/>
      <c r="F26" s="5"/>
      <c r="G26" s="5"/>
      <c r="H26" s="5"/>
      <c r="I26" s="5"/>
      <c r="J26" s="5"/>
      <c r="K26" s="5"/>
      <c r="L26" s="5"/>
      <c r="M26" s="5"/>
      <c r="N26" s="5"/>
      <c r="O26" s="5"/>
      <c r="P26" s="5"/>
    </row>
    <row r="27" spans="2:16" x14ac:dyDescent="0.2">
      <c r="B27" s="5"/>
      <c r="C27" s="5"/>
      <c r="D27" s="5"/>
      <c r="E27" s="5"/>
      <c r="F27" s="5"/>
      <c r="G27" s="5"/>
      <c r="H27" s="5"/>
      <c r="I27" s="5"/>
      <c r="J27" s="5"/>
      <c r="K27" s="5"/>
      <c r="L27" s="5"/>
      <c r="M27" s="5"/>
      <c r="N27" s="5"/>
      <c r="O27" s="5"/>
      <c r="P27" s="5"/>
    </row>
    <row r="28" spans="2:16" x14ac:dyDescent="0.2">
      <c r="B28" s="5"/>
      <c r="C28" s="5"/>
      <c r="D28" s="5"/>
      <c r="E28" s="5"/>
      <c r="F28" s="5"/>
      <c r="G28" s="5"/>
      <c r="H28" s="5"/>
      <c r="I28" s="5"/>
      <c r="J28" s="5"/>
      <c r="K28" s="5"/>
      <c r="L28" s="5"/>
      <c r="M28" s="5"/>
      <c r="N28" s="5"/>
      <c r="O28" s="5"/>
      <c r="P28" s="5"/>
    </row>
    <row r="29" spans="2:16" x14ac:dyDescent="0.2">
      <c r="B29" s="5"/>
      <c r="C29" s="5"/>
      <c r="D29" s="5"/>
      <c r="E29" s="5"/>
      <c r="F29" s="5"/>
      <c r="G29" s="5"/>
      <c r="H29" s="5"/>
      <c r="I29" s="5"/>
      <c r="J29" s="5"/>
      <c r="K29" s="5"/>
      <c r="L29" s="5"/>
      <c r="M29" s="5"/>
      <c r="N29" s="5"/>
      <c r="O29" s="5"/>
      <c r="P29" s="5"/>
    </row>
    <row r="30" spans="2:16" x14ac:dyDescent="0.2">
      <c r="B30" s="5"/>
      <c r="C30" s="5"/>
      <c r="D30" s="5"/>
      <c r="E30" s="5"/>
      <c r="F30" s="5"/>
      <c r="G30" s="5"/>
      <c r="H30" s="5"/>
      <c r="I30" s="5"/>
      <c r="J30" s="5"/>
      <c r="K30" s="5"/>
      <c r="L30" s="5"/>
      <c r="M30" s="5"/>
      <c r="N30" s="5"/>
      <c r="O30" s="5"/>
      <c r="P30" s="5"/>
    </row>
    <row r="31" spans="2:16" x14ac:dyDescent="0.2">
      <c r="B31" s="5"/>
      <c r="C31" s="5"/>
      <c r="D31" s="5"/>
      <c r="E31" s="5"/>
      <c r="F31" s="5"/>
      <c r="G31" s="5"/>
      <c r="H31" s="5"/>
      <c r="I31" s="5"/>
      <c r="J31" s="5"/>
      <c r="K31" s="5"/>
      <c r="L31" s="5"/>
      <c r="M31" s="5"/>
      <c r="N31" s="5"/>
      <c r="O31" s="5"/>
      <c r="P31" s="5"/>
    </row>
    <row r="32" spans="2:16" x14ac:dyDescent="0.2">
      <c r="B32" s="5"/>
      <c r="C32" s="5"/>
      <c r="D32" s="5"/>
      <c r="E32" s="5"/>
      <c r="F32" s="5"/>
      <c r="G32" s="5"/>
      <c r="H32" s="5"/>
      <c r="I32" s="5"/>
      <c r="J32" s="5"/>
      <c r="K32" s="5"/>
      <c r="L32" s="5"/>
      <c r="M32" s="5"/>
      <c r="N32" s="5"/>
      <c r="O32" s="5"/>
      <c r="P32" s="5"/>
    </row>
    <row r="33" spans="2:18" x14ac:dyDescent="0.2">
      <c r="B33" s="5"/>
      <c r="C33" s="5"/>
      <c r="D33" s="5"/>
      <c r="E33" s="5"/>
      <c r="F33" s="5"/>
      <c r="G33" s="5"/>
      <c r="H33" s="5"/>
      <c r="I33" s="5"/>
      <c r="J33" s="5"/>
      <c r="K33" s="5"/>
      <c r="L33" s="5"/>
      <c r="M33" s="5"/>
      <c r="N33" s="5"/>
      <c r="O33" s="5"/>
      <c r="P33" s="5"/>
    </row>
    <row r="34" spans="2:18" x14ac:dyDescent="0.2">
      <c r="B34" s="5"/>
      <c r="C34" s="5"/>
      <c r="D34" s="5"/>
      <c r="E34" s="5"/>
      <c r="F34" s="5"/>
      <c r="G34" s="5"/>
      <c r="H34" s="5"/>
      <c r="I34" s="5"/>
      <c r="J34" s="5"/>
      <c r="K34" s="5"/>
      <c r="L34" s="5"/>
      <c r="M34" s="5"/>
      <c r="N34" s="5"/>
      <c r="O34" s="5"/>
      <c r="P34" s="5"/>
    </row>
    <row r="35" spans="2:18" x14ac:dyDescent="0.2">
      <c r="B35" s="5"/>
      <c r="C35" s="5"/>
      <c r="D35" s="5"/>
      <c r="E35" s="5"/>
      <c r="F35" s="5"/>
      <c r="G35" s="5"/>
      <c r="H35" s="5"/>
      <c r="I35" s="5"/>
      <c r="J35" s="5"/>
      <c r="K35" s="5"/>
      <c r="L35" s="5"/>
      <c r="M35" s="5"/>
      <c r="N35" s="5"/>
      <c r="O35" s="5"/>
      <c r="P35" s="5"/>
    </row>
    <row r="36" spans="2:18" x14ac:dyDescent="0.2">
      <c r="B36" s="5"/>
      <c r="C36" s="5"/>
      <c r="D36" s="5"/>
      <c r="E36" s="5"/>
      <c r="F36" s="5"/>
      <c r="G36" s="5"/>
      <c r="H36" s="5"/>
      <c r="I36" s="5"/>
      <c r="J36" s="5"/>
      <c r="K36" s="5"/>
      <c r="L36" s="5"/>
      <c r="M36" s="5"/>
      <c r="N36" s="5"/>
      <c r="O36" s="5"/>
      <c r="P36" s="5"/>
    </row>
    <row r="37" spans="2:18" x14ac:dyDescent="0.2">
      <c r="B37" s="5"/>
      <c r="C37" s="5"/>
      <c r="D37" s="5"/>
      <c r="E37" s="5"/>
      <c r="F37" s="5"/>
      <c r="G37" s="5"/>
      <c r="H37" s="5"/>
      <c r="I37" s="5"/>
      <c r="J37" s="5"/>
      <c r="K37" s="5"/>
      <c r="L37" s="5"/>
      <c r="M37" s="5"/>
      <c r="N37" s="5"/>
      <c r="O37" s="5"/>
      <c r="P37" s="5"/>
    </row>
    <row r="38" spans="2:18" x14ac:dyDescent="0.2">
      <c r="B38" s="5"/>
      <c r="C38" s="5"/>
      <c r="D38" s="5"/>
      <c r="E38" s="5"/>
      <c r="F38" s="5"/>
      <c r="G38" s="5"/>
      <c r="H38" s="5"/>
      <c r="I38" s="5"/>
      <c r="J38" s="5"/>
      <c r="K38" s="5"/>
      <c r="L38" s="5"/>
      <c r="M38" s="5"/>
      <c r="N38" s="5"/>
      <c r="O38" s="5"/>
      <c r="P38" s="5"/>
    </row>
    <row r="39" spans="2:18" x14ac:dyDescent="0.2">
      <c r="B39" s="5"/>
      <c r="C39" s="5"/>
      <c r="D39" s="5"/>
      <c r="E39" s="5"/>
      <c r="F39" s="5"/>
      <c r="G39" s="5"/>
      <c r="H39" s="5"/>
      <c r="I39" s="5"/>
      <c r="J39" s="5"/>
      <c r="K39" s="5"/>
      <c r="L39" s="5"/>
      <c r="M39" s="5"/>
      <c r="N39" s="5"/>
      <c r="O39" s="5"/>
      <c r="P39" s="5"/>
    </row>
    <row r="40" spans="2:18" x14ac:dyDescent="0.2">
      <c r="B40" s="5"/>
      <c r="C40" s="5"/>
      <c r="D40" s="5"/>
      <c r="E40" s="5"/>
      <c r="F40" s="5"/>
      <c r="G40" s="5"/>
      <c r="H40" s="5"/>
      <c r="I40" s="5"/>
      <c r="J40" s="5"/>
      <c r="K40" s="5"/>
      <c r="L40" s="5"/>
      <c r="M40" s="5"/>
      <c r="N40" s="5"/>
      <c r="O40" s="5"/>
      <c r="P40" s="5"/>
    </row>
    <row r="41" spans="2:18" x14ac:dyDescent="0.2">
      <c r="B41" s="5"/>
      <c r="C41" s="5"/>
      <c r="D41" s="5"/>
      <c r="E41" s="5"/>
      <c r="F41" s="5"/>
      <c r="G41" s="5"/>
      <c r="H41" s="5"/>
      <c r="I41" s="5"/>
      <c r="J41" s="5"/>
      <c r="K41" s="5"/>
      <c r="L41" s="5"/>
      <c r="M41" s="5"/>
      <c r="N41" s="5"/>
      <c r="O41" s="5"/>
      <c r="P41" s="5"/>
    </row>
    <row r="42" spans="2:18" x14ac:dyDescent="0.2">
      <c r="B42" s="5"/>
      <c r="C42" s="5"/>
      <c r="D42" s="5"/>
      <c r="E42" s="5"/>
      <c r="F42" s="5"/>
      <c r="G42" s="5"/>
      <c r="H42" s="5"/>
      <c r="I42" s="5"/>
      <c r="J42" s="5"/>
      <c r="K42" s="5"/>
      <c r="L42" s="5"/>
      <c r="M42" s="5"/>
      <c r="N42" s="5"/>
      <c r="O42" s="5"/>
      <c r="P42" s="5"/>
    </row>
    <row r="43" spans="2:18" x14ac:dyDescent="0.2">
      <c r="B43" s="5"/>
      <c r="C43" s="5"/>
      <c r="D43" s="5"/>
      <c r="E43" s="5"/>
      <c r="F43" s="5"/>
      <c r="G43" s="5"/>
      <c r="H43" s="5"/>
      <c r="I43" s="5"/>
      <c r="J43" s="5"/>
      <c r="K43" s="5"/>
      <c r="L43" s="5"/>
      <c r="M43" s="5"/>
      <c r="N43" s="5"/>
      <c r="O43" s="5"/>
      <c r="P43" s="5"/>
    </row>
    <row r="44" spans="2:18" x14ac:dyDescent="0.2">
      <c r="B44" s="5"/>
      <c r="C44" s="5"/>
      <c r="D44" s="5"/>
      <c r="E44" s="5"/>
      <c r="F44" s="5"/>
      <c r="G44" s="5"/>
      <c r="H44" s="5"/>
      <c r="I44" s="5"/>
      <c r="J44" s="5"/>
      <c r="K44" s="5"/>
      <c r="L44" s="5"/>
      <c r="M44" s="5"/>
      <c r="N44" s="5"/>
      <c r="O44" s="5"/>
      <c r="P44" s="5"/>
    </row>
    <row r="45" spans="2:18" x14ac:dyDescent="0.2">
      <c r="B45" s="5"/>
      <c r="C45" s="5"/>
      <c r="D45" s="5"/>
      <c r="E45" s="5"/>
      <c r="F45" s="5"/>
      <c r="G45" s="5"/>
      <c r="H45" s="5"/>
      <c r="I45" s="5"/>
      <c r="J45" s="5"/>
      <c r="K45" s="5"/>
      <c r="L45" s="5"/>
      <c r="M45" s="5"/>
      <c r="N45" s="5"/>
      <c r="O45" s="5"/>
      <c r="P45" s="5"/>
      <c r="Q45" s="5"/>
      <c r="R45" s="5"/>
    </row>
    <row r="46" spans="2:18" x14ac:dyDescent="0.2">
      <c r="B46" s="5"/>
      <c r="C46" s="5"/>
      <c r="D46" s="5"/>
      <c r="E46" s="5"/>
      <c r="F46" s="5"/>
      <c r="G46" s="5"/>
      <c r="H46" s="5"/>
      <c r="I46" s="5"/>
      <c r="J46" s="5"/>
      <c r="K46" s="5"/>
      <c r="L46" s="5"/>
      <c r="M46" s="5"/>
      <c r="N46" s="5"/>
      <c r="O46" s="5"/>
      <c r="P46" s="5"/>
      <c r="Q46" s="5"/>
      <c r="R46" s="5"/>
    </row>
    <row r="47" spans="2:18" x14ac:dyDescent="0.2">
      <c r="B47" s="5"/>
      <c r="C47" s="5"/>
      <c r="D47" s="5"/>
      <c r="E47" s="5"/>
      <c r="F47" s="5"/>
      <c r="G47" s="5"/>
      <c r="H47" s="5"/>
      <c r="I47" s="5"/>
      <c r="J47" s="5"/>
      <c r="K47" s="5"/>
      <c r="L47" s="5"/>
      <c r="M47" s="5"/>
      <c r="N47" s="5"/>
      <c r="O47" s="5"/>
      <c r="P47" s="5"/>
      <c r="Q47" s="5"/>
      <c r="R47" s="5"/>
    </row>
    <row r="48" spans="2:18" x14ac:dyDescent="0.2">
      <c r="B48" s="5"/>
      <c r="C48" s="5"/>
      <c r="D48" s="5"/>
      <c r="E48" s="5"/>
      <c r="F48" s="5"/>
      <c r="G48" s="5"/>
      <c r="H48" s="5"/>
      <c r="I48" s="5"/>
      <c r="J48" s="5"/>
      <c r="K48" s="5"/>
      <c r="L48" s="5"/>
      <c r="M48" s="5"/>
      <c r="N48" s="5"/>
      <c r="O48" s="5"/>
      <c r="P48" s="5"/>
      <c r="Q48" s="5"/>
      <c r="R48" s="122"/>
    </row>
    <row r="49" spans="2:18" x14ac:dyDescent="0.2">
      <c r="B49" s="5"/>
      <c r="C49" s="5"/>
      <c r="D49" s="5"/>
      <c r="E49" s="5"/>
      <c r="F49" s="5"/>
      <c r="G49" s="5"/>
      <c r="H49" s="5"/>
      <c r="I49" s="5"/>
      <c r="J49" s="5"/>
      <c r="K49" s="5"/>
      <c r="L49" s="5"/>
      <c r="M49" s="5"/>
      <c r="N49" s="5"/>
      <c r="O49" s="5"/>
      <c r="P49" s="5"/>
      <c r="Q49" s="5"/>
      <c r="R49" s="122"/>
    </row>
    <row r="50" spans="2:18" x14ac:dyDescent="0.2">
      <c r="B50" s="5"/>
      <c r="C50" s="5"/>
      <c r="D50" s="5"/>
      <c r="E50" s="5"/>
      <c r="F50" s="5"/>
      <c r="G50" s="5"/>
      <c r="H50" s="5"/>
      <c r="I50" s="5"/>
      <c r="J50" s="5"/>
      <c r="K50" s="5"/>
      <c r="L50" s="5"/>
      <c r="M50" s="5"/>
      <c r="N50" s="5"/>
      <c r="O50" s="5"/>
      <c r="P50" s="5"/>
      <c r="Q50" s="5"/>
      <c r="R50" s="122"/>
    </row>
    <row r="51" spans="2:18" x14ac:dyDescent="0.2">
      <c r="B51" s="5"/>
      <c r="C51" s="5"/>
      <c r="D51" s="5"/>
      <c r="E51" s="5"/>
      <c r="F51" s="5"/>
      <c r="G51" s="5"/>
      <c r="H51" s="5"/>
      <c r="I51" s="5"/>
      <c r="J51" s="5"/>
      <c r="K51" s="5"/>
      <c r="L51" s="5"/>
      <c r="M51" s="5"/>
      <c r="N51" s="5"/>
      <c r="O51" s="5"/>
      <c r="P51" s="5"/>
      <c r="Q51" s="5"/>
      <c r="R51" s="122"/>
    </row>
    <row r="52" spans="2:18" x14ac:dyDescent="0.2">
      <c r="B52" s="5"/>
      <c r="C52" s="5"/>
      <c r="D52" s="5"/>
      <c r="E52" s="5"/>
      <c r="F52" s="5"/>
      <c r="G52" s="5"/>
      <c r="H52" s="5"/>
      <c r="I52" s="5"/>
      <c r="J52" s="5"/>
      <c r="K52" s="5"/>
      <c r="L52" s="5"/>
      <c r="M52" s="5"/>
      <c r="N52" s="5"/>
      <c r="O52" s="5"/>
      <c r="P52" s="5"/>
      <c r="Q52" s="5"/>
      <c r="R52" s="122"/>
    </row>
    <row r="53" spans="2:18" x14ac:dyDescent="0.2">
      <c r="B53" s="5"/>
      <c r="C53" s="5"/>
      <c r="D53" s="5"/>
      <c r="E53" s="5"/>
      <c r="F53" s="5"/>
      <c r="G53" s="5"/>
      <c r="H53" s="5"/>
      <c r="I53" s="5"/>
      <c r="J53" s="5"/>
      <c r="K53" s="5"/>
      <c r="L53" s="5"/>
      <c r="M53" s="5"/>
      <c r="N53" s="5"/>
      <c r="O53" s="5"/>
      <c r="P53" s="5"/>
      <c r="Q53" s="5"/>
      <c r="R53" s="122"/>
    </row>
    <row r="54" spans="2:18" x14ac:dyDescent="0.2">
      <c r="B54" s="5"/>
      <c r="C54" s="5"/>
      <c r="D54" s="5"/>
      <c r="E54" s="5"/>
      <c r="F54" s="5"/>
      <c r="G54" s="5"/>
      <c r="H54" s="5"/>
      <c r="I54" s="5"/>
      <c r="J54" s="5"/>
      <c r="K54" s="5"/>
      <c r="L54" s="5"/>
      <c r="M54" s="5"/>
      <c r="N54" s="5"/>
      <c r="O54" s="5"/>
      <c r="P54" s="5"/>
      <c r="Q54" s="5"/>
      <c r="R54" s="5"/>
    </row>
    <row r="55" spans="2:18" x14ac:dyDescent="0.2">
      <c r="B55" s="5"/>
      <c r="C55" s="5"/>
      <c r="D55" s="5"/>
      <c r="E55" s="5"/>
      <c r="F55" s="5"/>
      <c r="G55" s="5"/>
      <c r="H55" s="5"/>
      <c r="I55" s="5"/>
      <c r="J55" s="5"/>
      <c r="K55" s="5"/>
      <c r="L55" s="5"/>
      <c r="M55" s="5"/>
      <c r="N55" s="5"/>
      <c r="O55" s="5"/>
      <c r="P55" s="5"/>
      <c r="Q55" s="5"/>
      <c r="R55" s="5"/>
    </row>
    <row r="56" spans="2:18" x14ac:dyDescent="0.2">
      <c r="B56" s="5"/>
      <c r="C56" s="5"/>
      <c r="D56" s="5"/>
      <c r="E56" s="5"/>
      <c r="F56" s="5"/>
      <c r="G56" s="5"/>
      <c r="H56" s="5"/>
      <c r="I56" s="5"/>
      <c r="J56" s="5"/>
      <c r="K56" s="5"/>
      <c r="L56" s="5"/>
      <c r="M56" s="5"/>
      <c r="N56" s="5"/>
      <c r="O56" s="5"/>
      <c r="P56" s="5"/>
    </row>
    <row r="57" spans="2:18" x14ac:dyDescent="0.2">
      <c r="B57" s="5"/>
      <c r="C57" s="5"/>
      <c r="D57" s="5"/>
      <c r="E57" s="5"/>
      <c r="F57" s="5"/>
      <c r="G57" s="5"/>
      <c r="H57" s="5"/>
      <c r="I57" s="5"/>
      <c r="J57" s="5"/>
      <c r="K57" s="5"/>
      <c r="L57" s="5"/>
      <c r="M57" s="5"/>
      <c r="N57" s="5"/>
      <c r="O57" s="5"/>
      <c r="P57" s="5"/>
    </row>
    <row r="58" spans="2:18" x14ac:dyDescent="0.2">
      <c r="B58" s="5"/>
      <c r="C58" s="5"/>
      <c r="D58" s="5"/>
      <c r="E58" s="5"/>
      <c r="F58" s="5"/>
      <c r="G58" s="5"/>
      <c r="H58" s="5"/>
      <c r="I58" s="5"/>
      <c r="J58" s="5"/>
      <c r="K58" s="5"/>
      <c r="L58" s="5"/>
      <c r="M58" s="5"/>
      <c r="N58" s="5"/>
      <c r="O58" s="5"/>
      <c r="P58" s="5"/>
    </row>
    <row r="59" spans="2:18" x14ac:dyDescent="0.2">
      <c r="B59" s="5"/>
      <c r="C59" s="5"/>
      <c r="D59" s="5"/>
      <c r="E59" s="5"/>
      <c r="F59" s="5"/>
      <c r="G59" s="5"/>
      <c r="H59" s="5"/>
      <c r="I59" s="5"/>
      <c r="J59" s="5"/>
      <c r="K59" s="5"/>
      <c r="L59" s="5"/>
      <c r="M59" s="5"/>
      <c r="N59" s="5"/>
      <c r="O59" s="5"/>
      <c r="P59" s="5"/>
    </row>
    <row r="60" spans="2:18" x14ac:dyDescent="0.2">
      <c r="B60" s="5"/>
      <c r="C60" s="5"/>
      <c r="D60" s="5"/>
      <c r="E60" s="5"/>
      <c r="F60" s="5"/>
      <c r="G60" s="5"/>
      <c r="H60" s="5"/>
      <c r="I60" s="5"/>
      <c r="J60" s="5"/>
      <c r="K60" s="5"/>
      <c r="L60" s="5"/>
      <c r="M60" s="5"/>
      <c r="N60" s="5"/>
      <c r="O60" s="5"/>
      <c r="P60" s="5"/>
    </row>
    <row r="61" spans="2:18" x14ac:dyDescent="0.2">
      <c r="B61" s="5"/>
      <c r="C61" s="5"/>
      <c r="D61" s="5"/>
      <c r="E61" s="5"/>
      <c r="F61" s="5"/>
      <c r="G61" s="5"/>
      <c r="H61" s="5"/>
      <c r="I61" s="5"/>
      <c r="J61" s="5"/>
      <c r="K61" s="5"/>
      <c r="L61" s="5"/>
      <c r="M61" s="5"/>
      <c r="N61" s="5"/>
      <c r="O61" s="5"/>
      <c r="P61" s="5"/>
    </row>
    <row r="62" spans="2:18" x14ac:dyDescent="0.2">
      <c r="B62" s="5"/>
      <c r="C62" s="5"/>
      <c r="D62" s="5"/>
      <c r="E62" s="5"/>
      <c r="F62" s="5"/>
      <c r="G62" s="5"/>
      <c r="H62" s="5"/>
      <c r="I62" s="5"/>
      <c r="J62" s="5"/>
      <c r="K62" s="5"/>
      <c r="L62" s="5"/>
      <c r="M62" s="5"/>
      <c r="N62" s="5"/>
      <c r="O62" s="5"/>
      <c r="P62" s="5"/>
    </row>
    <row r="63" spans="2:18" x14ac:dyDescent="0.2">
      <c r="B63" s="5"/>
      <c r="C63" s="5"/>
      <c r="D63" s="5"/>
      <c r="E63" s="5"/>
      <c r="F63" s="5"/>
      <c r="G63" s="5"/>
      <c r="H63" s="5"/>
      <c r="I63" s="5"/>
      <c r="J63" s="5"/>
      <c r="K63" s="5"/>
      <c r="L63" s="5"/>
      <c r="M63" s="5"/>
      <c r="N63" s="5"/>
      <c r="O63" s="5"/>
      <c r="P63" s="5"/>
    </row>
    <row r="64" spans="2:18" x14ac:dyDescent="0.2">
      <c r="B64" s="5"/>
      <c r="C64" s="5"/>
      <c r="D64" s="5"/>
      <c r="E64" s="5"/>
      <c r="F64" s="5"/>
      <c r="G64" s="5"/>
      <c r="H64" s="5"/>
      <c r="I64" s="5"/>
      <c r="J64" s="5"/>
      <c r="K64" s="5"/>
      <c r="L64" s="5"/>
      <c r="M64" s="5"/>
      <c r="N64" s="5"/>
      <c r="O64" s="5"/>
      <c r="P64" s="5"/>
    </row>
    <row r="65" spans="2:16" x14ac:dyDescent="0.2">
      <c r="B65" s="5"/>
      <c r="C65" s="5"/>
      <c r="D65" s="5"/>
      <c r="E65" s="5"/>
      <c r="F65" s="5"/>
      <c r="G65" s="5"/>
      <c r="H65" s="5"/>
      <c r="I65" s="5"/>
      <c r="J65" s="5"/>
      <c r="K65" s="5"/>
      <c r="L65" s="5"/>
      <c r="M65" s="5"/>
      <c r="N65" s="5"/>
      <c r="O65" s="5"/>
      <c r="P65" s="5"/>
    </row>
    <row r="66" spans="2:16" x14ac:dyDescent="0.2">
      <c r="B66" s="5"/>
      <c r="C66" s="5"/>
      <c r="D66" s="5"/>
      <c r="E66" s="5"/>
      <c r="F66" s="5"/>
      <c r="G66" s="5"/>
      <c r="H66" s="5"/>
      <c r="I66" s="5"/>
      <c r="J66" s="5"/>
      <c r="K66" s="5"/>
      <c r="L66" s="5"/>
      <c r="M66" s="5"/>
      <c r="N66" s="5"/>
      <c r="O66" s="5"/>
      <c r="P66" s="5"/>
    </row>
    <row r="67" spans="2:16" x14ac:dyDescent="0.2">
      <c r="B67" s="5"/>
      <c r="C67" s="5"/>
      <c r="D67" s="5"/>
      <c r="E67" s="5"/>
      <c r="F67" s="5"/>
      <c r="G67" s="5"/>
      <c r="H67" s="5"/>
      <c r="I67" s="5"/>
      <c r="J67" s="5"/>
      <c r="K67" s="5"/>
      <c r="L67" s="5"/>
      <c r="M67" s="5"/>
      <c r="N67" s="5"/>
      <c r="O67" s="5"/>
      <c r="P67" s="5"/>
    </row>
    <row r="68" spans="2:16" x14ac:dyDescent="0.2">
      <c r="B68" s="5"/>
      <c r="C68" s="5"/>
      <c r="D68" s="5"/>
      <c r="E68" s="5"/>
      <c r="F68" s="5"/>
      <c r="G68" s="5"/>
      <c r="H68" s="5"/>
      <c r="I68" s="5"/>
      <c r="J68" s="5"/>
      <c r="K68" s="5"/>
      <c r="L68" s="5"/>
      <c r="M68" s="5"/>
      <c r="N68" s="5"/>
      <c r="O68" s="5"/>
      <c r="P68" s="5"/>
    </row>
    <row r="69" spans="2:16" x14ac:dyDescent="0.2">
      <c r="B69" s="5"/>
      <c r="C69" s="5"/>
      <c r="D69" s="5"/>
      <c r="E69" s="5"/>
      <c r="F69" s="5"/>
      <c r="G69" s="5"/>
      <c r="H69" s="5"/>
      <c r="I69" s="5"/>
      <c r="J69" s="5"/>
      <c r="K69" s="5"/>
      <c r="L69" s="5"/>
      <c r="M69" s="5"/>
      <c r="N69" s="5"/>
      <c r="O69" s="5"/>
      <c r="P69" s="5"/>
    </row>
    <row r="70" spans="2:16" x14ac:dyDescent="0.2">
      <c r="B70" s="5"/>
      <c r="C70" s="5"/>
      <c r="D70" s="5"/>
      <c r="E70" s="5"/>
      <c r="F70" s="5"/>
      <c r="G70" s="5"/>
      <c r="H70" s="5"/>
      <c r="I70" s="5"/>
      <c r="J70" s="5"/>
      <c r="K70" s="5"/>
      <c r="L70" s="5"/>
      <c r="M70" s="5"/>
      <c r="N70" s="5"/>
      <c r="O70" s="5"/>
      <c r="P70" s="5"/>
    </row>
    <row r="71" spans="2:16" x14ac:dyDescent="0.2">
      <c r="B71" s="5"/>
      <c r="C71" s="5"/>
      <c r="D71" s="5"/>
      <c r="E71" s="5"/>
      <c r="F71" s="5"/>
      <c r="G71" s="5"/>
      <c r="H71" s="5"/>
      <c r="I71" s="5"/>
      <c r="J71" s="5"/>
      <c r="K71" s="5"/>
      <c r="L71" s="5"/>
      <c r="M71" s="5"/>
      <c r="N71" s="5"/>
      <c r="O71" s="5"/>
      <c r="P71" s="5"/>
    </row>
    <row r="72" spans="2:16" x14ac:dyDescent="0.2">
      <c r="B72" s="5"/>
      <c r="C72" s="5"/>
      <c r="D72" s="5"/>
      <c r="E72" s="5"/>
      <c r="F72" s="5"/>
      <c r="G72" s="5"/>
      <c r="H72" s="5"/>
      <c r="I72" s="5"/>
      <c r="J72" s="5"/>
      <c r="K72" s="5"/>
      <c r="L72" s="5"/>
      <c r="M72" s="5"/>
      <c r="N72" s="5"/>
      <c r="O72" s="5"/>
      <c r="P72" s="5"/>
    </row>
    <row r="73" spans="2:16" x14ac:dyDescent="0.2">
      <c r="B73" s="5"/>
      <c r="C73" s="5"/>
      <c r="D73" s="5"/>
      <c r="E73" s="5"/>
      <c r="F73" s="5"/>
      <c r="G73" s="5"/>
      <c r="H73" s="5"/>
      <c r="I73" s="5"/>
      <c r="J73" s="5"/>
      <c r="K73" s="5"/>
      <c r="L73" s="5"/>
      <c r="M73" s="5"/>
      <c r="N73" s="5"/>
      <c r="O73" s="5"/>
      <c r="P73" s="5"/>
    </row>
    <row r="74" spans="2:16" x14ac:dyDescent="0.2">
      <c r="B74" s="5"/>
      <c r="C74" s="5"/>
      <c r="D74" s="5"/>
      <c r="E74" s="5"/>
      <c r="F74" s="5"/>
      <c r="G74" s="5"/>
      <c r="H74" s="5"/>
      <c r="I74" s="5"/>
      <c r="J74" s="5"/>
      <c r="K74" s="5"/>
      <c r="L74" s="5"/>
      <c r="M74" s="5"/>
      <c r="N74" s="5"/>
      <c r="O74" s="5"/>
      <c r="P74" s="5"/>
    </row>
    <row r="75" spans="2:16" x14ac:dyDescent="0.2">
      <c r="B75" s="5"/>
      <c r="C75" s="5"/>
      <c r="D75" s="5"/>
      <c r="E75" s="5"/>
      <c r="F75" s="5"/>
      <c r="G75" s="5"/>
      <c r="H75" s="5"/>
      <c r="I75" s="5"/>
      <c r="J75" s="5"/>
      <c r="K75" s="5"/>
      <c r="L75" s="5"/>
      <c r="M75" s="5"/>
      <c r="N75" s="5"/>
      <c r="O75" s="5"/>
      <c r="P75" s="5"/>
    </row>
    <row r="76" spans="2:16" x14ac:dyDescent="0.2">
      <c r="B76" s="5"/>
      <c r="C76" s="5"/>
      <c r="D76" s="5"/>
      <c r="E76" s="5"/>
      <c r="F76" s="5"/>
      <c r="G76" s="5"/>
      <c r="H76" s="5"/>
      <c r="I76" s="5"/>
      <c r="J76" s="5"/>
      <c r="K76" s="5"/>
      <c r="L76" s="5"/>
      <c r="M76" s="5"/>
      <c r="N76" s="5"/>
      <c r="O76" s="5"/>
      <c r="P76" s="5"/>
    </row>
    <row r="77" spans="2:16" x14ac:dyDescent="0.2">
      <c r="B77" s="5"/>
      <c r="C77" s="5"/>
      <c r="D77" s="5"/>
      <c r="E77" s="5"/>
      <c r="F77" s="5"/>
      <c r="G77" s="5"/>
      <c r="H77" s="5"/>
      <c r="I77" s="5"/>
      <c r="J77" s="5"/>
      <c r="K77" s="5"/>
      <c r="L77" s="5"/>
      <c r="M77" s="5"/>
      <c r="N77" s="5"/>
      <c r="O77" s="5"/>
      <c r="P77" s="5"/>
    </row>
    <row r="78" spans="2:16" x14ac:dyDescent="0.2">
      <c r="B78" s="5"/>
      <c r="C78" s="5"/>
      <c r="D78" s="5"/>
      <c r="E78" s="5"/>
      <c r="F78" s="5"/>
      <c r="G78" s="5"/>
      <c r="H78" s="5"/>
      <c r="I78" s="5"/>
      <c r="J78" s="5"/>
      <c r="K78" s="5"/>
      <c r="L78" s="5"/>
      <c r="M78" s="5"/>
      <c r="N78" s="5"/>
      <c r="O78" s="5"/>
      <c r="P78" s="5"/>
    </row>
    <row r="79" spans="2:16" x14ac:dyDescent="0.2">
      <c r="B79" s="5"/>
      <c r="C79" s="5"/>
      <c r="D79" s="5"/>
      <c r="E79" s="5"/>
      <c r="F79" s="5"/>
      <c r="G79" s="5"/>
      <c r="H79" s="5"/>
      <c r="I79" s="5"/>
      <c r="J79" s="5"/>
      <c r="K79" s="5"/>
      <c r="L79" s="5"/>
      <c r="M79" s="5"/>
      <c r="N79" s="5"/>
      <c r="O79" s="5"/>
      <c r="P79" s="5"/>
    </row>
    <row r="80" spans="2:16" x14ac:dyDescent="0.2">
      <c r="B80" s="5"/>
      <c r="C80" s="5"/>
      <c r="D80" s="5"/>
      <c r="E80" s="5"/>
      <c r="F80" s="5"/>
      <c r="G80" s="5"/>
      <c r="H80" s="5"/>
      <c r="I80" s="5"/>
      <c r="J80" s="5"/>
      <c r="K80" s="5"/>
      <c r="L80" s="5"/>
      <c r="M80" s="5"/>
      <c r="N80" s="5"/>
      <c r="O80" s="5"/>
      <c r="P80" s="5"/>
    </row>
    <row r="81" spans="2:16" x14ac:dyDescent="0.2">
      <c r="B81" s="5"/>
      <c r="C81" s="5"/>
      <c r="D81" s="5"/>
      <c r="E81" s="5"/>
      <c r="F81" s="5"/>
      <c r="G81" s="5"/>
      <c r="H81" s="5"/>
      <c r="I81" s="5"/>
      <c r="J81" s="5"/>
      <c r="K81" s="5"/>
      <c r="L81" s="5"/>
      <c r="M81" s="5"/>
      <c r="N81" s="5"/>
      <c r="O81" s="5"/>
      <c r="P81" s="5"/>
    </row>
    <row r="82" spans="2:16" x14ac:dyDescent="0.2">
      <c r="B82" s="5"/>
      <c r="C82" s="5"/>
      <c r="D82" s="5"/>
      <c r="E82" s="5"/>
      <c r="F82" s="5"/>
      <c r="G82" s="5"/>
      <c r="H82" s="5"/>
      <c r="I82" s="5"/>
      <c r="J82" s="5"/>
      <c r="K82" s="5"/>
      <c r="L82" s="5"/>
      <c r="M82" s="5"/>
      <c r="N82" s="5"/>
      <c r="O82" s="5"/>
      <c r="P82" s="5"/>
    </row>
    <row r="83" spans="2:16" x14ac:dyDescent="0.2">
      <c r="B83" s="5"/>
      <c r="C83" s="5"/>
      <c r="D83" s="5"/>
      <c r="E83" s="5"/>
      <c r="F83" s="5"/>
      <c r="G83" s="5"/>
      <c r="H83" s="5"/>
      <c r="I83" s="5"/>
      <c r="J83" s="5"/>
      <c r="K83" s="5"/>
      <c r="L83" s="5"/>
      <c r="M83" s="5"/>
      <c r="N83" s="5"/>
      <c r="O83" s="5"/>
      <c r="P83" s="5"/>
    </row>
    <row r="84" spans="2:16" x14ac:dyDescent="0.2">
      <c r="B84" s="5"/>
      <c r="C84" s="5"/>
      <c r="D84" s="5"/>
      <c r="E84" s="5"/>
      <c r="F84" s="5"/>
      <c r="G84" s="5"/>
      <c r="H84" s="5"/>
      <c r="I84" s="5"/>
      <c r="J84" s="5"/>
      <c r="K84" s="5"/>
      <c r="L84" s="5"/>
      <c r="M84" s="5"/>
      <c r="N84" s="5"/>
      <c r="O84" s="5"/>
      <c r="P84" s="5"/>
    </row>
    <row r="85" spans="2:16" x14ac:dyDescent="0.2">
      <c r="B85" s="5"/>
      <c r="C85" s="5"/>
      <c r="D85" s="5"/>
      <c r="E85" s="5"/>
      <c r="F85" s="5"/>
      <c r="G85" s="5"/>
      <c r="H85" s="5"/>
      <c r="I85" s="5"/>
      <c r="J85" s="5"/>
      <c r="K85" s="5"/>
      <c r="L85" s="5"/>
      <c r="M85" s="5"/>
      <c r="N85" s="5"/>
      <c r="O85" s="5"/>
      <c r="P85" s="5"/>
    </row>
    <row r="86" spans="2:16" x14ac:dyDescent="0.2">
      <c r="B86" s="5"/>
      <c r="C86" s="5"/>
      <c r="D86" s="5"/>
      <c r="E86" s="5"/>
      <c r="F86" s="5"/>
      <c r="G86" s="5"/>
      <c r="H86" s="5"/>
      <c r="I86" s="5"/>
      <c r="J86" s="5"/>
      <c r="K86" s="5"/>
      <c r="L86" s="5"/>
      <c r="M86" s="5"/>
      <c r="N86" s="5"/>
      <c r="O86" s="5"/>
      <c r="P86" s="5"/>
    </row>
    <row r="87" spans="2:16" x14ac:dyDescent="0.2">
      <c r="B87" s="5"/>
      <c r="C87" s="5"/>
      <c r="D87" s="5"/>
      <c r="E87" s="5"/>
      <c r="F87" s="5"/>
      <c r="G87" s="5"/>
      <c r="H87" s="5"/>
      <c r="I87" s="5"/>
      <c r="J87" s="5"/>
      <c r="K87" s="5"/>
      <c r="L87" s="5"/>
      <c r="M87" s="5"/>
      <c r="N87" s="5"/>
      <c r="O87" s="5"/>
      <c r="P87" s="5"/>
    </row>
    <row r="88" spans="2:16" x14ac:dyDescent="0.2">
      <c r="B88" s="5"/>
      <c r="C88" s="5"/>
      <c r="D88" s="5"/>
      <c r="E88" s="5"/>
      <c r="F88" s="5"/>
      <c r="G88" s="5"/>
      <c r="H88" s="5"/>
      <c r="I88" s="5"/>
      <c r="J88" s="5"/>
      <c r="K88" s="5"/>
      <c r="L88" s="5"/>
      <c r="M88" s="5"/>
      <c r="N88" s="5"/>
      <c r="O88" s="5"/>
      <c r="P88" s="5"/>
    </row>
    <row r="89" spans="2:16" x14ac:dyDescent="0.2">
      <c r="B89" s="5"/>
      <c r="C89" s="5"/>
      <c r="D89" s="5"/>
      <c r="E89" s="5"/>
      <c r="F89" s="5"/>
      <c r="G89" s="5"/>
      <c r="H89" s="5"/>
      <c r="I89" s="5"/>
      <c r="J89" s="5"/>
      <c r="K89" s="5"/>
      <c r="L89" s="5"/>
      <c r="M89" s="5"/>
      <c r="N89" s="5"/>
      <c r="O89" s="5"/>
      <c r="P89" s="5"/>
    </row>
    <row r="90" spans="2:16" x14ac:dyDescent="0.2">
      <c r="B90" s="5"/>
      <c r="C90" s="5"/>
      <c r="D90" s="5"/>
      <c r="E90" s="5"/>
      <c r="F90" s="5"/>
      <c r="G90" s="5"/>
      <c r="H90" s="5"/>
      <c r="I90" s="5"/>
      <c r="J90" s="5"/>
      <c r="K90" s="5"/>
      <c r="L90" s="5"/>
      <c r="M90" s="5"/>
      <c r="N90" s="5"/>
      <c r="O90" s="5"/>
      <c r="P90" s="5"/>
    </row>
    <row r="91" spans="2:16" x14ac:dyDescent="0.2">
      <c r="B91" s="5"/>
      <c r="C91" s="5"/>
      <c r="D91" s="5"/>
      <c r="E91" s="5"/>
      <c r="F91" s="5"/>
      <c r="G91" s="5"/>
      <c r="H91" s="5"/>
      <c r="I91" s="5"/>
      <c r="J91" s="5"/>
      <c r="K91" s="5"/>
      <c r="L91" s="5"/>
      <c r="M91" s="5"/>
      <c r="N91" s="5"/>
      <c r="O91" s="5"/>
      <c r="P91" s="5"/>
    </row>
    <row r="92" spans="2:16" x14ac:dyDescent="0.2">
      <c r="B92" s="5"/>
      <c r="C92" s="5"/>
      <c r="D92" s="5"/>
      <c r="E92" s="5"/>
      <c r="F92" s="5"/>
      <c r="G92" s="5"/>
      <c r="H92" s="5"/>
      <c r="I92" s="5"/>
      <c r="J92" s="5"/>
      <c r="K92" s="5"/>
      <c r="L92" s="5"/>
      <c r="M92" s="5"/>
      <c r="N92" s="5"/>
      <c r="O92" s="5"/>
      <c r="P92" s="5"/>
    </row>
    <row r="93" spans="2:16" x14ac:dyDescent="0.2">
      <c r="B93" s="5"/>
      <c r="C93" s="5"/>
      <c r="D93" s="5"/>
      <c r="E93" s="5"/>
      <c r="F93" s="5"/>
      <c r="G93" s="5"/>
      <c r="H93" s="5"/>
      <c r="I93" s="5"/>
      <c r="J93" s="5"/>
      <c r="K93" s="5"/>
      <c r="L93" s="5"/>
      <c r="M93" s="5"/>
      <c r="N93" s="5"/>
      <c r="O93" s="5"/>
      <c r="P93" s="5"/>
    </row>
    <row r="94" spans="2:16" x14ac:dyDescent="0.2">
      <c r="B94" s="5"/>
      <c r="C94" s="5"/>
      <c r="D94" s="5"/>
      <c r="E94" s="5"/>
      <c r="F94" s="5"/>
      <c r="G94" s="5"/>
      <c r="H94" s="5"/>
      <c r="I94" s="5"/>
      <c r="J94" s="5"/>
      <c r="K94" s="5"/>
      <c r="L94" s="5"/>
      <c r="M94" s="5"/>
      <c r="N94" s="5"/>
      <c r="O94" s="5"/>
      <c r="P94" s="5"/>
    </row>
    <row r="95" spans="2:16" x14ac:dyDescent="0.2">
      <c r="B95" s="5"/>
      <c r="C95" s="5"/>
      <c r="D95" s="5"/>
      <c r="E95" s="5"/>
      <c r="F95" s="5"/>
      <c r="G95" s="5"/>
      <c r="H95" s="5"/>
      <c r="I95" s="5"/>
      <c r="J95" s="5"/>
      <c r="K95" s="5"/>
      <c r="L95" s="5"/>
      <c r="M95" s="5"/>
      <c r="N95" s="5"/>
      <c r="O95" s="5"/>
      <c r="P95" s="5"/>
    </row>
    <row r="96" spans="2:16" x14ac:dyDescent="0.2">
      <c r="B96" s="5"/>
      <c r="C96" s="5"/>
      <c r="D96" s="5"/>
      <c r="E96" s="5"/>
      <c r="F96" s="5"/>
      <c r="G96" s="5"/>
      <c r="H96" s="5"/>
      <c r="I96" s="5"/>
      <c r="J96" s="5"/>
      <c r="K96" s="5"/>
      <c r="L96" s="5"/>
      <c r="M96" s="5"/>
      <c r="N96" s="5"/>
      <c r="O96" s="5"/>
      <c r="P96" s="5"/>
    </row>
    <row r="97" spans="2:16" x14ac:dyDescent="0.2">
      <c r="B97" s="5"/>
      <c r="C97" s="5"/>
      <c r="D97" s="5"/>
      <c r="E97" s="5"/>
      <c r="F97" s="5"/>
      <c r="G97" s="5"/>
      <c r="H97" s="5"/>
      <c r="I97" s="5"/>
      <c r="J97" s="5"/>
      <c r="K97" s="5"/>
      <c r="L97" s="5"/>
      <c r="M97" s="5"/>
      <c r="N97" s="5"/>
      <c r="O97" s="5"/>
      <c r="P97" s="5"/>
    </row>
    <row r="98" spans="2:16" x14ac:dyDescent="0.2">
      <c r="B98" s="5"/>
      <c r="C98" s="5"/>
      <c r="D98" s="5"/>
      <c r="E98" s="5"/>
      <c r="F98" s="5"/>
      <c r="G98" s="5"/>
      <c r="H98" s="5"/>
      <c r="I98" s="5"/>
      <c r="J98" s="5"/>
      <c r="K98" s="5"/>
      <c r="L98" s="5"/>
      <c r="M98" s="5"/>
      <c r="N98" s="5"/>
      <c r="O98" s="5"/>
      <c r="P98" s="5"/>
    </row>
    <row r="99" spans="2:16" x14ac:dyDescent="0.2">
      <c r="B99" s="5"/>
      <c r="C99" s="5"/>
      <c r="D99" s="5"/>
      <c r="E99" s="5"/>
      <c r="F99" s="5"/>
      <c r="G99" s="5"/>
      <c r="H99" s="5"/>
      <c r="I99" s="5"/>
      <c r="J99" s="5"/>
      <c r="K99" s="5"/>
      <c r="L99" s="5"/>
      <c r="M99" s="5"/>
      <c r="N99" s="5"/>
      <c r="O99" s="5"/>
      <c r="P99" s="5"/>
    </row>
    <row r="100" spans="2:16" x14ac:dyDescent="0.2">
      <c r="B100" s="5"/>
      <c r="C100" s="5"/>
      <c r="D100" s="5"/>
      <c r="E100" s="5"/>
      <c r="F100" s="5"/>
      <c r="G100" s="5"/>
      <c r="H100" s="5"/>
      <c r="I100" s="5"/>
      <c r="J100" s="5"/>
      <c r="K100" s="5"/>
      <c r="L100" s="5"/>
      <c r="M100" s="5"/>
      <c r="N100" s="5"/>
      <c r="O100" s="5"/>
      <c r="P100" s="5"/>
    </row>
    <row r="101" spans="2:16" x14ac:dyDescent="0.2">
      <c r="B101" s="5"/>
      <c r="C101" s="5"/>
      <c r="D101" s="5"/>
      <c r="E101" s="5"/>
      <c r="F101" s="5"/>
      <c r="G101" s="5"/>
      <c r="H101" s="5"/>
      <c r="I101" s="5"/>
      <c r="J101" s="5"/>
      <c r="K101" s="5"/>
      <c r="L101" s="5"/>
      <c r="M101" s="5"/>
      <c r="N101" s="5"/>
      <c r="O101" s="5"/>
      <c r="P101" s="5"/>
    </row>
    <row r="102" spans="2:16" x14ac:dyDescent="0.2">
      <c r="B102" s="5"/>
      <c r="C102" s="5"/>
      <c r="D102" s="5"/>
      <c r="E102" s="5"/>
      <c r="F102" s="5"/>
      <c r="G102" s="5"/>
      <c r="H102" s="5"/>
      <c r="I102" s="5"/>
      <c r="J102" s="5"/>
      <c r="K102" s="5"/>
      <c r="L102" s="5"/>
      <c r="M102" s="5"/>
      <c r="N102" s="5"/>
      <c r="O102" s="5"/>
      <c r="P102" s="5"/>
    </row>
    <row r="103" spans="2:16" x14ac:dyDescent="0.2">
      <c r="B103" s="5"/>
      <c r="C103" s="5"/>
      <c r="D103" s="5"/>
      <c r="E103" s="5"/>
      <c r="F103" s="5"/>
      <c r="G103" s="5"/>
      <c r="H103" s="5"/>
      <c r="I103" s="5"/>
      <c r="J103" s="5"/>
      <c r="K103" s="5"/>
      <c r="L103" s="5"/>
      <c r="M103" s="5"/>
      <c r="N103" s="5"/>
      <c r="O103" s="5"/>
      <c r="P103" s="5"/>
    </row>
    <row r="104" spans="2:16" x14ac:dyDescent="0.2">
      <c r="B104" s="5"/>
      <c r="C104" s="5"/>
      <c r="D104" s="5"/>
      <c r="E104" s="5"/>
      <c r="F104" s="5"/>
      <c r="G104" s="5"/>
      <c r="H104" s="5"/>
      <c r="I104" s="5"/>
      <c r="J104" s="5"/>
      <c r="K104" s="5"/>
      <c r="L104" s="5"/>
      <c r="M104" s="5"/>
      <c r="N104" s="5"/>
      <c r="O104" s="5"/>
      <c r="P104" s="5"/>
    </row>
    <row r="105" spans="2:16" x14ac:dyDescent="0.2">
      <c r="B105" s="5"/>
      <c r="C105" s="5"/>
      <c r="D105" s="5"/>
      <c r="E105" s="5"/>
      <c r="F105" s="5"/>
      <c r="G105" s="5"/>
      <c r="H105" s="5"/>
      <c r="I105" s="5"/>
      <c r="J105" s="5"/>
      <c r="K105" s="5"/>
      <c r="L105" s="5"/>
      <c r="M105" s="5"/>
      <c r="N105" s="5"/>
      <c r="O105" s="5"/>
      <c r="P105" s="5"/>
    </row>
    <row r="106" spans="2:16" x14ac:dyDescent="0.2">
      <c r="B106" s="5"/>
      <c r="C106" s="5"/>
      <c r="D106" s="5"/>
      <c r="E106" s="5"/>
      <c r="F106" s="5"/>
      <c r="G106" s="5"/>
      <c r="H106" s="5"/>
      <c r="I106" s="5"/>
      <c r="J106" s="5"/>
      <c r="K106" s="5"/>
      <c r="L106" s="5"/>
      <c r="M106" s="5"/>
      <c r="N106" s="5"/>
      <c r="O106" s="5"/>
      <c r="P106" s="5"/>
    </row>
    <row r="107" spans="2:16" x14ac:dyDescent="0.2">
      <c r="B107" s="5"/>
      <c r="C107" s="5"/>
      <c r="D107" s="5"/>
      <c r="E107" s="5"/>
      <c r="F107" s="5"/>
      <c r="G107" s="5"/>
      <c r="H107" s="5"/>
      <c r="I107" s="5"/>
      <c r="J107" s="5"/>
      <c r="K107" s="5"/>
      <c r="L107" s="5"/>
      <c r="M107" s="5"/>
      <c r="N107" s="5"/>
      <c r="O107" s="5"/>
      <c r="P107" s="5"/>
    </row>
    <row r="108" spans="2:16" x14ac:dyDescent="0.2">
      <c r="B108" s="5"/>
      <c r="C108" s="5"/>
      <c r="D108" s="5"/>
      <c r="E108" s="5"/>
      <c r="F108" s="5"/>
      <c r="G108" s="5"/>
      <c r="H108" s="5"/>
      <c r="I108" s="5"/>
      <c r="J108" s="5"/>
      <c r="K108" s="5"/>
      <c r="L108" s="5"/>
      <c r="M108" s="5"/>
      <c r="N108" s="5"/>
      <c r="O108" s="5"/>
      <c r="P108" s="5"/>
    </row>
    <row r="109" spans="2:16" x14ac:dyDescent="0.2">
      <c r="B109" s="5"/>
      <c r="C109" s="5"/>
      <c r="D109" s="5"/>
      <c r="E109" s="5"/>
      <c r="F109" s="5"/>
      <c r="G109" s="5"/>
      <c r="H109" s="5"/>
      <c r="I109" s="5"/>
      <c r="J109" s="5"/>
      <c r="K109" s="5"/>
      <c r="L109" s="5"/>
      <c r="M109" s="5"/>
      <c r="N109" s="5"/>
      <c r="O109" s="5"/>
      <c r="P109" s="5"/>
    </row>
    <row r="110" spans="2:16" x14ac:dyDescent="0.2">
      <c r="B110" s="5"/>
      <c r="C110" s="5"/>
      <c r="D110" s="5"/>
      <c r="E110" s="5"/>
      <c r="F110" s="5"/>
      <c r="G110" s="5"/>
      <c r="H110" s="5"/>
      <c r="I110" s="5"/>
      <c r="J110" s="5"/>
      <c r="K110" s="5"/>
      <c r="L110" s="5"/>
      <c r="M110" s="5"/>
      <c r="N110" s="5"/>
      <c r="O110" s="5"/>
      <c r="P110" s="5"/>
    </row>
    <row r="111" spans="2:16" x14ac:dyDescent="0.2">
      <c r="B111" s="5"/>
      <c r="C111" s="5"/>
      <c r="D111" s="5"/>
      <c r="E111" s="5"/>
      <c r="F111" s="5"/>
      <c r="G111" s="5"/>
      <c r="H111" s="5"/>
      <c r="I111" s="5"/>
      <c r="J111" s="5"/>
      <c r="K111" s="5"/>
      <c r="L111" s="5"/>
      <c r="M111" s="5"/>
      <c r="N111" s="5"/>
      <c r="O111" s="5"/>
      <c r="P111" s="5"/>
    </row>
    <row r="112" spans="2:16" x14ac:dyDescent="0.2">
      <c r="B112" s="5"/>
      <c r="C112" s="5"/>
      <c r="D112" s="5"/>
      <c r="E112" s="5"/>
      <c r="F112" s="5"/>
      <c r="G112" s="5"/>
      <c r="H112" s="5"/>
      <c r="I112" s="5"/>
      <c r="J112" s="5"/>
      <c r="K112" s="5"/>
      <c r="L112" s="5"/>
      <c r="M112" s="5"/>
      <c r="N112" s="5"/>
      <c r="O112" s="5"/>
      <c r="P112" s="5"/>
    </row>
    <row r="113" spans="2:16" x14ac:dyDescent="0.2">
      <c r="B113" s="5"/>
      <c r="C113" s="5"/>
      <c r="D113" s="5"/>
      <c r="E113" s="5"/>
      <c r="F113" s="5"/>
      <c r="G113" s="5"/>
      <c r="H113" s="5"/>
      <c r="I113" s="5"/>
      <c r="J113" s="5"/>
      <c r="K113" s="5"/>
      <c r="L113" s="5"/>
      <c r="M113" s="5"/>
      <c r="N113" s="5"/>
      <c r="O113" s="5"/>
      <c r="P113" s="5"/>
    </row>
    <row r="114" spans="2:16" x14ac:dyDescent="0.2">
      <c r="B114" s="5"/>
      <c r="C114" s="5"/>
      <c r="D114" s="5"/>
      <c r="E114" s="5"/>
      <c r="F114" s="5"/>
      <c r="G114" s="5"/>
      <c r="H114" s="5"/>
      <c r="I114" s="5"/>
      <c r="J114" s="5"/>
      <c r="K114" s="5"/>
      <c r="L114" s="5"/>
      <c r="M114" s="5"/>
      <c r="N114" s="5"/>
      <c r="O114" s="5"/>
      <c r="P114" s="5"/>
    </row>
    <row r="115" spans="2:16" x14ac:dyDescent="0.2">
      <c r="B115" s="5"/>
      <c r="C115" s="5"/>
      <c r="D115" s="5"/>
      <c r="E115" s="5"/>
      <c r="F115" s="5"/>
      <c r="G115" s="5"/>
      <c r="H115" s="5"/>
      <c r="I115" s="5"/>
      <c r="J115" s="5"/>
      <c r="K115" s="5"/>
      <c r="L115" s="5"/>
      <c r="M115" s="5"/>
      <c r="N115" s="5"/>
      <c r="O115" s="5"/>
      <c r="P115" s="5"/>
    </row>
    <row r="116" spans="2:16" x14ac:dyDescent="0.2">
      <c r="B116" s="5"/>
      <c r="C116" s="5"/>
      <c r="D116" s="5"/>
      <c r="E116" s="5"/>
      <c r="F116" s="5"/>
      <c r="G116" s="5"/>
      <c r="H116" s="5"/>
      <c r="I116" s="5"/>
      <c r="J116" s="5"/>
      <c r="K116" s="5"/>
      <c r="L116" s="5"/>
      <c r="M116" s="5"/>
      <c r="N116" s="5"/>
      <c r="O116" s="5"/>
      <c r="P116" s="5"/>
    </row>
    <row r="117" spans="2:16" x14ac:dyDescent="0.2">
      <c r="B117" s="5"/>
      <c r="C117" s="5"/>
      <c r="D117" s="5"/>
      <c r="E117" s="5"/>
      <c r="F117" s="5"/>
      <c r="G117" s="5"/>
      <c r="H117" s="5"/>
      <c r="I117" s="5"/>
      <c r="J117" s="5"/>
      <c r="K117" s="5"/>
      <c r="L117" s="5"/>
      <c r="M117" s="5"/>
      <c r="N117" s="5"/>
      <c r="O117" s="5"/>
      <c r="P117" s="5"/>
    </row>
    <row r="118" spans="2:16" x14ac:dyDescent="0.2">
      <c r="B118" s="5"/>
      <c r="C118" s="5"/>
      <c r="D118" s="5"/>
      <c r="E118" s="5"/>
      <c r="F118" s="5"/>
      <c r="G118" s="5"/>
      <c r="H118" s="5"/>
      <c r="I118" s="5"/>
      <c r="J118" s="5"/>
      <c r="K118" s="5"/>
      <c r="L118" s="5"/>
      <c r="M118" s="5"/>
      <c r="N118" s="5"/>
      <c r="O118" s="5"/>
      <c r="P118" s="5"/>
    </row>
    <row r="119" spans="2:16" x14ac:dyDescent="0.2">
      <c r="B119" s="5"/>
      <c r="C119" s="5"/>
      <c r="D119" s="5"/>
      <c r="E119" s="5"/>
      <c r="F119" s="5"/>
      <c r="G119" s="5"/>
      <c r="H119" s="5"/>
      <c r="I119" s="5"/>
      <c r="J119" s="5"/>
      <c r="K119" s="5"/>
      <c r="L119" s="5"/>
      <c r="M119" s="5"/>
      <c r="N119" s="5"/>
      <c r="O119" s="5"/>
      <c r="P119" s="5"/>
    </row>
    <row r="120" spans="2:16" x14ac:dyDescent="0.2">
      <c r="B120" s="5"/>
      <c r="C120" s="5"/>
      <c r="D120" s="5"/>
      <c r="E120" s="5"/>
      <c r="F120" s="5"/>
      <c r="G120" s="5"/>
      <c r="H120" s="5"/>
      <c r="I120" s="5"/>
      <c r="J120" s="5"/>
      <c r="K120" s="5"/>
      <c r="L120" s="5"/>
      <c r="M120" s="5"/>
      <c r="N120" s="5"/>
      <c r="O120" s="5"/>
      <c r="P120" s="5"/>
    </row>
    <row r="121" spans="2:16" x14ac:dyDescent="0.2">
      <c r="B121" s="5"/>
      <c r="C121" s="5"/>
      <c r="D121" s="5"/>
      <c r="E121" s="5"/>
      <c r="F121" s="5"/>
      <c r="G121" s="5"/>
      <c r="H121" s="5"/>
      <c r="I121" s="5"/>
      <c r="J121" s="5"/>
      <c r="K121" s="5"/>
      <c r="L121" s="5"/>
      <c r="M121" s="5"/>
      <c r="N121" s="5"/>
      <c r="O121" s="5"/>
      <c r="P121" s="5"/>
    </row>
    <row r="122" spans="2:16" x14ac:dyDescent="0.2">
      <c r="B122" s="5"/>
      <c r="C122" s="5"/>
      <c r="D122" s="5"/>
      <c r="E122" s="5"/>
      <c r="F122" s="5"/>
      <c r="G122" s="5"/>
      <c r="H122" s="5"/>
      <c r="I122" s="5"/>
      <c r="J122" s="5"/>
      <c r="K122" s="5"/>
      <c r="L122" s="5"/>
      <c r="M122" s="5"/>
      <c r="N122" s="5"/>
      <c r="O122" s="5"/>
      <c r="P122" s="5"/>
    </row>
    <row r="123" spans="2:16" x14ac:dyDescent="0.2">
      <c r="B123" s="5"/>
      <c r="C123" s="5"/>
      <c r="D123" s="5"/>
      <c r="E123" s="5"/>
      <c r="F123" s="5"/>
      <c r="G123" s="5"/>
      <c r="H123" s="5"/>
      <c r="I123" s="5"/>
      <c r="J123" s="5"/>
      <c r="K123" s="5"/>
      <c r="L123" s="5"/>
      <c r="M123" s="5"/>
      <c r="N123" s="5"/>
      <c r="O123" s="5"/>
      <c r="P123" s="5"/>
    </row>
    <row r="124" spans="2:16" x14ac:dyDescent="0.2">
      <c r="B124" s="5"/>
      <c r="C124" s="5"/>
      <c r="D124" s="5"/>
      <c r="E124" s="5"/>
      <c r="F124" s="5"/>
      <c r="G124" s="5"/>
      <c r="H124" s="5"/>
      <c r="I124" s="5"/>
      <c r="J124" s="5"/>
      <c r="K124" s="5"/>
      <c r="L124" s="5"/>
      <c r="M124" s="5"/>
      <c r="N124" s="5"/>
      <c r="O124" s="5"/>
      <c r="P124" s="5"/>
    </row>
    <row r="125" spans="2:16" x14ac:dyDescent="0.2">
      <c r="B125" s="5"/>
      <c r="C125" s="5"/>
      <c r="D125" s="5"/>
      <c r="E125" s="5"/>
      <c r="F125" s="5"/>
      <c r="G125" s="5"/>
      <c r="H125" s="5"/>
      <c r="I125" s="5"/>
      <c r="J125" s="5"/>
      <c r="K125" s="5"/>
      <c r="L125" s="5"/>
      <c r="M125" s="5"/>
      <c r="N125" s="5"/>
      <c r="O125" s="5"/>
      <c r="P125" s="5"/>
    </row>
    <row r="126" spans="2:16" x14ac:dyDescent="0.2">
      <c r="B126" s="5"/>
      <c r="C126" s="5"/>
      <c r="D126" s="5"/>
      <c r="E126" s="5"/>
      <c r="F126" s="5"/>
      <c r="G126" s="5"/>
      <c r="H126" s="5"/>
      <c r="I126" s="5"/>
      <c r="J126" s="5"/>
      <c r="K126" s="5"/>
      <c r="L126" s="5"/>
      <c r="M126" s="5"/>
      <c r="N126" s="5"/>
      <c r="O126" s="5"/>
      <c r="P126" s="5"/>
    </row>
    <row r="127" spans="2:16" x14ac:dyDescent="0.2">
      <c r="B127" s="5"/>
      <c r="C127" s="5"/>
      <c r="D127" s="5"/>
      <c r="E127" s="5"/>
      <c r="F127" s="5"/>
      <c r="G127" s="5"/>
      <c r="H127" s="5"/>
      <c r="I127" s="5"/>
      <c r="J127" s="5"/>
      <c r="K127" s="5"/>
      <c r="L127" s="5"/>
      <c r="M127" s="5"/>
      <c r="N127" s="5"/>
      <c r="O127" s="5"/>
      <c r="P127" s="5"/>
    </row>
    <row r="128" spans="2:16" x14ac:dyDescent="0.2">
      <c r="B128" s="5"/>
      <c r="C128" s="5"/>
      <c r="D128" s="5"/>
      <c r="E128" s="5"/>
      <c r="F128" s="5"/>
      <c r="G128" s="5"/>
      <c r="H128" s="5"/>
      <c r="I128" s="5"/>
      <c r="J128" s="5"/>
      <c r="K128" s="5"/>
      <c r="L128" s="5"/>
      <c r="M128" s="5"/>
      <c r="N128" s="5"/>
      <c r="O128" s="5"/>
      <c r="P128" s="5"/>
    </row>
    <row r="129" spans="2:16" x14ac:dyDescent="0.2">
      <c r="B129" s="5"/>
      <c r="C129" s="5"/>
      <c r="D129" s="5"/>
      <c r="E129" s="5"/>
      <c r="F129" s="5"/>
      <c r="G129" s="5"/>
      <c r="H129" s="5"/>
      <c r="I129" s="5"/>
      <c r="J129" s="5"/>
      <c r="K129" s="5"/>
      <c r="L129" s="5"/>
      <c r="M129" s="5"/>
      <c r="N129" s="5"/>
      <c r="O129" s="5"/>
      <c r="P129" s="5"/>
    </row>
    <row r="130" spans="2:16" x14ac:dyDescent="0.2">
      <c r="B130" s="5"/>
      <c r="C130" s="5"/>
      <c r="D130" s="5"/>
      <c r="E130" s="5"/>
      <c r="F130" s="5"/>
      <c r="G130" s="5"/>
      <c r="H130" s="5"/>
      <c r="I130" s="5"/>
      <c r="J130" s="5"/>
      <c r="K130" s="5"/>
      <c r="L130" s="5"/>
      <c r="M130" s="5"/>
      <c r="N130" s="5"/>
      <c r="O130" s="5"/>
      <c r="P130" s="5"/>
    </row>
    <row r="131" spans="2:16" x14ac:dyDescent="0.2">
      <c r="B131" s="5"/>
      <c r="C131" s="5"/>
      <c r="D131" s="5"/>
      <c r="E131" s="5"/>
      <c r="F131" s="5"/>
      <c r="G131" s="5"/>
      <c r="H131" s="5"/>
      <c r="I131" s="5"/>
      <c r="J131" s="5"/>
      <c r="K131" s="5"/>
      <c r="L131" s="5"/>
      <c r="M131" s="5"/>
      <c r="N131" s="5"/>
      <c r="O131" s="5"/>
      <c r="P131" s="5"/>
    </row>
    <row r="132" spans="2:16" x14ac:dyDescent="0.2">
      <c r="B132" s="5"/>
      <c r="C132" s="5"/>
      <c r="D132" s="5"/>
      <c r="E132" s="5"/>
      <c r="F132" s="5"/>
      <c r="G132" s="5"/>
      <c r="H132" s="5"/>
      <c r="I132" s="5"/>
      <c r="J132" s="5"/>
      <c r="K132" s="5"/>
      <c r="L132" s="5"/>
      <c r="M132" s="5"/>
      <c r="N132" s="5"/>
      <c r="O132" s="5"/>
      <c r="P132" s="5"/>
    </row>
    <row r="133" spans="2:16" x14ac:dyDescent="0.2">
      <c r="B133" s="5"/>
      <c r="C133" s="5"/>
      <c r="D133" s="5"/>
      <c r="E133" s="5"/>
      <c r="F133" s="5"/>
      <c r="G133" s="5"/>
      <c r="H133" s="5"/>
      <c r="I133" s="5"/>
      <c r="J133" s="5"/>
      <c r="K133" s="5"/>
      <c r="L133" s="5"/>
      <c r="M133" s="5"/>
      <c r="N133" s="5"/>
      <c r="O133" s="5"/>
      <c r="P133" s="5"/>
    </row>
    <row r="134" spans="2:16" x14ac:dyDescent="0.2">
      <c r="B134" s="5"/>
      <c r="C134" s="5"/>
      <c r="D134" s="5"/>
      <c r="E134" s="5"/>
      <c r="F134" s="5"/>
      <c r="G134" s="5"/>
      <c r="H134" s="5"/>
      <c r="I134" s="5"/>
      <c r="J134" s="5"/>
      <c r="K134" s="5"/>
      <c r="L134" s="5"/>
      <c r="M134" s="5"/>
      <c r="N134" s="5"/>
      <c r="O134" s="5"/>
      <c r="P134" s="5"/>
    </row>
    <row r="135" spans="2:16" x14ac:dyDescent="0.2">
      <c r="B135" s="5"/>
      <c r="C135" s="5"/>
      <c r="D135" s="5"/>
      <c r="E135" s="5"/>
      <c r="F135" s="5"/>
      <c r="G135" s="5"/>
      <c r="H135" s="5"/>
      <c r="I135" s="5"/>
      <c r="J135" s="5"/>
      <c r="K135" s="5"/>
      <c r="L135" s="5"/>
      <c r="M135" s="5"/>
      <c r="N135" s="5"/>
      <c r="O135" s="5"/>
      <c r="P135" s="5"/>
    </row>
    <row r="136" spans="2:16" x14ac:dyDescent="0.2">
      <c r="B136" s="5"/>
      <c r="C136" s="5"/>
      <c r="D136" s="5"/>
      <c r="E136" s="5"/>
      <c r="F136" s="5"/>
      <c r="G136" s="5"/>
      <c r="H136" s="5"/>
      <c r="I136" s="5"/>
      <c r="J136" s="5"/>
      <c r="K136" s="5"/>
      <c r="L136" s="5"/>
      <c r="M136" s="5"/>
      <c r="N136" s="5"/>
      <c r="O136" s="5"/>
      <c r="P136" s="5"/>
    </row>
    <row r="137" spans="2:16" x14ac:dyDescent="0.2">
      <c r="B137" s="5"/>
      <c r="C137" s="5"/>
      <c r="D137" s="5"/>
      <c r="E137" s="5"/>
      <c r="F137" s="5"/>
      <c r="G137" s="5"/>
      <c r="H137" s="5"/>
      <c r="I137" s="5"/>
      <c r="J137" s="5"/>
      <c r="K137" s="5"/>
      <c r="L137" s="5"/>
      <c r="M137" s="5"/>
      <c r="N137" s="5"/>
      <c r="O137" s="5"/>
      <c r="P137" s="5"/>
    </row>
    <row r="138" spans="2:16" x14ac:dyDescent="0.2">
      <c r="B138" s="5"/>
      <c r="C138" s="5"/>
      <c r="D138" s="5"/>
      <c r="E138" s="5"/>
      <c r="F138" s="5"/>
      <c r="G138" s="5"/>
      <c r="H138" s="5"/>
      <c r="I138" s="5"/>
      <c r="J138" s="5"/>
      <c r="K138" s="5"/>
      <c r="L138" s="5"/>
      <c r="M138" s="5"/>
      <c r="N138" s="5"/>
      <c r="O138" s="5"/>
      <c r="P138" s="5"/>
    </row>
    <row r="139" spans="2:16" x14ac:dyDescent="0.2">
      <c r="B139" s="5"/>
      <c r="C139" s="5"/>
      <c r="D139" s="5"/>
      <c r="E139" s="5"/>
      <c r="F139" s="5"/>
      <c r="G139" s="5"/>
      <c r="H139" s="5"/>
      <c r="I139" s="5"/>
      <c r="J139" s="5"/>
      <c r="K139" s="5"/>
      <c r="L139" s="5"/>
      <c r="M139" s="5"/>
      <c r="N139" s="5"/>
      <c r="O139" s="5"/>
      <c r="P139" s="5"/>
    </row>
    <row r="140" spans="2:16" x14ac:dyDescent="0.2">
      <c r="B140" s="5"/>
      <c r="C140" s="5"/>
      <c r="D140" s="5"/>
      <c r="E140" s="5"/>
      <c r="F140" s="5"/>
      <c r="G140" s="5"/>
      <c r="H140" s="5"/>
      <c r="I140" s="5"/>
      <c r="J140" s="5"/>
      <c r="K140" s="5"/>
      <c r="L140" s="5"/>
      <c r="M140" s="5"/>
      <c r="N140" s="5"/>
      <c r="O140" s="5"/>
      <c r="P140" s="5"/>
    </row>
    <row r="141" spans="2:16" x14ac:dyDescent="0.2">
      <c r="B141" s="5"/>
      <c r="C141" s="5"/>
      <c r="D141" s="5"/>
      <c r="E141" s="5"/>
      <c r="F141" s="5"/>
      <c r="G141" s="5"/>
      <c r="H141" s="5"/>
      <c r="I141" s="5"/>
      <c r="J141" s="5"/>
      <c r="K141" s="5"/>
      <c r="L141" s="5"/>
      <c r="M141" s="5"/>
      <c r="N141" s="5"/>
      <c r="O141" s="5"/>
      <c r="P141" s="5"/>
    </row>
    <row r="142" spans="2:16" x14ac:dyDescent="0.2">
      <c r="B142" s="5"/>
      <c r="C142" s="5"/>
      <c r="D142" s="5"/>
      <c r="E142" s="5"/>
      <c r="F142" s="5"/>
      <c r="G142" s="5"/>
      <c r="H142" s="5"/>
      <c r="I142" s="5"/>
      <c r="J142" s="5"/>
      <c r="K142" s="5"/>
      <c r="L142" s="5"/>
      <c r="M142" s="5"/>
      <c r="N142" s="5"/>
      <c r="O142" s="5"/>
      <c r="P142" s="5"/>
    </row>
  </sheetData>
  <sortState xmlns:xlrd2="http://schemas.microsoft.com/office/spreadsheetml/2017/richdata2" ref="C4:C26">
    <sortCondition ref="C4"/>
  </sortState>
  <pageMargins left="0.7" right="0.7" top="0.75" bottom="0.75" header="0.3" footer="0.3"/>
  <pageSetup paperSize="9" fitToHeight="0" orientation="portrait" r:id="rId1"/>
  <rowBreaks count="1" manualBreakCount="1">
    <brk id="78" min="1" max="1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148"/>
  <sheetViews>
    <sheetView zoomScaleNormal="100" workbookViewId="0">
      <selection activeCell="K13" sqref="K13"/>
    </sheetView>
  </sheetViews>
  <sheetFormatPr defaultRowHeight="14.25" x14ac:dyDescent="0.2"/>
  <cols>
    <col min="8" max="8" width="5.875" style="26" customWidth="1"/>
    <col min="9" max="9" width="6.625" customWidth="1"/>
    <col min="10" max="10" width="6.625" style="26" customWidth="1"/>
  </cols>
  <sheetData>
    <row r="2" spans="1:15" ht="42.75" x14ac:dyDescent="0.2">
      <c r="B2" t="s">
        <v>129</v>
      </c>
      <c r="C2" t="s">
        <v>130</v>
      </c>
      <c r="D2" t="s">
        <v>1637</v>
      </c>
      <c r="H2" s="19" t="s">
        <v>974</v>
      </c>
      <c r="I2" s="20" t="s">
        <v>975</v>
      </c>
      <c r="J2" s="20" t="s">
        <v>1988</v>
      </c>
      <c r="L2" t="s">
        <v>147</v>
      </c>
    </row>
    <row r="3" spans="1:15" x14ac:dyDescent="0.2">
      <c r="A3" t="s">
        <v>393</v>
      </c>
      <c r="B3" s="10">
        <v>42005</v>
      </c>
      <c r="C3">
        <v>5</v>
      </c>
      <c r="D3" s="11">
        <f>SUM(C3:C5)</f>
        <v>6</v>
      </c>
      <c r="E3" s="26">
        <f>SUM(C3:C14)</f>
        <v>17</v>
      </c>
      <c r="F3" t="s">
        <v>134</v>
      </c>
      <c r="G3" s="13">
        <f>D3</f>
        <v>6</v>
      </c>
      <c r="H3" s="75">
        <v>2015</v>
      </c>
      <c r="I3" s="75">
        <f>AVERAGE(G3:G6)</f>
        <v>4.25</v>
      </c>
      <c r="J3" s="75">
        <f>E3</f>
        <v>17</v>
      </c>
      <c r="L3" t="s">
        <v>124</v>
      </c>
      <c r="M3" t="s">
        <v>132</v>
      </c>
      <c r="N3" t="s">
        <v>133</v>
      </c>
    </row>
    <row r="4" spans="1:15" x14ac:dyDescent="0.2">
      <c r="A4" s="26" t="s">
        <v>394</v>
      </c>
      <c r="B4" s="10">
        <v>42037</v>
      </c>
      <c r="C4">
        <v>0</v>
      </c>
      <c r="F4" t="s">
        <v>135</v>
      </c>
      <c r="G4" s="13">
        <f>D6</f>
        <v>3</v>
      </c>
      <c r="H4" s="75">
        <v>2016</v>
      </c>
      <c r="I4" s="75">
        <f>AVERAGE(G7:G10)</f>
        <v>2</v>
      </c>
      <c r="J4" s="75">
        <f>E15</f>
        <v>8</v>
      </c>
      <c r="L4" s="13">
        <v>1</v>
      </c>
      <c r="M4">
        <f>COUNTIF('Incident Reporting'!O:O,'results new'!L4)</f>
        <v>44</v>
      </c>
      <c r="N4" s="13">
        <f>L4*M4</f>
        <v>44</v>
      </c>
      <c r="O4" s="12">
        <f>SUM(N4:N16)/SUM(M4:M16)</f>
        <v>3.9850574712643678</v>
      </c>
    </row>
    <row r="5" spans="1:15" x14ac:dyDescent="0.2">
      <c r="A5" s="26" t="s">
        <v>395</v>
      </c>
      <c r="B5" s="10">
        <v>42069</v>
      </c>
      <c r="C5">
        <v>1</v>
      </c>
      <c r="F5" t="s">
        <v>136</v>
      </c>
      <c r="G5" s="13">
        <f>D9</f>
        <v>5</v>
      </c>
      <c r="H5" s="75">
        <v>2017</v>
      </c>
      <c r="I5" s="75">
        <f>AVERAGE(G11:G14)</f>
        <v>5.75</v>
      </c>
      <c r="J5" s="75">
        <f>E27</f>
        <v>23</v>
      </c>
      <c r="L5" s="13">
        <v>2</v>
      </c>
      <c r="M5">
        <f>COUNTIF('Incident Reporting'!O:O,'results new'!L5)</f>
        <v>133</v>
      </c>
      <c r="N5" s="13">
        <f t="shared" ref="N5:N16" si="0">L5*M5</f>
        <v>266</v>
      </c>
    </row>
    <row r="6" spans="1:15" x14ac:dyDescent="0.2">
      <c r="A6" s="26" t="s">
        <v>396</v>
      </c>
      <c r="B6" s="10">
        <v>42101</v>
      </c>
      <c r="C6">
        <v>1</v>
      </c>
      <c r="D6" s="11">
        <f>SUM(C6:C8)</f>
        <v>3</v>
      </c>
      <c r="F6" t="s">
        <v>137</v>
      </c>
      <c r="G6" s="13">
        <f>D12</f>
        <v>3</v>
      </c>
      <c r="H6" s="75">
        <v>2018</v>
      </c>
      <c r="I6" s="75">
        <f>AVERAGE(G15:G18)</f>
        <v>15</v>
      </c>
      <c r="J6" s="75">
        <f>E39</f>
        <v>60</v>
      </c>
      <c r="L6" s="13">
        <v>3</v>
      </c>
      <c r="M6">
        <f>COUNTIF('Incident Reporting'!O:O,'results new'!L6)</f>
        <v>235</v>
      </c>
      <c r="N6" s="13">
        <f t="shared" si="0"/>
        <v>705</v>
      </c>
    </row>
    <row r="7" spans="1:15" x14ac:dyDescent="0.2">
      <c r="A7" s="26" t="s">
        <v>397</v>
      </c>
      <c r="B7" s="10">
        <v>42133</v>
      </c>
      <c r="C7">
        <v>0</v>
      </c>
      <c r="F7" t="s">
        <v>138</v>
      </c>
      <c r="G7" s="13">
        <f>D15</f>
        <v>0</v>
      </c>
      <c r="H7" s="75">
        <v>2019</v>
      </c>
      <c r="I7" s="75">
        <f>AVERAGE(G19:G22)</f>
        <v>17</v>
      </c>
      <c r="J7" s="75">
        <f>E51</f>
        <v>68</v>
      </c>
      <c r="L7" s="13">
        <v>4</v>
      </c>
      <c r="M7">
        <f>COUNTIF('Incident Reporting'!O:O,'results new'!L7)</f>
        <v>183</v>
      </c>
      <c r="N7" s="13">
        <f t="shared" si="0"/>
        <v>732</v>
      </c>
    </row>
    <row r="8" spans="1:15" x14ac:dyDescent="0.2">
      <c r="A8" s="26" t="s">
        <v>398</v>
      </c>
      <c r="B8" s="10">
        <v>42165</v>
      </c>
      <c r="C8">
        <v>2</v>
      </c>
      <c r="F8" t="s">
        <v>139</v>
      </c>
      <c r="G8" s="13">
        <f>D18</f>
        <v>4</v>
      </c>
      <c r="H8" s="75">
        <v>2020</v>
      </c>
      <c r="I8" s="75">
        <f>AVERAGE(G23:G26)</f>
        <v>13</v>
      </c>
      <c r="J8" s="75">
        <f>E63</f>
        <v>52</v>
      </c>
      <c r="L8" s="13">
        <v>5</v>
      </c>
      <c r="M8">
        <f>COUNTIF('Incident Reporting'!O:O,'results new'!L8)</f>
        <v>119</v>
      </c>
      <c r="N8" s="13">
        <f t="shared" si="0"/>
        <v>595</v>
      </c>
    </row>
    <row r="9" spans="1:15" x14ac:dyDescent="0.2">
      <c r="A9" s="26" t="s">
        <v>399</v>
      </c>
      <c r="B9" s="10">
        <v>42197</v>
      </c>
      <c r="C9">
        <v>2</v>
      </c>
      <c r="D9" s="11">
        <f>SUM(C9:C11)</f>
        <v>5</v>
      </c>
      <c r="F9" t="s">
        <v>140</v>
      </c>
      <c r="G9" s="13">
        <f>D21</f>
        <v>2</v>
      </c>
      <c r="H9" s="75">
        <v>2021</v>
      </c>
      <c r="I9" s="75">
        <f>AVERAGE(G27:G30)</f>
        <v>22.5</v>
      </c>
      <c r="J9" s="75">
        <f>E75</f>
        <v>90</v>
      </c>
      <c r="L9" s="13">
        <v>6</v>
      </c>
      <c r="M9">
        <f>COUNTIF('Incident Reporting'!O:O,'results new'!L9)</f>
        <v>64</v>
      </c>
      <c r="N9" s="13">
        <f t="shared" si="0"/>
        <v>384</v>
      </c>
    </row>
    <row r="10" spans="1:15" x14ac:dyDescent="0.2">
      <c r="A10" s="26" t="s">
        <v>400</v>
      </c>
      <c r="B10" s="10">
        <v>42229</v>
      </c>
      <c r="C10">
        <v>1</v>
      </c>
      <c r="F10" t="s">
        <v>141</v>
      </c>
      <c r="G10" s="13">
        <f>D24</f>
        <v>2</v>
      </c>
      <c r="H10" s="75">
        <v>2022</v>
      </c>
      <c r="I10" s="75">
        <f>AVERAGE(G31:G34)</f>
        <v>32</v>
      </c>
      <c r="J10" s="75">
        <f>E87</f>
        <v>128</v>
      </c>
      <c r="L10" s="13">
        <v>7</v>
      </c>
      <c r="M10">
        <f>COUNTIF('Incident Reporting'!O:O,'results new'!L10)</f>
        <v>32</v>
      </c>
      <c r="N10" s="13">
        <f t="shared" si="0"/>
        <v>224</v>
      </c>
    </row>
    <row r="11" spans="1:15" x14ac:dyDescent="0.2">
      <c r="A11" s="26" t="s">
        <v>401</v>
      </c>
      <c r="B11" s="10">
        <v>42261</v>
      </c>
      <c r="C11">
        <v>2</v>
      </c>
      <c r="F11" t="s">
        <v>142</v>
      </c>
      <c r="G11" s="13">
        <f>D27</f>
        <v>2</v>
      </c>
      <c r="H11" s="75">
        <v>2023</v>
      </c>
      <c r="I11" s="75">
        <f>AVERAGE(G35:G38)</f>
        <v>22.5</v>
      </c>
      <c r="J11" s="75">
        <f>E99</f>
        <v>90</v>
      </c>
      <c r="L11" s="13">
        <v>8</v>
      </c>
      <c r="M11">
        <f>COUNTIF('Incident Reporting'!O:O,'results new'!L11)</f>
        <v>33</v>
      </c>
      <c r="N11" s="13">
        <f t="shared" si="0"/>
        <v>264</v>
      </c>
    </row>
    <row r="12" spans="1:15" x14ac:dyDescent="0.2">
      <c r="A12" s="26" t="s">
        <v>402</v>
      </c>
      <c r="B12" s="10">
        <v>42293</v>
      </c>
      <c r="C12">
        <v>2</v>
      </c>
      <c r="D12" s="11">
        <f>SUM(C12:C14)</f>
        <v>3</v>
      </c>
      <c r="F12" t="s">
        <v>143</v>
      </c>
      <c r="G12" s="13">
        <f>D30</f>
        <v>10</v>
      </c>
      <c r="H12" s="13">
        <v>2024</v>
      </c>
      <c r="I12" s="75">
        <f>AVERAGE(G43:G46)</f>
        <v>32.25</v>
      </c>
      <c r="J12" s="75">
        <f>E111</f>
        <v>115</v>
      </c>
      <c r="K12" s="13">
        <f>AVERAGE(I9:I13)</f>
        <v>29</v>
      </c>
      <c r="L12" s="13">
        <v>9</v>
      </c>
      <c r="M12">
        <f>COUNTIF('Incident Reporting'!O:O,'results new'!L12)</f>
        <v>18</v>
      </c>
      <c r="N12" s="13">
        <f t="shared" si="0"/>
        <v>162</v>
      </c>
    </row>
    <row r="13" spans="1:15" x14ac:dyDescent="0.2">
      <c r="A13" s="26" t="s">
        <v>403</v>
      </c>
      <c r="B13" s="10">
        <v>42325</v>
      </c>
      <c r="C13">
        <v>1</v>
      </c>
      <c r="D13" s="23"/>
      <c r="F13" t="s">
        <v>144</v>
      </c>
      <c r="G13" s="13">
        <f>D33</f>
        <v>1</v>
      </c>
      <c r="H13" s="13">
        <v>2025</v>
      </c>
      <c r="I13" s="75">
        <f>AVERAGE(G40:G43)</f>
        <v>35.75</v>
      </c>
      <c r="J13" s="75">
        <f>E123</f>
        <v>129</v>
      </c>
      <c r="L13" s="13">
        <v>10</v>
      </c>
      <c r="M13">
        <f>COUNTIF('Incident Reporting'!O:O,'results new'!L13)</f>
        <v>8</v>
      </c>
      <c r="N13" s="13">
        <f t="shared" si="0"/>
        <v>80</v>
      </c>
    </row>
    <row r="14" spans="1:15" x14ac:dyDescent="0.2">
      <c r="A14" s="26" t="s">
        <v>404</v>
      </c>
      <c r="B14" s="10">
        <v>42357</v>
      </c>
      <c r="C14">
        <v>0</v>
      </c>
      <c r="D14" s="23"/>
      <c r="F14" t="s">
        <v>145</v>
      </c>
      <c r="G14" s="13">
        <f>D36</f>
        <v>10</v>
      </c>
      <c r="H14" s="13"/>
      <c r="L14" s="13">
        <v>11</v>
      </c>
      <c r="M14">
        <f>COUNTIF('Incident Reporting'!O:O,'results new'!L14)</f>
        <v>1</v>
      </c>
      <c r="N14" s="13">
        <f t="shared" si="0"/>
        <v>11</v>
      </c>
    </row>
    <row r="15" spans="1:15" x14ac:dyDescent="0.2">
      <c r="B15" s="10">
        <v>42389</v>
      </c>
      <c r="C15">
        <v>0</v>
      </c>
      <c r="D15" s="11">
        <f>SUM(C15:C17)</f>
        <v>0</v>
      </c>
      <c r="E15" s="26">
        <f>SUM(C15:C26)</f>
        <v>8</v>
      </c>
      <c r="F15" t="s">
        <v>146</v>
      </c>
      <c r="G15" s="13">
        <f>D39</f>
        <v>17</v>
      </c>
      <c r="H15" s="13"/>
      <c r="L15" s="13">
        <v>12</v>
      </c>
      <c r="M15">
        <f>COUNTIF('Incident Reporting'!O:O,'results new'!L15)</f>
        <v>0</v>
      </c>
      <c r="N15" s="13">
        <f t="shared" si="0"/>
        <v>0</v>
      </c>
    </row>
    <row r="16" spans="1:15" x14ac:dyDescent="0.2">
      <c r="B16" s="10">
        <v>42421</v>
      </c>
      <c r="C16">
        <v>0</v>
      </c>
      <c r="D16" s="23"/>
      <c r="F16" s="22" t="s">
        <v>168</v>
      </c>
      <c r="G16" s="13">
        <f>D42</f>
        <v>15</v>
      </c>
      <c r="H16" s="13"/>
      <c r="L16" s="13">
        <v>13</v>
      </c>
      <c r="M16">
        <f>COUNTIF('Incident Reporting'!O:O,'results new'!L16)</f>
        <v>0</v>
      </c>
      <c r="N16" s="13">
        <f t="shared" si="0"/>
        <v>0</v>
      </c>
    </row>
    <row r="17" spans="2:16" x14ac:dyDescent="0.2">
      <c r="B17" s="10">
        <v>42453</v>
      </c>
      <c r="C17">
        <v>0</v>
      </c>
      <c r="D17" s="23"/>
      <c r="F17" s="22" t="s">
        <v>169</v>
      </c>
      <c r="G17" s="13">
        <f>D45</f>
        <v>14</v>
      </c>
      <c r="H17" s="13"/>
      <c r="O17" s="24"/>
    </row>
    <row r="18" spans="2:16" x14ac:dyDescent="0.2">
      <c r="B18" s="10">
        <v>42485</v>
      </c>
      <c r="C18">
        <v>1</v>
      </c>
      <c r="D18" s="11">
        <f>SUM(C18:C20)</f>
        <v>4</v>
      </c>
      <c r="F18" s="22" t="s">
        <v>170</v>
      </c>
      <c r="G18" s="13">
        <f>D48</f>
        <v>14</v>
      </c>
      <c r="H18" s="13"/>
      <c r="L18" t="s">
        <v>148</v>
      </c>
    </row>
    <row r="19" spans="2:16" x14ac:dyDescent="0.2">
      <c r="B19" s="10">
        <v>42517</v>
      </c>
      <c r="C19">
        <v>1</v>
      </c>
      <c r="D19" s="23"/>
      <c r="F19" s="22" t="s">
        <v>171</v>
      </c>
      <c r="G19" s="13">
        <f>D51</f>
        <v>25</v>
      </c>
      <c r="H19" s="13"/>
      <c r="L19" t="s">
        <v>124</v>
      </c>
      <c r="M19" t="s">
        <v>132</v>
      </c>
      <c r="N19" t="s">
        <v>133</v>
      </c>
    </row>
    <row r="20" spans="2:16" x14ac:dyDescent="0.2">
      <c r="B20" s="10">
        <v>42549</v>
      </c>
      <c r="C20">
        <v>2</v>
      </c>
      <c r="D20" s="23"/>
      <c r="F20" s="22" t="s">
        <v>172</v>
      </c>
      <c r="G20" s="13">
        <v>13</v>
      </c>
      <c r="H20" s="13"/>
      <c r="L20" s="13">
        <v>1</v>
      </c>
      <c r="M20">
        <f>COUNTIF('Incident Reporting'!R:R,'results new'!L20)</f>
        <v>44</v>
      </c>
      <c r="N20" s="13">
        <f>L20*M20</f>
        <v>44</v>
      </c>
      <c r="O20" s="12">
        <f>SUM(N20:N52)/SUM(M20:M52)</f>
        <v>4.2</v>
      </c>
    </row>
    <row r="21" spans="2:16" x14ac:dyDescent="0.2">
      <c r="B21" s="10">
        <v>42581</v>
      </c>
      <c r="C21">
        <v>2</v>
      </c>
      <c r="D21" s="11">
        <f>SUM(C21:C23)</f>
        <v>2</v>
      </c>
      <c r="F21" s="26" t="s">
        <v>261</v>
      </c>
      <c r="G21" s="13">
        <v>20</v>
      </c>
      <c r="H21" s="13"/>
      <c r="L21" s="13">
        <v>2</v>
      </c>
      <c r="M21">
        <f>COUNTIF('Incident Reporting'!R:R,'results new'!L21)</f>
        <v>133</v>
      </c>
      <c r="N21" s="13">
        <f t="shared" ref="N21:N42" si="1">L21*M21</f>
        <v>266</v>
      </c>
    </row>
    <row r="22" spans="2:16" x14ac:dyDescent="0.2">
      <c r="B22" s="10">
        <v>42613</v>
      </c>
      <c r="C22">
        <v>0</v>
      </c>
      <c r="D22" s="23"/>
      <c r="F22" s="26" t="s">
        <v>262</v>
      </c>
      <c r="G22" s="13">
        <v>10</v>
      </c>
      <c r="H22" s="13"/>
      <c r="L22" s="13">
        <v>3</v>
      </c>
      <c r="M22">
        <f>COUNTIF('Incident Reporting'!R:R,'results new'!L22)</f>
        <v>235</v>
      </c>
      <c r="N22" s="13">
        <f t="shared" si="1"/>
        <v>705</v>
      </c>
    </row>
    <row r="23" spans="2:16" s="23" customFormat="1" x14ac:dyDescent="0.2">
      <c r="B23" s="10">
        <v>42614</v>
      </c>
      <c r="C23" s="23">
        <v>0</v>
      </c>
      <c r="F23" s="26" t="s">
        <v>312</v>
      </c>
      <c r="G23" s="13">
        <v>17</v>
      </c>
      <c r="H23" s="13"/>
      <c r="I23"/>
      <c r="J23" s="26"/>
      <c r="K23"/>
      <c r="L23" s="13">
        <v>4</v>
      </c>
      <c r="M23">
        <f>COUNTIF('Incident Reporting'!R:R,'results new'!L23)</f>
        <v>180</v>
      </c>
      <c r="N23" s="13">
        <f t="shared" si="1"/>
        <v>720</v>
      </c>
      <c r="O23"/>
      <c r="P23"/>
    </row>
    <row r="24" spans="2:16" x14ac:dyDescent="0.2">
      <c r="B24" s="10">
        <v>42645</v>
      </c>
      <c r="C24">
        <v>1</v>
      </c>
      <c r="D24" s="11">
        <f>SUM(C24:C26)</f>
        <v>2</v>
      </c>
      <c r="F24" s="26" t="s">
        <v>390</v>
      </c>
      <c r="G24" s="13">
        <v>10</v>
      </c>
      <c r="H24" s="13"/>
      <c r="L24" s="13">
        <v>5</v>
      </c>
      <c r="M24">
        <f>COUNTIF('Incident Reporting'!R:R,'results new'!L24)</f>
        <v>117</v>
      </c>
      <c r="N24" s="13">
        <f t="shared" si="1"/>
        <v>585</v>
      </c>
    </row>
    <row r="25" spans="2:16" x14ac:dyDescent="0.2">
      <c r="B25" s="10">
        <v>42677</v>
      </c>
      <c r="C25">
        <v>1</v>
      </c>
      <c r="D25" s="23"/>
      <c r="F25" s="26" t="s">
        <v>391</v>
      </c>
      <c r="G25" s="13">
        <v>15</v>
      </c>
      <c r="H25" s="13"/>
      <c r="I25" s="22"/>
      <c r="L25" s="13">
        <v>6</v>
      </c>
      <c r="M25">
        <f>COUNTIF('Incident Reporting'!R:R,'results new'!L25)</f>
        <v>51</v>
      </c>
      <c r="N25" s="13">
        <f t="shared" si="1"/>
        <v>306</v>
      </c>
    </row>
    <row r="26" spans="2:16" x14ac:dyDescent="0.2">
      <c r="B26" s="10">
        <v>42709</v>
      </c>
      <c r="C26">
        <v>0</v>
      </c>
      <c r="D26" s="23"/>
      <c r="F26" s="26" t="s">
        <v>392</v>
      </c>
      <c r="G26" s="13">
        <v>10</v>
      </c>
      <c r="H26" s="13"/>
      <c r="I26" s="22"/>
      <c r="L26" s="13">
        <v>7</v>
      </c>
      <c r="M26">
        <f>COUNTIF('Incident Reporting'!R:R,'results new'!L26)</f>
        <v>36</v>
      </c>
      <c r="N26" s="13">
        <f>L26*M26</f>
        <v>252</v>
      </c>
    </row>
    <row r="27" spans="2:16" x14ac:dyDescent="0.2">
      <c r="B27" s="10">
        <v>42741</v>
      </c>
      <c r="C27">
        <v>1</v>
      </c>
      <c r="D27" s="11">
        <f>SUM(C27:C29)</f>
        <v>2</v>
      </c>
      <c r="E27" s="26">
        <f>SUM(C27:C38)</f>
        <v>23</v>
      </c>
      <c r="F27" s="26" t="s">
        <v>555</v>
      </c>
      <c r="G27" s="13">
        <v>23</v>
      </c>
      <c r="H27" s="13"/>
      <c r="I27" s="22"/>
      <c r="L27" s="13">
        <v>8</v>
      </c>
      <c r="M27">
        <f>COUNTIF('Incident Reporting'!R:R,'results new'!L27)</f>
        <v>19</v>
      </c>
      <c r="N27" s="13">
        <f t="shared" si="1"/>
        <v>152</v>
      </c>
    </row>
    <row r="28" spans="2:16" x14ac:dyDescent="0.2">
      <c r="B28" s="10">
        <v>42773</v>
      </c>
      <c r="C28">
        <v>0</v>
      </c>
      <c r="D28" s="23"/>
      <c r="F28" s="26" t="s">
        <v>556</v>
      </c>
      <c r="G28" s="13">
        <v>23</v>
      </c>
      <c r="H28" s="13"/>
      <c r="I28" s="22"/>
      <c r="L28" s="13">
        <v>9</v>
      </c>
      <c r="M28">
        <f>COUNTIF('Incident Reporting'!R:R,'results new'!L28)</f>
        <v>23</v>
      </c>
      <c r="N28" s="13">
        <f t="shared" si="1"/>
        <v>207</v>
      </c>
    </row>
    <row r="29" spans="2:16" x14ac:dyDescent="0.2">
      <c r="B29" s="10">
        <v>42805</v>
      </c>
      <c r="C29">
        <v>1</v>
      </c>
      <c r="D29" s="23"/>
      <c r="F29" s="26" t="s">
        <v>557</v>
      </c>
      <c r="G29" s="13">
        <v>20</v>
      </c>
      <c r="H29" s="13"/>
      <c r="I29" s="22"/>
      <c r="L29" s="13">
        <v>10</v>
      </c>
      <c r="M29">
        <f>COUNTIF('Incident Reporting'!R:R,'results new'!L29)</f>
        <v>10</v>
      </c>
      <c r="N29" s="13">
        <f t="shared" si="1"/>
        <v>100</v>
      </c>
    </row>
    <row r="30" spans="2:16" x14ac:dyDescent="0.2">
      <c r="B30" s="10">
        <v>42837</v>
      </c>
      <c r="C30">
        <v>2</v>
      </c>
      <c r="D30" s="11">
        <f>SUM(C30:C32)</f>
        <v>10</v>
      </c>
      <c r="F30" s="26" t="s">
        <v>558</v>
      </c>
      <c r="G30" s="13">
        <f>D84</f>
        <v>24</v>
      </c>
      <c r="H30" s="11"/>
      <c r="I30" s="22"/>
      <c r="L30" s="13">
        <v>11</v>
      </c>
      <c r="M30">
        <f>COUNTIF('Incident Reporting'!R:R,'results new'!L30)</f>
        <v>1</v>
      </c>
      <c r="N30" s="13">
        <f t="shared" si="1"/>
        <v>11</v>
      </c>
    </row>
    <row r="31" spans="2:16" x14ac:dyDescent="0.2">
      <c r="B31" s="10">
        <v>42869</v>
      </c>
      <c r="C31">
        <v>2</v>
      </c>
      <c r="D31" s="23"/>
      <c r="F31" s="26" t="s">
        <v>717</v>
      </c>
      <c r="G31" s="13">
        <f>D87</f>
        <v>44</v>
      </c>
      <c r="H31" s="11"/>
      <c r="I31" s="22"/>
      <c r="L31" s="13">
        <v>12</v>
      </c>
      <c r="M31">
        <f>COUNTIF('Incident Reporting'!R:R,'results new'!L31)</f>
        <v>5</v>
      </c>
      <c r="N31" s="13">
        <f t="shared" si="1"/>
        <v>60</v>
      </c>
    </row>
    <row r="32" spans="2:16" x14ac:dyDescent="0.2">
      <c r="B32" s="10">
        <v>42901</v>
      </c>
      <c r="C32">
        <v>6</v>
      </c>
      <c r="D32" s="23"/>
      <c r="F32" s="26" t="s">
        <v>718</v>
      </c>
      <c r="G32" s="13">
        <f>D90</f>
        <v>33</v>
      </c>
      <c r="I32" s="22"/>
      <c r="L32" s="13">
        <v>13</v>
      </c>
      <c r="M32">
        <f>COUNTIF('Incident Reporting'!R:R,'results new'!L32)</f>
        <v>3</v>
      </c>
      <c r="N32" s="13">
        <f t="shared" si="1"/>
        <v>39</v>
      </c>
    </row>
    <row r="33" spans="2:16" x14ac:dyDescent="0.2">
      <c r="B33" s="10">
        <v>42933</v>
      </c>
      <c r="C33">
        <v>1</v>
      </c>
      <c r="D33" s="11">
        <f>SUM(C33:C35)</f>
        <v>1</v>
      </c>
      <c r="F33" s="26" t="s">
        <v>719</v>
      </c>
      <c r="G33" s="13">
        <f>D93</f>
        <v>25</v>
      </c>
      <c r="I33" s="22"/>
      <c r="L33" s="13">
        <v>14</v>
      </c>
      <c r="M33">
        <f>COUNTIF('Incident Reporting'!R:R,'results new'!L33)</f>
        <v>5</v>
      </c>
      <c r="N33" s="13">
        <f t="shared" si="1"/>
        <v>70</v>
      </c>
    </row>
    <row r="34" spans="2:16" x14ac:dyDescent="0.2">
      <c r="B34" s="10">
        <v>42965</v>
      </c>
      <c r="C34">
        <v>0</v>
      </c>
      <c r="D34" s="23"/>
      <c r="F34" s="26" t="s">
        <v>720</v>
      </c>
      <c r="G34" s="13">
        <f>D96</f>
        <v>26</v>
      </c>
      <c r="I34" s="22"/>
      <c r="L34" s="13">
        <v>15</v>
      </c>
      <c r="M34">
        <f>COUNTIF('Incident Reporting'!R:R,'results new'!L34)</f>
        <v>1</v>
      </c>
      <c r="N34" s="13">
        <f t="shared" si="1"/>
        <v>15</v>
      </c>
    </row>
    <row r="35" spans="2:16" x14ac:dyDescent="0.2">
      <c r="B35" s="10">
        <v>42997</v>
      </c>
      <c r="C35">
        <v>0</v>
      </c>
      <c r="D35" s="23"/>
      <c r="F35" s="26" t="s">
        <v>1388</v>
      </c>
      <c r="G35" s="13">
        <f>D99</f>
        <v>27</v>
      </c>
      <c r="I35" s="22"/>
      <c r="L35" s="13">
        <v>16</v>
      </c>
      <c r="M35">
        <f>COUNTIF('Incident Reporting'!R:R,'results new'!L35)</f>
        <v>2</v>
      </c>
      <c r="N35" s="13">
        <f t="shared" si="1"/>
        <v>32</v>
      </c>
    </row>
    <row r="36" spans="2:16" x14ac:dyDescent="0.2">
      <c r="B36" s="10">
        <v>43029</v>
      </c>
      <c r="C36">
        <v>5</v>
      </c>
      <c r="D36" s="11">
        <f>SUM(C36:C38)</f>
        <v>10</v>
      </c>
      <c r="F36" s="26" t="s">
        <v>1389</v>
      </c>
      <c r="G36" s="13">
        <f>D102</f>
        <v>24</v>
      </c>
      <c r="I36" s="22"/>
      <c r="L36" s="13">
        <v>17</v>
      </c>
      <c r="M36">
        <f>COUNTIF('Incident Reporting'!R:R,'results new'!L36)</f>
        <v>1</v>
      </c>
      <c r="N36" s="13">
        <f t="shared" si="1"/>
        <v>17</v>
      </c>
    </row>
    <row r="37" spans="2:16" x14ac:dyDescent="0.2">
      <c r="B37" s="10">
        <v>43061</v>
      </c>
      <c r="C37">
        <v>2</v>
      </c>
      <c r="F37" s="26" t="s">
        <v>1390</v>
      </c>
      <c r="G37" s="13">
        <f>D105</f>
        <v>26</v>
      </c>
      <c r="I37" s="26"/>
      <c r="L37" s="13">
        <v>18</v>
      </c>
      <c r="M37">
        <f>COUNTIF('Incident Reporting'!R:R,'results new'!L37)</f>
        <v>3</v>
      </c>
      <c r="N37" s="13">
        <f t="shared" si="1"/>
        <v>54</v>
      </c>
    </row>
    <row r="38" spans="2:16" x14ac:dyDescent="0.2">
      <c r="B38" s="10">
        <v>43093</v>
      </c>
      <c r="C38">
        <v>3</v>
      </c>
      <c r="D38" s="11"/>
      <c r="F38" s="26" t="s">
        <v>1391</v>
      </c>
      <c r="G38" s="13">
        <f>D108</f>
        <v>13</v>
      </c>
      <c r="I38" s="26"/>
      <c r="L38" s="13">
        <v>19</v>
      </c>
      <c r="M38">
        <f>COUNTIF('Incident Reporting'!R:R,'results new'!L38)</f>
        <v>1</v>
      </c>
      <c r="N38" s="13">
        <f t="shared" si="1"/>
        <v>19</v>
      </c>
    </row>
    <row r="39" spans="2:16" x14ac:dyDescent="0.2">
      <c r="B39" s="10">
        <v>43125</v>
      </c>
      <c r="C39">
        <v>6</v>
      </c>
      <c r="D39" s="11">
        <f>SUM(C39:C41)</f>
        <v>17</v>
      </c>
      <c r="E39" s="26">
        <f>SUM(C39:C50)</f>
        <v>60</v>
      </c>
      <c r="F39" s="26" t="s">
        <v>1560</v>
      </c>
      <c r="G39" s="13">
        <f>D111</f>
        <v>17</v>
      </c>
      <c r="I39" s="26"/>
      <c r="L39" s="13">
        <v>20</v>
      </c>
      <c r="M39">
        <f>COUNTIF('Incident Reporting'!R:R,'results new'!L39)</f>
        <v>0</v>
      </c>
      <c r="N39" s="13">
        <f t="shared" si="1"/>
        <v>0</v>
      </c>
    </row>
    <row r="40" spans="2:16" x14ac:dyDescent="0.2">
      <c r="B40" s="10">
        <v>43157</v>
      </c>
      <c r="C40">
        <v>6</v>
      </c>
      <c r="D40" s="23"/>
      <c r="F40" s="26" t="s">
        <v>1561</v>
      </c>
      <c r="G40" s="13">
        <f>D114</f>
        <v>28</v>
      </c>
      <c r="I40" s="26"/>
      <c r="L40" s="13">
        <v>21</v>
      </c>
      <c r="M40">
        <f>COUNTIF('Incident Reporting'!R:R,'results new'!L40)</f>
        <v>0</v>
      </c>
      <c r="N40" s="13">
        <f t="shared" si="1"/>
        <v>0</v>
      </c>
    </row>
    <row r="41" spans="2:16" x14ac:dyDescent="0.2">
      <c r="B41" s="10">
        <v>43189</v>
      </c>
      <c r="C41">
        <v>5</v>
      </c>
      <c r="D41" s="23"/>
      <c r="F41" s="26" t="s">
        <v>1562</v>
      </c>
      <c r="G41" s="13">
        <f>D117</f>
        <v>41</v>
      </c>
      <c r="I41" s="26"/>
      <c r="L41" s="13">
        <v>22</v>
      </c>
      <c r="M41">
        <f>COUNTIF('Incident Reporting'!R:R,'results new'!L41)</f>
        <v>0</v>
      </c>
      <c r="N41" s="13">
        <f t="shared" si="1"/>
        <v>0</v>
      </c>
    </row>
    <row r="42" spans="2:16" x14ac:dyDescent="0.2">
      <c r="B42" s="10">
        <v>43191</v>
      </c>
      <c r="C42">
        <v>1</v>
      </c>
      <c r="D42" s="11">
        <f>SUM(C42:C44)</f>
        <v>15</v>
      </c>
      <c r="F42" s="26" t="s">
        <v>1563</v>
      </c>
      <c r="G42" s="13">
        <f>D120</f>
        <v>29</v>
      </c>
      <c r="I42" s="26"/>
      <c r="L42" s="13">
        <v>23</v>
      </c>
      <c r="M42">
        <f>COUNTIF('Incident Reporting'!R:R,'results new'!L42)</f>
        <v>0</v>
      </c>
      <c r="N42" s="13">
        <f t="shared" si="1"/>
        <v>0</v>
      </c>
    </row>
    <row r="43" spans="2:16" s="22" customFormat="1" x14ac:dyDescent="0.2">
      <c r="B43" s="10">
        <v>43221</v>
      </c>
      <c r="C43" s="22">
        <v>4</v>
      </c>
      <c r="D43" s="23"/>
      <c r="F43" s="26" t="s">
        <v>1773</v>
      </c>
      <c r="G43" s="13">
        <f>D123</f>
        <v>45</v>
      </c>
      <c r="H43" s="26"/>
      <c r="I43" s="26"/>
      <c r="J43" s="26"/>
      <c r="K43"/>
      <c r="L43" s="13"/>
      <c r="M43"/>
      <c r="N43" s="13"/>
      <c r="O43"/>
      <c r="P43"/>
    </row>
    <row r="44" spans="2:16" s="22" customFormat="1" x14ac:dyDescent="0.2">
      <c r="B44" s="10">
        <v>43252</v>
      </c>
      <c r="C44" s="22">
        <v>10</v>
      </c>
      <c r="D44" s="23"/>
      <c r="F44" s="26" t="s">
        <v>1774</v>
      </c>
      <c r="G44" s="13">
        <f>D126</f>
        <v>42</v>
      </c>
      <c r="H44" s="26"/>
      <c r="I44" s="26"/>
      <c r="J44" s="26"/>
      <c r="K44"/>
      <c r="L44" s="13"/>
      <c r="M44"/>
      <c r="N44" s="13"/>
      <c r="O44"/>
      <c r="P44"/>
    </row>
    <row r="45" spans="2:16" s="22" customFormat="1" x14ac:dyDescent="0.2">
      <c r="B45" s="10">
        <v>43282</v>
      </c>
      <c r="C45" s="22">
        <v>3</v>
      </c>
      <c r="D45" s="11">
        <f>SUM(C45:C47)</f>
        <v>14</v>
      </c>
      <c r="F45" s="26" t="s">
        <v>1775</v>
      </c>
      <c r="G45" s="13">
        <f>D129</f>
        <v>21</v>
      </c>
      <c r="H45" s="26"/>
      <c r="I45" s="26"/>
      <c r="J45" s="26"/>
      <c r="K45"/>
      <c r="L45" s="13"/>
      <c r="M45"/>
      <c r="N45" s="13"/>
      <c r="O45"/>
      <c r="P45"/>
    </row>
    <row r="46" spans="2:16" s="22" customFormat="1" x14ac:dyDescent="0.2">
      <c r="B46" s="10">
        <v>43313</v>
      </c>
      <c r="C46" s="22">
        <v>6</v>
      </c>
      <c r="D46" s="23"/>
      <c r="F46" s="26" t="s">
        <v>1776</v>
      </c>
      <c r="G46" s="13">
        <f>D132</f>
        <v>21</v>
      </c>
      <c r="H46" s="26"/>
      <c r="J46" s="26"/>
      <c r="K46"/>
      <c r="L46" s="13"/>
      <c r="M46"/>
      <c r="N46" s="13"/>
      <c r="O46"/>
      <c r="P46"/>
    </row>
    <row r="47" spans="2:16" s="22" customFormat="1" x14ac:dyDescent="0.2">
      <c r="B47" s="10">
        <v>43344</v>
      </c>
      <c r="C47" s="22">
        <v>5</v>
      </c>
      <c r="D47" s="23"/>
      <c r="H47" s="26"/>
      <c r="I47"/>
      <c r="J47" s="26"/>
      <c r="K47"/>
      <c r="L47" s="13"/>
      <c r="M47"/>
      <c r="N47" s="13"/>
      <c r="O47"/>
      <c r="P47"/>
    </row>
    <row r="48" spans="2:16" s="22" customFormat="1" x14ac:dyDescent="0.2">
      <c r="B48" s="10">
        <v>43374</v>
      </c>
      <c r="C48" s="22">
        <v>4</v>
      </c>
      <c r="D48" s="11">
        <f>SUM(C48:C50)</f>
        <v>14</v>
      </c>
      <c r="H48" s="26"/>
      <c r="I48"/>
      <c r="J48" s="26"/>
      <c r="K48"/>
      <c r="L48" s="13"/>
      <c r="M48"/>
      <c r="N48" s="13"/>
      <c r="O48"/>
      <c r="P48"/>
    </row>
    <row r="49" spans="2:16" s="22" customFormat="1" x14ac:dyDescent="0.2">
      <c r="B49" s="10">
        <v>43405</v>
      </c>
      <c r="C49" s="22">
        <v>3</v>
      </c>
      <c r="D49" s="23"/>
      <c r="H49" s="26"/>
      <c r="I49"/>
      <c r="J49" s="26"/>
      <c r="K49"/>
      <c r="L49" s="13"/>
      <c r="M49"/>
      <c r="N49" s="13"/>
      <c r="O49"/>
      <c r="P49"/>
    </row>
    <row r="50" spans="2:16" s="22" customFormat="1" x14ac:dyDescent="0.2">
      <c r="B50" s="10">
        <v>43435</v>
      </c>
      <c r="C50" s="22">
        <v>7</v>
      </c>
      <c r="D50" s="23"/>
      <c r="H50" s="26"/>
      <c r="I50"/>
      <c r="J50" s="26"/>
      <c r="K50"/>
      <c r="L50" s="13"/>
      <c r="M50"/>
      <c r="N50" s="13"/>
      <c r="O50"/>
      <c r="P50"/>
    </row>
    <row r="51" spans="2:16" s="22" customFormat="1" x14ac:dyDescent="0.2">
      <c r="B51" s="10">
        <v>43466</v>
      </c>
      <c r="C51" s="22">
        <v>16</v>
      </c>
      <c r="D51" s="11">
        <f>SUM(C51:C53)</f>
        <v>25</v>
      </c>
      <c r="E51" s="22">
        <f>SUM(C51:C62)</f>
        <v>68</v>
      </c>
      <c r="H51" s="26"/>
      <c r="I51"/>
      <c r="J51" s="26"/>
      <c r="K51"/>
      <c r="L51" s="13"/>
      <c r="M51"/>
      <c r="N51" s="13"/>
      <c r="O51"/>
      <c r="P51"/>
    </row>
    <row r="52" spans="2:16" s="22" customFormat="1" x14ac:dyDescent="0.2">
      <c r="B52" s="10">
        <v>43497</v>
      </c>
      <c r="C52" s="22">
        <v>4</v>
      </c>
      <c r="D52" s="23"/>
      <c r="H52" s="26"/>
      <c r="I52"/>
      <c r="J52" s="26"/>
      <c r="K52"/>
      <c r="L52" s="13"/>
      <c r="M52"/>
      <c r="N52" s="13"/>
      <c r="O52"/>
      <c r="P52"/>
    </row>
    <row r="53" spans="2:16" s="22" customFormat="1" x14ac:dyDescent="0.2">
      <c r="B53" s="10">
        <v>43525</v>
      </c>
      <c r="C53" s="22">
        <v>5</v>
      </c>
      <c r="D53" s="11"/>
      <c r="H53" s="26"/>
      <c r="I53"/>
      <c r="J53" s="26"/>
      <c r="K53"/>
      <c r="L53"/>
      <c r="M53"/>
      <c r="N53"/>
      <c r="O53"/>
      <c r="P53"/>
    </row>
    <row r="54" spans="2:16" s="22" customFormat="1" x14ac:dyDescent="0.2">
      <c r="B54" s="10">
        <v>43556</v>
      </c>
      <c r="C54" s="22">
        <v>2</v>
      </c>
      <c r="D54" s="11">
        <f>SUM(C54:C56)</f>
        <v>13</v>
      </c>
      <c r="H54" s="26"/>
      <c r="I54"/>
      <c r="J54" s="26"/>
      <c r="K54"/>
      <c r="L54"/>
      <c r="M54"/>
      <c r="N54"/>
      <c r="O54"/>
      <c r="P54"/>
    </row>
    <row r="55" spans="2:16" s="26" customFormat="1" x14ac:dyDescent="0.2">
      <c r="B55" s="10">
        <v>43586</v>
      </c>
      <c r="C55" s="26">
        <v>4</v>
      </c>
      <c r="I55"/>
      <c r="K55"/>
      <c r="L55"/>
      <c r="M55"/>
      <c r="N55"/>
      <c r="O55"/>
      <c r="P55"/>
    </row>
    <row r="56" spans="2:16" s="26" customFormat="1" x14ac:dyDescent="0.2">
      <c r="B56" s="10">
        <v>43617</v>
      </c>
      <c r="C56" s="26">
        <v>7</v>
      </c>
      <c r="I56"/>
      <c r="K56"/>
      <c r="L56"/>
      <c r="M56"/>
      <c r="N56"/>
      <c r="O56"/>
      <c r="P56"/>
    </row>
    <row r="57" spans="2:16" s="26" customFormat="1" x14ac:dyDescent="0.2">
      <c r="B57" s="10">
        <v>43647</v>
      </c>
      <c r="C57" s="26">
        <v>9</v>
      </c>
      <c r="D57" s="11">
        <f>SUM(C57:C59)</f>
        <v>20</v>
      </c>
      <c r="I57"/>
      <c r="K57"/>
      <c r="L57"/>
      <c r="M57"/>
      <c r="N57"/>
      <c r="O57"/>
      <c r="P57"/>
    </row>
    <row r="58" spans="2:16" s="26" customFormat="1" x14ac:dyDescent="0.2">
      <c r="B58" s="10">
        <v>43678</v>
      </c>
      <c r="C58" s="26">
        <v>7</v>
      </c>
      <c r="I58"/>
      <c r="K58"/>
      <c r="L58"/>
      <c r="M58"/>
      <c r="N58"/>
      <c r="O58"/>
      <c r="P58"/>
    </row>
    <row r="59" spans="2:16" s="26" customFormat="1" x14ac:dyDescent="0.2">
      <c r="B59" s="10">
        <v>43709</v>
      </c>
      <c r="C59" s="26">
        <v>4</v>
      </c>
      <c r="I59"/>
      <c r="K59"/>
      <c r="L59"/>
      <c r="M59"/>
      <c r="N59"/>
      <c r="O59"/>
      <c r="P59"/>
    </row>
    <row r="60" spans="2:16" s="26" customFormat="1" x14ac:dyDescent="0.2">
      <c r="B60" s="10">
        <v>43739</v>
      </c>
      <c r="C60" s="26">
        <v>3</v>
      </c>
      <c r="D60" s="11">
        <f>SUM(C60:C62)</f>
        <v>10</v>
      </c>
      <c r="I60"/>
      <c r="K60"/>
      <c r="L60"/>
      <c r="M60"/>
      <c r="N60"/>
      <c r="O60"/>
      <c r="P60"/>
    </row>
    <row r="61" spans="2:16" s="26" customFormat="1" x14ac:dyDescent="0.2">
      <c r="B61" s="10">
        <v>43770</v>
      </c>
      <c r="C61" s="26">
        <v>5</v>
      </c>
      <c r="I61"/>
      <c r="K61"/>
      <c r="L61"/>
      <c r="M61"/>
      <c r="N61"/>
      <c r="O61"/>
      <c r="P61"/>
    </row>
    <row r="62" spans="2:16" s="26" customFormat="1" x14ac:dyDescent="0.2">
      <c r="B62" s="10">
        <v>43800</v>
      </c>
      <c r="C62" s="26">
        <v>2</v>
      </c>
      <c r="I62"/>
      <c r="K62"/>
      <c r="L62"/>
      <c r="M62"/>
      <c r="N62"/>
      <c r="O62"/>
      <c r="P62"/>
    </row>
    <row r="63" spans="2:16" s="26" customFormat="1" x14ac:dyDescent="0.2">
      <c r="B63" s="10">
        <v>43831</v>
      </c>
      <c r="C63" s="26">
        <v>7</v>
      </c>
      <c r="D63" s="11">
        <f>SUM(C63:C65)</f>
        <v>17</v>
      </c>
      <c r="E63" s="26">
        <f>SUM(C63:C74)</f>
        <v>52</v>
      </c>
      <c r="I63"/>
      <c r="K63"/>
      <c r="L63"/>
      <c r="M63"/>
      <c r="N63"/>
      <c r="O63"/>
      <c r="P63"/>
    </row>
    <row r="64" spans="2:16" s="22" customFormat="1" x14ac:dyDescent="0.2">
      <c r="B64" s="10">
        <v>43862</v>
      </c>
      <c r="C64" s="22">
        <v>6</v>
      </c>
      <c r="D64"/>
      <c r="H64" s="26"/>
      <c r="I64"/>
      <c r="J64" s="26"/>
      <c r="K64"/>
      <c r="L64"/>
      <c r="M64"/>
      <c r="N64"/>
      <c r="O64"/>
      <c r="P64"/>
    </row>
    <row r="65" spans="2:16" x14ac:dyDescent="0.2">
      <c r="B65" s="10">
        <v>43891</v>
      </c>
      <c r="C65">
        <v>4</v>
      </c>
      <c r="D65" s="24"/>
    </row>
    <row r="66" spans="2:16" x14ac:dyDescent="0.2">
      <c r="B66" s="10">
        <v>43922</v>
      </c>
      <c r="C66">
        <v>2</v>
      </c>
      <c r="D66" s="11">
        <f>SUM(C66:C68)</f>
        <v>10</v>
      </c>
    </row>
    <row r="67" spans="2:16" x14ac:dyDescent="0.2">
      <c r="B67" s="10">
        <v>43952</v>
      </c>
      <c r="C67">
        <v>5</v>
      </c>
    </row>
    <row r="68" spans="2:16" x14ac:dyDescent="0.2">
      <c r="B68" s="10">
        <v>43983</v>
      </c>
      <c r="C68">
        <v>3</v>
      </c>
    </row>
    <row r="69" spans="2:16" x14ac:dyDescent="0.2">
      <c r="B69" s="10">
        <v>44013</v>
      </c>
      <c r="C69">
        <v>2</v>
      </c>
      <c r="D69" s="11">
        <f>SUM(C69:C71)</f>
        <v>15</v>
      </c>
    </row>
    <row r="70" spans="2:16" x14ac:dyDescent="0.2">
      <c r="B70" s="10">
        <v>44044</v>
      </c>
      <c r="C70">
        <v>6</v>
      </c>
    </row>
    <row r="71" spans="2:16" x14ac:dyDescent="0.2">
      <c r="B71" s="10">
        <v>44075</v>
      </c>
      <c r="C71">
        <v>7</v>
      </c>
    </row>
    <row r="72" spans="2:16" x14ac:dyDescent="0.2">
      <c r="B72" s="10">
        <v>44105</v>
      </c>
      <c r="C72">
        <v>4</v>
      </c>
      <c r="D72" s="11">
        <f>SUM(C72:C74)</f>
        <v>10</v>
      </c>
    </row>
    <row r="73" spans="2:16" x14ac:dyDescent="0.2">
      <c r="B73" s="10">
        <v>44136</v>
      </c>
      <c r="C73">
        <v>5</v>
      </c>
    </row>
    <row r="74" spans="2:16" x14ac:dyDescent="0.2">
      <c r="B74" s="10">
        <v>44166</v>
      </c>
      <c r="C74">
        <v>1</v>
      </c>
      <c r="K74" s="23"/>
      <c r="L74" s="23"/>
      <c r="M74" s="23"/>
      <c r="N74" s="23"/>
      <c r="O74" s="23"/>
    </row>
    <row r="75" spans="2:16" x14ac:dyDescent="0.2">
      <c r="B75" s="10">
        <v>44197</v>
      </c>
      <c r="C75">
        <v>6</v>
      </c>
      <c r="D75" s="11">
        <f>SUM(C75:C77)</f>
        <v>23</v>
      </c>
      <c r="E75" s="26">
        <f>SUM(C75:C86)</f>
        <v>90</v>
      </c>
      <c r="P75" s="23"/>
    </row>
    <row r="76" spans="2:16" x14ac:dyDescent="0.2">
      <c r="B76" s="10">
        <v>44228</v>
      </c>
      <c r="C76">
        <v>5</v>
      </c>
    </row>
    <row r="77" spans="2:16" x14ac:dyDescent="0.2">
      <c r="B77" s="10">
        <v>44256</v>
      </c>
      <c r="C77">
        <v>12</v>
      </c>
    </row>
    <row r="78" spans="2:16" x14ac:dyDescent="0.2">
      <c r="B78" s="10">
        <v>44287</v>
      </c>
      <c r="C78">
        <v>8</v>
      </c>
      <c r="D78" s="11">
        <f>SUM(C78:C80)</f>
        <v>23</v>
      </c>
    </row>
    <row r="79" spans="2:16" x14ac:dyDescent="0.2">
      <c r="B79" s="10">
        <v>44317</v>
      </c>
      <c r="C79">
        <v>3</v>
      </c>
    </row>
    <row r="80" spans="2:16" x14ac:dyDescent="0.2">
      <c r="B80" s="10">
        <v>44348</v>
      </c>
      <c r="C80">
        <v>12</v>
      </c>
    </row>
    <row r="81" spans="2:16" x14ac:dyDescent="0.2">
      <c r="B81" s="10">
        <v>44378</v>
      </c>
      <c r="C81">
        <v>9</v>
      </c>
      <c r="D81" s="11">
        <f>SUM(C81:C83)</f>
        <v>20</v>
      </c>
    </row>
    <row r="82" spans="2:16" x14ac:dyDescent="0.2">
      <c r="B82" s="10">
        <v>44409</v>
      </c>
      <c r="C82">
        <v>6</v>
      </c>
    </row>
    <row r="83" spans="2:16" x14ac:dyDescent="0.2">
      <c r="B83" s="10">
        <v>44440</v>
      </c>
      <c r="C83">
        <v>5</v>
      </c>
    </row>
    <row r="84" spans="2:16" x14ac:dyDescent="0.2">
      <c r="B84" s="10">
        <v>44470</v>
      </c>
      <c r="C84">
        <v>11</v>
      </c>
      <c r="D84" s="11">
        <f>SUM(C84:C86)</f>
        <v>24</v>
      </c>
    </row>
    <row r="85" spans="2:16" x14ac:dyDescent="0.2">
      <c r="B85" s="10">
        <v>44501</v>
      </c>
      <c r="C85">
        <v>7</v>
      </c>
      <c r="G85" s="25"/>
    </row>
    <row r="86" spans="2:16" x14ac:dyDescent="0.2">
      <c r="B86" s="10">
        <v>44531</v>
      </c>
      <c r="C86">
        <v>6</v>
      </c>
      <c r="G86" s="11"/>
      <c r="H86" s="11"/>
    </row>
    <row r="87" spans="2:16" x14ac:dyDescent="0.2">
      <c r="B87" s="10">
        <v>44562</v>
      </c>
      <c r="C87">
        <v>3</v>
      </c>
      <c r="D87" s="11">
        <f>SUM(C87:C89)</f>
        <v>44</v>
      </c>
      <c r="E87" s="26">
        <f>SUM(C87:C98)</f>
        <v>128</v>
      </c>
    </row>
    <row r="88" spans="2:16" x14ac:dyDescent="0.2">
      <c r="B88" s="10">
        <v>44593</v>
      </c>
      <c r="C88">
        <v>20</v>
      </c>
    </row>
    <row r="89" spans="2:16" x14ac:dyDescent="0.2">
      <c r="B89" s="10">
        <v>44621</v>
      </c>
      <c r="C89">
        <v>21</v>
      </c>
    </row>
    <row r="90" spans="2:16" x14ac:dyDescent="0.2">
      <c r="B90" s="10">
        <v>44652</v>
      </c>
      <c r="C90">
        <v>11</v>
      </c>
      <c r="D90" s="11">
        <f>SUM(C90:C92)</f>
        <v>33</v>
      </c>
    </row>
    <row r="91" spans="2:16" x14ac:dyDescent="0.2">
      <c r="B91" s="10">
        <v>44682</v>
      </c>
      <c r="C91">
        <v>12</v>
      </c>
    </row>
    <row r="92" spans="2:16" x14ac:dyDescent="0.2">
      <c r="B92" s="10">
        <v>44713</v>
      </c>
      <c r="C92">
        <v>10</v>
      </c>
    </row>
    <row r="93" spans="2:16" x14ac:dyDescent="0.2">
      <c r="B93" s="10">
        <v>44743</v>
      </c>
      <c r="C93">
        <v>6</v>
      </c>
      <c r="D93" s="11">
        <f>SUM(C93:C95)</f>
        <v>25</v>
      </c>
    </row>
    <row r="94" spans="2:16" x14ac:dyDescent="0.2">
      <c r="B94" s="10">
        <v>44774</v>
      </c>
      <c r="C94">
        <v>7</v>
      </c>
      <c r="K94" s="22"/>
      <c r="L94" s="22"/>
      <c r="M94" s="22"/>
      <c r="N94" s="22"/>
      <c r="O94" s="22"/>
    </row>
    <row r="95" spans="2:16" x14ac:dyDescent="0.2">
      <c r="B95" s="10">
        <v>44805</v>
      </c>
      <c r="C95">
        <v>12</v>
      </c>
      <c r="K95" s="22"/>
      <c r="L95" s="22"/>
      <c r="M95" s="22"/>
      <c r="N95" s="22"/>
      <c r="O95" s="22"/>
      <c r="P95" s="22"/>
    </row>
    <row r="96" spans="2:16" x14ac:dyDescent="0.2">
      <c r="B96" s="10">
        <v>44835</v>
      </c>
      <c r="C96">
        <v>6</v>
      </c>
      <c r="D96" s="11">
        <f>SUM(C96:C98)</f>
        <v>26</v>
      </c>
      <c r="K96" s="22"/>
      <c r="L96" s="22"/>
      <c r="M96" s="22"/>
      <c r="N96" s="22"/>
      <c r="O96" s="22"/>
      <c r="P96" s="22"/>
    </row>
    <row r="97" spans="2:16" x14ac:dyDescent="0.2">
      <c r="B97" s="10">
        <v>44866</v>
      </c>
      <c r="C97">
        <v>11</v>
      </c>
      <c r="K97" s="22"/>
      <c r="L97" s="22"/>
      <c r="M97" s="22"/>
      <c r="N97" s="22"/>
      <c r="O97" s="22"/>
      <c r="P97" s="22"/>
    </row>
    <row r="98" spans="2:16" x14ac:dyDescent="0.2">
      <c r="B98" s="10">
        <v>44896</v>
      </c>
      <c r="C98">
        <v>9</v>
      </c>
      <c r="K98" s="22"/>
      <c r="L98" s="22"/>
      <c r="M98" s="22"/>
      <c r="N98" s="22"/>
      <c r="O98" s="22"/>
      <c r="P98" s="22"/>
    </row>
    <row r="99" spans="2:16" x14ac:dyDescent="0.2">
      <c r="B99" s="10">
        <v>44927</v>
      </c>
      <c r="C99">
        <v>10</v>
      </c>
      <c r="D99" s="11">
        <f>SUM(C99:C101)</f>
        <v>27</v>
      </c>
      <c r="E99" s="26">
        <f>SUM(C99:C110)</f>
        <v>90</v>
      </c>
      <c r="K99" s="22"/>
      <c r="L99" s="22"/>
      <c r="M99" s="22"/>
      <c r="N99" s="22"/>
      <c r="O99" s="22"/>
      <c r="P99" s="22"/>
    </row>
    <row r="100" spans="2:16" x14ac:dyDescent="0.2">
      <c r="B100" s="10">
        <v>44958</v>
      </c>
      <c r="C100">
        <v>11</v>
      </c>
      <c r="K100" s="22"/>
      <c r="L100" s="22"/>
      <c r="M100" s="22"/>
      <c r="N100" s="22"/>
      <c r="O100" s="22"/>
      <c r="P100" s="22"/>
    </row>
    <row r="101" spans="2:16" x14ac:dyDescent="0.2">
      <c r="B101" s="10">
        <v>44986</v>
      </c>
      <c r="C101">
        <v>6</v>
      </c>
      <c r="K101" s="22"/>
      <c r="L101" s="22"/>
      <c r="M101" s="22"/>
      <c r="N101" s="22"/>
      <c r="O101" s="22"/>
      <c r="P101" s="22"/>
    </row>
    <row r="102" spans="2:16" x14ac:dyDescent="0.2">
      <c r="B102" s="10">
        <v>45017</v>
      </c>
      <c r="C102">
        <v>7</v>
      </c>
      <c r="D102" s="11">
        <f>SUM(C102:C104)</f>
        <v>24</v>
      </c>
      <c r="K102" s="22"/>
      <c r="L102" s="22"/>
      <c r="M102" s="22"/>
      <c r="N102" s="22"/>
      <c r="O102" s="22"/>
      <c r="P102" s="22"/>
    </row>
    <row r="103" spans="2:16" x14ac:dyDescent="0.2">
      <c r="B103" s="10">
        <v>45047</v>
      </c>
      <c r="C103">
        <v>4</v>
      </c>
      <c r="K103" s="22"/>
      <c r="L103" s="22"/>
      <c r="M103" s="22"/>
      <c r="N103" s="22"/>
      <c r="O103" s="22"/>
      <c r="P103" s="22"/>
    </row>
    <row r="104" spans="2:16" x14ac:dyDescent="0.2">
      <c r="B104" s="10">
        <v>45078</v>
      </c>
      <c r="C104">
        <v>13</v>
      </c>
      <c r="K104" s="22"/>
      <c r="L104" s="22"/>
      <c r="M104" s="22"/>
      <c r="N104" s="22"/>
      <c r="O104" s="22"/>
      <c r="P104" s="22"/>
    </row>
    <row r="105" spans="2:16" x14ac:dyDescent="0.2">
      <c r="B105" s="10">
        <v>45108</v>
      </c>
      <c r="C105">
        <v>17</v>
      </c>
      <c r="D105" s="11">
        <f>SUM(C105:C107)</f>
        <v>26</v>
      </c>
      <c r="K105" s="22"/>
      <c r="L105" s="22"/>
      <c r="M105" s="22"/>
      <c r="N105" s="22"/>
      <c r="O105" s="22"/>
      <c r="P105" s="22"/>
    </row>
    <row r="106" spans="2:16" x14ac:dyDescent="0.2">
      <c r="B106" s="10">
        <v>45139</v>
      </c>
      <c r="C106">
        <v>6</v>
      </c>
      <c r="K106" s="26"/>
      <c r="L106" s="26"/>
      <c r="M106" s="26"/>
      <c r="N106" s="26"/>
      <c r="O106" s="26"/>
      <c r="P106" s="22"/>
    </row>
    <row r="107" spans="2:16" x14ac:dyDescent="0.2">
      <c r="B107" s="10">
        <v>45170</v>
      </c>
      <c r="C107">
        <v>3</v>
      </c>
      <c r="K107" s="26"/>
      <c r="L107" s="26"/>
      <c r="M107" s="26"/>
      <c r="N107" s="26"/>
      <c r="O107" s="26"/>
      <c r="P107" s="26"/>
    </row>
    <row r="108" spans="2:16" x14ac:dyDescent="0.2">
      <c r="B108" s="10">
        <v>45200</v>
      </c>
      <c r="C108">
        <v>4</v>
      </c>
      <c r="D108" s="11">
        <f>SUM(C108:C110)</f>
        <v>13</v>
      </c>
      <c r="K108" s="26"/>
      <c r="L108" s="26"/>
      <c r="M108" s="26"/>
      <c r="N108" s="26"/>
      <c r="O108" s="26"/>
      <c r="P108" s="26"/>
    </row>
    <row r="109" spans="2:16" x14ac:dyDescent="0.2">
      <c r="B109" s="10">
        <v>45231</v>
      </c>
      <c r="C109">
        <v>7</v>
      </c>
      <c r="K109" s="26"/>
      <c r="L109" s="26"/>
      <c r="M109" s="26"/>
      <c r="N109" s="26"/>
      <c r="O109" s="26"/>
      <c r="P109" s="26"/>
    </row>
    <row r="110" spans="2:16" x14ac:dyDescent="0.2">
      <c r="B110" s="10">
        <v>45261</v>
      </c>
      <c r="C110">
        <v>2</v>
      </c>
      <c r="K110" s="26"/>
      <c r="L110" s="26"/>
      <c r="M110" s="26"/>
      <c r="N110" s="26"/>
      <c r="O110" s="26"/>
      <c r="P110" s="26"/>
    </row>
    <row r="111" spans="2:16" x14ac:dyDescent="0.2">
      <c r="B111" s="10">
        <v>45292</v>
      </c>
      <c r="C111">
        <v>1</v>
      </c>
      <c r="D111" s="11">
        <f>SUM(C111:C113)</f>
        <v>17</v>
      </c>
      <c r="E111" s="26">
        <f>SUM(C111:C122)</f>
        <v>115</v>
      </c>
      <c r="K111" s="26"/>
      <c r="L111" s="26"/>
      <c r="M111" s="26"/>
      <c r="N111" s="26"/>
      <c r="O111" s="26"/>
      <c r="P111" s="26"/>
    </row>
    <row r="112" spans="2:16" x14ac:dyDescent="0.2">
      <c r="B112" s="10">
        <v>45323</v>
      </c>
      <c r="C112">
        <v>7</v>
      </c>
      <c r="D112" s="26"/>
      <c r="E112" s="26"/>
      <c r="K112" s="26"/>
      <c r="L112" s="26"/>
      <c r="M112" s="26"/>
      <c r="N112" s="26"/>
      <c r="O112" s="26"/>
      <c r="P112" s="26"/>
    </row>
    <row r="113" spans="2:16" x14ac:dyDescent="0.2">
      <c r="B113" s="10">
        <v>45352</v>
      </c>
      <c r="C113">
        <v>9</v>
      </c>
      <c r="D113" s="26"/>
      <c r="E113" s="26"/>
      <c r="K113" s="26"/>
      <c r="L113" s="26"/>
      <c r="M113" s="26"/>
      <c r="N113" s="26"/>
      <c r="O113" s="26"/>
      <c r="P113" s="26"/>
    </row>
    <row r="114" spans="2:16" x14ac:dyDescent="0.2">
      <c r="B114" s="10">
        <v>45383</v>
      </c>
      <c r="C114">
        <v>10</v>
      </c>
      <c r="D114" s="11">
        <f>SUM(C114:C116)</f>
        <v>28</v>
      </c>
      <c r="E114" s="26"/>
      <c r="K114" s="26"/>
      <c r="L114" s="26"/>
      <c r="M114" s="26"/>
      <c r="N114" s="26"/>
      <c r="O114" s="26"/>
      <c r="P114" s="26"/>
    </row>
    <row r="115" spans="2:16" x14ac:dyDescent="0.2">
      <c r="B115" s="10">
        <v>45413</v>
      </c>
      <c r="C115">
        <v>13</v>
      </c>
      <c r="D115" s="26"/>
      <c r="E115" s="26"/>
      <c r="K115" s="22"/>
      <c r="L115" s="22"/>
      <c r="M115" s="22"/>
      <c r="N115" s="22"/>
      <c r="O115" s="22"/>
      <c r="P115" s="26"/>
    </row>
    <row r="116" spans="2:16" x14ac:dyDescent="0.2">
      <c r="B116" s="10">
        <v>45444</v>
      </c>
      <c r="C116">
        <v>5</v>
      </c>
      <c r="D116" s="26"/>
      <c r="E116" s="26"/>
      <c r="P116" s="22"/>
    </row>
    <row r="117" spans="2:16" x14ac:dyDescent="0.2">
      <c r="B117" s="10">
        <v>45474</v>
      </c>
      <c r="C117">
        <v>22</v>
      </c>
      <c r="D117" s="11">
        <f>SUM(C117:C119)</f>
        <v>41</v>
      </c>
      <c r="E117" s="26"/>
    </row>
    <row r="118" spans="2:16" x14ac:dyDescent="0.2">
      <c r="B118" s="10">
        <v>45505</v>
      </c>
      <c r="C118">
        <v>14</v>
      </c>
      <c r="D118" s="26"/>
      <c r="E118" s="26"/>
    </row>
    <row r="119" spans="2:16" x14ac:dyDescent="0.2">
      <c r="B119" s="10">
        <v>45536</v>
      </c>
      <c r="C119">
        <v>5</v>
      </c>
      <c r="D119" s="26"/>
      <c r="E119" s="26"/>
    </row>
    <row r="120" spans="2:16" x14ac:dyDescent="0.2">
      <c r="B120" s="10">
        <v>45566</v>
      </c>
      <c r="C120">
        <v>10</v>
      </c>
      <c r="D120" s="11">
        <f>SUM(C120:C122)</f>
        <v>29</v>
      </c>
      <c r="E120" s="26"/>
    </row>
    <row r="121" spans="2:16" x14ac:dyDescent="0.2">
      <c r="B121" s="10">
        <v>45597</v>
      </c>
      <c r="C121">
        <v>12</v>
      </c>
    </row>
    <row r="122" spans="2:16" x14ac:dyDescent="0.2">
      <c r="B122" s="10">
        <v>45627</v>
      </c>
      <c r="C122">
        <v>7</v>
      </c>
    </row>
    <row r="123" spans="2:16" x14ac:dyDescent="0.2">
      <c r="B123" s="10">
        <v>45658</v>
      </c>
      <c r="C123">
        <v>17</v>
      </c>
      <c r="D123" s="11">
        <f>SUM(C123:C125)</f>
        <v>45</v>
      </c>
      <c r="E123" s="26">
        <f>SUM(C123:C134)</f>
        <v>129</v>
      </c>
    </row>
    <row r="124" spans="2:16" x14ac:dyDescent="0.2">
      <c r="B124" s="10">
        <v>45689</v>
      </c>
      <c r="C124">
        <v>14</v>
      </c>
    </row>
    <row r="125" spans="2:16" x14ac:dyDescent="0.2">
      <c r="B125" s="10">
        <v>45717</v>
      </c>
      <c r="C125">
        <v>14</v>
      </c>
    </row>
    <row r="126" spans="2:16" x14ac:dyDescent="0.2">
      <c r="B126" s="10">
        <v>45748</v>
      </c>
      <c r="C126">
        <v>8</v>
      </c>
      <c r="D126" s="11">
        <f>SUM(C126:C128)</f>
        <v>42</v>
      </c>
    </row>
    <row r="127" spans="2:16" x14ac:dyDescent="0.2">
      <c r="B127" s="10">
        <v>45778</v>
      </c>
      <c r="C127">
        <v>20</v>
      </c>
      <c r="D127" s="11"/>
    </row>
    <row r="128" spans="2:16" x14ac:dyDescent="0.2">
      <c r="B128" s="10">
        <v>45809</v>
      </c>
      <c r="C128">
        <v>14</v>
      </c>
    </row>
    <row r="129" spans="2:4" x14ac:dyDescent="0.2">
      <c r="B129" s="10">
        <v>45839</v>
      </c>
      <c r="C129">
        <v>7</v>
      </c>
      <c r="D129" s="11">
        <f>SUM(C129:C131)</f>
        <v>21</v>
      </c>
    </row>
    <row r="130" spans="2:4" x14ac:dyDescent="0.2">
      <c r="B130" s="10">
        <v>45870</v>
      </c>
      <c r="C130">
        <v>11</v>
      </c>
    </row>
    <row r="131" spans="2:4" x14ac:dyDescent="0.2">
      <c r="B131" s="10">
        <v>45901</v>
      </c>
      <c r="C131">
        <v>3</v>
      </c>
    </row>
    <row r="132" spans="2:4" x14ac:dyDescent="0.2">
      <c r="B132" s="10">
        <v>45931</v>
      </c>
      <c r="C132">
        <v>11</v>
      </c>
      <c r="D132" s="11">
        <f>SUM(C132:C134)</f>
        <v>21</v>
      </c>
    </row>
    <row r="133" spans="2:4" x14ac:dyDescent="0.2">
      <c r="B133" s="10">
        <v>45962</v>
      </c>
      <c r="C133">
        <v>2</v>
      </c>
    </row>
    <row r="134" spans="2:4" x14ac:dyDescent="0.2">
      <c r="B134" s="10">
        <v>45992</v>
      </c>
      <c r="C134">
        <v>8</v>
      </c>
    </row>
    <row r="135" spans="2:4" x14ac:dyDescent="0.2">
      <c r="B135" s="10">
        <v>46023</v>
      </c>
    </row>
    <row r="136" spans="2:4" x14ac:dyDescent="0.2">
      <c r="B136" s="10">
        <v>46054</v>
      </c>
    </row>
    <row r="137" spans="2:4" x14ac:dyDescent="0.2">
      <c r="B137" s="10">
        <v>46082</v>
      </c>
    </row>
    <row r="138" spans="2:4" x14ac:dyDescent="0.2">
      <c r="B138" s="10">
        <v>46113</v>
      </c>
    </row>
    <row r="139" spans="2:4" x14ac:dyDescent="0.2">
      <c r="B139" s="10">
        <v>46143</v>
      </c>
    </row>
    <row r="140" spans="2:4" x14ac:dyDescent="0.2">
      <c r="B140" s="10">
        <v>46174</v>
      </c>
    </row>
    <row r="141" spans="2:4" x14ac:dyDescent="0.2">
      <c r="B141" s="10">
        <v>46204</v>
      </c>
    </row>
    <row r="142" spans="2:4" x14ac:dyDescent="0.2">
      <c r="B142" s="10">
        <v>46235</v>
      </c>
    </row>
    <row r="143" spans="2:4" x14ac:dyDescent="0.2">
      <c r="B143" s="10">
        <v>46266</v>
      </c>
    </row>
    <row r="144" spans="2:4" x14ac:dyDescent="0.2">
      <c r="B144" s="10">
        <v>46296</v>
      </c>
    </row>
    <row r="145" spans="2:2" x14ac:dyDescent="0.2">
      <c r="B145" s="10">
        <v>46327</v>
      </c>
    </row>
    <row r="146" spans="2:2" x14ac:dyDescent="0.2">
      <c r="B146" s="10">
        <v>46357</v>
      </c>
    </row>
    <row r="147" spans="2:2" x14ac:dyDescent="0.2">
      <c r="B147" s="10">
        <v>46388</v>
      </c>
    </row>
    <row r="148" spans="2:2" x14ac:dyDescent="0.2">
      <c r="B148" s="10">
        <v>46419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312"/>
  <sheetViews>
    <sheetView rightToLeft="1" topLeftCell="E1" zoomScale="115" zoomScaleNormal="115" workbookViewId="0">
      <pane ySplit="1" topLeftCell="A539" activePane="bottomLeft" state="frozen"/>
      <selection pane="bottomLeft" activeCell="K552" sqref="K552"/>
    </sheetView>
  </sheetViews>
  <sheetFormatPr defaultRowHeight="14.25" x14ac:dyDescent="0.2"/>
  <cols>
    <col min="1" max="1" width="9.75" customWidth="1"/>
    <col min="5" max="5" width="13.875" customWidth="1"/>
    <col min="6" max="6" width="6.375" bestFit="1" customWidth="1"/>
    <col min="7" max="7" width="6.25" bestFit="1" customWidth="1"/>
    <col min="8" max="8" width="9.25" bestFit="1" customWidth="1"/>
    <col min="9" max="9" width="19.125" customWidth="1"/>
    <col min="10" max="10" width="71.625" style="46" customWidth="1"/>
    <col min="11" max="11" width="70.875" style="26" customWidth="1"/>
    <col min="12" max="12" width="8.875" style="26"/>
  </cols>
  <sheetData>
    <row r="1" spans="1:14" x14ac:dyDescent="0.2">
      <c r="A1" t="s">
        <v>247</v>
      </c>
      <c r="B1" t="s">
        <v>248</v>
      </c>
      <c r="C1" s="58" t="s">
        <v>649</v>
      </c>
      <c r="E1" s="42" t="s">
        <v>250</v>
      </c>
      <c r="F1" s="42" t="s">
        <v>305</v>
      </c>
      <c r="G1" s="41" t="s">
        <v>251</v>
      </c>
      <c r="H1" s="42" t="s">
        <v>252</v>
      </c>
      <c r="I1" s="64" t="s">
        <v>304</v>
      </c>
      <c r="J1" s="37" t="s">
        <v>746</v>
      </c>
      <c r="K1" s="108" t="s">
        <v>56</v>
      </c>
      <c r="N1" s="26"/>
    </row>
    <row r="2" spans="1:14" x14ac:dyDescent="0.2">
      <c r="E2" s="123" t="s">
        <v>2063</v>
      </c>
      <c r="F2" s="43">
        <f>COUNTIF(H:H,1)</f>
        <v>93</v>
      </c>
      <c r="G2" s="43">
        <f>'Event summary'!A2</f>
        <v>1</v>
      </c>
      <c r="H2" s="43">
        <f>MIN(TYPE(SEARCH($E$2,'Event summary'!C2)),TYPE(SEARCH($E$2,'Event summary'!D2)))</f>
        <v>16</v>
      </c>
      <c r="I2" s="65" t="str">
        <f>IF(H2=1,$E$2,"")</f>
        <v/>
      </c>
      <c r="J2" s="66" t="str">
        <f>IF($H2=1,'Event summary'!C2,"")</f>
        <v/>
      </c>
      <c r="K2" s="66" t="str">
        <f>IF($H2=1,'Event summary'!D2,"")</f>
        <v/>
      </c>
      <c r="M2" s="26"/>
      <c r="N2" s="26"/>
    </row>
    <row r="3" spans="1:14" x14ac:dyDescent="0.2">
      <c r="A3" s="46" t="s">
        <v>10</v>
      </c>
      <c r="B3" s="46">
        <f>COUNTIF('Incident Reporting'!$D:$D,$A3)</f>
        <v>129</v>
      </c>
      <c r="C3" s="49">
        <f>B3/$B$13</f>
        <v>0.14827586206896551</v>
      </c>
      <c r="D3" s="26"/>
      <c r="E3" s="26"/>
      <c r="F3" s="26"/>
      <c r="G3" s="29">
        <f>'Event summary'!A3</f>
        <v>2</v>
      </c>
      <c r="H3" s="43">
        <f>MIN(TYPE(SEARCH($E$2,'Event summary'!C3)),TYPE(SEARCH($E$2,'Event summary'!D3)))</f>
        <v>16</v>
      </c>
      <c r="I3" s="65" t="str">
        <f t="shared" ref="I3:I66" si="0">IF(H3=1,$E$2,"")</f>
        <v/>
      </c>
      <c r="J3" s="66" t="str">
        <f>IF($H3=1,'Event summary'!C3,"")</f>
        <v/>
      </c>
      <c r="K3" s="66" t="str">
        <f>IF($H3=1,'Event summary'!D3,"")</f>
        <v/>
      </c>
      <c r="M3" s="26"/>
      <c r="N3" s="26"/>
    </row>
    <row r="4" spans="1:14" x14ac:dyDescent="0.2">
      <c r="A4" s="46" t="s">
        <v>11</v>
      </c>
      <c r="B4" s="46">
        <f>COUNTIF('Incident Reporting'!$D:$D,$A4)</f>
        <v>156</v>
      </c>
      <c r="C4" s="49">
        <f t="shared" ref="C4:C12" si="1">B4/$B$13</f>
        <v>0.1793103448275862</v>
      </c>
      <c r="D4" s="26"/>
      <c r="E4" s="26"/>
      <c r="F4" s="26"/>
      <c r="G4" s="29">
        <f>'Event summary'!A4</f>
        <v>3</v>
      </c>
      <c r="H4" s="43">
        <f>MIN(TYPE(SEARCH($E$2,'Event summary'!C4)),TYPE(SEARCH($E$2,'Event summary'!D4)))</f>
        <v>16</v>
      </c>
      <c r="I4" s="65" t="str">
        <f t="shared" si="0"/>
        <v/>
      </c>
      <c r="J4" s="66" t="str">
        <f>IF($H4=1,'Event summary'!C4,"")</f>
        <v/>
      </c>
      <c r="K4" s="66" t="str">
        <f>IF($H4=1,'Event summary'!D4,"")</f>
        <v/>
      </c>
      <c r="M4" s="26"/>
      <c r="N4" s="26"/>
    </row>
    <row r="5" spans="1:14" x14ac:dyDescent="0.2">
      <c r="A5" s="46" t="s">
        <v>12</v>
      </c>
      <c r="B5" s="46">
        <f>COUNTIF('Incident Reporting'!$D:$D,$A5)</f>
        <v>30</v>
      </c>
      <c r="C5" s="49">
        <f t="shared" si="1"/>
        <v>3.4482758620689655E-2</v>
      </c>
      <c r="D5" s="26"/>
      <c r="E5" s="26"/>
      <c r="F5" s="26"/>
      <c r="G5" s="29">
        <f>'Event summary'!A5</f>
        <v>4</v>
      </c>
      <c r="H5" s="43">
        <f>MIN(TYPE(SEARCH($E$2,'Event summary'!C5)),TYPE(SEARCH($E$2,'Event summary'!D5)))</f>
        <v>16</v>
      </c>
      <c r="I5" s="65" t="str">
        <f t="shared" si="0"/>
        <v/>
      </c>
      <c r="J5" s="66" t="str">
        <f>IF($H5=1,'Event summary'!C5,"")</f>
        <v/>
      </c>
      <c r="K5" s="66" t="str">
        <f>IF($H5=1,'Event summary'!D5,"")</f>
        <v/>
      </c>
      <c r="M5" s="26"/>
      <c r="N5" s="26"/>
    </row>
    <row r="6" spans="1:14" x14ac:dyDescent="0.2">
      <c r="A6" s="46" t="s">
        <v>13</v>
      </c>
      <c r="B6" s="46">
        <f>COUNTIF('Incident Reporting'!$D:$D,$A6)</f>
        <v>78</v>
      </c>
      <c r="C6" s="49">
        <f t="shared" si="1"/>
        <v>8.9655172413793102E-2</v>
      </c>
      <c r="D6" s="26"/>
      <c r="E6" s="26"/>
      <c r="F6" s="26"/>
      <c r="G6" s="29">
        <f>'Event summary'!A6</f>
        <v>5</v>
      </c>
      <c r="H6" s="43">
        <f>MIN(TYPE(SEARCH($E$2,'Event summary'!C6)),TYPE(SEARCH($E$2,'Event summary'!D6)))</f>
        <v>16</v>
      </c>
      <c r="I6" s="65" t="str">
        <f t="shared" si="0"/>
        <v/>
      </c>
      <c r="J6" s="66" t="str">
        <f>IF($H6=1,'Event summary'!C6,"")</f>
        <v/>
      </c>
      <c r="K6" s="66" t="str">
        <f>IF($H6=1,'Event summary'!D6,"")</f>
        <v/>
      </c>
      <c r="M6" s="26"/>
      <c r="N6" s="26"/>
    </row>
    <row r="7" spans="1:14" x14ac:dyDescent="0.2">
      <c r="A7" s="46" t="s">
        <v>14</v>
      </c>
      <c r="B7" s="46">
        <f>COUNTIF('Incident Reporting'!$D:$D,$A7)</f>
        <v>50</v>
      </c>
      <c r="C7" s="49">
        <f t="shared" si="1"/>
        <v>5.7471264367816091E-2</v>
      </c>
      <c r="D7" s="26"/>
      <c r="E7" s="26"/>
      <c r="F7" s="26"/>
      <c r="G7" s="29">
        <f>'Event summary'!A7</f>
        <v>6</v>
      </c>
      <c r="H7" s="43">
        <f>MIN(TYPE(SEARCH($E$2,'Event summary'!C7)),TYPE(SEARCH($E$2,'Event summary'!D7)))</f>
        <v>16</v>
      </c>
      <c r="I7" s="65" t="str">
        <f t="shared" si="0"/>
        <v/>
      </c>
      <c r="J7" s="66" t="str">
        <f>IF($H7=1,'Event summary'!C7,"")</f>
        <v/>
      </c>
      <c r="K7" s="66" t="str">
        <f>IF($H7=1,'Event summary'!D7,"")</f>
        <v/>
      </c>
      <c r="M7" s="26"/>
      <c r="N7" s="26"/>
    </row>
    <row r="8" spans="1:14" x14ac:dyDescent="0.2">
      <c r="A8" s="46" t="s">
        <v>15</v>
      </c>
      <c r="B8" s="46">
        <f>COUNTIF('Incident Reporting'!$D:$D,$A8)</f>
        <v>64</v>
      </c>
      <c r="C8" s="49">
        <f t="shared" si="1"/>
        <v>7.3563218390804597E-2</v>
      </c>
      <c r="D8" s="26"/>
      <c r="E8" s="26"/>
      <c r="F8" s="26"/>
      <c r="G8" s="29">
        <f>'Event summary'!A8</f>
        <v>7</v>
      </c>
      <c r="H8" s="43">
        <f>MIN(TYPE(SEARCH($E$2,'Event summary'!C8)),TYPE(SEARCH($E$2,'Event summary'!D8)))</f>
        <v>16</v>
      </c>
      <c r="I8" s="65" t="str">
        <f t="shared" si="0"/>
        <v/>
      </c>
      <c r="J8" s="66" t="str">
        <f>IF($H8=1,'Event summary'!C8,"")</f>
        <v/>
      </c>
      <c r="K8" s="66" t="str">
        <f>IF($H8=1,'Event summary'!D8,"")</f>
        <v/>
      </c>
      <c r="M8" s="26"/>
      <c r="N8" s="26"/>
    </row>
    <row r="9" spans="1:14" x14ac:dyDescent="0.2">
      <c r="A9" s="46" t="s">
        <v>16</v>
      </c>
      <c r="B9" s="46">
        <f>COUNTIF('Incident Reporting'!$D:$D,$A9)</f>
        <v>95</v>
      </c>
      <c r="C9" s="49">
        <f t="shared" si="1"/>
        <v>0.10919540229885058</v>
      </c>
      <c r="D9" s="26"/>
      <c r="E9" s="26"/>
      <c r="F9" s="26"/>
      <c r="G9" s="29">
        <f>'Event summary'!A9</f>
        <v>8</v>
      </c>
      <c r="H9" s="43">
        <f>MIN(TYPE(SEARCH($E$2,'Event summary'!C9)),TYPE(SEARCH($E$2,'Event summary'!D9)))</f>
        <v>16</v>
      </c>
      <c r="I9" s="65" t="str">
        <f t="shared" si="0"/>
        <v/>
      </c>
      <c r="J9" s="66" t="str">
        <f>IF($H9=1,'Event summary'!C9,"")</f>
        <v/>
      </c>
      <c r="K9" s="66" t="str">
        <f>IF($H9=1,'Event summary'!D9,"")</f>
        <v/>
      </c>
      <c r="M9" s="26"/>
      <c r="N9" s="26"/>
    </row>
    <row r="10" spans="1:14" x14ac:dyDescent="0.2">
      <c r="A10" s="46" t="s">
        <v>17</v>
      </c>
      <c r="B10" s="46">
        <f>COUNTIF('Incident Reporting'!$D:$D,$A10)</f>
        <v>235</v>
      </c>
      <c r="C10" s="49">
        <f t="shared" si="1"/>
        <v>0.27011494252873564</v>
      </c>
      <c r="D10" s="26"/>
      <c r="E10" s="26"/>
      <c r="F10" s="26"/>
      <c r="G10" s="29">
        <f>'Event summary'!A10</f>
        <v>9</v>
      </c>
      <c r="H10" s="43">
        <f>MIN(TYPE(SEARCH($E$2,'Event summary'!C10)),TYPE(SEARCH($E$2,'Event summary'!D10)))</f>
        <v>16</v>
      </c>
      <c r="I10" s="65" t="str">
        <f t="shared" si="0"/>
        <v/>
      </c>
      <c r="J10" s="66" t="str">
        <f>IF($H10=1,'Event summary'!C10,"")</f>
        <v/>
      </c>
      <c r="K10" s="66" t="str">
        <f>IF($H10=1,'Event summary'!D10,"")</f>
        <v/>
      </c>
      <c r="M10" s="26"/>
      <c r="N10" s="26"/>
    </row>
    <row r="11" spans="1:14" x14ac:dyDescent="0.2">
      <c r="A11" s="46" t="s">
        <v>18</v>
      </c>
      <c r="B11" s="46">
        <f>COUNTIF('Incident Reporting'!$D:$D,$A11)</f>
        <v>12</v>
      </c>
      <c r="C11" s="49">
        <f t="shared" si="1"/>
        <v>1.3793103448275862E-2</v>
      </c>
      <c r="D11" s="26"/>
      <c r="E11" s="26"/>
      <c r="F11" s="26"/>
      <c r="G11" s="29">
        <f>'Event summary'!A11</f>
        <v>10</v>
      </c>
      <c r="H11" s="43">
        <f>MIN(TYPE(SEARCH($E$2,'Event summary'!C11)),TYPE(SEARCH($E$2,'Event summary'!D11)))</f>
        <v>16</v>
      </c>
      <c r="I11" s="65" t="str">
        <f t="shared" si="0"/>
        <v/>
      </c>
      <c r="J11" s="66" t="str">
        <f>IF($H11=1,'Event summary'!C11,"")</f>
        <v/>
      </c>
      <c r="K11" s="66" t="str">
        <f>IF($H11=1,'Event summary'!D11,"")</f>
        <v/>
      </c>
      <c r="M11" s="26"/>
      <c r="N11" s="26"/>
    </row>
    <row r="12" spans="1:14" x14ac:dyDescent="0.2">
      <c r="A12" s="46" t="s">
        <v>19</v>
      </c>
      <c r="B12" s="46">
        <f>COUNTIF('Incident Reporting'!$D:$D,$A12)</f>
        <v>21</v>
      </c>
      <c r="C12" s="49">
        <f t="shared" si="1"/>
        <v>2.4137931034482758E-2</v>
      </c>
      <c r="D12" s="26"/>
      <c r="E12" s="26"/>
      <c r="F12" s="26"/>
      <c r="G12" s="29">
        <f>'Event summary'!A12</f>
        <v>11</v>
      </c>
      <c r="H12" s="43">
        <f>MIN(TYPE(SEARCH($E$2,'Event summary'!C12)),TYPE(SEARCH($E$2,'Event summary'!D12)))</f>
        <v>16</v>
      </c>
      <c r="I12" s="65" t="str">
        <f t="shared" si="0"/>
        <v/>
      </c>
      <c r="J12" s="66" t="str">
        <f>IF($H12=1,'Event summary'!C12,"")</f>
        <v/>
      </c>
      <c r="K12" s="66" t="str">
        <f>IF($H12=1,'Event summary'!D12,"")</f>
        <v/>
      </c>
      <c r="M12" s="26"/>
      <c r="N12" s="26"/>
    </row>
    <row r="13" spans="1:14" x14ac:dyDescent="0.2">
      <c r="A13" s="46" t="s">
        <v>249</v>
      </c>
      <c r="B13" s="46">
        <f>SUM(B3:B12)</f>
        <v>870</v>
      </c>
      <c r="F13" s="26"/>
      <c r="G13" s="29">
        <f>'Event summary'!A13</f>
        <v>12</v>
      </c>
      <c r="H13" s="43">
        <f>MIN(TYPE(SEARCH($E$2,'Event summary'!C13)),TYPE(SEARCH($E$2,'Event summary'!D13)))</f>
        <v>16</v>
      </c>
      <c r="I13" s="65" t="str">
        <f t="shared" si="0"/>
        <v/>
      </c>
      <c r="J13" s="66" t="str">
        <f>IF($H13=1,'Event summary'!C13,"")</f>
        <v/>
      </c>
      <c r="K13" s="66" t="str">
        <f>IF($H13=1,'Event summary'!D13,"")</f>
        <v/>
      </c>
      <c r="M13" s="26"/>
      <c r="N13" s="26"/>
    </row>
    <row r="14" spans="1:14" x14ac:dyDescent="0.2">
      <c r="F14" s="26"/>
      <c r="G14" s="29">
        <f>'Event summary'!A14</f>
        <v>13</v>
      </c>
      <c r="H14" s="43">
        <f>MIN(TYPE(SEARCH($E$2,'Event summary'!C14)),TYPE(SEARCH($E$2,'Event summary'!D14)))</f>
        <v>16</v>
      </c>
      <c r="I14" s="65" t="str">
        <f t="shared" si="0"/>
        <v/>
      </c>
      <c r="J14" s="66" t="str">
        <f>IF($H14=1,'Event summary'!C14,"")</f>
        <v/>
      </c>
      <c r="K14" s="66" t="str">
        <f>IF($H14=1,'Event summary'!D14,"")</f>
        <v/>
      </c>
      <c r="M14" s="26"/>
      <c r="N14" s="26"/>
    </row>
    <row r="15" spans="1:14" x14ac:dyDescent="0.2">
      <c r="F15" s="26"/>
      <c r="G15" s="29">
        <f>'Event summary'!A15</f>
        <v>14</v>
      </c>
      <c r="H15" s="43">
        <f>MIN(TYPE(SEARCH($E$2,'Event summary'!C15)),TYPE(SEARCH($E$2,'Event summary'!D15)))</f>
        <v>16</v>
      </c>
      <c r="I15" s="65" t="str">
        <f t="shared" si="0"/>
        <v/>
      </c>
      <c r="J15" s="66" t="str">
        <f>IF($H15=1,'Event summary'!C15,"")</f>
        <v/>
      </c>
      <c r="K15" s="66" t="str">
        <f>IF($H15=1,'Event summary'!D15,"")</f>
        <v/>
      </c>
      <c r="M15" s="26"/>
      <c r="N15" s="26"/>
    </row>
    <row r="16" spans="1:14" x14ac:dyDescent="0.2">
      <c r="A16" s="26"/>
      <c r="B16" s="26"/>
      <c r="F16" s="26"/>
      <c r="G16" s="29">
        <f>'Event summary'!A16</f>
        <v>15</v>
      </c>
      <c r="H16" s="43">
        <f>MIN(TYPE(SEARCH($E$2,'Event summary'!C16)),TYPE(SEARCH($E$2,'Event summary'!D16)))</f>
        <v>16</v>
      </c>
      <c r="I16" s="65" t="str">
        <f t="shared" si="0"/>
        <v/>
      </c>
      <c r="J16" s="66" t="str">
        <f>IF($H16=1,'Event summary'!C16,"")</f>
        <v/>
      </c>
      <c r="K16" s="66" t="str">
        <f>IF($H16=1,'Event summary'!D16,"")</f>
        <v/>
      </c>
      <c r="M16" s="26"/>
      <c r="N16" s="26"/>
    </row>
    <row r="17" spans="1:14" x14ac:dyDescent="0.2">
      <c r="A17" s="26"/>
      <c r="B17" s="26"/>
      <c r="F17" s="26"/>
      <c r="G17" s="29">
        <f>'Event summary'!A17</f>
        <v>16</v>
      </c>
      <c r="H17" s="43">
        <f>MIN(TYPE(SEARCH($E$2,'Event summary'!C17)),TYPE(SEARCH($E$2,'Event summary'!D17)))</f>
        <v>16</v>
      </c>
      <c r="I17" s="65" t="str">
        <f t="shared" si="0"/>
        <v/>
      </c>
      <c r="J17" s="66" t="str">
        <f>IF($H17=1,'Event summary'!C17,"")</f>
        <v/>
      </c>
      <c r="K17" s="66" t="str">
        <f>IF($H17=1,'Event summary'!D17,"")</f>
        <v/>
      </c>
      <c r="M17" s="26"/>
      <c r="N17" s="26"/>
    </row>
    <row r="18" spans="1:14" x14ac:dyDescent="0.2">
      <c r="A18" s="26"/>
      <c r="B18" s="26"/>
      <c r="F18" s="26"/>
      <c r="G18" s="29">
        <f>'Event summary'!A18</f>
        <v>17</v>
      </c>
      <c r="H18" s="43">
        <f>MIN(TYPE(SEARCH($E$2,'Event summary'!C18)),TYPE(SEARCH($E$2,'Event summary'!D18)))</f>
        <v>16</v>
      </c>
      <c r="I18" s="65" t="str">
        <f t="shared" si="0"/>
        <v/>
      </c>
      <c r="J18" s="66" t="str">
        <f>IF($H18=1,'Event summary'!C18,"")</f>
        <v/>
      </c>
      <c r="K18" s="66" t="str">
        <f>IF($H18=1,'Event summary'!D18,"")</f>
        <v/>
      </c>
      <c r="M18" s="26"/>
      <c r="N18" s="26"/>
    </row>
    <row r="19" spans="1:14" x14ac:dyDescent="0.2">
      <c r="A19" s="26"/>
      <c r="B19" s="26"/>
      <c r="F19" s="26"/>
      <c r="G19" s="29">
        <f>'Event summary'!A19</f>
        <v>18</v>
      </c>
      <c r="H19" s="43">
        <f>MIN(TYPE(SEARCH($E$2,'Event summary'!C19)),TYPE(SEARCH($E$2,'Event summary'!D19)))</f>
        <v>16</v>
      </c>
      <c r="I19" s="65" t="str">
        <f t="shared" si="0"/>
        <v/>
      </c>
      <c r="J19" s="66" t="str">
        <f>IF($H19=1,'Event summary'!C19,"")</f>
        <v/>
      </c>
      <c r="K19" s="66" t="str">
        <f>IF($H19=1,'Event summary'!D19,"")</f>
        <v/>
      </c>
      <c r="M19" s="26"/>
      <c r="N19" s="26"/>
    </row>
    <row r="20" spans="1:14" x14ac:dyDescent="0.2">
      <c r="A20" s="26"/>
      <c r="B20" s="26"/>
      <c r="F20" s="26"/>
      <c r="G20" s="29">
        <f>'Event summary'!A20</f>
        <v>19</v>
      </c>
      <c r="H20" s="43">
        <f>MIN(TYPE(SEARCH($E$2,'Event summary'!C20)),TYPE(SEARCH($E$2,'Event summary'!D20)))</f>
        <v>16</v>
      </c>
      <c r="I20" s="65" t="str">
        <f t="shared" si="0"/>
        <v/>
      </c>
      <c r="J20" s="66" t="str">
        <f>IF($H20=1,'Event summary'!C20,"")</f>
        <v/>
      </c>
      <c r="K20" s="66" t="str">
        <f>IF($H20=1,'Event summary'!D20,"")</f>
        <v/>
      </c>
      <c r="M20" s="26"/>
      <c r="N20" s="26"/>
    </row>
    <row r="21" spans="1:14" x14ac:dyDescent="0.2">
      <c r="A21" s="26"/>
      <c r="B21" s="26"/>
      <c r="F21" s="26"/>
      <c r="G21" s="29">
        <f>'Event summary'!A21</f>
        <v>20</v>
      </c>
      <c r="H21" s="43">
        <f>MIN(TYPE(SEARCH($E$2,'Event summary'!C21)),TYPE(SEARCH($E$2,'Event summary'!D21)))</f>
        <v>16</v>
      </c>
      <c r="I21" s="65" t="str">
        <f t="shared" si="0"/>
        <v/>
      </c>
      <c r="J21" s="66" t="str">
        <f>IF($H21=1,'Event summary'!C21,"")</f>
        <v/>
      </c>
      <c r="K21" s="66" t="str">
        <f>IF($H21=1,'Event summary'!D21,"")</f>
        <v/>
      </c>
      <c r="M21" s="26"/>
      <c r="N21" s="26"/>
    </row>
    <row r="22" spans="1:14" x14ac:dyDescent="0.2">
      <c r="A22" s="26"/>
      <c r="B22" s="26"/>
      <c r="F22" s="26"/>
      <c r="G22" s="29">
        <f>'Event summary'!A22</f>
        <v>21</v>
      </c>
      <c r="H22" s="43">
        <f>MIN(TYPE(SEARCH($E$2,'Event summary'!C22)),TYPE(SEARCH($E$2,'Event summary'!D22)))</f>
        <v>16</v>
      </c>
      <c r="I22" s="65" t="str">
        <f t="shared" si="0"/>
        <v/>
      </c>
      <c r="J22" s="66" t="str">
        <f>IF($H22=1,'Event summary'!C22,"")</f>
        <v/>
      </c>
      <c r="K22" s="66" t="str">
        <f>IF($H22=1,'Event summary'!D22,"")</f>
        <v/>
      </c>
      <c r="M22" s="26"/>
      <c r="N22" s="26"/>
    </row>
    <row r="23" spans="1:14" x14ac:dyDescent="0.2">
      <c r="A23" s="26"/>
      <c r="B23" s="26"/>
      <c r="F23" s="26"/>
      <c r="G23" s="29">
        <f>'Event summary'!A23</f>
        <v>22</v>
      </c>
      <c r="H23" s="43">
        <f>MIN(TYPE(SEARCH($E$2,'Event summary'!C23)),TYPE(SEARCH($E$2,'Event summary'!D23)))</f>
        <v>16</v>
      </c>
      <c r="I23" s="65" t="str">
        <f t="shared" si="0"/>
        <v/>
      </c>
      <c r="J23" s="66" t="str">
        <f>IF($H23=1,'Event summary'!C23,"")</f>
        <v/>
      </c>
      <c r="K23" s="66" t="str">
        <f>IF($H23=1,'Event summary'!D23,"")</f>
        <v/>
      </c>
      <c r="M23" s="26"/>
      <c r="N23" s="26"/>
    </row>
    <row r="24" spans="1:14" x14ac:dyDescent="0.2">
      <c r="A24" s="26"/>
      <c r="B24" s="26"/>
      <c r="F24" s="26"/>
      <c r="G24" s="29">
        <f>'Event summary'!A24</f>
        <v>23</v>
      </c>
      <c r="H24" s="43">
        <f>MIN(TYPE(SEARCH($E$2,'Event summary'!C24)),TYPE(SEARCH($E$2,'Event summary'!D24)))</f>
        <v>16</v>
      </c>
      <c r="I24" s="65" t="str">
        <f t="shared" si="0"/>
        <v/>
      </c>
      <c r="J24" s="66" t="str">
        <f>IF($H24=1,'Event summary'!C24,"")</f>
        <v/>
      </c>
      <c r="K24" s="66" t="str">
        <f>IF($H24=1,'Event summary'!D24,"")</f>
        <v/>
      </c>
      <c r="M24" s="26"/>
      <c r="N24" s="26"/>
    </row>
    <row r="25" spans="1:14" x14ac:dyDescent="0.2">
      <c r="A25" s="26"/>
      <c r="B25" s="26"/>
      <c r="F25" s="26"/>
      <c r="G25" s="29">
        <f>'Event summary'!A25</f>
        <v>24</v>
      </c>
      <c r="H25" s="43">
        <f>MIN(TYPE(SEARCH($E$2,'Event summary'!C25)),TYPE(SEARCH($E$2,'Event summary'!D25)))</f>
        <v>16</v>
      </c>
      <c r="I25" s="65" t="str">
        <f t="shared" si="0"/>
        <v/>
      </c>
      <c r="J25" s="66" t="str">
        <f>IF($H25=1,'Event summary'!C25,"")</f>
        <v/>
      </c>
      <c r="K25" s="66" t="str">
        <f>IF($H25=1,'Event summary'!D25,"")</f>
        <v/>
      </c>
      <c r="M25" s="26"/>
      <c r="N25" s="26"/>
    </row>
    <row r="26" spans="1:14" x14ac:dyDescent="0.2">
      <c r="A26" s="26"/>
      <c r="B26" s="26"/>
      <c r="F26" s="26"/>
      <c r="G26" s="29">
        <f>'Event summary'!A26</f>
        <v>25</v>
      </c>
      <c r="H26" s="43">
        <f>MIN(TYPE(SEARCH($E$2,'Event summary'!C26)),TYPE(SEARCH($E$2,'Event summary'!D26)))</f>
        <v>16</v>
      </c>
      <c r="I26" s="65" t="str">
        <f t="shared" si="0"/>
        <v/>
      </c>
      <c r="J26" s="66" t="str">
        <f>IF($H26=1,'Event summary'!C26,"")</f>
        <v/>
      </c>
      <c r="K26" s="66" t="str">
        <f>IF($H26=1,'Event summary'!D26,"")</f>
        <v/>
      </c>
      <c r="M26" s="26"/>
      <c r="N26" s="26"/>
    </row>
    <row r="27" spans="1:14" x14ac:dyDescent="0.2">
      <c r="A27" s="26"/>
      <c r="B27" s="26"/>
      <c r="F27" s="26"/>
      <c r="G27" s="29">
        <f>'Event summary'!A27</f>
        <v>26</v>
      </c>
      <c r="H27" s="43">
        <f>MIN(TYPE(SEARCH($E$2,'Event summary'!C27)),TYPE(SEARCH($E$2,'Event summary'!D27)))</f>
        <v>16</v>
      </c>
      <c r="I27" s="65" t="str">
        <f t="shared" si="0"/>
        <v/>
      </c>
      <c r="J27" s="66" t="str">
        <f>IF($H27=1,'Event summary'!C27,"")</f>
        <v/>
      </c>
      <c r="K27" s="66" t="str">
        <f>IF($H27=1,'Event summary'!D27,"")</f>
        <v/>
      </c>
      <c r="M27" s="26"/>
      <c r="N27" s="26"/>
    </row>
    <row r="28" spans="1:14" x14ac:dyDescent="0.2">
      <c r="A28" s="26"/>
      <c r="B28" s="26"/>
      <c r="F28" s="26"/>
      <c r="G28" s="29">
        <f>'Event summary'!A28</f>
        <v>27</v>
      </c>
      <c r="H28" s="43">
        <f>MIN(TYPE(SEARCH($E$2,'Event summary'!C28)),TYPE(SEARCH($E$2,'Event summary'!D28)))</f>
        <v>16</v>
      </c>
      <c r="I28" s="65" t="str">
        <f t="shared" si="0"/>
        <v/>
      </c>
      <c r="J28" s="66" t="str">
        <f>IF($H28=1,'Event summary'!C28,"")</f>
        <v/>
      </c>
      <c r="K28" s="66" t="str">
        <f>IF($H28=1,'Event summary'!D28,"")</f>
        <v/>
      </c>
      <c r="M28" s="26"/>
      <c r="N28" s="26"/>
    </row>
    <row r="29" spans="1:14" x14ac:dyDescent="0.2">
      <c r="A29" s="26"/>
      <c r="B29" s="26"/>
      <c r="F29" s="26"/>
      <c r="G29" s="29">
        <f>'Event summary'!A29</f>
        <v>28</v>
      </c>
      <c r="H29" s="43">
        <f>MIN(TYPE(SEARCH($E$2,'Event summary'!C29)),TYPE(SEARCH($E$2,'Event summary'!D29)))</f>
        <v>16</v>
      </c>
      <c r="I29" s="65" t="str">
        <f t="shared" si="0"/>
        <v/>
      </c>
      <c r="J29" s="66" t="str">
        <f>IF($H29=1,'Event summary'!C29,"")</f>
        <v/>
      </c>
      <c r="K29" s="66" t="str">
        <f>IF($H29=1,'Event summary'!D29,"")</f>
        <v/>
      </c>
      <c r="M29" s="26"/>
      <c r="N29" s="26"/>
    </row>
    <row r="30" spans="1:14" x14ac:dyDescent="0.2">
      <c r="A30" s="26"/>
      <c r="B30" s="26"/>
      <c r="F30" s="26"/>
      <c r="G30" s="29">
        <f>'Event summary'!A30</f>
        <v>29</v>
      </c>
      <c r="H30" s="43">
        <f>MIN(TYPE(SEARCH($E$2,'Event summary'!C30)),TYPE(SEARCH($E$2,'Event summary'!D30)))</f>
        <v>16</v>
      </c>
      <c r="I30" s="65" t="str">
        <f t="shared" si="0"/>
        <v/>
      </c>
      <c r="J30" s="66" t="str">
        <f>IF($H30=1,'Event summary'!C30,"")</f>
        <v/>
      </c>
      <c r="K30" s="66" t="str">
        <f>IF($H30=1,'Event summary'!D30,"")</f>
        <v/>
      </c>
      <c r="M30" s="26"/>
      <c r="N30" s="26"/>
    </row>
    <row r="31" spans="1:14" x14ac:dyDescent="0.2">
      <c r="A31" s="26"/>
      <c r="B31" s="26"/>
      <c r="F31" s="26"/>
      <c r="G31" s="29">
        <f>'Event summary'!A31</f>
        <v>30</v>
      </c>
      <c r="H31" s="43">
        <f>MIN(TYPE(SEARCH($E$2,'Event summary'!C31)),TYPE(SEARCH($E$2,'Event summary'!D31)))</f>
        <v>16</v>
      </c>
      <c r="I31" s="65" t="str">
        <f t="shared" si="0"/>
        <v/>
      </c>
      <c r="J31" s="66" t="str">
        <f>IF($H31=1,'Event summary'!C31,"")</f>
        <v/>
      </c>
      <c r="K31" s="66" t="str">
        <f>IF($H31=1,'Event summary'!D31,"")</f>
        <v/>
      </c>
      <c r="M31" s="26"/>
      <c r="N31" s="26"/>
    </row>
    <row r="32" spans="1:14" x14ac:dyDescent="0.2">
      <c r="A32" s="26"/>
      <c r="B32" s="26"/>
      <c r="F32" s="26"/>
      <c r="G32" s="29">
        <f>'Event summary'!A32</f>
        <v>31</v>
      </c>
      <c r="H32" s="43">
        <f>MIN(TYPE(SEARCH($E$2,'Event summary'!C32)),TYPE(SEARCH($E$2,'Event summary'!D32)))</f>
        <v>16</v>
      </c>
      <c r="I32" s="65" t="str">
        <f t="shared" si="0"/>
        <v/>
      </c>
      <c r="J32" s="66" t="str">
        <f>IF($H32=1,'Event summary'!C32,"")</f>
        <v/>
      </c>
      <c r="K32" s="66" t="str">
        <f>IF($H32=1,'Event summary'!D32,"")</f>
        <v/>
      </c>
      <c r="M32" s="26"/>
      <c r="N32" s="26"/>
    </row>
    <row r="33" spans="1:14" x14ac:dyDescent="0.2">
      <c r="A33" s="26"/>
      <c r="B33" s="26"/>
      <c r="F33" s="26"/>
      <c r="G33" s="29">
        <f>'Event summary'!A33</f>
        <v>32</v>
      </c>
      <c r="H33" s="43">
        <f>MIN(TYPE(SEARCH($E$2,'Event summary'!C33)),TYPE(SEARCH($E$2,'Event summary'!D33)))</f>
        <v>16</v>
      </c>
      <c r="I33" s="65" t="str">
        <f t="shared" si="0"/>
        <v/>
      </c>
      <c r="J33" s="66" t="str">
        <f>IF($H33=1,'Event summary'!C33,"")</f>
        <v/>
      </c>
      <c r="K33" s="66" t="str">
        <f>IF($H33=1,'Event summary'!D33,"")</f>
        <v/>
      </c>
      <c r="M33" s="26"/>
      <c r="N33" s="26"/>
    </row>
    <row r="34" spans="1:14" x14ac:dyDescent="0.2">
      <c r="A34" s="26"/>
      <c r="B34" s="26"/>
      <c r="F34" s="26"/>
      <c r="G34" s="29">
        <f>'Event summary'!A34</f>
        <v>33</v>
      </c>
      <c r="H34" s="43">
        <f>MIN(TYPE(SEARCH($E$2,'Event summary'!C34)),TYPE(SEARCH($E$2,'Event summary'!D34)))</f>
        <v>16</v>
      </c>
      <c r="I34" s="65" t="str">
        <f t="shared" si="0"/>
        <v/>
      </c>
      <c r="J34" s="66" t="str">
        <f>IF($H34=1,'Event summary'!C34,"")</f>
        <v/>
      </c>
      <c r="K34" s="66" t="str">
        <f>IF($H34=1,'Event summary'!D34,"")</f>
        <v/>
      </c>
      <c r="M34" s="26"/>
      <c r="N34" s="26"/>
    </row>
    <row r="35" spans="1:14" x14ac:dyDescent="0.2">
      <c r="A35" s="26"/>
      <c r="B35" s="26"/>
      <c r="F35" s="26"/>
      <c r="G35" s="29">
        <f>'Event summary'!A35</f>
        <v>34</v>
      </c>
      <c r="H35" s="43">
        <f>MIN(TYPE(SEARCH($E$2,'Event summary'!C35)),TYPE(SEARCH($E$2,'Event summary'!D35)))</f>
        <v>16</v>
      </c>
      <c r="I35" s="65" t="str">
        <f t="shared" si="0"/>
        <v/>
      </c>
      <c r="J35" s="66" t="str">
        <f>IF($H35=1,'Event summary'!C35,"")</f>
        <v/>
      </c>
      <c r="K35" s="66" t="str">
        <f>IF($H35=1,'Event summary'!D35,"")</f>
        <v/>
      </c>
      <c r="M35" s="26"/>
      <c r="N35" s="26"/>
    </row>
    <row r="36" spans="1:14" x14ac:dyDescent="0.2">
      <c r="A36" s="26"/>
      <c r="B36" s="26"/>
      <c r="F36" s="26"/>
      <c r="G36" s="29">
        <f>'Event summary'!A36</f>
        <v>35</v>
      </c>
      <c r="H36" s="43">
        <f>MIN(TYPE(SEARCH($E$2,'Event summary'!C36)),TYPE(SEARCH($E$2,'Event summary'!D36)))</f>
        <v>16</v>
      </c>
      <c r="I36" s="65" t="str">
        <f t="shared" si="0"/>
        <v/>
      </c>
      <c r="J36" s="66" t="str">
        <f>IF($H36=1,'Event summary'!C36,"")</f>
        <v/>
      </c>
      <c r="K36" s="66" t="str">
        <f>IF($H36=1,'Event summary'!D36,"")</f>
        <v/>
      </c>
      <c r="M36" s="26"/>
      <c r="N36" s="26"/>
    </row>
    <row r="37" spans="1:14" x14ac:dyDescent="0.2">
      <c r="A37" s="26"/>
      <c r="B37" s="26"/>
      <c r="F37" s="26"/>
      <c r="G37" s="29">
        <f>'Event summary'!A37</f>
        <v>36</v>
      </c>
      <c r="H37" s="43">
        <f>MIN(TYPE(SEARCH($E$2,'Event summary'!C37)),TYPE(SEARCH($E$2,'Event summary'!D37)))</f>
        <v>16</v>
      </c>
      <c r="I37" s="65" t="str">
        <f t="shared" si="0"/>
        <v/>
      </c>
      <c r="J37" s="66" t="str">
        <f>IF($H37=1,'Event summary'!C37,"")</f>
        <v/>
      </c>
      <c r="K37" s="66" t="str">
        <f>IF($H37=1,'Event summary'!D37,"")</f>
        <v/>
      </c>
      <c r="M37" s="26"/>
      <c r="N37" s="26"/>
    </row>
    <row r="38" spans="1:14" x14ac:dyDescent="0.2">
      <c r="A38" s="26"/>
      <c r="B38" s="26"/>
      <c r="F38" s="26"/>
      <c r="G38" s="29">
        <f>'Event summary'!A38</f>
        <v>37</v>
      </c>
      <c r="H38" s="43">
        <f>MIN(TYPE(SEARCH($E$2,'Event summary'!C38)),TYPE(SEARCH($E$2,'Event summary'!D38)))</f>
        <v>16</v>
      </c>
      <c r="I38" s="65" t="str">
        <f t="shared" si="0"/>
        <v/>
      </c>
      <c r="J38" s="66" t="str">
        <f>IF($H38=1,'Event summary'!C38,"")</f>
        <v/>
      </c>
      <c r="K38" s="66" t="str">
        <f>IF($H38=1,'Event summary'!D38,"")</f>
        <v/>
      </c>
      <c r="M38" s="26"/>
      <c r="N38" s="26"/>
    </row>
    <row r="39" spans="1:14" x14ac:dyDescent="0.2">
      <c r="A39" s="26"/>
      <c r="B39" s="26"/>
      <c r="F39" s="26"/>
      <c r="G39" s="29">
        <f>'Event summary'!A39</f>
        <v>38</v>
      </c>
      <c r="H39" s="43">
        <f>MIN(TYPE(SEARCH($E$2,'Event summary'!C39)),TYPE(SEARCH($E$2,'Event summary'!D39)))</f>
        <v>16</v>
      </c>
      <c r="I39" s="65" t="str">
        <f t="shared" si="0"/>
        <v/>
      </c>
      <c r="J39" s="66" t="str">
        <f>IF($H39=1,'Event summary'!C39,"")</f>
        <v/>
      </c>
      <c r="K39" s="66" t="str">
        <f>IF($H39=1,'Event summary'!D39,"")</f>
        <v/>
      </c>
      <c r="M39" s="26"/>
      <c r="N39" s="26"/>
    </row>
    <row r="40" spans="1:14" x14ac:dyDescent="0.2">
      <c r="A40" s="26"/>
      <c r="B40" s="26"/>
      <c r="F40" s="26"/>
      <c r="G40" s="29">
        <f>'Event summary'!A40</f>
        <v>39</v>
      </c>
      <c r="H40" s="43">
        <f>MIN(TYPE(SEARCH($E$2,'Event summary'!C40)),TYPE(SEARCH($E$2,'Event summary'!D40)))</f>
        <v>16</v>
      </c>
      <c r="I40" s="65" t="str">
        <f t="shared" si="0"/>
        <v/>
      </c>
      <c r="J40" s="66" t="str">
        <f>IF($H40=1,'Event summary'!C40,"")</f>
        <v/>
      </c>
      <c r="K40" s="66" t="str">
        <f>IF($H40=1,'Event summary'!D40,"")</f>
        <v/>
      </c>
      <c r="M40" s="26"/>
      <c r="N40" s="26"/>
    </row>
    <row r="41" spans="1:14" x14ac:dyDescent="0.2">
      <c r="A41" s="26"/>
      <c r="B41" s="26"/>
      <c r="F41" s="26"/>
      <c r="G41" s="29">
        <f>'Event summary'!A41</f>
        <v>40</v>
      </c>
      <c r="H41" s="43">
        <f>MIN(TYPE(SEARCH($E$2,'Event summary'!C41)),TYPE(SEARCH($E$2,'Event summary'!D41)))</f>
        <v>16</v>
      </c>
      <c r="I41" s="65" t="str">
        <f t="shared" si="0"/>
        <v/>
      </c>
      <c r="J41" s="66" t="str">
        <f>IF($H41=1,'Event summary'!C41,"")</f>
        <v/>
      </c>
      <c r="K41" s="66" t="str">
        <f>IF($H41=1,'Event summary'!D41,"")</f>
        <v/>
      </c>
      <c r="M41" s="26"/>
      <c r="N41" s="26"/>
    </row>
    <row r="42" spans="1:14" x14ac:dyDescent="0.2">
      <c r="A42" s="26"/>
      <c r="B42" s="26"/>
      <c r="F42" s="26"/>
      <c r="G42" s="29">
        <f>'Event summary'!A42</f>
        <v>41</v>
      </c>
      <c r="H42" s="43">
        <f>MIN(TYPE(SEARCH($E$2,'Event summary'!C42)),TYPE(SEARCH($E$2,'Event summary'!D42)))</f>
        <v>16</v>
      </c>
      <c r="I42" s="65" t="str">
        <f t="shared" si="0"/>
        <v/>
      </c>
      <c r="J42" s="66" t="str">
        <f>IF($H42=1,'Event summary'!C42,"")</f>
        <v/>
      </c>
      <c r="K42" s="66" t="str">
        <f>IF($H42=1,'Event summary'!D42,"")</f>
        <v/>
      </c>
      <c r="M42" s="26"/>
      <c r="N42" s="26"/>
    </row>
    <row r="43" spans="1:14" x14ac:dyDescent="0.2">
      <c r="A43" s="26"/>
      <c r="B43" s="26"/>
      <c r="F43" s="26"/>
      <c r="G43" s="29">
        <f>'Event summary'!A43</f>
        <v>42</v>
      </c>
      <c r="H43" s="43">
        <f>MIN(TYPE(SEARCH($E$2,'Event summary'!C43)),TYPE(SEARCH($E$2,'Event summary'!D43)))</f>
        <v>16</v>
      </c>
      <c r="I43" s="65" t="str">
        <f t="shared" si="0"/>
        <v/>
      </c>
      <c r="J43" s="66" t="str">
        <f>IF($H43=1,'Event summary'!C43,"")</f>
        <v/>
      </c>
      <c r="K43" s="66" t="str">
        <f>IF($H43=1,'Event summary'!D43,"")</f>
        <v/>
      </c>
      <c r="M43" s="26"/>
      <c r="N43" s="26"/>
    </row>
    <row r="44" spans="1:14" x14ac:dyDescent="0.2">
      <c r="A44" s="26"/>
      <c r="B44" s="26"/>
      <c r="F44" s="26"/>
      <c r="G44" s="29">
        <f>'Event summary'!A44</f>
        <v>43</v>
      </c>
      <c r="H44" s="43">
        <f>MIN(TYPE(SEARCH($E$2,'Event summary'!C44)),TYPE(SEARCH($E$2,'Event summary'!D44)))</f>
        <v>16</v>
      </c>
      <c r="I44" s="65" t="str">
        <f t="shared" si="0"/>
        <v/>
      </c>
      <c r="J44" s="66" t="str">
        <f>IF($H44=1,'Event summary'!C44,"")</f>
        <v/>
      </c>
      <c r="K44" s="66" t="str">
        <f>IF($H44=1,'Event summary'!D44,"")</f>
        <v/>
      </c>
      <c r="M44" s="26"/>
      <c r="N44" s="26"/>
    </row>
    <row r="45" spans="1:14" x14ac:dyDescent="0.2">
      <c r="A45" s="26"/>
      <c r="B45" s="26"/>
      <c r="F45" s="26"/>
      <c r="G45" s="29">
        <f>'Event summary'!A45</f>
        <v>44</v>
      </c>
      <c r="H45" s="43">
        <f>MIN(TYPE(SEARCH($E$2,'Event summary'!C45)),TYPE(SEARCH($E$2,'Event summary'!D45)))</f>
        <v>16</v>
      </c>
      <c r="I45" s="65" t="str">
        <f t="shared" si="0"/>
        <v/>
      </c>
      <c r="J45" s="66" t="str">
        <f>IF($H45=1,'Event summary'!C45,"")</f>
        <v/>
      </c>
      <c r="K45" s="66" t="str">
        <f>IF($H45=1,'Event summary'!D45,"")</f>
        <v/>
      </c>
      <c r="M45" s="26"/>
      <c r="N45" s="26"/>
    </row>
    <row r="46" spans="1:14" x14ac:dyDescent="0.2">
      <c r="A46" s="26"/>
      <c r="B46" s="26"/>
      <c r="F46" s="26"/>
      <c r="G46" s="29">
        <f>'Event summary'!A46</f>
        <v>45</v>
      </c>
      <c r="H46" s="43">
        <f>MIN(TYPE(SEARCH($E$2,'Event summary'!C46)),TYPE(SEARCH($E$2,'Event summary'!D46)))</f>
        <v>16</v>
      </c>
      <c r="I46" s="65" t="str">
        <f t="shared" si="0"/>
        <v/>
      </c>
      <c r="J46" s="66" t="str">
        <f>IF($H46=1,'Event summary'!C46,"")</f>
        <v/>
      </c>
      <c r="K46" s="66" t="str">
        <f>IF($H46=1,'Event summary'!D46,"")</f>
        <v/>
      </c>
      <c r="M46" s="26"/>
      <c r="N46" s="26"/>
    </row>
    <row r="47" spans="1:14" x14ac:dyDescent="0.2">
      <c r="A47" s="26"/>
      <c r="B47" s="26"/>
      <c r="F47" s="26"/>
      <c r="G47" s="29">
        <f>'Event summary'!A47</f>
        <v>46</v>
      </c>
      <c r="H47" s="43">
        <f>MIN(TYPE(SEARCH($E$2,'Event summary'!C47)),TYPE(SEARCH($E$2,'Event summary'!D47)))</f>
        <v>16</v>
      </c>
      <c r="I47" s="65" t="str">
        <f t="shared" si="0"/>
        <v/>
      </c>
      <c r="J47" s="66" t="str">
        <f>IF($H47=1,'Event summary'!C47,"")</f>
        <v/>
      </c>
      <c r="K47" s="66" t="str">
        <f>IF($H47=1,'Event summary'!D47,"")</f>
        <v/>
      </c>
      <c r="M47" s="26"/>
      <c r="N47" s="26"/>
    </row>
    <row r="48" spans="1:14" x14ac:dyDescent="0.2">
      <c r="A48" s="26"/>
      <c r="B48" s="26"/>
      <c r="F48" s="26"/>
      <c r="G48" s="29">
        <f>'Event summary'!A48</f>
        <v>47</v>
      </c>
      <c r="H48" s="43">
        <f>MIN(TYPE(SEARCH($E$2,'Event summary'!C48)),TYPE(SEARCH($E$2,'Event summary'!D48)))</f>
        <v>16</v>
      </c>
      <c r="I48" s="65" t="str">
        <f t="shared" si="0"/>
        <v/>
      </c>
      <c r="J48" s="66" t="str">
        <f>IF($H48=1,'Event summary'!C48,"")</f>
        <v/>
      </c>
      <c r="K48" s="66" t="str">
        <f>IF($H48=1,'Event summary'!D48,"")</f>
        <v/>
      </c>
      <c r="M48" s="26"/>
      <c r="N48" s="26"/>
    </row>
    <row r="49" spans="1:14" x14ac:dyDescent="0.2">
      <c r="A49" s="26"/>
      <c r="B49" s="26"/>
      <c r="F49" s="26"/>
      <c r="G49" s="29">
        <f>'Event summary'!A49</f>
        <v>48</v>
      </c>
      <c r="H49" s="43">
        <f>MIN(TYPE(SEARCH($E$2,'Event summary'!C49)),TYPE(SEARCH($E$2,'Event summary'!D49)))</f>
        <v>1</v>
      </c>
      <c r="I49" s="65" t="str">
        <f t="shared" si="0"/>
        <v>שינוי</v>
      </c>
      <c r="J49" s="66" t="str">
        <f>IF($H49=1,'Event summary'!C49,"")</f>
        <v>היעדר העברת מידע על שינוי מרכז</v>
      </c>
      <c r="K49" s="66">
        <f>IF($H49=1,'Event summary'!D49,"")</f>
        <v>0</v>
      </c>
      <c r="M49" s="26"/>
      <c r="N49" s="26"/>
    </row>
    <row r="50" spans="1:14" x14ac:dyDescent="0.2">
      <c r="A50" s="26"/>
      <c r="B50" s="26"/>
      <c r="F50" s="26"/>
      <c r="G50" s="29">
        <f>'Event summary'!A50</f>
        <v>49</v>
      </c>
      <c r="H50" s="43">
        <f>MIN(TYPE(SEARCH($E$2,'Event summary'!C50)),TYPE(SEARCH($E$2,'Event summary'!D50)))</f>
        <v>16</v>
      </c>
      <c r="I50" s="65" t="str">
        <f t="shared" si="0"/>
        <v/>
      </c>
      <c r="J50" s="66" t="str">
        <f>IF($H50=1,'Event summary'!C50,"")</f>
        <v/>
      </c>
      <c r="K50" s="66" t="str">
        <f>IF($H50=1,'Event summary'!D50,"")</f>
        <v/>
      </c>
      <c r="M50" s="26"/>
      <c r="N50" s="26"/>
    </row>
    <row r="51" spans="1:14" x14ac:dyDescent="0.2">
      <c r="A51" s="26"/>
      <c r="B51" s="26"/>
      <c r="F51" s="26"/>
      <c r="G51" s="29">
        <f>'Event summary'!A51</f>
        <v>50</v>
      </c>
      <c r="H51" s="43">
        <f>MIN(TYPE(SEARCH($E$2,'Event summary'!C51)),TYPE(SEARCH($E$2,'Event summary'!D51)))</f>
        <v>16</v>
      </c>
      <c r="I51" s="65" t="str">
        <f t="shared" si="0"/>
        <v/>
      </c>
      <c r="J51" s="66" t="str">
        <f>IF($H51=1,'Event summary'!C51,"")</f>
        <v/>
      </c>
      <c r="K51" s="66" t="str">
        <f>IF($H51=1,'Event summary'!D51,"")</f>
        <v/>
      </c>
      <c r="M51" s="26"/>
      <c r="N51" s="26"/>
    </row>
    <row r="52" spans="1:14" x14ac:dyDescent="0.2">
      <c r="A52" s="26"/>
      <c r="B52" s="26"/>
      <c r="F52" s="26"/>
      <c r="G52" s="29">
        <f>'Event summary'!A52</f>
        <v>51</v>
      </c>
      <c r="H52" s="43">
        <f>MIN(TYPE(SEARCH($E$2,'Event summary'!C52)),TYPE(SEARCH($E$2,'Event summary'!D52)))</f>
        <v>16</v>
      </c>
      <c r="I52" s="65" t="str">
        <f t="shared" si="0"/>
        <v/>
      </c>
      <c r="J52" s="66" t="str">
        <f>IF($H52=1,'Event summary'!C52,"")</f>
        <v/>
      </c>
      <c r="K52" s="66" t="str">
        <f>IF($H52=1,'Event summary'!D52,"")</f>
        <v/>
      </c>
      <c r="M52" s="26"/>
      <c r="N52" s="26"/>
    </row>
    <row r="53" spans="1:14" x14ac:dyDescent="0.2">
      <c r="A53" s="26"/>
      <c r="B53" s="26"/>
      <c r="F53" s="26"/>
      <c r="G53" s="29">
        <f>'Event summary'!A53</f>
        <v>52</v>
      </c>
      <c r="H53" s="43">
        <f>MIN(TYPE(SEARCH($E$2,'Event summary'!C53)),TYPE(SEARCH($E$2,'Event summary'!D53)))</f>
        <v>16</v>
      </c>
      <c r="I53" s="65" t="str">
        <f t="shared" si="0"/>
        <v/>
      </c>
      <c r="J53" s="66" t="str">
        <f>IF($H53=1,'Event summary'!C53,"")</f>
        <v/>
      </c>
      <c r="K53" s="66" t="str">
        <f>IF($H53=1,'Event summary'!D53,"")</f>
        <v/>
      </c>
      <c r="M53" s="26"/>
      <c r="N53" s="26"/>
    </row>
    <row r="54" spans="1:14" x14ac:dyDescent="0.2">
      <c r="A54" s="26"/>
      <c r="B54" s="26"/>
      <c r="F54" s="26"/>
      <c r="G54" s="29">
        <f>'Event summary'!A54</f>
        <v>53</v>
      </c>
      <c r="H54" s="43">
        <f>MIN(TYPE(SEARCH($E$2,'Event summary'!C54)),TYPE(SEARCH($E$2,'Event summary'!D54)))</f>
        <v>16</v>
      </c>
      <c r="I54" s="65" t="str">
        <f t="shared" si="0"/>
        <v/>
      </c>
      <c r="J54" s="66" t="str">
        <f>IF($H54=1,'Event summary'!C54,"")</f>
        <v/>
      </c>
      <c r="K54" s="66" t="str">
        <f>IF($H54=1,'Event summary'!D54,"")</f>
        <v/>
      </c>
      <c r="M54" s="26"/>
      <c r="N54" s="26"/>
    </row>
    <row r="55" spans="1:14" x14ac:dyDescent="0.2">
      <c r="A55" s="26"/>
      <c r="F55" s="26"/>
      <c r="G55" s="29">
        <f>'Event summary'!A55</f>
        <v>54</v>
      </c>
      <c r="H55" s="43">
        <f>MIN(TYPE(SEARCH($E$2,'Event summary'!C55)),TYPE(SEARCH($E$2,'Event summary'!D55)))</f>
        <v>16</v>
      </c>
      <c r="I55" s="65" t="str">
        <f t="shared" si="0"/>
        <v/>
      </c>
      <c r="J55" s="66" t="str">
        <f>IF($H55=1,'Event summary'!C55,"")</f>
        <v/>
      </c>
      <c r="K55" s="66" t="str">
        <f>IF($H55=1,'Event summary'!D55,"")</f>
        <v/>
      </c>
      <c r="M55" s="26"/>
      <c r="N55" s="26"/>
    </row>
    <row r="56" spans="1:14" x14ac:dyDescent="0.2">
      <c r="A56" s="26"/>
      <c r="F56" s="26"/>
      <c r="G56" s="29">
        <f>'Event summary'!A56</f>
        <v>55</v>
      </c>
      <c r="H56" s="43">
        <f>MIN(TYPE(SEARCH($E$2,'Event summary'!C56)),TYPE(SEARCH($E$2,'Event summary'!D56)))</f>
        <v>16</v>
      </c>
      <c r="I56" s="65" t="str">
        <f t="shared" si="0"/>
        <v/>
      </c>
      <c r="J56" s="66" t="str">
        <f>IF($H56=1,'Event summary'!C56,"")</f>
        <v/>
      </c>
      <c r="K56" s="66" t="str">
        <f>IF($H56=1,'Event summary'!D56,"")</f>
        <v/>
      </c>
      <c r="M56" s="26"/>
      <c r="N56" s="26"/>
    </row>
    <row r="57" spans="1:14" x14ac:dyDescent="0.2">
      <c r="A57" s="26"/>
      <c r="F57" s="26"/>
      <c r="G57" s="29">
        <f>'Event summary'!A57</f>
        <v>56</v>
      </c>
      <c r="H57" s="43">
        <f>MIN(TYPE(SEARCH($E$2,'Event summary'!C57)),TYPE(SEARCH($E$2,'Event summary'!D57)))</f>
        <v>16</v>
      </c>
      <c r="I57" s="65" t="str">
        <f t="shared" si="0"/>
        <v/>
      </c>
      <c r="J57" s="66" t="str">
        <f>IF($H57=1,'Event summary'!C57,"")</f>
        <v/>
      </c>
      <c r="K57" s="66" t="str">
        <f>IF($H57=1,'Event summary'!D57,"")</f>
        <v/>
      </c>
      <c r="M57" s="26"/>
      <c r="N57" s="26"/>
    </row>
    <row r="58" spans="1:14" x14ac:dyDescent="0.2">
      <c r="F58" s="26"/>
      <c r="G58" s="29">
        <f>'Event summary'!A58</f>
        <v>57</v>
      </c>
      <c r="H58" s="43">
        <f>MIN(TYPE(SEARCH($E$2,'Event summary'!C58)),TYPE(SEARCH($E$2,'Event summary'!D58)))</f>
        <v>16</v>
      </c>
      <c r="I58" s="65" t="str">
        <f t="shared" si="0"/>
        <v/>
      </c>
      <c r="J58" s="66" t="str">
        <f>IF($H58=1,'Event summary'!C58,"")</f>
        <v/>
      </c>
      <c r="K58" s="66" t="str">
        <f>IF($H58=1,'Event summary'!D58,"")</f>
        <v/>
      </c>
      <c r="M58" s="26"/>
      <c r="N58" s="26"/>
    </row>
    <row r="59" spans="1:14" x14ac:dyDescent="0.2">
      <c r="F59" s="26"/>
      <c r="G59" s="29">
        <f>'Event summary'!A59</f>
        <v>58</v>
      </c>
      <c r="H59" s="43">
        <f>MIN(TYPE(SEARCH($E$2,'Event summary'!C59)),TYPE(SEARCH($E$2,'Event summary'!D59)))</f>
        <v>16</v>
      </c>
      <c r="I59" s="65" t="str">
        <f t="shared" si="0"/>
        <v/>
      </c>
      <c r="J59" s="66" t="str">
        <f>IF($H59=1,'Event summary'!C59,"")</f>
        <v/>
      </c>
      <c r="K59" s="66" t="str">
        <f>IF($H59=1,'Event summary'!D59,"")</f>
        <v/>
      </c>
      <c r="M59" s="26"/>
      <c r="N59" s="26"/>
    </row>
    <row r="60" spans="1:14" ht="28.5" x14ac:dyDescent="0.2">
      <c r="F60" s="26"/>
      <c r="G60" s="29">
        <f>'Event summary'!A60</f>
        <v>59</v>
      </c>
      <c r="H60" s="43">
        <f>MIN(TYPE(SEARCH($E$2,'Event summary'!C60)),TYPE(SEARCH($E$2,'Event summary'!D60)))</f>
        <v>16</v>
      </c>
      <c r="I60" s="65" t="str">
        <f t="shared" si="0"/>
        <v/>
      </c>
      <c r="J60" s="66" t="str">
        <f>IF($H60=1,'Event summary'!C60,"")</f>
        <v/>
      </c>
      <c r="K60" s="66" t="str">
        <f>IF($H60=1,'Event summary'!D60,"")</f>
        <v/>
      </c>
      <c r="M60" s="26"/>
      <c r="N60" s="26"/>
    </row>
    <row r="61" spans="1:14" x14ac:dyDescent="0.2">
      <c r="F61" s="26"/>
      <c r="G61" s="29">
        <f>'Event summary'!A61</f>
        <v>60</v>
      </c>
      <c r="H61" s="43">
        <f>MIN(TYPE(SEARCH($E$2,'Event summary'!C61)),TYPE(SEARCH($E$2,'Event summary'!D61)))</f>
        <v>1</v>
      </c>
      <c r="I61" s="65" t="str">
        <f t="shared" si="0"/>
        <v>שינוי</v>
      </c>
      <c r="J61" s="66" t="str">
        <f>IF($H61=1,'Event summary'!C61,"")</f>
        <v xml:space="preserve">תקשורת לקויה - שינוי תוכנית, כשל אינפורמציה, </v>
      </c>
      <c r="K61" s="66">
        <f>IF($H61=1,'Event summary'!D61,"")</f>
        <v>0</v>
      </c>
      <c r="M61" s="26"/>
      <c r="N61" s="26"/>
    </row>
    <row r="62" spans="1:14" x14ac:dyDescent="0.2">
      <c r="F62" s="26"/>
      <c r="G62" s="29">
        <f>'Event summary'!A62</f>
        <v>61</v>
      </c>
      <c r="H62" s="43">
        <f>MIN(TYPE(SEARCH($E$2,'Event summary'!C62)),TYPE(SEARCH($E$2,'Event summary'!D62)))</f>
        <v>16</v>
      </c>
      <c r="I62" s="65" t="str">
        <f t="shared" si="0"/>
        <v/>
      </c>
      <c r="J62" s="66" t="str">
        <f>IF($H62=1,'Event summary'!C62,"")</f>
        <v/>
      </c>
      <c r="K62" s="66" t="str">
        <f>IF($H62=1,'Event summary'!D62,"")</f>
        <v/>
      </c>
      <c r="M62" s="26"/>
      <c r="N62" s="26"/>
    </row>
    <row r="63" spans="1:14" x14ac:dyDescent="0.2">
      <c r="F63" s="26"/>
      <c r="G63" s="29">
        <f>'Event summary'!A63</f>
        <v>62</v>
      </c>
      <c r="H63" s="43">
        <f>MIN(TYPE(SEARCH($E$2,'Event summary'!C63)),TYPE(SEARCH($E$2,'Event summary'!D63)))</f>
        <v>16</v>
      </c>
      <c r="I63" s="65" t="str">
        <f t="shared" si="0"/>
        <v/>
      </c>
      <c r="J63" s="66" t="str">
        <f>IF($H63=1,'Event summary'!C63,"")</f>
        <v/>
      </c>
      <c r="K63" s="66" t="str">
        <f>IF($H63=1,'Event summary'!D63,"")</f>
        <v/>
      </c>
      <c r="M63" s="26"/>
      <c r="N63" s="26"/>
    </row>
    <row r="64" spans="1:14" x14ac:dyDescent="0.2">
      <c r="F64" s="26"/>
      <c r="G64" s="29">
        <f>'Event summary'!A64</f>
        <v>63</v>
      </c>
      <c r="H64" s="43">
        <f>MIN(TYPE(SEARCH($E$2,'Event summary'!C64)),TYPE(SEARCH($E$2,'Event summary'!D64)))</f>
        <v>16</v>
      </c>
      <c r="I64" s="65" t="str">
        <f t="shared" si="0"/>
        <v/>
      </c>
      <c r="J64" s="66" t="str">
        <f>IF($H64=1,'Event summary'!C64,"")</f>
        <v/>
      </c>
      <c r="K64" s="66" t="str">
        <f>IF($H64=1,'Event summary'!D64,"")</f>
        <v/>
      </c>
      <c r="M64" s="26"/>
      <c r="N64" s="26"/>
    </row>
    <row r="65" spans="6:14" x14ac:dyDescent="0.2">
      <c r="F65" s="26"/>
      <c r="G65" s="29">
        <f>'Event summary'!A65</f>
        <v>64</v>
      </c>
      <c r="H65" s="43">
        <f>MIN(TYPE(SEARCH($E$2,'Event summary'!C65)),TYPE(SEARCH($E$2,'Event summary'!D65)))</f>
        <v>16</v>
      </c>
      <c r="I65" s="65" t="str">
        <f t="shared" si="0"/>
        <v/>
      </c>
      <c r="J65" s="66" t="str">
        <f>IF($H65=1,'Event summary'!C65,"")</f>
        <v/>
      </c>
      <c r="K65" s="66" t="str">
        <f>IF($H65=1,'Event summary'!D65,"")</f>
        <v/>
      </c>
      <c r="M65" s="26"/>
      <c r="N65" s="26"/>
    </row>
    <row r="66" spans="6:14" x14ac:dyDescent="0.2">
      <c r="F66" s="26"/>
      <c r="G66" s="29">
        <f>'Event summary'!A66</f>
        <v>65</v>
      </c>
      <c r="H66" s="43">
        <f>MIN(TYPE(SEARCH($E$2,'Event summary'!C66)),TYPE(SEARCH($E$2,'Event summary'!D66)))</f>
        <v>16</v>
      </c>
      <c r="I66" s="65" t="str">
        <f t="shared" si="0"/>
        <v/>
      </c>
      <c r="J66" s="66" t="str">
        <f>IF($H66=1,'Event summary'!C66,"")</f>
        <v/>
      </c>
      <c r="K66" s="66" t="str">
        <f>IF($H66=1,'Event summary'!D66,"")</f>
        <v/>
      </c>
      <c r="M66" s="26"/>
      <c r="N66" s="26"/>
    </row>
    <row r="67" spans="6:14" x14ac:dyDescent="0.2">
      <c r="F67" s="26"/>
      <c r="G67" s="29">
        <f>'Event summary'!A67</f>
        <v>66</v>
      </c>
      <c r="H67" s="43">
        <f>MIN(TYPE(SEARCH($E$2,'Event summary'!C67)),TYPE(SEARCH($E$2,'Event summary'!D67)))</f>
        <v>1</v>
      </c>
      <c r="I67" s="65" t="str">
        <f t="shared" ref="I67:I129" si="2">IF(H67=1,$E$2,"")</f>
        <v>שינוי</v>
      </c>
      <c r="J67" s="66" t="str">
        <f>IF($H67=1,'Event summary'!C67,"")</f>
        <v xml:space="preserve"> מתן טיפול באופן שגוי - שינוי עובי הבולוס במהלך הטיפול.</v>
      </c>
      <c r="K67" s="66">
        <f>IF($H67=1,'Event summary'!D67,"")</f>
        <v>0</v>
      </c>
      <c r="M67" s="26"/>
      <c r="N67" s="26"/>
    </row>
    <row r="68" spans="6:14" x14ac:dyDescent="0.2">
      <c r="F68" s="26"/>
      <c r="G68" s="29">
        <f>'Event summary'!A68</f>
        <v>67</v>
      </c>
      <c r="H68" s="43">
        <f>MIN(TYPE(SEARCH($E$2,'Event summary'!C68)),TYPE(SEARCH($E$2,'Event summary'!D68)))</f>
        <v>16</v>
      </c>
      <c r="I68" s="65" t="str">
        <f t="shared" si="2"/>
        <v/>
      </c>
      <c r="J68" s="66" t="str">
        <f>IF($H68=1,'Event summary'!C68,"")</f>
        <v/>
      </c>
      <c r="K68" s="66" t="str">
        <f>IF($H68=1,'Event summary'!D68,"")</f>
        <v/>
      </c>
      <c r="M68" s="26"/>
      <c r="N68" s="26"/>
    </row>
    <row r="69" spans="6:14" x14ac:dyDescent="0.2">
      <c r="F69" s="26"/>
      <c r="G69" s="29">
        <f>'Event summary'!A69</f>
        <v>68</v>
      </c>
      <c r="H69" s="43">
        <f>MIN(TYPE(SEARCH($E$2,'Event summary'!C69)),TYPE(SEARCH($E$2,'Event summary'!D69)))</f>
        <v>16</v>
      </c>
      <c r="I69" s="65" t="str">
        <f t="shared" si="2"/>
        <v/>
      </c>
      <c r="J69" s="66" t="str">
        <f>IF($H69=1,'Event summary'!C69,"")</f>
        <v/>
      </c>
      <c r="K69" s="66" t="str">
        <f>IF($H69=1,'Event summary'!D69,"")</f>
        <v/>
      </c>
      <c r="M69" s="26"/>
      <c r="N69" s="26"/>
    </row>
    <row r="70" spans="6:14" x14ac:dyDescent="0.2">
      <c r="F70" s="26"/>
      <c r="G70" s="29">
        <f>'Event summary'!A70</f>
        <v>69</v>
      </c>
      <c r="H70" s="43">
        <f>MIN(TYPE(SEARCH($E$2,'Event summary'!C70)),TYPE(SEARCH($E$2,'Event summary'!D70)))</f>
        <v>16</v>
      </c>
      <c r="I70" s="65" t="str">
        <f t="shared" si="2"/>
        <v/>
      </c>
      <c r="J70" s="66" t="str">
        <f>IF($H70=1,'Event summary'!C70,"")</f>
        <v/>
      </c>
      <c r="K70" s="66" t="str">
        <f>IF($H70=1,'Event summary'!D70,"")</f>
        <v/>
      </c>
      <c r="M70" s="26"/>
      <c r="N70" s="26"/>
    </row>
    <row r="71" spans="6:14" x14ac:dyDescent="0.2">
      <c r="F71" s="26"/>
      <c r="G71" s="29">
        <f>'Event summary'!A71</f>
        <v>70</v>
      </c>
      <c r="H71" s="43">
        <f>MIN(TYPE(SEARCH($E$2,'Event summary'!C71)),TYPE(SEARCH($E$2,'Event summary'!D71)))</f>
        <v>16</v>
      </c>
      <c r="I71" s="65" t="str">
        <f t="shared" si="2"/>
        <v/>
      </c>
      <c r="J71" s="66" t="str">
        <f>IF($H71=1,'Event summary'!C71,"")</f>
        <v/>
      </c>
      <c r="K71" s="66" t="str">
        <f>IF($H71=1,'Event summary'!D71,"")</f>
        <v/>
      </c>
      <c r="M71" s="26"/>
      <c r="N71" s="26"/>
    </row>
    <row r="72" spans="6:14" x14ac:dyDescent="0.2">
      <c r="F72" s="26"/>
      <c r="G72" s="29">
        <f>'Event summary'!A72</f>
        <v>71</v>
      </c>
      <c r="H72" s="43">
        <f>MIN(TYPE(SEARCH($E$2,'Event summary'!C72)),TYPE(SEARCH($E$2,'Event summary'!D72)))</f>
        <v>16</v>
      </c>
      <c r="I72" s="65" t="str">
        <f t="shared" si="2"/>
        <v/>
      </c>
      <c r="J72" s="66" t="str">
        <f>IF($H72=1,'Event summary'!C72,"")</f>
        <v/>
      </c>
      <c r="K72" s="66" t="str">
        <f>IF($H72=1,'Event summary'!D72,"")</f>
        <v/>
      </c>
      <c r="M72" s="26"/>
      <c r="N72" s="26"/>
    </row>
    <row r="73" spans="6:14" x14ac:dyDescent="0.2">
      <c r="F73" s="26"/>
      <c r="G73" s="29">
        <f>'Event summary'!A73</f>
        <v>72</v>
      </c>
      <c r="H73" s="43">
        <f>MIN(TYPE(SEARCH($E$2,'Event summary'!C73)),TYPE(SEARCH($E$2,'Event summary'!D73)))</f>
        <v>16</v>
      </c>
      <c r="I73" s="65" t="str">
        <f t="shared" si="2"/>
        <v/>
      </c>
      <c r="J73" s="66" t="str">
        <f>IF($H73=1,'Event summary'!C73,"")</f>
        <v/>
      </c>
      <c r="K73" s="66" t="str">
        <f>IF($H73=1,'Event summary'!D73,"")</f>
        <v/>
      </c>
      <c r="M73" s="26"/>
      <c r="N73" s="26"/>
    </row>
    <row r="74" spans="6:14" x14ac:dyDescent="0.2">
      <c r="F74" s="26"/>
      <c r="G74" s="29">
        <f>'Event summary'!A74</f>
        <v>73</v>
      </c>
      <c r="H74" s="43">
        <f>MIN(TYPE(SEARCH($E$2,'Event summary'!C74)),TYPE(SEARCH($E$2,'Event summary'!D74)))</f>
        <v>16</v>
      </c>
      <c r="I74" s="65" t="str">
        <f t="shared" si="2"/>
        <v/>
      </c>
      <c r="J74" s="66" t="str">
        <f>IF($H74=1,'Event summary'!C74,"")</f>
        <v/>
      </c>
      <c r="K74" s="66" t="str">
        <f>IF($H74=1,'Event summary'!D74,"")</f>
        <v/>
      </c>
      <c r="M74" s="26"/>
      <c r="N74" s="26"/>
    </row>
    <row r="75" spans="6:14" x14ac:dyDescent="0.2">
      <c r="F75" s="26"/>
      <c r="G75" s="29">
        <f>'Event summary'!A75</f>
        <v>74</v>
      </c>
      <c r="H75" s="43">
        <f>MIN(TYPE(SEARCH($E$2,'Event summary'!C75)),TYPE(SEARCH($E$2,'Event summary'!D75)))</f>
        <v>16</v>
      </c>
      <c r="I75" s="65" t="str">
        <f t="shared" si="2"/>
        <v/>
      </c>
      <c r="J75" s="66" t="str">
        <f>IF($H75=1,'Event summary'!C75,"")</f>
        <v/>
      </c>
      <c r="K75" s="66" t="str">
        <f>IF($H75=1,'Event summary'!D75,"")</f>
        <v/>
      </c>
      <c r="M75" s="26"/>
      <c r="N75" s="26"/>
    </row>
    <row r="76" spans="6:14" ht="28.5" x14ac:dyDescent="0.2">
      <c r="F76" s="26"/>
      <c r="G76" s="29">
        <f>'Event summary'!A76</f>
        <v>75</v>
      </c>
      <c r="H76" s="43">
        <f>MIN(TYPE(SEARCH($E$2,'Event summary'!C76)),TYPE(SEARCH($E$2,'Event summary'!D76)))</f>
        <v>16</v>
      </c>
      <c r="I76" s="65" t="str">
        <f t="shared" si="2"/>
        <v/>
      </c>
      <c r="J76" s="66" t="str">
        <f>IF($H76=1,'Event summary'!C76,"")</f>
        <v/>
      </c>
      <c r="K76" s="66" t="str">
        <f>IF($H76=1,'Event summary'!D76,"")</f>
        <v/>
      </c>
      <c r="M76" s="26"/>
      <c r="N76" s="26"/>
    </row>
    <row r="77" spans="6:14" x14ac:dyDescent="0.2">
      <c r="F77" s="26"/>
      <c r="G77" s="29">
        <f>'Event summary'!A77</f>
        <v>76</v>
      </c>
      <c r="H77" s="43">
        <f>MIN(TYPE(SEARCH($E$2,'Event summary'!C77)),TYPE(SEARCH($E$2,'Event summary'!D77)))</f>
        <v>16</v>
      </c>
      <c r="I77" s="65" t="str">
        <f t="shared" si="2"/>
        <v/>
      </c>
      <c r="J77" s="66" t="str">
        <f>IF($H77=1,'Event summary'!C77,"")</f>
        <v/>
      </c>
      <c r="K77" s="66" t="str">
        <f>IF($H77=1,'Event summary'!D77,"")</f>
        <v/>
      </c>
    </row>
    <row r="78" spans="6:14" x14ac:dyDescent="0.2">
      <c r="F78" s="26"/>
      <c r="G78" s="29">
        <f>'Event summary'!A78</f>
        <v>77</v>
      </c>
      <c r="H78" s="43">
        <f>MIN(TYPE(SEARCH($E$2,'Event summary'!C78)),TYPE(SEARCH($E$2,'Event summary'!D78)))</f>
        <v>16</v>
      </c>
      <c r="I78" s="65" t="str">
        <f t="shared" si="2"/>
        <v/>
      </c>
      <c r="J78" s="66" t="str">
        <f>IF($H78=1,'Event summary'!C78,"")</f>
        <v/>
      </c>
      <c r="K78" s="66" t="str">
        <f>IF($H78=1,'Event summary'!D78,"")</f>
        <v/>
      </c>
    </row>
    <row r="79" spans="6:14" x14ac:dyDescent="0.2">
      <c r="F79" s="26"/>
      <c r="G79" s="29">
        <f>'Event summary'!A79</f>
        <v>78</v>
      </c>
      <c r="H79" s="43">
        <f>MIN(TYPE(SEARCH($E$2,'Event summary'!C79)),TYPE(SEARCH($E$2,'Event summary'!D79)))</f>
        <v>16</v>
      </c>
      <c r="I79" s="65" t="str">
        <f t="shared" si="2"/>
        <v/>
      </c>
      <c r="J79" s="66" t="str">
        <f>IF($H79=1,'Event summary'!C79,"")</f>
        <v/>
      </c>
      <c r="K79" s="66" t="str">
        <f>IF($H79=1,'Event summary'!D79,"")</f>
        <v/>
      </c>
    </row>
    <row r="80" spans="6:14" x14ac:dyDescent="0.2">
      <c r="F80" s="26"/>
      <c r="G80" s="29">
        <f>'Event summary'!A80</f>
        <v>79</v>
      </c>
      <c r="H80" s="43">
        <f>MIN(TYPE(SEARCH($E$2,'Event summary'!C80)),TYPE(SEARCH($E$2,'Event summary'!D80)))</f>
        <v>16</v>
      </c>
      <c r="I80" s="65" t="str">
        <f t="shared" si="2"/>
        <v/>
      </c>
      <c r="J80" s="66" t="str">
        <f>IF($H80=1,'Event summary'!C80,"")</f>
        <v/>
      </c>
      <c r="K80" s="66" t="str">
        <f>IF($H80=1,'Event summary'!D80,"")</f>
        <v/>
      </c>
    </row>
    <row r="81" spans="6:11" x14ac:dyDescent="0.2">
      <c r="F81" s="26"/>
      <c r="G81" s="29">
        <f>'Event summary'!A81</f>
        <v>80</v>
      </c>
      <c r="H81" s="43">
        <f>MIN(TYPE(SEARCH($E$2,'Event summary'!C81)),TYPE(SEARCH($E$2,'Event summary'!D81)))</f>
        <v>16</v>
      </c>
      <c r="I81" s="65" t="str">
        <f t="shared" si="2"/>
        <v/>
      </c>
      <c r="J81" s="66" t="str">
        <f>IF($H81=1,'Event summary'!C81,"")</f>
        <v/>
      </c>
      <c r="K81" s="66" t="str">
        <f>IF($H81=1,'Event summary'!D81,"")</f>
        <v/>
      </c>
    </row>
    <row r="82" spans="6:11" x14ac:dyDescent="0.2">
      <c r="F82" s="26"/>
      <c r="G82" s="29">
        <f>'Event summary'!A82</f>
        <v>81</v>
      </c>
      <c r="H82" s="43">
        <f>MIN(TYPE(SEARCH($E$2,'Event summary'!C82)),TYPE(SEARCH($E$2,'Event summary'!D82)))</f>
        <v>16</v>
      </c>
      <c r="I82" s="65" t="str">
        <f t="shared" si="2"/>
        <v/>
      </c>
      <c r="J82" s="66" t="str">
        <f>IF($H82=1,'Event summary'!C82,"")</f>
        <v/>
      </c>
      <c r="K82" s="66" t="str">
        <f>IF($H82=1,'Event summary'!D82,"")</f>
        <v/>
      </c>
    </row>
    <row r="83" spans="6:11" x14ac:dyDescent="0.2">
      <c r="F83" s="26"/>
      <c r="G83" s="29">
        <f>'Event summary'!A83</f>
        <v>82</v>
      </c>
      <c r="H83" s="43">
        <f>MIN(TYPE(SEARCH($E$2,'Event summary'!C83)),TYPE(SEARCH($E$2,'Event summary'!D83)))</f>
        <v>16</v>
      </c>
      <c r="I83" s="65" t="str">
        <f t="shared" si="2"/>
        <v/>
      </c>
      <c r="J83" s="66" t="str">
        <f>IF($H83=1,'Event summary'!C83,"")</f>
        <v/>
      </c>
      <c r="K83" s="66" t="str">
        <f>IF($H83=1,'Event summary'!D83,"")</f>
        <v/>
      </c>
    </row>
    <row r="84" spans="6:11" x14ac:dyDescent="0.2">
      <c r="F84" s="26"/>
      <c r="G84" s="29">
        <f>'Event summary'!A84</f>
        <v>83</v>
      </c>
      <c r="H84" s="43">
        <f>MIN(TYPE(SEARCH($E$2,'Event summary'!C84)),TYPE(SEARCH($E$2,'Event summary'!D84)))</f>
        <v>16</v>
      </c>
      <c r="I84" s="65" t="str">
        <f t="shared" si="2"/>
        <v/>
      </c>
      <c r="J84" s="66" t="str">
        <f>IF($H84=1,'Event summary'!C84,"")</f>
        <v/>
      </c>
      <c r="K84" s="66" t="str">
        <f>IF($H84=1,'Event summary'!D84,"")</f>
        <v/>
      </c>
    </row>
    <row r="85" spans="6:11" x14ac:dyDescent="0.2">
      <c r="F85" s="26"/>
      <c r="G85" s="29">
        <f>'Event summary'!A85</f>
        <v>84</v>
      </c>
      <c r="H85" s="43">
        <f>MIN(TYPE(SEARCH($E$2,'Event summary'!C85)),TYPE(SEARCH($E$2,'Event summary'!D85)))</f>
        <v>16</v>
      </c>
      <c r="I85" s="65" t="str">
        <f t="shared" si="2"/>
        <v/>
      </c>
      <c r="J85" s="66" t="str">
        <f>IF($H85=1,'Event summary'!C85,"")</f>
        <v/>
      </c>
      <c r="K85" s="66" t="str">
        <f>IF($H85=1,'Event summary'!D85,"")</f>
        <v/>
      </c>
    </row>
    <row r="86" spans="6:11" x14ac:dyDescent="0.2">
      <c r="F86" s="26"/>
      <c r="G86" s="29">
        <f>'Event summary'!A86</f>
        <v>85</v>
      </c>
      <c r="H86" s="43">
        <f>MIN(TYPE(SEARCH($E$2,'Event summary'!C86)),TYPE(SEARCH($E$2,'Event summary'!D86)))</f>
        <v>16</v>
      </c>
      <c r="I86" s="65" t="str">
        <f t="shared" si="2"/>
        <v/>
      </c>
      <c r="J86" s="66" t="str">
        <f>IF($H86=1,'Event summary'!C86,"")</f>
        <v/>
      </c>
      <c r="K86" s="66" t="str">
        <f>IF($H86=1,'Event summary'!D86,"")</f>
        <v/>
      </c>
    </row>
    <row r="87" spans="6:11" x14ac:dyDescent="0.2">
      <c r="F87" s="26"/>
      <c r="G87" s="29">
        <f>'Event summary'!A87</f>
        <v>86</v>
      </c>
      <c r="H87" s="43">
        <f>MIN(TYPE(SEARCH($E$2,'Event summary'!C87)),TYPE(SEARCH($E$2,'Event summary'!D87)))</f>
        <v>16</v>
      </c>
      <c r="I87" s="65" t="str">
        <f t="shared" si="2"/>
        <v/>
      </c>
      <c r="J87" s="66" t="str">
        <f>IF($H87=1,'Event summary'!C87,"")</f>
        <v/>
      </c>
      <c r="K87" s="66" t="str">
        <f>IF($H87=1,'Event summary'!D87,"")</f>
        <v/>
      </c>
    </row>
    <row r="88" spans="6:11" x14ac:dyDescent="0.2">
      <c r="F88" s="26"/>
      <c r="G88" s="29">
        <f>'Event summary'!A88</f>
        <v>87</v>
      </c>
      <c r="H88" s="43">
        <f>MIN(TYPE(SEARCH($E$2,'Event summary'!C88)),TYPE(SEARCH($E$2,'Event summary'!D88)))</f>
        <v>16</v>
      </c>
      <c r="I88" s="65" t="str">
        <f t="shared" si="2"/>
        <v/>
      </c>
      <c r="J88" s="66" t="str">
        <f>IF($H88=1,'Event summary'!C88,"")</f>
        <v/>
      </c>
      <c r="K88" s="66" t="str">
        <f>IF($H88=1,'Event summary'!D88,"")</f>
        <v/>
      </c>
    </row>
    <row r="89" spans="6:11" x14ac:dyDescent="0.2">
      <c r="F89" s="26"/>
      <c r="G89" s="29">
        <f>'Event summary'!A89</f>
        <v>88</v>
      </c>
      <c r="H89" s="43">
        <f>MIN(TYPE(SEARCH($E$2,'Event summary'!C89)),TYPE(SEARCH($E$2,'Event summary'!D89)))</f>
        <v>16</v>
      </c>
      <c r="I89" s="65" t="str">
        <f t="shared" si="2"/>
        <v/>
      </c>
      <c r="J89" s="66" t="str">
        <f>IF($H89=1,'Event summary'!C89,"")</f>
        <v/>
      </c>
      <c r="K89" s="66" t="str">
        <f>IF($H89=1,'Event summary'!D89,"")</f>
        <v/>
      </c>
    </row>
    <row r="90" spans="6:11" x14ac:dyDescent="0.2">
      <c r="F90" s="26"/>
      <c r="G90" s="29">
        <f>'Event summary'!A90</f>
        <v>89</v>
      </c>
      <c r="H90" s="43">
        <f>MIN(TYPE(SEARCH($E$2,'Event summary'!C90)),TYPE(SEARCH($E$2,'Event summary'!D90)))</f>
        <v>16</v>
      </c>
      <c r="I90" s="65" t="str">
        <f t="shared" si="2"/>
        <v/>
      </c>
      <c r="J90" s="66" t="str">
        <f>IF($H90=1,'Event summary'!C90,"")</f>
        <v/>
      </c>
      <c r="K90" s="66" t="str">
        <f>IF($H90=1,'Event summary'!D90,"")</f>
        <v/>
      </c>
    </row>
    <row r="91" spans="6:11" x14ac:dyDescent="0.2">
      <c r="F91" s="26"/>
      <c r="G91" s="29">
        <f>'Event summary'!A91</f>
        <v>90</v>
      </c>
      <c r="H91" s="43">
        <f>MIN(TYPE(SEARCH($E$2,'Event summary'!C91)),TYPE(SEARCH($E$2,'Event summary'!D91)))</f>
        <v>16</v>
      </c>
      <c r="I91" s="65" t="str">
        <f t="shared" si="2"/>
        <v/>
      </c>
      <c r="J91" s="66" t="str">
        <f>IF($H91=1,'Event summary'!C91,"")</f>
        <v/>
      </c>
      <c r="K91" s="66" t="str">
        <f>IF($H91=1,'Event summary'!D91,"")</f>
        <v/>
      </c>
    </row>
    <row r="92" spans="6:11" x14ac:dyDescent="0.2">
      <c r="F92" s="26"/>
      <c r="G92" s="29">
        <f>'Event summary'!A92</f>
        <v>91</v>
      </c>
      <c r="H92" s="43">
        <f>MIN(TYPE(SEARCH($E$2,'Event summary'!C92)),TYPE(SEARCH($E$2,'Event summary'!D92)))</f>
        <v>16</v>
      </c>
      <c r="I92" s="65" t="str">
        <f t="shared" si="2"/>
        <v/>
      </c>
      <c r="J92" s="66" t="str">
        <f>IF($H92=1,'Event summary'!C92,"")</f>
        <v/>
      </c>
      <c r="K92" s="66" t="str">
        <f>IF($H92=1,'Event summary'!D92,"")</f>
        <v/>
      </c>
    </row>
    <row r="93" spans="6:11" x14ac:dyDescent="0.2">
      <c r="F93" s="26"/>
      <c r="G93" s="29">
        <f>'Event summary'!A93</f>
        <v>92</v>
      </c>
      <c r="H93" s="43">
        <f>MIN(TYPE(SEARCH($E$2,'Event summary'!C93)),TYPE(SEARCH($E$2,'Event summary'!D93)))</f>
        <v>16</v>
      </c>
      <c r="I93" s="65" t="str">
        <f t="shared" si="2"/>
        <v/>
      </c>
      <c r="J93" s="66" t="str">
        <f>IF($H93=1,'Event summary'!C93,"")</f>
        <v/>
      </c>
      <c r="K93" s="66" t="str">
        <f>IF($H93=1,'Event summary'!D93,"")</f>
        <v/>
      </c>
    </row>
    <row r="94" spans="6:11" x14ac:dyDescent="0.2">
      <c r="F94" s="26"/>
      <c r="G94" s="29">
        <f>'Event summary'!A94</f>
        <v>93</v>
      </c>
      <c r="H94" s="43">
        <f>MIN(TYPE(SEARCH($E$2,'Event summary'!C94)),TYPE(SEARCH($E$2,'Event summary'!D94)))</f>
        <v>16</v>
      </c>
      <c r="I94" s="65" t="str">
        <f t="shared" si="2"/>
        <v/>
      </c>
      <c r="J94" s="66" t="str">
        <f>IF($H94=1,'Event summary'!C94,"")</f>
        <v/>
      </c>
      <c r="K94" s="66" t="str">
        <f>IF($H94=1,'Event summary'!D94,"")</f>
        <v/>
      </c>
    </row>
    <row r="95" spans="6:11" x14ac:dyDescent="0.2">
      <c r="F95" s="26"/>
      <c r="G95" s="29">
        <f>'Event summary'!A95</f>
        <v>94</v>
      </c>
      <c r="H95" s="43">
        <f>MIN(TYPE(SEARCH($E$2,'Event summary'!C95)),TYPE(SEARCH($E$2,'Event summary'!D95)))</f>
        <v>16</v>
      </c>
      <c r="I95" s="65" t="str">
        <f t="shared" si="2"/>
        <v/>
      </c>
      <c r="J95" s="66" t="str">
        <f>IF($H95=1,'Event summary'!C95,"")</f>
        <v/>
      </c>
      <c r="K95" s="66" t="str">
        <f>IF($H95=1,'Event summary'!D95,"")</f>
        <v/>
      </c>
    </row>
    <row r="96" spans="6:11" x14ac:dyDescent="0.2">
      <c r="F96" s="26"/>
      <c r="G96" s="29">
        <f>'Event summary'!A96</f>
        <v>95</v>
      </c>
      <c r="H96" s="43">
        <f>MIN(TYPE(SEARCH($E$2,'Event summary'!C96)),TYPE(SEARCH($E$2,'Event summary'!D96)))</f>
        <v>16</v>
      </c>
      <c r="I96" s="65" t="str">
        <f t="shared" si="2"/>
        <v/>
      </c>
      <c r="J96" s="66" t="str">
        <f>IF($H96=1,'Event summary'!C96,"")</f>
        <v/>
      </c>
      <c r="K96" s="66" t="str">
        <f>IF($H96=1,'Event summary'!D96,"")</f>
        <v/>
      </c>
    </row>
    <row r="97" spans="6:11" x14ac:dyDescent="0.2">
      <c r="F97" s="26"/>
      <c r="G97" s="29">
        <f>'Event summary'!A97</f>
        <v>96</v>
      </c>
      <c r="H97" s="43">
        <f>MIN(TYPE(SEARCH($E$2,'Event summary'!C97)),TYPE(SEARCH($E$2,'Event summary'!D97)))</f>
        <v>16</v>
      </c>
      <c r="I97" s="65" t="str">
        <f t="shared" si="2"/>
        <v/>
      </c>
      <c r="J97" s="66" t="str">
        <f>IF($H97=1,'Event summary'!C97,"")</f>
        <v/>
      </c>
      <c r="K97" s="66" t="str">
        <f>IF($H97=1,'Event summary'!D97,"")</f>
        <v/>
      </c>
    </row>
    <row r="98" spans="6:11" x14ac:dyDescent="0.2">
      <c r="F98" s="26"/>
      <c r="G98" s="29">
        <f>'Event summary'!A98</f>
        <v>97</v>
      </c>
      <c r="H98" s="43">
        <f>MIN(TYPE(SEARCH($E$2,'Event summary'!C98)),TYPE(SEARCH($E$2,'Event summary'!D98)))</f>
        <v>16</v>
      </c>
      <c r="I98" s="65" t="str">
        <f t="shared" si="2"/>
        <v/>
      </c>
      <c r="J98" s="66" t="str">
        <f>IF($H98=1,'Event summary'!C98,"")</f>
        <v/>
      </c>
      <c r="K98" s="66" t="str">
        <f>IF($H98=1,'Event summary'!D98,"")</f>
        <v/>
      </c>
    </row>
    <row r="99" spans="6:11" x14ac:dyDescent="0.2">
      <c r="F99" s="26"/>
      <c r="G99" s="29">
        <f>'Event summary'!A99</f>
        <v>98</v>
      </c>
      <c r="H99" s="43">
        <f>MIN(TYPE(SEARCH($E$2,'Event summary'!C99)),TYPE(SEARCH($E$2,'Event summary'!D99)))</f>
        <v>16</v>
      </c>
      <c r="I99" s="65" t="str">
        <f t="shared" si="2"/>
        <v/>
      </c>
      <c r="J99" s="66" t="str">
        <f>IF($H99=1,'Event summary'!C99,"")</f>
        <v/>
      </c>
      <c r="K99" s="66" t="str">
        <f>IF($H99=1,'Event summary'!D99,"")</f>
        <v/>
      </c>
    </row>
    <row r="100" spans="6:11" x14ac:dyDescent="0.2">
      <c r="F100" s="26"/>
      <c r="G100" s="29">
        <f>'Event summary'!A100</f>
        <v>99</v>
      </c>
      <c r="H100" s="43">
        <f>MIN(TYPE(SEARCH($E$2,'Event summary'!C100)),TYPE(SEARCH($E$2,'Event summary'!D100)))</f>
        <v>16</v>
      </c>
      <c r="I100" s="65" t="str">
        <f t="shared" si="2"/>
        <v/>
      </c>
      <c r="J100" s="66" t="str">
        <f>IF($H100=1,'Event summary'!C100,"")</f>
        <v/>
      </c>
      <c r="K100" s="66" t="str">
        <f>IF($H100=1,'Event summary'!D100,"")</f>
        <v/>
      </c>
    </row>
    <row r="101" spans="6:11" x14ac:dyDescent="0.2">
      <c r="F101" s="26"/>
      <c r="G101" s="29">
        <f>'Event summary'!A101</f>
        <v>100</v>
      </c>
      <c r="H101" s="43">
        <f>MIN(TYPE(SEARCH($E$2,'Event summary'!C101)),TYPE(SEARCH($E$2,'Event summary'!D101)))</f>
        <v>16</v>
      </c>
      <c r="I101" s="65" t="str">
        <f t="shared" si="2"/>
        <v/>
      </c>
      <c r="J101" s="66" t="str">
        <f>IF($H101=1,'Event summary'!C101,"")</f>
        <v/>
      </c>
      <c r="K101" s="66" t="str">
        <f>IF($H101=1,'Event summary'!D101,"")</f>
        <v/>
      </c>
    </row>
    <row r="102" spans="6:11" x14ac:dyDescent="0.2">
      <c r="F102" s="26"/>
      <c r="G102" s="29">
        <f>'Event summary'!A102</f>
        <v>101</v>
      </c>
      <c r="H102" s="43">
        <f>MIN(TYPE(SEARCH($E$2,'Event summary'!C102)),TYPE(SEARCH($E$2,'Event summary'!D102)))</f>
        <v>16</v>
      </c>
      <c r="I102" s="65" t="str">
        <f t="shared" si="2"/>
        <v/>
      </c>
      <c r="J102" s="66" t="str">
        <f>IF($H102=1,'Event summary'!C102,"")</f>
        <v/>
      </c>
      <c r="K102" s="66" t="str">
        <f>IF($H102=1,'Event summary'!D102,"")</f>
        <v/>
      </c>
    </row>
    <row r="103" spans="6:11" x14ac:dyDescent="0.2">
      <c r="F103" s="26"/>
      <c r="G103" s="29">
        <f>'Event summary'!A103</f>
        <v>102</v>
      </c>
      <c r="H103" s="43">
        <f>MIN(TYPE(SEARCH($E$2,'Event summary'!C103)),TYPE(SEARCH($E$2,'Event summary'!D103)))</f>
        <v>16</v>
      </c>
      <c r="I103" s="65" t="str">
        <f t="shared" si="2"/>
        <v/>
      </c>
      <c r="J103" s="66" t="str">
        <f>IF($H103=1,'Event summary'!C103,"")</f>
        <v/>
      </c>
      <c r="K103" s="66" t="str">
        <f>IF($H103=1,'Event summary'!D103,"")</f>
        <v/>
      </c>
    </row>
    <row r="104" spans="6:11" x14ac:dyDescent="0.2">
      <c r="F104" s="26"/>
      <c r="G104" s="29">
        <f>'Event summary'!A104</f>
        <v>103</v>
      </c>
      <c r="H104" s="43">
        <f>MIN(TYPE(SEARCH($E$2,'Event summary'!C104)),TYPE(SEARCH($E$2,'Event summary'!D104)))</f>
        <v>16</v>
      </c>
      <c r="I104" s="65" t="str">
        <f t="shared" si="2"/>
        <v/>
      </c>
      <c r="J104" s="66" t="str">
        <f>IF($H104=1,'Event summary'!C104,"")</f>
        <v/>
      </c>
      <c r="K104" s="66" t="str">
        <f>IF($H104=1,'Event summary'!D104,"")</f>
        <v/>
      </c>
    </row>
    <row r="105" spans="6:11" ht="28.5" x14ac:dyDescent="0.2">
      <c r="F105" s="26"/>
      <c r="G105" s="29">
        <f>'Event summary'!A105</f>
        <v>104</v>
      </c>
      <c r="H105" s="43">
        <f>MIN(TYPE(SEARCH($E$2,'Event summary'!C105)),TYPE(SEARCH($E$2,'Event summary'!D105)))</f>
        <v>1</v>
      </c>
      <c r="I105" s="65" t="str">
        <f t="shared" si="2"/>
        <v>שינוי</v>
      </c>
      <c r="J105" s="66" t="str">
        <f>IF($H105=1,'Event summary'!C105,"")</f>
        <v>בעיות קיבוע - אמצעי קיבוע פגום. לא ניתן היה להשכיב מטופל על מיטת SRS בסימוליצה עקב שינוי במתקן.</v>
      </c>
      <c r="K105" s="66">
        <f>IF($H105=1,'Event summary'!D105,"")</f>
        <v>0</v>
      </c>
    </row>
    <row r="106" spans="6:11" x14ac:dyDescent="0.2">
      <c r="F106" s="26"/>
      <c r="G106" s="29">
        <f>'Event summary'!A106</f>
        <v>105</v>
      </c>
      <c r="H106" s="43">
        <f>MIN(TYPE(SEARCH($E$2,'Event summary'!C106)),TYPE(SEARCH($E$2,'Event summary'!D106)))</f>
        <v>16</v>
      </c>
      <c r="I106" s="65" t="str">
        <f t="shared" si="2"/>
        <v/>
      </c>
      <c r="J106" s="66" t="str">
        <f>IF($H106=1,'Event summary'!C106,"")</f>
        <v/>
      </c>
      <c r="K106" s="66" t="str">
        <f>IF($H106=1,'Event summary'!D106,"")</f>
        <v/>
      </c>
    </row>
    <row r="107" spans="6:11" x14ac:dyDescent="0.2">
      <c r="F107" s="26"/>
      <c r="G107" s="29">
        <f>'Event summary'!A107</f>
        <v>106</v>
      </c>
      <c r="H107" s="43">
        <f>MIN(TYPE(SEARCH($E$2,'Event summary'!C107)),TYPE(SEARCH($E$2,'Event summary'!D107)))</f>
        <v>16</v>
      </c>
      <c r="I107" s="65" t="str">
        <f t="shared" si="2"/>
        <v/>
      </c>
      <c r="J107" s="66" t="str">
        <f>IF($H107=1,'Event summary'!C107,"")</f>
        <v/>
      </c>
      <c r="K107" s="66" t="str">
        <f>IF($H107=1,'Event summary'!D107,"")</f>
        <v/>
      </c>
    </row>
    <row r="108" spans="6:11" x14ac:dyDescent="0.2">
      <c r="F108" s="26"/>
      <c r="G108" s="29">
        <f>'Event summary'!A108</f>
        <v>107</v>
      </c>
      <c r="H108" s="43">
        <f>MIN(TYPE(SEARCH($E$2,'Event summary'!C108)),TYPE(SEARCH($E$2,'Event summary'!D108)))</f>
        <v>16</v>
      </c>
      <c r="I108" s="65" t="str">
        <f t="shared" si="2"/>
        <v/>
      </c>
      <c r="J108" s="66" t="str">
        <f>IF($H108=1,'Event summary'!C108,"")</f>
        <v/>
      </c>
      <c r="K108" s="66" t="str">
        <f>IF($H108=1,'Event summary'!D108,"")</f>
        <v/>
      </c>
    </row>
    <row r="109" spans="6:11" x14ac:dyDescent="0.2">
      <c r="F109" s="26"/>
      <c r="G109" s="29">
        <f>'Event summary'!A109</f>
        <v>108</v>
      </c>
      <c r="H109" s="43">
        <f>MIN(TYPE(SEARCH($E$2,'Event summary'!C109)),TYPE(SEARCH($E$2,'Event summary'!D109)))</f>
        <v>16</v>
      </c>
      <c r="I109" s="65" t="str">
        <f t="shared" si="2"/>
        <v/>
      </c>
      <c r="J109" s="66" t="str">
        <f>IF($H109=1,'Event summary'!C109,"")</f>
        <v/>
      </c>
      <c r="K109" s="66" t="str">
        <f>IF($H109=1,'Event summary'!D109,"")</f>
        <v/>
      </c>
    </row>
    <row r="110" spans="6:11" x14ac:dyDescent="0.2">
      <c r="F110" s="26"/>
      <c r="G110" s="29">
        <f>'Event summary'!A110</f>
        <v>109</v>
      </c>
      <c r="H110" s="43">
        <f>MIN(TYPE(SEARCH($E$2,'Event summary'!C110)),TYPE(SEARCH($E$2,'Event summary'!D110)))</f>
        <v>16</v>
      </c>
      <c r="I110" s="65" t="str">
        <f t="shared" si="2"/>
        <v/>
      </c>
      <c r="J110" s="66" t="str">
        <f>IF($H110=1,'Event summary'!C110,"")</f>
        <v/>
      </c>
      <c r="K110" s="66" t="str">
        <f>IF($H110=1,'Event summary'!D110,"")</f>
        <v/>
      </c>
    </row>
    <row r="111" spans="6:11" x14ac:dyDescent="0.2">
      <c r="F111" s="26"/>
      <c r="G111" s="29">
        <f>'Event summary'!A111</f>
        <v>110</v>
      </c>
      <c r="H111" s="43">
        <f>MIN(TYPE(SEARCH($E$2,'Event summary'!C111)),TYPE(SEARCH($E$2,'Event summary'!D111)))</f>
        <v>16</v>
      </c>
      <c r="I111" s="65" t="str">
        <f t="shared" si="2"/>
        <v/>
      </c>
      <c r="J111" s="66" t="str">
        <f>IF($H111=1,'Event summary'!C111,"")</f>
        <v/>
      </c>
      <c r="K111" s="66" t="str">
        <f>IF($H111=1,'Event summary'!D111,"")</f>
        <v/>
      </c>
    </row>
    <row r="112" spans="6:11" x14ac:dyDescent="0.2">
      <c r="F112" s="26"/>
      <c r="G112" s="29">
        <f>'Event summary'!A112</f>
        <v>111</v>
      </c>
      <c r="H112" s="43">
        <f>MIN(TYPE(SEARCH($E$2,'Event summary'!C112)),TYPE(SEARCH($E$2,'Event summary'!D112)))</f>
        <v>16</v>
      </c>
      <c r="I112" s="65" t="str">
        <f t="shared" si="2"/>
        <v/>
      </c>
      <c r="J112" s="66" t="str">
        <f>IF($H112=1,'Event summary'!C112,"")</f>
        <v/>
      </c>
      <c r="K112" s="66" t="str">
        <f>IF($H112=1,'Event summary'!D112,"")</f>
        <v/>
      </c>
    </row>
    <row r="113" spans="5:11" x14ac:dyDescent="0.2">
      <c r="E113" t="s">
        <v>11</v>
      </c>
      <c r="F113" s="26"/>
      <c r="G113" s="29">
        <f>'Event summary'!A113</f>
        <v>112</v>
      </c>
      <c r="H113" s="43">
        <f>MIN(TYPE(SEARCH($E$2,'Event summary'!C113)),TYPE(SEARCH($E$2,'Event summary'!D113)))</f>
        <v>16</v>
      </c>
      <c r="I113" s="65" t="str">
        <f t="shared" si="2"/>
        <v/>
      </c>
      <c r="J113" s="66" t="str">
        <f>IF($H113=1,'Event summary'!C113,"")</f>
        <v/>
      </c>
      <c r="K113" s="66" t="str">
        <f>IF($H113=1,'Event summary'!D113,"")</f>
        <v/>
      </c>
    </row>
    <row r="114" spans="5:11" x14ac:dyDescent="0.2">
      <c r="F114" s="26"/>
      <c r="G114" s="29">
        <f>'Event summary'!A114</f>
        <v>113</v>
      </c>
      <c r="H114" s="43">
        <f>MIN(TYPE(SEARCH($E$2,'Event summary'!C114)),TYPE(SEARCH($E$2,'Event summary'!D114)))</f>
        <v>16</v>
      </c>
      <c r="I114" s="65" t="str">
        <f t="shared" si="2"/>
        <v/>
      </c>
      <c r="J114" s="66" t="str">
        <f>IF($H114=1,'Event summary'!C114,"")</f>
        <v/>
      </c>
      <c r="K114" s="66" t="str">
        <f>IF($H114=1,'Event summary'!D114,"")</f>
        <v/>
      </c>
    </row>
    <row r="115" spans="5:11" x14ac:dyDescent="0.2">
      <c r="F115" s="26"/>
      <c r="G115" s="29">
        <f>'Event summary'!A115</f>
        <v>114</v>
      </c>
      <c r="H115" s="43">
        <f>MIN(TYPE(SEARCH($E$2,'Event summary'!C115)),TYPE(SEARCH($E$2,'Event summary'!D115)))</f>
        <v>16</v>
      </c>
      <c r="I115" s="65" t="str">
        <f t="shared" si="2"/>
        <v/>
      </c>
      <c r="J115" s="66" t="str">
        <f>IF($H115=1,'Event summary'!C115,"")</f>
        <v/>
      </c>
      <c r="K115" s="66" t="str">
        <f>IF($H115=1,'Event summary'!D115,"")</f>
        <v/>
      </c>
    </row>
    <row r="116" spans="5:11" x14ac:dyDescent="0.2">
      <c r="F116" s="26"/>
      <c r="G116" s="29">
        <f>'Event summary'!A116</f>
        <v>115</v>
      </c>
      <c r="H116" s="43">
        <f>MIN(TYPE(SEARCH($E$2,'Event summary'!C116)),TYPE(SEARCH($E$2,'Event summary'!D116)))</f>
        <v>16</v>
      </c>
      <c r="I116" s="65" t="str">
        <f t="shared" si="2"/>
        <v/>
      </c>
      <c r="J116" s="66" t="str">
        <f>IF($H116=1,'Event summary'!C116,"")</f>
        <v/>
      </c>
      <c r="K116" s="66" t="str">
        <f>IF($H116=1,'Event summary'!D116,"")</f>
        <v/>
      </c>
    </row>
    <row r="117" spans="5:11" x14ac:dyDescent="0.2">
      <c r="F117" s="26"/>
      <c r="G117" s="29">
        <f>'Event summary'!A117</f>
        <v>116</v>
      </c>
      <c r="H117" s="43">
        <f>MIN(TYPE(SEARCH($E$2,'Event summary'!C117)),TYPE(SEARCH($E$2,'Event summary'!D117)))</f>
        <v>16</v>
      </c>
      <c r="I117" s="65" t="str">
        <f t="shared" si="2"/>
        <v/>
      </c>
      <c r="J117" s="66" t="str">
        <f>IF($H117=1,'Event summary'!C117,"")</f>
        <v/>
      </c>
      <c r="K117" s="66" t="str">
        <f>IF($H117=1,'Event summary'!D117,"")</f>
        <v/>
      </c>
    </row>
    <row r="118" spans="5:11" x14ac:dyDescent="0.2">
      <c r="F118" s="26"/>
      <c r="G118" s="29">
        <f>'Event summary'!A118</f>
        <v>117</v>
      </c>
      <c r="H118" s="43">
        <f>MIN(TYPE(SEARCH($E$2,'Event summary'!C118)),TYPE(SEARCH($E$2,'Event summary'!D118)))</f>
        <v>16</v>
      </c>
      <c r="I118" s="65" t="str">
        <f t="shared" si="2"/>
        <v/>
      </c>
      <c r="J118" s="66" t="str">
        <f>IF($H118=1,'Event summary'!C118,"")</f>
        <v/>
      </c>
      <c r="K118" s="66" t="str">
        <f>IF($H118=1,'Event summary'!D118,"")</f>
        <v/>
      </c>
    </row>
    <row r="119" spans="5:11" x14ac:dyDescent="0.2">
      <c r="F119" s="26"/>
      <c r="G119" s="29">
        <f>'Event summary'!A119</f>
        <v>118</v>
      </c>
      <c r="H119" s="43">
        <f>MIN(TYPE(SEARCH($E$2,'Event summary'!C119)),TYPE(SEARCH($E$2,'Event summary'!D119)))</f>
        <v>16</v>
      </c>
      <c r="I119" s="65" t="str">
        <f t="shared" si="2"/>
        <v/>
      </c>
      <c r="J119" s="66" t="str">
        <f>IF($H119=1,'Event summary'!C119,"")</f>
        <v/>
      </c>
      <c r="K119" s="66" t="str">
        <f>IF($H119=1,'Event summary'!D119,"")</f>
        <v/>
      </c>
    </row>
    <row r="120" spans="5:11" x14ac:dyDescent="0.2">
      <c r="F120" s="26"/>
      <c r="G120" s="29">
        <f>'Event summary'!A120</f>
        <v>119</v>
      </c>
      <c r="H120" s="43">
        <f>MIN(TYPE(SEARCH($E$2,'Event summary'!C120)),TYPE(SEARCH($E$2,'Event summary'!D120)))</f>
        <v>16</v>
      </c>
      <c r="I120" s="65" t="str">
        <f t="shared" si="2"/>
        <v/>
      </c>
      <c r="J120" s="66" t="str">
        <f>IF($H120=1,'Event summary'!C120,"")</f>
        <v/>
      </c>
      <c r="K120" s="66" t="str">
        <f>IF($H120=1,'Event summary'!D120,"")</f>
        <v/>
      </c>
    </row>
    <row r="121" spans="5:11" x14ac:dyDescent="0.2">
      <c r="F121" s="26"/>
      <c r="G121" s="29">
        <f>'Event summary'!A121</f>
        <v>120</v>
      </c>
      <c r="H121" s="43">
        <f>MIN(TYPE(SEARCH($E$2,'Event summary'!C121)),TYPE(SEARCH($E$2,'Event summary'!D121)))</f>
        <v>16</v>
      </c>
      <c r="I121" s="65" t="str">
        <f t="shared" si="2"/>
        <v/>
      </c>
      <c r="J121" s="66" t="str">
        <f>IF($H121=1,'Event summary'!C121,"")</f>
        <v/>
      </c>
      <c r="K121" s="66" t="str">
        <f>IF($H121=1,'Event summary'!D121,"")</f>
        <v/>
      </c>
    </row>
    <row r="122" spans="5:11" x14ac:dyDescent="0.2">
      <c r="F122" s="26"/>
      <c r="G122" s="29">
        <f>'Event summary'!A122</f>
        <v>121</v>
      </c>
      <c r="H122" s="43">
        <f>MIN(TYPE(SEARCH($E$2,'Event summary'!C122)),TYPE(SEARCH($E$2,'Event summary'!D122)))</f>
        <v>16</v>
      </c>
      <c r="I122" s="65" t="str">
        <f t="shared" si="2"/>
        <v/>
      </c>
      <c r="J122" s="66" t="str">
        <f>IF($H122=1,'Event summary'!C122,"")</f>
        <v/>
      </c>
      <c r="K122" s="66" t="str">
        <f>IF($H122=1,'Event summary'!D122,"")</f>
        <v/>
      </c>
    </row>
    <row r="123" spans="5:11" x14ac:dyDescent="0.2">
      <c r="F123" s="26"/>
      <c r="G123" s="29">
        <f>'Event summary'!A123</f>
        <v>123</v>
      </c>
      <c r="H123" s="43">
        <f>MIN(TYPE(SEARCH($E$2,'Event summary'!C123)),TYPE(SEARCH($E$2,'Event summary'!D123)))</f>
        <v>16</v>
      </c>
      <c r="I123" s="65" t="str">
        <f t="shared" si="2"/>
        <v/>
      </c>
      <c r="J123" s="66" t="str">
        <f>IF($H123=1,'Event summary'!C123,"")</f>
        <v/>
      </c>
      <c r="K123" s="66" t="str">
        <f>IF($H123=1,'Event summary'!D123,"")</f>
        <v/>
      </c>
    </row>
    <row r="124" spans="5:11" x14ac:dyDescent="0.2">
      <c r="F124" s="26"/>
      <c r="G124" s="29">
        <f>'Event summary'!A124</f>
        <v>124</v>
      </c>
      <c r="H124" s="43">
        <f>MIN(TYPE(SEARCH($E$2,'Event summary'!C124)),TYPE(SEARCH($E$2,'Event summary'!D124)))</f>
        <v>16</v>
      </c>
      <c r="I124" s="65" t="str">
        <f t="shared" si="2"/>
        <v/>
      </c>
      <c r="J124" s="66" t="str">
        <f>IF($H124=1,'Event summary'!C124,"")</f>
        <v/>
      </c>
      <c r="K124" s="66" t="str">
        <f>IF($H124=1,'Event summary'!D124,"")</f>
        <v/>
      </c>
    </row>
    <row r="125" spans="5:11" x14ac:dyDescent="0.2">
      <c r="F125" s="26"/>
      <c r="G125" s="29">
        <f>'Event summary'!A125</f>
        <v>125</v>
      </c>
      <c r="H125" s="43">
        <f>MIN(TYPE(SEARCH($E$2,'Event summary'!C125)),TYPE(SEARCH($E$2,'Event summary'!D125)))</f>
        <v>16</v>
      </c>
      <c r="I125" s="65" t="str">
        <f t="shared" si="2"/>
        <v/>
      </c>
      <c r="J125" s="66" t="str">
        <f>IF($H125=1,'Event summary'!C125,"")</f>
        <v/>
      </c>
      <c r="K125" s="66" t="str">
        <f>IF($H125=1,'Event summary'!D125,"")</f>
        <v/>
      </c>
    </row>
    <row r="126" spans="5:11" x14ac:dyDescent="0.2">
      <c r="F126" s="26"/>
      <c r="G126" s="29">
        <f>'Event summary'!A126</f>
        <v>126</v>
      </c>
      <c r="H126" s="43">
        <f>MIN(TYPE(SEARCH($E$2,'Event summary'!C126)),TYPE(SEARCH($E$2,'Event summary'!D126)))</f>
        <v>16</v>
      </c>
      <c r="I126" s="65" t="str">
        <f t="shared" si="2"/>
        <v/>
      </c>
      <c r="J126" s="66" t="str">
        <f>IF($H126=1,'Event summary'!C126,"")</f>
        <v/>
      </c>
      <c r="K126" s="66" t="str">
        <f>IF($H126=1,'Event summary'!D126,"")</f>
        <v/>
      </c>
    </row>
    <row r="127" spans="5:11" x14ac:dyDescent="0.2">
      <c r="F127" s="26"/>
      <c r="G127" s="29">
        <f>'Event summary'!A127</f>
        <v>127</v>
      </c>
      <c r="H127" s="43">
        <f>MIN(TYPE(SEARCH($E$2,'Event summary'!C127)),TYPE(SEARCH($E$2,'Event summary'!D127)))</f>
        <v>16</v>
      </c>
      <c r="I127" s="65" t="str">
        <f t="shared" si="2"/>
        <v/>
      </c>
      <c r="J127" s="66" t="str">
        <f>IF($H127=1,'Event summary'!C127,"")</f>
        <v/>
      </c>
      <c r="K127" s="66" t="str">
        <f>IF($H127=1,'Event summary'!D127,"")</f>
        <v/>
      </c>
    </row>
    <row r="128" spans="5:11" x14ac:dyDescent="0.2">
      <c r="F128" s="26"/>
      <c r="G128" s="29">
        <f>'Event summary'!A128</f>
        <v>128</v>
      </c>
      <c r="H128" s="43">
        <f>MIN(TYPE(SEARCH($E$2,'Event summary'!C128)),TYPE(SEARCH($E$2,'Event summary'!D128)))</f>
        <v>16</v>
      </c>
      <c r="I128" s="65" t="str">
        <f t="shared" si="2"/>
        <v/>
      </c>
      <c r="J128" s="66" t="str">
        <f>IF($H128=1,'Event summary'!C128,"")</f>
        <v/>
      </c>
      <c r="K128" s="66" t="str">
        <f>IF($H128=1,'Event summary'!D128,"")</f>
        <v/>
      </c>
    </row>
    <row r="129" spans="6:11" x14ac:dyDescent="0.2">
      <c r="F129" s="26"/>
      <c r="G129" s="29">
        <f>'Event summary'!A129</f>
        <v>129</v>
      </c>
      <c r="H129" s="43">
        <f>MIN(TYPE(SEARCH($E$2,'Event summary'!C129)),TYPE(SEARCH($E$2,'Event summary'!D129)))</f>
        <v>16</v>
      </c>
      <c r="I129" s="65" t="str">
        <f t="shared" si="2"/>
        <v/>
      </c>
      <c r="J129" s="66" t="str">
        <f>IF($H129=1,'Event summary'!C129,"")</f>
        <v/>
      </c>
      <c r="K129" s="66" t="str">
        <f>IF($H129=1,'Event summary'!D129,"")</f>
        <v/>
      </c>
    </row>
    <row r="130" spans="6:11" x14ac:dyDescent="0.2">
      <c r="F130" s="26"/>
      <c r="G130" s="29">
        <f>'Event summary'!A130</f>
        <v>130</v>
      </c>
      <c r="H130" s="43">
        <f>MIN(TYPE(SEARCH($E$2,'Event summary'!C130)),TYPE(SEARCH($E$2,'Event summary'!D130)))</f>
        <v>16</v>
      </c>
      <c r="I130" s="65" t="str">
        <f t="shared" ref="I130:I193" si="3">IF(H130=1,$E$2,"")</f>
        <v/>
      </c>
      <c r="J130" s="66" t="str">
        <f>IF($H130=1,'Event summary'!C130,"")</f>
        <v/>
      </c>
      <c r="K130" s="66" t="str">
        <f>IF($H130=1,'Event summary'!D130,"")</f>
        <v/>
      </c>
    </row>
    <row r="131" spans="6:11" x14ac:dyDescent="0.2">
      <c r="F131" s="26"/>
      <c r="G131" s="29">
        <f>'Event summary'!A131</f>
        <v>131</v>
      </c>
      <c r="H131" s="43">
        <f>MIN(TYPE(SEARCH($E$2,'Event summary'!C131)),TYPE(SEARCH($E$2,'Event summary'!D131)))</f>
        <v>16</v>
      </c>
      <c r="I131" s="65" t="str">
        <f t="shared" si="3"/>
        <v/>
      </c>
      <c r="J131" s="66" t="str">
        <f>IF($H131=1,'Event summary'!C131,"")</f>
        <v/>
      </c>
      <c r="K131" s="66" t="str">
        <f>IF($H131=1,'Event summary'!D131,"")</f>
        <v/>
      </c>
    </row>
    <row r="132" spans="6:11" x14ac:dyDescent="0.2">
      <c r="F132" s="26"/>
      <c r="G132" s="29">
        <f>'Event summary'!A132</f>
        <v>132</v>
      </c>
      <c r="H132" s="43">
        <f>MIN(TYPE(SEARCH($E$2,'Event summary'!C132)),TYPE(SEARCH($E$2,'Event summary'!D132)))</f>
        <v>16</v>
      </c>
      <c r="I132" s="65" t="str">
        <f t="shared" si="3"/>
        <v/>
      </c>
      <c r="J132" s="66" t="str">
        <f>IF($H132=1,'Event summary'!C132,"")</f>
        <v/>
      </c>
      <c r="K132" s="66" t="str">
        <f>IF($H132=1,'Event summary'!D132,"")</f>
        <v/>
      </c>
    </row>
    <row r="133" spans="6:11" x14ac:dyDescent="0.2">
      <c r="F133" s="26"/>
      <c r="G133" s="29">
        <f>'Event summary'!A133</f>
        <v>133</v>
      </c>
      <c r="H133" s="43">
        <f>MIN(TYPE(SEARCH($E$2,'Event summary'!C133)),TYPE(SEARCH($E$2,'Event summary'!D133)))</f>
        <v>16</v>
      </c>
      <c r="I133" s="65" t="str">
        <f t="shared" si="3"/>
        <v/>
      </c>
      <c r="J133" s="66" t="str">
        <f>IF($H133=1,'Event summary'!C133,"")</f>
        <v/>
      </c>
      <c r="K133" s="66" t="str">
        <f>IF($H133=1,'Event summary'!D133,"")</f>
        <v/>
      </c>
    </row>
    <row r="134" spans="6:11" x14ac:dyDescent="0.2">
      <c r="F134" s="26"/>
      <c r="G134" s="29">
        <f>'Event summary'!A134</f>
        <v>134</v>
      </c>
      <c r="H134" s="43">
        <f>MIN(TYPE(SEARCH($E$2,'Event summary'!C134)),TYPE(SEARCH($E$2,'Event summary'!D134)))</f>
        <v>16</v>
      </c>
      <c r="I134" s="65" t="str">
        <f t="shared" si="3"/>
        <v/>
      </c>
      <c r="J134" s="66" t="str">
        <f>IF($H134=1,'Event summary'!C134,"")</f>
        <v/>
      </c>
      <c r="K134" s="66" t="str">
        <f>IF($H134=1,'Event summary'!D134,"")</f>
        <v/>
      </c>
    </row>
    <row r="135" spans="6:11" x14ac:dyDescent="0.2">
      <c r="F135" s="26"/>
      <c r="G135" s="29">
        <f>'Event summary'!A135</f>
        <v>135</v>
      </c>
      <c r="H135" s="43">
        <f>MIN(TYPE(SEARCH($E$2,'Event summary'!C135)),TYPE(SEARCH($E$2,'Event summary'!D135)))</f>
        <v>16</v>
      </c>
      <c r="I135" s="65" t="str">
        <f t="shared" si="3"/>
        <v/>
      </c>
      <c r="J135" s="66" t="str">
        <f>IF($H135=1,'Event summary'!C135,"")</f>
        <v/>
      </c>
      <c r="K135" s="66" t="str">
        <f>IF($H135=1,'Event summary'!D135,"")</f>
        <v/>
      </c>
    </row>
    <row r="136" spans="6:11" x14ac:dyDescent="0.2">
      <c r="F136" s="26"/>
      <c r="G136" s="29">
        <f>'Event summary'!A136</f>
        <v>136</v>
      </c>
      <c r="H136" s="43">
        <f>MIN(TYPE(SEARCH($E$2,'Event summary'!C136)),TYPE(SEARCH($E$2,'Event summary'!D136)))</f>
        <v>16</v>
      </c>
      <c r="I136" s="65" t="str">
        <f t="shared" si="3"/>
        <v/>
      </c>
      <c r="J136" s="66" t="str">
        <f>IF($H136=1,'Event summary'!C136,"")</f>
        <v/>
      </c>
      <c r="K136" s="66" t="str">
        <f>IF($H136=1,'Event summary'!D136,"")</f>
        <v/>
      </c>
    </row>
    <row r="137" spans="6:11" x14ac:dyDescent="0.2">
      <c r="F137" s="26"/>
      <c r="G137" s="29">
        <f>'Event summary'!A137</f>
        <v>137</v>
      </c>
      <c r="H137" s="43">
        <f>MIN(TYPE(SEARCH($E$2,'Event summary'!C137)),TYPE(SEARCH($E$2,'Event summary'!D137)))</f>
        <v>16</v>
      </c>
      <c r="I137" s="65" t="str">
        <f t="shared" si="3"/>
        <v/>
      </c>
      <c r="J137" s="66" t="str">
        <f>IF($H137=1,'Event summary'!C137,"")</f>
        <v/>
      </c>
      <c r="K137" s="66" t="str">
        <f>IF($H137=1,'Event summary'!D137,"")</f>
        <v/>
      </c>
    </row>
    <row r="138" spans="6:11" ht="28.5" x14ac:dyDescent="0.2">
      <c r="F138" s="26"/>
      <c r="G138" s="29">
        <f>'Event summary'!A138</f>
        <v>138</v>
      </c>
      <c r="H138" s="43">
        <f>MIN(TYPE(SEARCH($E$2,'Event summary'!C138)),TYPE(SEARCH($E$2,'Event summary'!D138)))</f>
        <v>16</v>
      </c>
      <c r="I138" s="65" t="str">
        <f t="shared" si="3"/>
        <v/>
      </c>
      <c r="J138" s="66" t="str">
        <f>IF($H138=1,'Event summary'!C138,"")</f>
        <v/>
      </c>
      <c r="K138" s="66" t="str">
        <f>IF($H138=1,'Event summary'!D138,"")</f>
        <v/>
      </c>
    </row>
    <row r="139" spans="6:11" x14ac:dyDescent="0.2">
      <c r="F139" s="26"/>
      <c r="G139" s="29">
        <f>'Event summary'!A139</f>
        <v>139</v>
      </c>
      <c r="H139" s="43">
        <f>MIN(TYPE(SEARCH($E$2,'Event summary'!C139)),TYPE(SEARCH($E$2,'Event summary'!D139)))</f>
        <v>16</v>
      </c>
      <c r="I139" s="65" t="str">
        <f t="shared" si="3"/>
        <v/>
      </c>
      <c r="J139" s="66" t="str">
        <f>IF($H139=1,'Event summary'!C139,"")</f>
        <v/>
      </c>
      <c r="K139" s="66" t="str">
        <f>IF($H139=1,'Event summary'!D139,"")</f>
        <v/>
      </c>
    </row>
    <row r="140" spans="6:11" x14ac:dyDescent="0.2">
      <c r="F140" s="26"/>
      <c r="G140" s="29">
        <f>'Event summary'!A140</f>
        <v>140</v>
      </c>
      <c r="H140" s="43">
        <f>MIN(TYPE(SEARCH($E$2,'Event summary'!C140)),TYPE(SEARCH($E$2,'Event summary'!D140)))</f>
        <v>16</v>
      </c>
      <c r="I140" s="65" t="str">
        <f t="shared" si="3"/>
        <v/>
      </c>
      <c r="J140" s="66" t="str">
        <f>IF($H140=1,'Event summary'!C140,"")</f>
        <v/>
      </c>
      <c r="K140" s="66" t="str">
        <f>IF($H140=1,'Event summary'!D140,"")</f>
        <v/>
      </c>
    </row>
    <row r="141" spans="6:11" x14ac:dyDescent="0.2">
      <c r="F141" s="26"/>
      <c r="G141" s="29">
        <f>'Event summary'!A141</f>
        <v>141</v>
      </c>
      <c r="H141" s="43">
        <f>MIN(TYPE(SEARCH($E$2,'Event summary'!C141)),TYPE(SEARCH($E$2,'Event summary'!D141)))</f>
        <v>16</v>
      </c>
      <c r="I141" s="65" t="str">
        <f t="shared" si="3"/>
        <v/>
      </c>
      <c r="J141" s="66" t="str">
        <f>IF($H141=1,'Event summary'!C141,"")</f>
        <v/>
      </c>
      <c r="K141" s="66" t="str">
        <f>IF($H141=1,'Event summary'!D141,"")</f>
        <v/>
      </c>
    </row>
    <row r="142" spans="6:11" x14ac:dyDescent="0.2">
      <c r="F142" s="26"/>
      <c r="G142" s="29">
        <f>'Event summary'!A142</f>
        <v>142</v>
      </c>
      <c r="H142" s="43">
        <f>MIN(TYPE(SEARCH($E$2,'Event summary'!C142)),TYPE(SEARCH($E$2,'Event summary'!D142)))</f>
        <v>16</v>
      </c>
      <c r="I142" s="65" t="str">
        <f t="shared" si="3"/>
        <v/>
      </c>
      <c r="J142" s="66" t="str">
        <f>IF($H142=1,'Event summary'!C142,"")</f>
        <v/>
      </c>
      <c r="K142" s="66" t="str">
        <f>IF($H142=1,'Event summary'!D142,"")</f>
        <v/>
      </c>
    </row>
    <row r="143" spans="6:11" x14ac:dyDescent="0.2">
      <c r="F143" s="26"/>
      <c r="G143" s="29">
        <f>'Event summary'!A143</f>
        <v>143</v>
      </c>
      <c r="H143" s="43">
        <f>MIN(TYPE(SEARCH($E$2,'Event summary'!C143)),TYPE(SEARCH($E$2,'Event summary'!D143)))</f>
        <v>16</v>
      </c>
      <c r="I143" s="65" t="str">
        <f t="shared" si="3"/>
        <v/>
      </c>
      <c r="J143" s="66" t="str">
        <f>IF($H143=1,'Event summary'!C143,"")</f>
        <v/>
      </c>
      <c r="K143" s="66" t="str">
        <f>IF($H143=1,'Event summary'!D143,"")</f>
        <v/>
      </c>
    </row>
    <row r="144" spans="6:11" x14ac:dyDescent="0.2">
      <c r="F144" s="26"/>
      <c r="G144" s="29">
        <f>'Event summary'!A144</f>
        <v>144</v>
      </c>
      <c r="H144" s="43">
        <f>MIN(TYPE(SEARCH($E$2,'Event summary'!C144)),TYPE(SEARCH($E$2,'Event summary'!D144)))</f>
        <v>16</v>
      </c>
      <c r="I144" s="65" t="str">
        <f t="shared" si="3"/>
        <v/>
      </c>
      <c r="J144" s="66" t="str">
        <f>IF($H144=1,'Event summary'!C144,"")</f>
        <v/>
      </c>
      <c r="K144" s="66" t="str">
        <f>IF($H144=1,'Event summary'!D144,"")</f>
        <v/>
      </c>
    </row>
    <row r="145" spans="6:11" x14ac:dyDescent="0.2">
      <c r="F145" s="26"/>
      <c r="G145" s="29">
        <f>'Event summary'!A145</f>
        <v>145</v>
      </c>
      <c r="H145" s="43">
        <f>MIN(TYPE(SEARCH($E$2,'Event summary'!C145)),TYPE(SEARCH($E$2,'Event summary'!D145)))</f>
        <v>16</v>
      </c>
      <c r="I145" s="65" t="str">
        <f t="shared" si="3"/>
        <v/>
      </c>
      <c r="J145" s="66" t="str">
        <f>IF($H145=1,'Event summary'!C145,"")</f>
        <v/>
      </c>
      <c r="K145" s="66" t="str">
        <f>IF($H145=1,'Event summary'!D145,"")</f>
        <v/>
      </c>
    </row>
    <row r="146" spans="6:11" x14ac:dyDescent="0.2">
      <c r="F146" s="26"/>
      <c r="G146" s="29">
        <f>'Event summary'!A146</f>
        <v>146</v>
      </c>
      <c r="H146" s="43">
        <f>MIN(TYPE(SEARCH($E$2,'Event summary'!C146)),TYPE(SEARCH($E$2,'Event summary'!D146)))</f>
        <v>16</v>
      </c>
      <c r="I146" s="65" t="str">
        <f t="shared" si="3"/>
        <v/>
      </c>
      <c r="J146" s="66" t="str">
        <f>IF($H146=1,'Event summary'!C146,"")</f>
        <v/>
      </c>
      <c r="K146" s="66" t="str">
        <f>IF($H146=1,'Event summary'!D146,"")</f>
        <v/>
      </c>
    </row>
    <row r="147" spans="6:11" x14ac:dyDescent="0.2">
      <c r="F147" s="26"/>
      <c r="G147" s="29">
        <f>'Event summary'!A147</f>
        <v>147</v>
      </c>
      <c r="H147" s="43">
        <f>MIN(TYPE(SEARCH($E$2,'Event summary'!C147)),TYPE(SEARCH($E$2,'Event summary'!D147)))</f>
        <v>16</v>
      </c>
      <c r="I147" s="65" t="str">
        <f t="shared" si="3"/>
        <v/>
      </c>
      <c r="J147" s="66" t="str">
        <f>IF($H147=1,'Event summary'!C147,"")</f>
        <v/>
      </c>
      <c r="K147" s="66" t="str">
        <f>IF($H147=1,'Event summary'!D147,"")</f>
        <v/>
      </c>
    </row>
    <row r="148" spans="6:11" x14ac:dyDescent="0.2">
      <c r="F148" s="26"/>
      <c r="G148" s="29">
        <f>'Event summary'!A148</f>
        <v>148</v>
      </c>
      <c r="H148" s="43">
        <f>MIN(TYPE(SEARCH($E$2,'Event summary'!C148)),TYPE(SEARCH($E$2,'Event summary'!D148)))</f>
        <v>16</v>
      </c>
      <c r="I148" s="65" t="str">
        <f t="shared" si="3"/>
        <v/>
      </c>
      <c r="J148" s="66" t="str">
        <f>IF($H148=1,'Event summary'!C148,"")</f>
        <v/>
      </c>
      <c r="K148" s="66" t="str">
        <f>IF($H148=1,'Event summary'!D148,"")</f>
        <v/>
      </c>
    </row>
    <row r="149" spans="6:11" x14ac:dyDescent="0.2">
      <c r="F149" s="26"/>
      <c r="G149" s="29">
        <f>'Event summary'!A149</f>
        <v>149</v>
      </c>
      <c r="H149" s="43">
        <f>MIN(TYPE(SEARCH($E$2,'Event summary'!C149)),TYPE(SEARCH($E$2,'Event summary'!D149)))</f>
        <v>16</v>
      </c>
      <c r="I149" s="65" t="str">
        <f t="shared" si="3"/>
        <v/>
      </c>
      <c r="J149" s="66" t="str">
        <f>IF($H149=1,'Event summary'!C149,"")</f>
        <v/>
      </c>
      <c r="K149" s="66" t="str">
        <f>IF($H149=1,'Event summary'!D149,"")</f>
        <v/>
      </c>
    </row>
    <row r="150" spans="6:11" x14ac:dyDescent="0.2">
      <c r="F150" s="26"/>
      <c r="G150" s="29">
        <f>'Event summary'!A150</f>
        <v>150</v>
      </c>
      <c r="H150" s="43">
        <f>MIN(TYPE(SEARCH($E$2,'Event summary'!C150)),TYPE(SEARCH($E$2,'Event summary'!D150)))</f>
        <v>16</v>
      </c>
      <c r="I150" s="65" t="str">
        <f t="shared" si="3"/>
        <v/>
      </c>
      <c r="J150" s="66" t="str">
        <f>IF($H150=1,'Event summary'!C150,"")</f>
        <v/>
      </c>
      <c r="K150" s="66" t="str">
        <f>IF($H150=1,'Event summary'!D150,"")</f>
        <v/>
      </c>
    </row>
    <row r="151" spans="6:11" x14ac:dyDescent="0.2">
      <c r="F151" s="26"/>
      <c r="G151" s="29">
        <f>'Event summary'!A151</f>
        <v>151</v>
      </c>
      <c r="H151" s="43">
        <f>MIN(TYPE(SEARCH($E$2,'Event summary'!C151)),TYPE(SEARCH($E$2,'Event summary'!D151)))</f>
        <v>16</v>
      </c>
      <c r="I151" s="65" t="str">
        <f t="shared" si="3"/>
        <v/>
      </c>
      <c r="J151" s="66" t="str">
        <f>IF($H151=1,'Event summary'!C151,"")</f>
        <v/>
      </c>
      <c r="K151" s="66" t="str">
        <f>IF($H151=1,'Event summary'!D151,"")</f>
        <v/>
      </c>
    </row>
    <row r="152" spans="6:11" x14ac:dyDescent="0.2">
      <c r="F152" s="26"/>
      <c r="G152" s="29">
        <f>'Event summary'!A152</f>
        <v>152</v>
      </c>
      <c r="H152" s="43">
        <f>MIN(TYPE(SEARCH($E$2,'Event summary'!C152)),TYPE(SEARCH($E$2,'Event summary'!D152)))</f>
        <v>16</v>
      </c>
      <c r="I152" s="65" t="str">
        <f t="shared" si="3"/>
        <v/>
      </c>
      <c r="J152" s="66" t="str">
        <f>IF($H152=1,'Event summary'!C152,"")</f>
        <v/>
      </c>
      <c r="K152" s="66" t="str">
        <f>IF($H152=1,'Event summary'!D152,"")</f>
        <v/>
      </c>
    </row>
    <row r="153" spans="6:11" x14ac:dyDescent="0.2">
      <c r="F153" s="26"/>
      <c r="G153" s="29">
        <f>'Event summary'!A153</f>
        <v>153</v>
      </c>
      <c r="H153" s="43">
        <f>MIN(TYPE(SEARCH($E$2,'Event summary'!C153)),TYPE(SEARCH($E$2,'Event summary'!D153)))</f>
        <v>16</v>
      </c>
      <c r="I153" s="65" t="str">
        <f t="shared" si="3"/>
        <v/>
      </c>
      <c r="J153" s="66" t="str">
        <f>IF($H153=1,'Event summary'!C153,"")</f>
        <v/>
      </c>
      <c r="K153" s="66" t="str">
        <f>IF($H153=1,'Event summary'!D153,"")</f>
        <v/>
      </c>
    </row>
    <row r="154" spans="6:11" x14ac:dyDescent="0.2">
      <c r="F154" s="26"/>
      <c r="G154" s="29">
        <f>'Event summary'!A154</f>
        <v>154</v>
      </c>
      <c r="H154" s="43">
        <f>MIN(TYPE(SEARCH($E$2,'Event summary'!C154)),TYPE(SEARCH($E$2,'Event summary'!D154)))</f>
        <v>16</v>
      </c>
      <c r="I154" s="65" t="str">
        <f t="shared" si="3"/>
        <v/>
      </c>
      <c r="J154" s="66" t="str">
        <f>IF($H154=1,'Event summary'!C154,"")</f>
        <v/>
      </c>
      <c r="K154" s="66" t="str">
        <f>IF($H154=1,'Event summary'!D154,"")</f>
        <v/>
      </c>
    </row>
    <row r="155" spans="6:11" x14ac:dyDescent="0.2">
      <c r="F155" s="26"/>
      <c r="G155" s="29">
        <f>'Event summary'!A155</f>
        <v>155</v>
      </c>
      <c r="H155" s="43">
        <f>MIN(TYPE(SEARCH($E$2,'Event summary'!C155)),TYPE(SEARCH($E$2,'Event summary'!D155)))</f>
        <v>16</v>
      </c>
      <c r="I155" s="65" t="str">
        <f t="shared" si="3"/>
        <v/>
      </c>
      <c r="J155" s="66" t="str">
        <f>IF($H155=1,'Event summary'!C155,"")</f>
        <v/>
      </c>
      <c r="K155" s="66" t="str">
        <f>IF($H155=1,'Event summary'!D155,"")</f>
        <v/>
      </c>
    </row>
    <row r="156" spans="6:11" x14ac:dyDescent="0.2">
      <c r="F156" s="26"/>
      <c r="G156" s="29">
        <f>'Event summary'!A156</f>
        <v>156</v>
      </c>
      <c r="H156" s="43">
        <f>MIN(TYPE(SEARCH($E$2,'Event summary'!C156)),TYPE(SEARCH($E$2,'Event summary'!D156)))</f>
        <v>16</v>
      </c>
      <c r="I156" s="65" t="str">
        <f t="shared" si="3"/>
        <v/>
      </c>
      <c r="J156" s="66" t="str">
        <f>IF($H156=1,'Event summary'!C156,"")</f>
        <v/>
      </c>
      <c r="K156" s="66" t="str">
        <f>IF($H156=1,'Event summary'!D156,"")</f>
        <v/>
      </c>
    </row>
    <row r="157" spans="6:11" x14ac:dyDescent="0.2">
      <c r="F157" s="26"/>
      <c r="G157" s="29">
        <f>'Event summary'!A157</f>
        <v>157</v>
      </c>
      <c r="H157" s="43">
        <f>MIN(TYPE(SEARCH($E$2,'Event summary'!C157)),TYPE(SEARCH($E$2,'Event summary'!D157)))</f>
        <v>16</v>
      </c>
      <c r="I157" s="65" t="str">
        <f t="shared" si="3"/>
        <v/>
      </c>
      <c r="J157" s="66" t="str">
        <f>IF($H157=1,'Event summary'!C157,"")</f>
        <v/>
      </c>
      <c r="K157" s="66" t="str">
        <f>IF($H157=1,'Event summary'!D157,"")</f>
        <v/>
      </c>
    </row>
    <row r="158" spans="6:11" x14ac:dyDescent="0.2">
      <c r="F158" s="26"/>
      <c r="G158" s="29">
        <f>'Event summary'!A158</f>
        <v>158</v>
      </c>
      <c r="H158" s="43">
        <f>MIN(TYPE(SEARCH($E$2,'Event summary'!C158)),TYPE(SEARCH($E$2,'Event summary'!D158)))</f>
        <v>16</v>
      </c>
      <c r="I158" s="65" t="str">
        <f t="shared" si="3"/>
        <v/>
      </c>
      <c r="J158" s="66" t="str">
        <f>IF($H158=1,'Event summary'!C158,"")</f>
        <v/>
      </c>
      <c r="K158" s="66" t="str">
        <f>IF($H158=1,'Event summary'!D158,"")</f>
        <v/>
      </c>
    </row>
    <row r="159" spans="6:11" x14ac:dyDescent="0.2">
      <c r="F159" s="26"/>
      <c r="G159" s="29">
        <f>'Event summary'!A159</f>
        <v>159</v>
      </c>
      <c r="H159" s="43">
        <f>MIN(TYPE(SEARCH($E$2,'Event summary'!C159)),TYPE(SEARCH($E$2,'Event summary'!D159)))</f>
        <v>16</v>
      </c>
      <c r="I159" s="65" t="str">
        <f t="shared" si="3"/>
        <v/>
      </c>
      <c r="J159" s="66" t="str">
        <f>IF($H159=1,'Event summary'!C159,"")</f>
        <v/>
      </c>
      <c r="K159" s="66" t="str">
        <f>IF($H159=1,'Event summary'!D159,"")</f>
        <v/>
      </c>
    </row>
    <row r="160" spans="6:11" x14ac:dyDescent="0.2">
      <c r="F160" s="26"/>
      <c r="G160" s="29">
        <f>'Event summary'!A160</f>
        <v>160</v>
      </c>
      <c r="H160" s="43">
        <f>MIN(TYPE(SEARCH($E$2,'Event summary'!C160)),TYPE(SEARCH($E$2,'Event summary'!D160)))</f>
        <v>16</v>
      </c>
      <c r="I160" s="65" t="str">
        <f t="shared" si="3"/>
        <v/>
      </c>
      <c r="J160" s="66" t="str">
        <f>IF($H160=1,'Event summary'!C160,"")</f>
        <v/>
      </c>
      <c r="K160" s="66" t="str">
        <f>IF($H160=1,'Event summary'!D160,"")</f>
        <v/>
      </c>
    </row>
    <row r="161" spans="6:11" x14ac:dyDescent="0.2">
      <c r="F161" s="26"/>
      <c r="G161" s="29">
        <f>'Event summary'!A161</f>
        <v>161</v>
      </c>
      <c r="H161" s="43">
        <f>MIN(TYPE(SEARCH($E$2,'Event summary'!C161)),TYPE(SEARCH($E$2,'Event summary'!D161)))</f>
        <v>16</v>
      </c>
      <c r="I161" s="65" t="str">
        <f t="shared" si="3"/>
        <v/>
      </c>
      <c r="J161" s="66" t="str">
        <f>IF($H161=1,'Event summary'!C161,"")</f>
        <v/>
      </c>
      <c r="K161" s="66" t="str">
        <f>IF($H161=1,'Event summary'!D161,"")</f>
        <v/>
      </c>
    </row>
    <row r="162" spans="6:11" x14ac:dyDescent="0.2">
      <c r="F162" s="26"/>
      <c r="G162" s="29">
        <f>'Event summary'!A162</f>
        <v>162</v>
      </c>
      <c r="H162" s="43">
        <f>MIN(TYPE(SEARCH($E$2,'Event summary'!C162)),TYPE(SEARCH($E$2,'Event summary'!D162)))</f>
        <v>16</v>
      </c>
      <c r="I162" s="65" t="str">
        <f t="shared" si="3"/>
        <v/>
      </c>
      <c r="J162" s="66" t="str">
        <f>IF($H162=1,'Event summary'!C162,"")</f>
        <v/>
      </c>
      <c r="K162" s="66" t="str">
        <f>IF($H162=1,'Event summary'!D162,"")</f>
        <v/>
      </c>
    </row>
    <row r="163" spans="6:11" x14ac:dyDescent="0.2">
      <c r="F163" s="26"/>
      <c r="G163" s="29">
        <f>'Event summary'!A163</f>
        <v>163</v>
      </c>
      <c r="H163" s="43">
        <f>MIN(TYPE(SEARCH($E$2,'Event summary'!C163)),TYPE(SEARCH($E$2,'Event summary'!D163)))</f>
        <v>16</v>
      </c>
      <c r="I163" s="65" t="str">
        <f t="shared" si="3"/>
        <v/>
      </c>
      <c r="J163" s="66" t="str">
        <f>IF($H163=1,'Event summary'!C163,"")</f>
        <v/>
      </c>
      <c r="K163" s="66" t="str">
        <f>IF($H163=1,'Event summary'!D163,"")</f>
        <v/>
      </c>
    </row>
    <row r="164" spans="6:11" x14ac:dyDescent="0.2">
      <c r="F164" s="26"/>
      <c r="G164" s="29">
        <f>'Event summary'!A164</f>
        <v>164</v>
      </c>
      <c r="H164" s="43">
        <f>MIN(TYPE(SEARCH($E$2,'Event summary'!C164)),TYPE(SEARCH($E$2,'Event summary'!D164)))</f>
        <v>16</v>
      </c>
      <c r="I164" s="65" t="str">
        <f t="shared" si="3"/>
        <v/>
      </c>
      <c r="J164" s="66" t="str">
        <f>IF($H164=1,'Event summary'!C164,"")</f>
        <v/>
      </c>
      <c r="K164" s="66" t="str">
        <f>IF($H164=1,'Event summary'!D164,"")</f>
        <v/>
      </c>
    </row>
    <row r="165" spans="6:11" x14ac:dyDescent="0.2">
      <c r="F165" s="26"/>
      <c r="G165" s="29">
        <f>'Event summary'!A165</f>
        <v>165</v>
      </c>
      <c r="H165" s="43">
        <f>MIN(TYPE(SEARCH($E$2,'Event summary'!C165)),TYPE(SEARCH($E$2,'Event summary'!D165)))</f>
        <v>16</v>
      </c>
      <c r="I165" s="65" t="str">
        <f t="shared" si="3"/>
        <v/>
      </c>
      <c r="J165" s="66" t="str">
        <f>IF($H165=1,'Event summary'!C165,"")</f>
        <v/>
      </c>
      <c r="K165" s="66" t="str">
        <f>IF($H165=1,'Event summary'!D165,"")</f>
        <v/>
      </c>
    </row>
    <row r="166" spans="6:11" x14ac:dyDescent="0.2">
      <c r="F166" s="26"/>
      <c r="G166" s="29">
        <f>'Event summary'!A166</f>
        <v>166</v>
      </c>
      <c r="H166" s="43">
        <f>MIN(TYPE(SEARCH($E$2,'Event summary'!C166)),TYPE(SEARCH($E$2,'Event summary'!D166)))</f>
        <v>1</v>
      </c>
      <c r="I166" s="65" t="str">
        <f t="shared" si="3"/>
        <v>שינוי</v>
      </c>
      <c r="J166" s="66" t="str">
        <f>IF($H166=1,'Event summary'!C166,"")</f>
        <v>שגיאת care path. שימוש ב care path של 3D ולא פליאציה. תיק לא היה מוכן בזמן</v>
      </c>
      <c r="K166" s="66" t="str">
        <f>IF($H166=1,'Event summary'!D166,"")</f>
        <v>יש לוודא בסימולציה שהשדה והסימונים על אותה סריקה. שינוי שיטה של קביעת מרכז.</v>
      </c>
    </row>
    <row r="167" spans="6:11" x14ac:dyDescent="0.2">
      <c r="F167" s="26"/>
      <c r="G167" s="29">
        <f>'Event summary'!A167</f>
        <v>167</v>
      </c>
      <c r="H167" s="43">
        <f>MIN(TYPE(SEARCH($E$2,'Event summary'!C167)),TYPE(SEARCH($E$2,'Event summary'!D167)))</f>
        <v>16</v>
      </c>
      <c r="I167" s="65" t="str">
        <f t="shared" si="3"/>
        <v/>
      </c>
      <c r="J167" s="66" t="str">
        <f>IF($H167=1,'Event summary'!C167,"")</f>
        <v/>
      </c>
      <c r="K167" s="66" t="str">
        <f>IF($H167=1,'Event summary'!D167,"")</f>
        <v/>
      </c>
    </row>
    <row r="168" spans="6:11" x14ac:dyDescent="0.2">
      <c r="F168" s="26"/>
      <c r="G168" s="29">
        <f>'Event summary'!A168</f>
        <v>168</v>
      </c>
      <c r="H168" s="43">
        <f>MIN(TYPE(SEARCH($E$2,'Event summary'!C168)),TYPE(SEARCH($E$2,'Event summary'!D168)))</f>
        <v>16</v>
      </c>
      <c r="I168" s="65" t="str">
        <f t="shared" si="3"/>
        <v/>
      </c>
      <c r="J168" s="66" t="str">
        <f>IF($H168=1,'Event summary'!C168,"")</f>
        <v/>
      </c>
      <c r="K168" s="66" t="str">
        <f>IF($H168=1,'Event summary'!D168,"")</f>
        <v/>
      </c>
    </row>
    <row r="169" spans="6:11" x14ac:dyDescent="0.2">
      <c r="F169" s="26"/>
      <c r="G169" s="29">
        <f>'Event summary'!A169</f>
        <v>169</v>
      </c>
      <c r="H169" s="43">
        <f>MIN(TYPE(SEARCH($E$2,'Event summary'!C169)),TYPE(SEARCH($E$2,'Event summary'!D169)))</f>
        <v>16</v>
      </c>
      <c r="I169" s="65" t="str">
        <f t="shared" si="3"/>
        <v/>
      </c>
      <c r="J169" s="66" t="str">
        <f>IF($H169=1,'Event summary'!C169,"")</f>
        <v/>
      </c>
      <c r="K169" s="66" t="str">
        <f>IF($H169=1,'Event summary'!D169,"")</f>
        <v/>
      </c>
    </row>
    <row r="170" spans="6:11" x14ac:dyDescent="0.2">
      <c r="F170" s="26"/>
      <c r="G170" s="29">
        <f>'Event summary'!A170</f>
        <v>170</v>
      </c>
      <c r="H170" s="43">
        <f>MIN(TYPE(SEARCH($E$2,'Event summary'!C170)),TYPE(SEARCH($E$2,'Event summary'!D170)))</f>
        <v>16</v>
      </c>
      <c r="I170" s="65" t="str">
        <f t="shared" si="3"/>
        <v/>
      </c>
      <c r="J170" s="66" t="str">
        <f>IF($H170=1,'Event summary'!C170,"")</f>
        <v/>
      </c>
      <c r="K170" s="66" t="str">
        <f>IF($H170=1,'Event summary'!D170,"")</f>
        <v/>
      </c>
    </row>
    <row r="171" spans="6:11" ht="28.5" x14ac:dyDescent="0.2">
      <c r="F171" s="26"/>
      <c r="G171" s="29">
        <f>'Event summary'!A171</f>
        <v>171</v>
      </c>
      <c r="H171" s="43">
        <f>MIN(TYPE(SEARCH($E$2,'Event summary'!C171)),TYPE(SEARCH($E$2,'Event summary'!D171)))</f>
        <v>16</v>
      </c>
      <c r="I171" s="65" t="str">
        <f t="shared" si="3"/>
        <v/>
      </c>
      <c r="J171" s="66" t="str">
        <f>IF($H171=1,'Event summary'!C171,"")</f>
        <v/>
      </c>
      <c r="K171" s="66" t="str">
        <f>IF($H171=1,'Event summary'!D171,"")</f>
        <v/>
      </c>
    </row>
    <row r="172" spans="6:11" ht="28.5" x14ac:dyDescent="0.2">
      <c r="F172" s="26"/>
      <c r="G172" s="29">
        <f>'Event summary'!A172</f>
        <v>172</v>
      </c>
      <c r="H172" s="43">
        <f>MIN(TYPE(SEARCH($E$2,'Event summary'!C172)),TYPE(SEARCH($E$2,'Event summary'!D172)))</f>
        <v>1</v>
      </c>
      <c r="I172" s="65" t="str">
        <f t="shared" si="3"/>
        <v>שינוי</v>
      </c>
      <c r="J172" s="66" t="str">
        <f>IF($H172=1,'Event summary'!C172,"")</f>
        <v xml:space="preserve">מתן טיפול באופן שגוי - מטופלת קבלה טיפול FSR ללא Exact Track </v>
      </c>
      <c r="K172" s="66" t="str">
        <f>IF($H172=1,'Event summary'!D172,"")</f>
        <v>יש לציין במרשם במפורש את טכניקת הטיפול באחריות הרופא המטפל. כל שינוי מותנה באישור הרופא המטפל.</v>
      </c>
    </row>
    <row r="173" spans="6:11" x14ac:dyDescent="0.2">
      <c r="F173" s="26"/>
      <c r="G173" s="29">
        <f>'Event summary'!A173</f>
        <v>173</v>
      </c>
      <c r="H173" s="43">
        <f>MIN(TYPE(SEARCH($E$2,'Event summary'!C173)),TYPE(SEARCH($E$2,'Event summary'!D173)))</f>
        <v>16</v>
      </c>
      <c r="I173" s="65" t="str">
        <f t="shared" si="3"/>
        <v/>
      </c>
      <c r="J173" s="66" t="str">
        <f>IF($H173=1,'Event summary'!C173,"")</f>
        <v/>
      </c>
      <c r="K173" s="66" t="str">
        <f>IF($H173=1,'Event summary'!D173,"")</f>
        <v/>
      </c>
    </row>
    <row r="174" spans="6:11" x14ac:dyDescent="0.2">
      <c r="F174" s="26"/>
      <c r="G174" s="29">
        <f>'Event summary'!A174</f>
        <v>174</v>
      </c>
      <c r="H174" s="43">
        <f>MIN(TYPE(SEARCH($E$2,'Event summary'!C174)),TYPE(SEARCH($E$2,'Event summary'!D174)))</f>
        <v>16</v>
      </c>
      <c r="I174" s="65" t="str">
        <f t="shared" si="3"/>
        <v/>
      </c>
      <c r="J174" s="66" t="str">
        <f>IF($H174=1,'Event summary'!C174,"")</f>
        <v/>
      </c>
      <c r="K174" s="66" t="str">
        <f>IF($H174=1,'Event summary'!D174,"")</f>
        <v/>
      </c>
    </row>
    <row r="175" spans="6:11" x14ac:dyDescent="0.2">
      <c r="F175" s="26"/>
      <c r="G175" s="29">
        <f>'Event summary'!A175</f>
        <v>175</v>
      </c>
      <c r="H175" s="43">
        <f>MIN(TYPE(SEARCH($E$2,'Event summary'!C175)),TYPE(SEARCH($E$2,'Event summary'!D175)))</f>
        <v>16</v>
      </c>
      <c r="I175" s="65" t="str">
        <f t="shared" si="3"/>
        <v/>
      </c>
      <c r="J175" s="66" t="str">
        <f>IF($H175=1,'Event summary'!C175,"")</f>
        <v/>
      </c>
      <c r="K175" s="66" t="str">
        <f>IF($H175=1,'Event summary'!D175,"")</f>
        <v/>
      </c>
    </row>
    <row r="176" spans="6:11" ht="28.5" x14ac:dyDescent="0.2">
      <c r="F176" s="26"/>
      <c r="G176" s="29">
        <f>'Event summary'!A176</f>
        <v>176</v>
      </c>
      <c r="H176" s="43">
        <f>MIN(TYPE(SEARCH($E$2,'Event summary'!C176)),TYPE(SEARCH($E$2,'Event summary'!D176)))</f>
        <v>16</v>
      </c>
      <c r="I176" s="65" t="str">
        <f t="shared" si="3"/>
        <v/>
      </c>
      <c r="J176" s="66" t="str">
        <f>IF($H176=1,'Event summary'!C176,"")</f>
        <v/>
      </c>
      <c r="K176" s="66" t="str">
        <f>IF($H176=1,'Event summary'!D176,"")</f>
        <v/>
      </c>
    </row>
    <row r="177" spans="6:11" x14ac:dyDescent="0.2">
      <c r="F177" s="26"/>
      <c r="G177" s="29">
        <f>'Event summary'!A177</f>
        <v>177</v>
      </c>
      <c r="H177" s="43">
        <f>MIN(TYPE(SEARCH($E$2,'Event summary'!C177)),TYPE(SEARCH($E$2,'Event summary'!D177)))</f>
        <v>16</v>
      </c>
      <c r="I177" s="65" t="str">
        <f t="shared" si="3"/>
        <v/>
      </c>
      <c r="J177" s="66" t="str">
        <f>IF($H177=1,'Event summary'!C177,"")</f>
        <v/>
      </c>
      <c r="K177" s="66" t="str">
        <f>IF($H177=1,'Event summary'!D177,"")</f>
        <v/>
      </c>
    </row>
    <row r="178" spans="6:11" ht="42.75" x14ac:dyDescent="0.2">
      <c r="F178" s="26"/>
      <c r="G178" s="29">
        <f>'Event summary'!A178</f>
        <v>178</v>
      </c>
      <c r="H178" s="43">
        <f>MIN(TYPE(SEARCH($E$2,'Event summary'!C178)),TYPE(SEARCH($E$2,'Event summary'!D178)))</f>
        <v>1</v>
      </c>
      <c r="I178" s="65" t="str">
        <f t="shared" si="3"/>
        <v>שינוי</v>
      </c>
      <c r="J178" s="66" t="str">
        <f>IF($H178=1,'Event summary'!C178,"")</f>
        <v>העברת מידע- מטופל הורד מהמחלקה לצורך קבלת טיפול. הצוות המטפל לא ידע שהועבר הוראה לא לטפל עד קבלת פטולוגיה.</v>
      </c>
      <c r="K178" s="66" t="str">
        <f>IF($H178=1,'Event summary'!D178,"")</f>
        <v>העברת מיידע בין הסקטורים הינה קריטית למתן טיפול איכותי. בכל החלטה רפואית של דחייה, הקדמה או שינוי טיפול יש לתעד ב patient alert וקמליון. לידע את זימון תורים, RTTQA ואם צריך אז גם את פיזיקה.</v>
      </c>
    </row>
    <row r="179" spans="6:11" x14ac:dyDescent="0.2">
      <c r="F179" s="26"/>
      <c r="G179" s="29">
        <f>'Event summary'!A179</f>
        <v>179</v>
      </c>
      <c r="H179" s="43">
        <f>MIN(TYPE(SEARCH($E$2,'Event summary'!C179)),TYPE(SEARCH($E$2,'Event summary'!D179)))</f>
        <v>16</v>
      </c>
      <c r="I179" s="65" t="str">
        <f t="shared" si="3"/>
        <v/>
      </c>
      <c r="J179" s="66" t="str">
        <f>IF($H179=1,'Event summary'!C179,"")</f>
        <v/>
      </c>
      <c r="K179" s="66" t="str">
        <f>IF($H179=1,'Event summary'!D179,"")</f>
        <v/>
      </c>
    </row>
    <row r="180" spans="6:11" ht="28.5" x14ac:dyDescent="0.2">
      <c r="F180" s="26"/>
      <c r="G180" s="29">
        <f>'Event summary'!A180</f>
        <v>180</v>
      </c>
      <c r="H180" s="43">
        <f>MIN(TYPE(SEARCH($E$2,'Event summary'!C180)),TYPE(SEARCH($E$2,'Event summary'!D180)))</f>
        <v>16</v>
      </c>
      <c r="I180" s="65" t="str">
        <f t="shared" si="3"/>
        <v/>
      </c>
      <c r="J180" s="66" t="str">
        <f>IF($H180=1,'Event summary'!C180,"")</f>
        <v/>
      </c>
      <c r="K180" s="66" t="str">
        <f>IF($H180=1,'Event summary'!D180,"")</f>
        <v/>
      </c>
    </row>
    <row r="181" spans="6:11" x14ac:dyDescent="0.2">
      <c r="F181" s="26"/>
      <c r="G181" s="29">
        <f>'Event summary'!A181</f>
        <v>181</v>
      </c>
      <c r="H181" s="43">
        <f>MIN(TYPE(SEARCH($E$2,'Event summary'!C181)),TYPE(SEARCH($E$2,'Event summary'!D181)))</f>
        <v>16</v>
      </c>
      <c r="I181" s="65" t="str">
        <f t="shared" si="3"/>
        <v/>
      </c>
      <c r="J181" s="66" t="str">
        <f>IF($H181=1,'Event summary'!C181,"")</f>
        <v/>
      </c>
      <c r="K181" s="66" t="str">
        <f>IF($H181=1,'Event summary'!D181,"")</f>
        <v/>
      </c>
    </row>
    <row r="182" spans="6:11" x14ac:dyDescent="0.2">
      <c r="F182" s="26"/>
      <c r="G182" s="29">
        <f>'Event summary'!A182</f>
        <v>182</v>
      </c>
      <c r="H182" s="43">
        <f>MIN(TYPE(SEARCH($E$2,'Event summary'!C182)),TYPE(SEARCH($E$2,'Event summary'!D182)))</f>
        <v>16</v>
      </c>
      <c r="I182" s="65" t="str">
        <f t="shared" si="3"/>
        <v/>
      </c>
      <c r="J182" s="66" t="str">
        <f>IF($H182=1,'Event summary'!C182,"")</f>
        <v/>
      </c>
      <c r="K182" s="66" t="str">
        <f>IF($H182=1,'Event summary'!D182,"")</f>
        <v/>
      </c>
    </row>
    <row r="183" spans="6:11" ht="42.75" x14ac:dyDescent="0.2">
      <c r="F183" s="26"/>
      <c r="G183" s="29">
        <f>'Event summary'!A183</f>
        <v>183</v>
      </c>
      <c r="H183" s="43">
        <f>MIN(TYPE(SEARCH($E$2,'Event summary'!C183)),TYPE(SEARCH($E$2,'Event summary'!D183)))</f>
        <v>16</v>
      </c>
      <c r="I183" s="65" t="str">
        <f t="shared" si="3"/>
        <v/>
      </c>
      <c r="J183" s="66" t="str">
        <f>IF($H183=1,'Event summary'!C183,"")</f>
        <v/>
      </c>
      <c r="K183" s="66" t="str">
        <f>IF($H183=1,'Event summary'!D183,"")</f>
        <v/>
      </c>
    </row>
    <row r="184" spans="6:11" x14ac:dyDescent="0.2">
      <c r="F184" s="26"/>
      <c r="G184" s="29">
        <f>'Event summary'!A184</f>
        <v>184</v>
      </c>
      <c r="H184" s="43">
        <f>MIN(TYPE(SEARCH($E$2,'Event summary'!C184)),TYPE(SEARCH($E$2,'Event summary'!D184)))</f>
        <v>16</v>
      </c>
      <c r="I184" s="65" t="str">
        <f t="shared" si="3"/>
        <v/>
      </c>
      <c r="J184" s="66" t="str">
        <f>IF($H184=1,'Event summary'!C184,"")</f>
        <v/>
      </c>
      <c r="K184" s="66" t="str">
        <f>IF($H184=1,'Event summary'!D184,"")</f>
        <v/>
      </c>
    </row>
    <row r="185" spans="6:11" ht="28.5" x14ac:dyDescent="0.2">
      <c r="F185" s="26"/>
      <c r="G185" s="29">
        <f>'Event summary'!A185</f>
        <v>185</v>
      </c>
      <c r="H185" s="43">
        <f>MIN(TYPE(SEARCH($E$2,'Event summary'!C185)),TYPE(SEARCH($E$2,'Event summary'!D185)))</f>
        <v>16</v>
      </c>
      <c r="I185" s="65" t="str">
        <f t="shared" si="3"/>
        <v/>
      </c>
      <c r="J185" s="66" t="str">
        <f>IF($H185=1,'Event summary'!C185,"")</f>
        <v/>
      </c>
      <c r="K185" s="66" t="str">
        <f>IF($H185=1,'Event summary'!D185,"")</f>
        <v/>
      </c>
    </row>
    <row r="186" spans="6:11" ht="42.75" x14ac:dyDescent="0.2">
      <c r="F186" s="26"/>
      <c r="G186" s="29">
        <f>'Event summary'!A186</f>
        <v>186</v>
      </c>
      <c r="H186" s="43">
        <f>MIN(TYPE(SEARCH($E$2,'Event summary'!C186)),TYPE(SEARCH($E$2,'Event summary'!D186)))</f>
        <v>1</v>
      </c>
      <c r="I186" s="65" t="str">
        <f t="shared" si="3"/>
        <v>שינוי</v>
      </c>
      <c r="J186" s="66" t="str">
        <f>IF($H186=1,'Event summary'!C186,"")</f>
        <v>תיק ללא אישורים מספקים - תיק הגיע לישיבת QA ללא חתימת רופא בכיר. ב- Care path שינו סטטוס ל- Cancel בחלק החתימה, ע"י מתמחה.</v>
      </c>
      <c r="K186" s="66" t="str">
        <f>IF($H186=1,'Event summary'!D186,"")</f>
        <v>מסלול עבודה תקין תלוי באופן משמעותי על ביצוע נכון של ה- Care Path. כל שינוי ב Care Path יכול לתקוע את התהליך. בעת סגירה של ה- Care Path יש להקפיד לא ללחוץ על ביטול Cancel בטעות.</v>
      </c>
    </row>
    <row r="187" spans="6:11" x14ac:dyDescent="0.2">
      <c r="F187" s="26"/>
      <c r="G187" s="29">
        <f>'Event summary'!A187</f>
        <v>187</v>
      </c>
      <c r="H187" s="43">
        <f>MIN(TYPE(SEARCH($E$2,'Event summary'!C187)),TYPE(SEARCH($E$2,'Event summary'!D187)))</f>
        <v>16</v>
      </c>
      <c r="I187" s="65" t="str">
        <f t="shared" si="3"/>
        <v/>
      </c>
      <c r="J187" s="66" t="str">
        <f>IF($H187=1,'Event summary'!C187,"")</f>
        <v/>
      </c>
      <c r="K187" s="66" t="str">
        <f>IF($H187=1,'Event summary'!D187,"")</f>
        <v/>
      </c>
    </row>
    <row r="188" spans="6:11" ht="42.75" x14ac:dyDescent="0.2">
      <c r="F188" s="26"/>
      <c r="G188" s="29">
        <f>'Event summary'!A188</f>
        <v>188</v>
      </c>
      <c r="H188" s="43">
        <f>MIN(TYPE(SEARCH($E$2,'Event summary'!C188)),TYPE(SEARCH($E$2,'Event summary'!D188)))</f>
        <v>16</v>
      </c>
      <c r="I188" s="65" t="str">
        <f t="shared" si="3"/>
        <v/>
      </c>
      <c r="J188" s="66" t="str">
        <f>IF($H188=1,'Event summary'!C188,"")</f>
        <v/>
      </c>
      <c r="K188" s="66" t="str">
        <f>IF($H188=1,'Event summary'!D188,"")</f>
        <v/>
      </c>
    </row>
    <row r="189" spans="6:11" ht="42.75" x14ac:dyDescent="0.2">
      <c r="F189" s="26"/>
      <c r="G189" s="29">
        <f>'Event summary'!A189</f>
        <v>189</v>
      </c>
      <c r="H189" s="43">
        <f>MIN(TYPE(SEARCH($E$2,'Event summary'!C189)),TYPE(SEARCH($E$2,'Event summary'!D189)))</f>
        <v>1</v>
      </c>
      <c r="I189" s="65" t="str">
        <f t="shared" si="3"/>
        <v>שינוי</v>
      </c>
      <c r="J189" s="66" t="str">
        <f>IF($H189=1,'Event summary'!C189,"")</f>
        <v>מתן טיפול באופן שגוי  -  טיפול שד לפראקציה לשבוע קבלה טיפול יום אחרי יום</v>
      </c>
      <c r="K189" s="66" t="str">
        <f>IF($H189=1,'Event summary'!D189,"")</f>
        <v>יש להוסיף הערה ב- Setup Note וגם ב- Patient Alert. יש להסתכל גם על מרשמים בישיבות QA. יש לעדכן את כלל הצוות על פרוטוקולים חדשים. אם יש הערות מיוחדות במרשם על הרופא לוודא עם הפיזיקאי שהוא מודע לשינויים.</v>
      </c>
    </row>
    <row r="190" spans="6:11" ht="42.75" x14ac:dyDescent="0.2">
      <c r="F190" s="26"/>
      <c r="G190" s="29">
        <f>'Event summary'!A190</f>
        <v>190</v>
      </c>
      <c r="H190" s="43">
        <f>MIN(TYPE(SEARCH($E$2,'Event summary'!C190)),TYPE(SEARCH($E$2,'Event summary'!D190)))</f>
        <v>16</v>
      </c>
      <c r="I190" s="65" t="str">
        <f t="shared" si="3"/>
        <v/>
      </c>
      <c r="J190" s="66" t="str">
        <f>IF($H190=1,'Event summary'!C190,"")</f>
        <v/>
      </c>
      <c r="K190" s="66" t="str">
        <f>IF($H190=1,'Event summary'!D190,"")</f>
        <v/>
      </c>
    </row>
    <row r="191" spans="6:11" x14ac:dyDescent="0.2">
      <c r="F191" s="26"/>
      <c r="G191" s="29">
        <f>'Event summary'!A191</f>
        <v>191</v>
      </c>
      <c r="H191" s="43">
        <f>MIN(TYPE(SEARCH($E$2,'Event summary'!C191)),TYPE(SEARCH($E$2,'Event summary'!D191)))</f>
        <v>16</v>
      </c>
      <c r="I191" s="65" t="str">
        <f t="shared" si="3"/>
        <v/>
      </c>
      <c r="J191" s="66" t="str">
        <f>IF($H191=1,'Event summary'!C191,"")</f>
        <v/>
      </c>
      <c r="K191" s="66" t="str">
        <f>IF($H191=1,'Event summary'!D191,"")</f>
        <v/>
      </c>
    </row>
    <row r="192" spans="6:11" x14ac:dyDescent="0.2">
      <c r="F192" s="26"/>
      <c r="G192" s="29">
        <f>'Event summary'!A192</f>
        <v>192</v>
      </c>
      <c r="H192" s="43">
        <f>MIN(TYPE(SEARCH($E$2,'Event summary'!C192)),TYPE(SEARCH($E$2,'Event summary'!D192)))</f>
        <v>16</v>
      </c>
      <c r="I192" s="65" t="str">
        <f t="shared" si="3"/>
        <v/>
      </c>
      <c r="J192" s="66" t="str">
        <f>IF($H192=1,'Event summary'!C192,"")</f>
        <v/>
      </c>
      <c r="K192" s="66" t="str">
        <f>IF($H192=1,'Event summary'!D192,"")</f>
        <v/>
      </c>
    </row>
    <row r="193" spans="5:11" ht="28.5" x14ac:dyDescent="0.2">
      <c r="F193" s="26"/>
      <c r="G193" s="29">
        <f>'Event summary'!A193</f>
        <v>193</v>
      </c>
      <c r="H193" s="43">
        <f>MIN(TYPE(SEARCH($E$2,'Event summary'!C193)),TYPE(SEARCH($E$2,'Event summary'!D193)))</f>
        <v>16</v>
      </c>
      <c r="I193" s="65" t="str">
        <f t="shared" si="3"/>
        <v/>
      </c>
      <c r="J193" s="66" t="str">
        <f>IF($H193=1,'Event summary'!C193,"")</f>
        <v/>
      </c>
      <c r="K193" s="66" t="str">
        <f>IF($H193=1,'Event summary'!D193,"")</f>
        <v/>
      </c>
    </row>
    <row r="194" spans="5:11" ht="42.75" x14ac:dyDescent="0.2">
      <c r="F194" s="26"/>
      <c r="G194" s="29">
        <f>'Event summary'!A194</f>
        <v>194</v>
      </c>
      <c r="H194" s="43">
        <f>MIN(TYPE(SEARCH($E$2,'Event summary'!C194)),TYPE(SEARCH($E$2,'Event summary'!D194)))</f>
        <v>16</v>
      </c>
      <c r="I194" s="65" t="str">
        <f t="shared" ref="I194:I257" si="4">IF(H194=1,$E$2,"")</f>
        <v/>
      </c>
      <c r="J194" s="66" t="str">
        <f>IF($H194=1,'Event summary'!C194,"")</f>
        <v/>
      </c>
      <c r="K194" s="66" t="str">
        <f>IF($H194=1,'Event summary'!D194,"")</f>
        <v/>
      </c>
    </row>
    <row r="195" spans="5:11" x14ac:dyDescent="0.2">
      <c r="F195" s="26"/>
      <c r="G195" s="29">
        <f>'Event summary'!A195</f>
        <v>195</v>
      </c>
      <c r="H195" s="43">
        <f>MIN(TYPE(SEARCH($E$2,'Event summary'!C195)),TYPE(SEARCH($E$2,'Event summary'!D195)))</f>
        <v>16</v>
      </c>
      <c r="I195" s="65" t="str">
        <f t="shared" si="4"/>
        <v/>
      </c>
      <c r="J195" s="66" t="str">
        <f>IF($H195=1,'Event summary'!C195,"")</f>
        <v/>
      </c>
      <c r="K195" s="66" t="str">
        <f>IF($H195=1,'Event summary'!D195,"")</f>
        <v/>
      </c>
    </row>
    <row r="196" spans="5:11" x14ac:dyDescent="0.2">
      <c r="F196" s="26"/>
      <c r="G196" s="29">
        <f>'Event summary'!A196</f>
        <v>196</v>
      </c>
      <c r="H196" s="43">
        <f>MIN(TYPE(SEARCH($E$2,'Event summary'!C196)),TYPE(SEARCH($E$2,'Event summary'!D196)))</f>
        <v>16</v>
      </c>
      <c r="I196" s="65" t="str">
        <f t="shared" si="4"/>
        <v/>
      </c>
      <c r="J196" s="66" t="str">
        <f>IF($H196=1,'Event summary'!C196,"")</f>
        <v/>
      </c>
      <c r="K196" s="66" t="str">
        <f>IF($H196=1,'Event summary'!D196,"")</f>
        <v/>
      </c>
    </row>
    <row r="197" spans="5:11" ht="42.75" x14ac:dyDescent="0.2">
      <c r="F197" s="26"/>
      <c r="G197" s="29">
        <f>'Event summary'!A197</f>
        <v>197</v>
      </c>
      <c r="H197" s="43">
        <f>MIN(TYPE(SEARCH($E$2,'Event summary'!C197)),TYPE(SEARCH($E$2,'Event summary'!D197)))</f>
        <v>16</v>
      </c>
      <c r="I197" s="65" t="str">
        <f t="shared" si="4"/>
        <v/>
      </c>
      <c r="J197" s="66" t="str">
        <f>IF($H197=1,'Event summary'!C197,"")</f>
        <v/>
      </c>
      <c r="K197" s="66" t="str">
        <f>IF($H197=1,'Event summary'!D197,"")</f>
        <v/>
      </c>
    </row>
    <row r="198" spans="5:11" ht="28.5" x14ac:dyDescent="0.2">
      <c r="F198" s="26"/>
      <c r="G198" s="29">
        <f>'Event summary'!A198</f>
        <v>198</v>
      </c>
      <c r="H198" s="43">
        <f>MIN(TYPE(SEARCH($E$2,'Event summary'!C198)),TYPE(SEARCH($E$2,'Event summary'!D198)))</f>
        <v>16</v>
      </c>
      <c r="I198" s="65" t="str">
        <f t="shared" si="4"/>
        <v/>
      </c>
      <c r="J198" s="66" t="str">
        <f>IF($H198=1,'Event summary'!C198,"")</f>
        <v/>
      </c>
      <c r="K198" s="66" t="str">
        <f>IF($H198=1,'Event summary'!D198,"")</f>
        <v/>
      </c>
    </row>
    <row r="199" spans="5:11" x14ac:dyDescent="0.2">
      <c r="F199" s="26"/>
      <c r="G199" s="29">
        <f>'Event summary'!A199</f>
        <v>199</v>
      </c>
      <c r="H199" s="43">
        <f>MIN(TYPE(SEARCH($E$2,'Event summary'!C199)),TYPE(SEARCH($E$2,'Event summary'!D199)))</f>
        <v>16</v>
      </c>
      <c r="I199" s="65" t="str">
        <f t="shared" si="4"/>
        <v/>
      </c>
      <c r="J199" s="66" t="str">
        <f>IF($H199=1,'Event summary'!C199,"")</f>
        <v/>
      </c>
      <c r="K199" s="66" t="str">
        <f>IF($H199=1,'Event summary'!D199,"")</f>
        <v/>
      </c>
    </row>
    <row r="200" spans="5:11" x14ac:dyDescent="0.2">
      <c r="F200" s="26"/>
      <c r="G200" s="29">
        <f>'Event summary'!A200</f>
        <v>200</v>
      </c>
      <c r="H200" s="43">
        <f>MIN(TYPE(SEARCH($E$2,'Event summary'!C200)),TYPE(SEARCH($E$2,'Event summary'!D200)))</f>
        <v>16</v>
      </c>
      <c r="I200" s="65" t="str">
        <f t="shared" si="4"/>
        <v/>
      </c>
      <c r="J200" s="66" t="str">
        <f>IF($H200=1,'Event summary'!C200,"")</f>
        <v/>
      </c>
      <c r="K200" s="66" t="str">
        <f>IF($H200=1,'Event summary'!D200,"")</f>
        <v/>
      </c>
    </row>
    <row r="201" spans="5:11" x14ac:dyDescent="0.2">
      <c r="E201" t="s">
        <v>1684</v>
      </c>
      <c r="F201" s="26"/>
      <c r="G201" s="29">
        <f>'Event summary'!A201</f>
        <v>201</v>
      </c>
      <c r="H201" s="43">
        <f>MIN(TYPE(SEARCH($E$2,'Event summary'!C201)),TYPE(SEARCH($E$2,'Event summary'!D201)))</f>
        <v>16</v>
      </c>
      <c r="I201" s="65" t="str">
        <f t="shared" si="4"/>
        <v/>
      </c>
      <c r="J201" s="66" t="str">
        <f>IF($H201=1,'Event summary'!C201,"")</f>
        <v/>
      </c>
      <c r="K201" s="66" t="str">
        <f>IF($H201=1,'Event summary'!D201,"")</f>
        <v/>
      </c>
    </row>
    <row r="202" spans="5:11" ht="28.5" x14ac:dyDescent="0.2">
      <c r="F202" s="26"/>
      <c r="G202" s="29">
        <f>'Event summary'!A202</f>
        <v>202</v>
      </c>
      <c r="H202" s="43">
        <f>MIN(TYPE(SEARCH($E$2,'Event summary'!C202)),TYPE(SEARCH($E$2,'Event summary'!D202)))</f>
        <v>16</v>
      </c>
      <c r="I202" s="65" t="str">
        <f t="shared" si="4"/>
        <v/>
      </c>
      <c r="J202" s="66" t="str">
        <f>IF($H202=1,'Event summary'!C202,"")</f>
        <v/>
      </c>
      <c r="K202" s="66" t="str">
        <f>IF($H202=1,'Event summary'!D202,"")</f>
        <v/>
      </c>
    </row>
    <row r="203" spans="5:11" x14ac:dyDescent="0.2">
      <c r="F203" s="26"/>
      <c r="G203" s="29">
        <f>'Event summary'!A203</f>
        <v>203</v>
      </c>
      <c r="H203" s="43">
        <f>MIN(TYPE(SEARCH($E$2,'Event summary'!C203)),TYPE(SEARCH($E$2,'Event summary'!D203)))</f>
        <v>16</v>
      </c>
      <c r="I203" s="65" t="str">
        <f t="shared" si="4"/>
        <v/>
      </c>
      <c r="J203" s="66" t="str">
        <f>IF($H203=1,'Event summary'!C203,"")</f>
        <v/>
      </c>
      <c r="K203" s="66" t="str">
        <f>IF($H203=1,'Event summary'!D203,"")</f>
        <v/>
      </c>
    </row>
    <row r="204" spans="5:11" x14ac:dyDescent="0.2">
      <c r="F204" s="26"/>
      <c r="G204" s="29">
        <f>'Event summary'!A204</f>
        <v>204</v>
      </c>
      <c r="H204" s="43">
        <f>MIN(TYPE(SEARCH($E$2,'Event summary'!C204)),TYPE(SEARCH($E$2,'Event summary'!D204)))</f>
        <v>16</v>
      </c>
      <c r="I204" s="65" t="str">
        <f t="shared" si="4"/>
        <v/>
      </c>
      <c r="J204" s="66" t="str">
        <f>IF($H204=1,'Event summary'!C204,"")</f>
        <v/>
      </c>
      <c r="K204" s="66" t="str">
        <f>IF($H204=1,'Event summary'!D204,"")</f>
        <v/>
      </c>
    </row>
    <row r="205" spans="5:11" x14ac:dyDescent="0.2">
      <c r="F205" s="26"/>
      <c r="G205" s="29">
        <f>'Event summary'!A205</f>
        <v>205</v>
      </c>
      <c r="H205" s="43">
        <f>MIN(TYPE(SEARCH($E$2,'Event summary'!C205)),TYPE(SEARCH($E$2,'Event summary'!D205)))</f>
        <v>16</v>
      </c>
      <c r="I205" s="65" t="str">
        <f t="shared" si="4"/>
        <v/>
      </c>
      <c r="J205" s="66" t="str">
        <f>IF($H205=1,'Event summary'!C205,"")</f>
        <v/>
      </c>
      <c r="K205" s="66" t="str">
        <f>IF($H205=1,'Event summary'!D205,"")</f>
        <v/>
      </c>
    </row>
    <row r="206" spans="5:11" x14ac:dyDescent="0.2">
      <c r="F206" s="26"/>
      <c r="G206" s="29">
        <f>'Event summary'!A206</f>
        <v>206</v>
      </c>
      <c r="H206" s="43">
        <f>MIN(TYPE(SEARCH($E$2,'Event summary'!C206)),TYPE(SEARCH($E$2,'Event summary'!D206)))</f>
        <v>16</v>
      </c>
      <c r="I206" s="65" t="str">
        <f t="shared" si="4"/>
        <v/>
      </c>
      <c r="J206" s="66" t="str">
        <f>IF($H206=1,'Event summary'!C206,"")</f>
        <v/>
      </c>
      <c r="K206" s="66" t="str">
        <f>IF($H206=1,'Event summary'!D206,"")</f>
        <v/>
      </c>
    </row>
    <row r="207" spans="5:11" x14ac:dyDescent="0.2">
      <c r="F207" s="26"/>
      <c r="G207" s="29">
        <f>'Event summary'!A207</f>
        <v>207</v>
      </c>
      <c r="H207" s="43">
        <f>MIN(TYPE(SEARCH($E$2,'Event summary'!C207)),TYPE(SEARCH($E$2,'Event summary'!D207)))</f>
        <v>16</v>
      </c>
      <c r="I207" s="65" t="str">
        <f t="shared" si="4"/>
        <v/>
      </c>
      <c r="J207" s="66" t="str">
        <f>IF($H207=1,'Event summary'!C207,"")</f>
        <v/>
      </c>
      <c r="K207" s="66" t="str">
        <f>IF($H207=1,'Event summary'!D207,"")</f>
        <v/>
      </c>
    </row>
    <row r="208" spans="5:11" x14ac:dyDescent="0.2">
      <c r="F208" s="26"/>
      <c r="G208" s="29">
        <f>'Event summary'!A208</f>
        <v>208</v>
      </c>
      <c r="H208" s="43">
        <f>MIN(TYPE(SEARCH($E$2,'Event summary'!C208)),TYPE(SEARCH($E$2,'Event summary'!D208)))</f>
        <v>16</v>
      </c>
      <c r="I208" s="65" t="str">
        <f t="shared" si="4"/>
        <v/>
      </c>
      <c r="J208" s="66" t="str">
        <f>IF($H208=1,'Event summary'!C208,"")</f>
        <v/>
      </c>
      <c r="K208" s="66" t="str">
        <f>IF($H208=1,'Event summary'!D208,"")</f>
        <v/>
      </c>
    </row>
    <row r="209" spans="6:11" x14ac:dyDescent="0.2">
      <c r="F209" s="26"/>
      <c r="G209" s="29">
        <f>'Event summary'!A209</f>
        <v>209</v>
      </c>
      <c r="H209" s="43">
        <f>MIN(TYPE(SEARCH($E$2,'Event summary'!C209)),TYPE(SEARCH($E$2,'Event summary'!D209)))</f>
        <v>16</v>
      </c>
      <c r="I209" s="65" t="str">
        <f t="shared" si="4"/>
        <v/>
      </c>
      <c r="J209" s="66" t="str">
        <f>IF($H209=1,'Event summary'!C209,"")</f>
        <v/>
      </c>
      <c r="K209" s="66" t="str">
        <f>IF($H209=1,'Event summary'!D209,"")</f>
        <v/>
      </c>
    </row>
    <row r="210" spans="6:11" ht="28.5" x14ac:dyDescent="0.2">
      <c r="F210" s="26"/>
      <c r="G210" s="29">
        <f>'Event summary'!A210</f>
        <v>210</v>
      </c>
      <c r="H210" s="43">
        <f>MIN(TYPE(SEARCH($E$2,'Event summary'!C210)),TYPE(SEARCH($E$2,'Event summary'!D210)))</f>
        <v>16</v>
      </c>
      <c r="I210" s="65" t="str">
        <f t="shared" si="4"/>
        <v/>
      </c>
      <c r="J210" s="66" t="str">
        <f>IF($H210=1,'Event summary'!C210,"")</f>
        <v/>
      </c>
      <c r="K210" s="66" t="str">
        <f>IF($H210=1,'Event summary'!D210,"")</f>
        <v/>
      </c>
    </row>
    <row r="211" spans="6:11" ht="28.5" x14ac:dyDescent="0.2">
      <c r="F211" s="26"/>
      <c r="G211" s="29">
        <f>'Event summary'!A211</f>
        <v>211</v>
      </c>
      <c r="H211" s="43">
        <f>MIN(TYPE(SEARCH($E$2,'Event summary'!C211)),TYPE(SEARCH($E$2,'Event summary'!D211)))</f>
        <v>16</v>
      </c>
      <c r="I211" s="65" t="str">
        <f t="shared" si="4"/>
        <v/>
      </c>
      <c r="J211" s="66" t="str">
        <f>IF($H211=1,'Event summary'!C211,"")</f>
        <v/>
      </c>
      <c r="K211" s="66" t="str">
        <f>IF($H211=1,'Event summary'!D211,"")</f>
        <v/>
      </c>
    </row>
    <row r="212" spans="6:11" ht="28.5" x14ac:dyDescent="0.2">
      <c r="F212" s="26"/>
      <c r="G212" s="29">
        <f>'Event summary'!A212</f>
        <v>212</v>
      </c>
      <c r="H212" s="43">
        <f>MIN(TYPE(SEARCH($E$2,'Event summary'!C212)),TYPE(SEARCH($E$2,'Event summary'!D212)))</f>
        <v>1</v>
      </c>
      <c r="I212" s="65" t="str">
        <f t="shared" si="4"/>
        <v>שינוי</v>
      </c>
      <c r="J212" s="66" t="str">
        <f>IF($H212=1,'Event summary'!C212,"")</f>
        <v xml:space="preserve">מתן טיפול באופן שגוי - עקב תקלה טכנית בטיפול שד לא נרשמו 45 MU ראשונים  מתוך 310 MU לטיפול הזה.  הוחלט על מתן השדה כולו כך שהמנה נתנה פעמיים </v>
      </c>
      <c r="K212" s="66" t="str">
        <f>IF($H212=1,'Event summary'!D212,"")</f>
        <v>מחישוב השגיאה במנה עולה, שהשוני במנה האבסולוטית מהמרשם קטן מ- 5% לכל האיבר. מסקנות; ללא שינוי.</v>
      </c>
    </row>
    <row r="213" spans="6:11" ht="42.75" x14ac:dyDescent="0.2">
      <c r="F213" s="26"/>
      <c r="G213" s="29">
        <f>'Event summary'!A213</f>
        <v>213</v>
      </c>
      <c r="H213" s="43">
        <f>MIN(TYPE(SEARCH($E$2,'Event summary'!C213)),TYPE(SEARCH($E$2,'Event summary'!D213)))</f>
        <v>1</v>
      </c>
      <c r="I213" s="65" t="str">
        <f t="shared" si="4"/>
        <v>שינוי</v>
      </c>
      <c r="J213" s="66" t="str">
        <f>IF($H213=1,'Event summary'!C213,"")</f>
        <v xml:space="preserve">תקשורת לקויה - מטופל, הגיע והתיק לא היה מוכן. התורים שלv בוטלו, ולא נבנה care path חדש. </v>
      </c>
      <c r="K213" s="66" t="str">
        <f>IF($H213=1,'Event summary'!D213,"")</f>
        <v>הקמת מייל ייעודי לזימון תורים שבו ניתן יהיה לתקשר דחיות ושינויים תכנוניים. בנוסף, יעשה שימוש במייל של הפיזיקה physics1@clalit.org.il לצורך העברת הודעות על שינויים במועדים של מטופלים. נוהל עבודה ייכתב ע"י צוות איכות.</v>
      </c>
    </row>
    <row r="214" spans="6:11" x14ac:dyDescent="0.2">
      <c r="F214" s="26"/>
      <c r="G214" s="29">
        <f>'Event summary'!A214</f>
        <v>214</v>
      </c>
      <c r="H214" s="43">
        <f>MIN(TYPE(SEARCH($E$2,'Event summary'!C214)),TYPE(SEARCH($E$2,'Event summary'!D214)))</f>
        <v>16</v>
      </c>
      <c r="I214" s="65" t="str">
        <f t="shared" si="4"/>
        <v/>
      </c>
      <c r="J214" s="66" t="str">
        <f>IF($H214=1,'Event summary'!C214,"")</f>
        <v/>
      </c>
      <c r="K214" s="66" t="str">
        <f>IF($H214=1,'Event summary'!D214,"")</f>
        <v/>
      </c>
    </row>
    <row r="215" spans="6:11" ht="85.5" x14ac:dyDescent="0.2">
      <c r="F215" s="26"/>
      <c r="G215" s="29">
        <f>'Event summary'!A215</f>
        <v>215</v>
      </c>
      <c r="H215" s="43">
        <f>MIN(TYPE(SEARCH($E$2,'Event summary'!C215)),TYPE(SEARCH($E$2,'Event summary'!D215)))</f>
        <v>16</v>
      </c>
      <c r="I215" s="65" t="str">
        <f t="shared" si="4"/>
        <v/>
      </c>
      <c r="J215" s="66" t="str">
        <f>IF($H215=1,'Event summary'!C215,"")</f>
        <v/>
      </c>
      <c r="K215" s="66" t="str">
        <f>IF($H215=1,'Event summary'!D215,"")</f>
        <v/>
      </c>
    </row>
    <row r="216" spans="6:11" x14ac:dyDescent="0.2">
      <c r="F216" s="26"/>
      <c r="G216" s="29">
        <f>'Event summary'!A216</f>
        <v>216</v>
      </c>
      <c r="H216" s="43">
        <f>MIN(TYPE(SEARCH($E$2,'Event summary'!C216)),TYPE(SEARCH($E$2,'Event summary'!D216)))</f>
        <v>16</v>
      </c>
      <c r="I216" s="65" t="str">
        <f t="shared" si="4"/>
        <v/>
      </c>
      <c r="J216" s="66" t="str">
        <f>IF($H216=1,'Event summary'!C216,"")</f>
        <v/>
      </c>
      <c r="K216" s="66" t="str">
        <f>IF($H216=1,'Event summary'!D216,"")</f>
        <v/>
      </c>
    </row>
    <row r="217" spans="6:11" ht="57" x14ac:dyDescent="0.2">
      <c r="F217" s="26"/>
      <c r="G217" s="29">
        <f>'Event summary'!A217</f>
        <v>217</v>
      </c>
      <c r="H217" s="43">
        <f>MIN(TYPE(SEARCH($E$2,'Event summary'!C217)),TYPE(SEARCH($E$2,'Event summary'!D217)))</f>
        <v>1</v>
      </c>
      <c r="I217" s="65" t="str">
        <f t="shared" si="4"/>
        <v>שינוי</v>
      </c>
      <c r="J217" s="66" t="str">
        <f>IF($H217=1,'Event summary'!C217,"")</f>
        <v xml:space="preserve">כמעט סימון שגוי - שינוי בסימון ברגע האחרון לאחר סיום תכנון הטיפול. </v>
      </c>
      <c r="K217" s="66" t="str">
        <f>IF($H217=1,'Event summary'!D217,"")</f>
        <v>בפיזיקה נעשה מעקב על ביצוע תכנונים חוזרים והסיבה לביצועם. בכל שינוי במועד תכנון  ב- Care Path יש לידע את הפיזיקה. הועלתה הצעה להשמיש את המייל של physics1@clalit.org.il ובמקביל יש להגדיר מייל לתאום תורים לצורכי עדכונים על שינויים. השימוש במייל הינו במקום שימוש במדיה טלפונית בה לא ניתן לציין שמות מטופלים.</v>
      </c>
    </row>
    <row r="218" spans="6:11" ht="42.75" x14ac:dyDescent="0.2">
      <c r="F218" s="26"/>
      <c r="G218" s="29">
        <f>'Event summary'!A218</f>
        <v>218</v>
      </c>
      <c r="H218" s="43">
        <f>MIN(TYPE(SEARCH($E$2,'Event summary'!C218)),TYPE(SEARCH($E$2,'Event summary'!D218)))</f>
        <v>16</v>
      </c>
      <c r="I218" s="65" t="str">
        <f t="shared" si="4"/>
        <v/>
      </c>
      <c r="J218" s="66" t="str">
        <f>IF($H218=1,'Event summary'!C218,"")</f>
        <v/>
      </c>
      <c r="K218" s="66" t="str">
        <f>IF($H218=1,'Event summary'!D218,"")</f>
        <v/>
      </c>
    </row>
    <row r="219" spans="6:11" x14ac:dyDescent="0.2">
      <c r="F219" s="26"/>
      <c r="G219" s="29">
        <f>'Event summary'!A219</f>
        <v>219</v>
      </c>
      <c r="H219" s="43">
        <f>MIN(TYPE(SEARCH($E$2,'Event summary'!C219)),TYPE(SEARCH($E$2,'Event summary'!D219)))</f>
        <v>16</v>
      </c>
      <c r="I219" s="65" t="str">
        <f t="shared" si="4"/>
        <v/>
      </c>
      <c r="J219" s="66" t="str">
        <f>IF($H219=1,'Event summary'!C219,"")</f>
        <v/>
      </c>
      <c r="K219" s="66" t="str">
        <f>IF($H219=1,'Event summary'!D219,"")</f>
        <v/>
      </c>
    </row>
    <row r="220" spans="6:11" x14ac:dyDescent="0.2">
      <c r="F220" s="26"/>
      <c r="G220" s="29">
        <f>'Event summary'!A220</f>
        <v>220</v>
      </c>
      <c r="H220" s="43">
        <f>MIN(TYPE(SEARCH($E$2,'Event summary'!C220)),TYPE(SEARCH($E$2,'Event summary'!D220)))</f>
        <v>16</v>
      </c>
      <c r="I220" s="65" t="str">
        <f t="shared" si="4"/>
        <v/>
      </c>
      <c r="J220" s="66" t="str">
        <f>IF($H220=1,'Event summary'!C220,"")</f>
        <v/>
      </c>
      <c r="K220" s="66" t="str">
        <f>IF($H220=1,'Event summary'!D220,"")</f>
        <v/>
      </c>
    </row>
    <row r="221" spans="6:11" x14ac:dyDescent="0.2">
      <c r="F221" s="26"/>
      <c r="G221" s="29">
        <f>'Event summary'!A221</f>
        <v>221</v>
      </c>
      <c r="H221" s="43">
        <f>MIN(TYPE(SEARCH($E$2,'Event summary'!C221)),TYPE(SEARCH($E$2,'Event summary'!D221)))</f>
        <v>16</v>
      </c>
      <c r="I221" s="65" t="str">
        <f t="shared" si="4"/>
        <v/>
      </c>
      <c r="J221" s="66" t="str">
        <f>IF($H221=1,'Event summary'!C221,"")</f>
        <v/>
      </c>
      <c r="K221" s="66" t="str">
        <f>IF($H221=1,'Event summary'!D221,"")</f>
        <v/>
      </c>
    </row>
    <row r="222" spans="6:11" ht="42.75" x14ac:dyDescent="0.2">
      <c r="G222" s="46">
        <f>'Event summary'!A222</f>
        <v>222</v>
      </c>
      <c r="H222" s="43">
        <f>MIN(TYPE(SEARCH($E$2,'Event summary'!C222)),TYPE(SEARCH($E$2,'Event summary'!D222)))</f>
        <v>16</v>
      </c>
      <c r="I222" s="65" t="str">
        <f t="shared" si="4"/>
        <v/>
      </c>
      <c r="J222" s="66" t="str">
        <f>IF($H222=1,'Event summary'!C222,"")</f>
        <v/>
      </c>
      <c r="K222" s="66" t="str">
        <f>IF($H222=1,'Event summary'!D222,"")</f>
        <v/>
      </c>
    </row>
    <row r="223" spans="6:11" x14ac:dyDescent="0.2">
      <c r="G223" s="46">
        <f>'Event summary'!A223</f>
        <v>223</v>
      </c>
      <c r="H223" s="43">
        <f>MIN(TYPE(SEARCH($E$2,'Event summary'!C223)),TYPE(SEARCH($E$2,'Event summary'!D223)))</f>
        <v>16</v>
      </c>
      <c r="I223" s="65" t="str">
        <f t="shared" si="4"/>
        <v/>
      </c>
      <c r="J223" s="66" t="str">
        <f>IF($H223=1,'Event summary'!C223,"")</f>
        <v/>
      </c>
      <c r="K223" s="66" t="str">
        <f>IF($H223=1,'Event summary'!D223,"")</f>
        <v/>
      </c>
    </row>
    <row r="224" spans="6:11" x14ac:dyDescent="0.2">
      <c r="G224" s="46">
        <f>'Event summary'!A224</f>
        <v>224</v>
      </c>
      <c r="H224" s="43">
        <f>MIN(TYPE(SEARCH($E$2,'Event summary'!C224)),TYPE(SEARCH($E$2,'Event summary'!D224)))</f>
        <v>16</v>
      </c>
      <c r="I224" s="65" t="str">
        <f t="shared" si="4"/>
        <v/>
      </c>
      <c r="J224" s="66" t="str">
        <f>IF($H224=1,'Event summary'!C224,"")</f>
        <v/>
      </c>
      <c r="K224" s="66" t="str">
        <f>IF($H224=1,'Event summary'!D224,"")</f>
        <v/>
      </c>
    </row>
    <row r="225" spans="7:11" ht="57" x14ac:dyDescent="0.2">
      <c r="G225" s="46">
        <f>'Event summary'!A225</f>
        <v>225</v>
      </c>
      <c r="H225" s="43">
        <f>MIN(TYPE(SEARCH($E$2,'Event summary'!C225)),TYPE(SEARCH($E$2,'Event summary'!D225)))</f>
        <v>16</v>
      </c>
      <c r="I225" s="65" t="str">
        <f t="shared" si="4"/>
        <v/>
      </c>
      <c r="J225" s="66" t="str">
        <f>IF($H225=1,'Event summary'!C225,"")</f>
        <v/>
      </c>
      <c r="K225" s="66" t="str">
        <f>IF($H225=1,'Event summary'!D225,"")</f>
        <v/>
      </c>
    </row>
    <row r="226" spans="7:11" x14ac:dyDescent="0.2">
      <c r="G226" s="46">
        <f>'Event summary'!A226</f>
        <v>226</v>
      </c>
      <c r="H226" s="43">
        <f>MIN(TYPE(SEARCH($E$2,'Event summary'!C226)),TYPE(SEARCH($E$2,'Event summary'!D226)))</f>
        <v>16</v>
      </c>
      <c r="I226" s="65" t="str">
        <f t="shared" si="4"/>
        <v/>
      </c>
      <c r="J226" s="66" t="str">
        <f>IF($H226=1,'Event summary'!C226,"")</f>
        <v/>
      </c>
      <c r="K226" s="66" t="str">
        <f>IF($H226=1,'Event summary'!D226,"")</f>
        <v/>
      </c>
    </row>
    <row r="227" spans="7:11" x14ac:dyDescent="0.2">
      <c r="G227" s="46">
        <f>'Event summary'!A227</f>
        <v>227</v>
      </c>
      <c r="H227" s="43">
        <f>MIN(TYPE(SEARCH($E$2,'Event summary'!C227)),TYPE(SEARCH($E$2,'Event summary'!D227)))</f>
        <v>16</v>
      </c>
      <c r="I227" s="65" t="str">
        <f t="shared" si="4"/>
        <v/>
      </c>
      <c r="J227" s="66" t="str">
        <f>IF($H227=1,'Event summary'!C227,"")</f>
        <v/>
      </c>
      <c r="K227" s="66" t="str">
        <f>IF($H227=1,'Event summary'!D227,"")</f>
        <v/>
      </c>
    </row>
    <row r="228" spans="7:11" ht="42.75" x14ac:dyDescent="0.2">
      <c r="G228" s="46">
        <f>'Event summary'!A228</f>
        <v>228</v>
      </c>
      <c r="H228" s="43">
        <f>MIN(TYPE(SEARCH($E$2,'Event summary'!C228)),TYPE(SEARCH($E$2,'Event summary'!D228)))</f>
        <v>1</v>
      </c>
      <c r="I228" s="65" t="str">
        <f t="shared" si="4"/>
        <v>שינוי</v>
      </c>
      <c r="J228" s="66" t="str">
        <f>IF($H228=1,'Event summary'!C228,"")</f>
        <v>זימון תור לא מספק - טיפול SBRT הוגדר כפליאציה עם תור קצר. הסריקה לא הועברה לאריה לאחר ביצוע הסריקה.</v>
      </c>
      <c r="K228" s="66" t="str">
        <f>IF($H228=1,'Event summary'!D228,"")</f>
        <v>הוגדר מייל לשימוש הצוות לצורך שינויים בזימון תורים. המקרים בהם יש להשתמש במייל הינן: שינוי מספר מאיץ, ביצוע סימולציה חוזרת, שינוי מספר פרקציות ושינוי או ביטול מועד תחילת טיפול. המייל: BL2030421@clalit.org.il</v>
      </c>
    </row>
    <row r="229" spans="7:11" ht="28.5" x14ac:dyDescent="0.2">
      <c r="G229" s="46">
        <f>'Event summary'!A229</f>
        <v>229</v>
      </c>
      <c r="H229" s="43">
        <f>MIN(TYPE(SEARCH($E$2,'Event summary'!C229)),TYPE(SEARCH($E$2,'Event summary'!D229)))</f>
        <v>16</v>
      </c>
      <c r="I229" s="65" t="str">
        <f t="shared" si="4"/>
        <v/>
      </c>
      <c r="J229" s="66" t="str">
        <f>IF($H229=1,'Event summary'!C229,"")</f>
        <v/>
      </c>
      <c r="K229" s="66" t="str">
        <f>IF($H229=1,'Event summary'!D229,"")</f>
        <v/>
      </c>
    </row>
    <row r="230" spans="7:11" x14ac:dyDescent="0.2">
      <c r="G230" s="46">
        <f>'Event summary'!A230</f>
        <v>230</v>
      </c>
      <c r="H230" s="43">
        <f>MIN(TYPE(SEARCH($E$2,'Event summary'!C230)),TYPE(SEARCH($E$2,'Event summary'!D230)))</f>
        <v>16</v>
      </c>
      <c r="I230" s="65" t="str">
        <f t="shared" si="4"/>
        <v/>
      </c>
      <c r="J230" s="66" t="str">
        <f>IF($H230=1,'Event summary'!C230,"")</f>
        <v/>
      </c>
      <c r="K230" s="66" t="str">
        <f>IF($H230=1,'Event summary'!D230,"")</f>
        <v/>
      </c>
    </row>
    <row r="231" spans="7:11" x14ac:dyDescent="0.2">
      <c r="G231" s="46">
        <f>'Event summary'!A231</f>
        <v>231</v>
      </c>
      <c r="H231" s="43">
        <f>MIN(TYPE(SEARCH($E$2,'Event summary'!C231)),TYPE(SEARCH($E$2,'Event summary'!D231)))</f>
        <v>16</v>
      </c>
      <c r="I231" s="65" t="str">
        <f t="shared" si="4"/>
        <v/>
      </c>
      <c r="J231" s="66" t="str">
        <f>IF($H231=1,'Event summary'!C231,"")</f>
        <v/>
      </c>
      <c r="K231" s="66" t="str">
        <f>IF($H231=1,'Event summary'!D231,"")</f>
        <v/>
      </c>
    </row>
    <row r="232" spans="7:11" x14ac:dyDescent="0.2">
      <c r="G232" s="46">
        <f>'Event summary'!A232</f>
        <v>232</v>
      </c>
      <c r="H232" s="43">
        <f>MIN(TYPE(SEARCH($E$2,'Event summary'!C232)),TYPE(SEARCH($E$2,'Event summary'!D232)))</f>
        <v>16</v>
      </c>
      <c r="I232" s="65" t="str">
        <f t="shared" si="4"/>
        <v/>
      </c>
      <c r="J232" s="66" t="str">
        <f>IF($H232=1,'Event summary'!C232,"")</f>
        <v/>
      </c>
      <c r="K232" s="66" t="str">
        <f>IF($H232=1,'Event summary'!D232,"")</f>
        <v/>
      </c>
    </row>
    <row r="233" spans="7:11" x14ac:dyDescent="0.2">
      <c r="G233" s="46">
        <f>'Event summary'!A233</f>
        <v>233</v>
      </c>
      <c r="H233" s="43">
        <f>MIN(TYPE(SEARCH($E$2,'Event summary'!C233)),TYPE(SEARCH($E$2,'Event summary'!D233)))</f>
        <v>16</v>
      </c>
      <c r="I233" s="65" t="str">
        <f t="shared" si="4"/>
        <v/>
      </c>
      <c r="J233" s="66" t="str">
        <f>IF($H233=1,'Event summary'!C233,"")</f>
        <v/>
      </c>
      <c r="K233" s="66" t="str">
        <f>IF($H233=1,'Event summary'!D233,"")</f>
        <v/>
      </c>
    </row>
    <row r="234" spans="7:11" x14ac:dyDescent="0.2">
      <c r="G234" s="46">
        <f>'Event summary'!A234</f>
        <v>234</v>
      </c>
      <c r="H234" s="43">
        <f>MIN(TYPE(SEARCH($E$2,'Event summary'!C234)),TYPE(SEARCH($E$2,'Event summary'!D234)))</f>
        <v>16</v>
      </c>
      <c r="I234" s="65" t="str">
        <f t="shared" si="4"/>
        <v/>
      </c>
      <c r="J234" s="66" t="str">
        <f>IF($H234=1,'Event summary'!C234,"")</f>
        <v/>
      </c>
      <c r="K234" s="66" t="str">
        <f>IF($H234=1,'Event summary'!D234,"")</f>
        <v/>
      </c>
    </row>
    <row r="235" spans="7:11" ht="28.5" x14ac:dyDescent="0.2">
      <c r="G235" s="46">
        <f>'Event summary'!A235</f>
        <v>235</v>
      </c>
      <c r="H235" s="43">
        <f>MIN(TYPE(SEARCH($E$2,'Event summary'!C235)),TYPE(SEARCH($E$2,'Event summary'!D235)))</f>
        <v>16</v>
      </c>
      <c r="I235" s="65" t="str">
        <f t="shared" si="4"/>
        <v/>
      </c>
      <c r="J235" s="66" t="str">
        <f>IF($H235=1,'Event summary'!C235,"")</f>
        <v/>
      </c>
      <c r="K235" s="66" t="str">
        <f>IF($H235=1,'Event summary'!D235,"")</f>
        <v/>
      </c>
    </row>
    <row r="236" spans="7:11" x14ac:dyDescent="0.2">
      <c r="G236" s="46">
        <f>'Event summary'!A236</f>
        <v>236</v>
      </c>
      <c r="H236" s="43">
        <f>MIN(TYPE(SEARCH($E$2,'Event summary'!C236)),TYPE(SEARCH($E$2,'Event summary'!D236)))</f>
        <v>16</v>
      </c>
      <c r="I236" s="65" t="str">
        <f t="shared" si="4"/>
        <v/>
      </c>
      <c r="J236" s="66" t="str">
        <f>IF($H236=1,'Event summary'!C236,"")</f>
        <v/>
      </c>
      <c r="K236" s="66" t="str">
        <f>IF($H236=1,'Event summary'!D236,"")</f>
        <v/>
      </c>
    </row>
    <row r="237" spans="7:11" x14ac:dyDescent="0.2">
      <c r="G237" s="46">
        <f>'Event summary'!A237</f>
        <v>237</v>
      </c>
      <c r="H237" s="43">
        <f>MIN(TYPE(SEARCH($E$2,'Event summary'!C237)),TYPE(SEARCH($E$2,'Event summary'!D237)))</f>
        <v>16</v>
      </c>
      <c r="I237" s="65" t="str">
        <f t="shared" si="4"/>
        <v/>
      </c>
      <c r="J237" s="66" t="str">
        <f>IF($H237=1,'Event summary'!C237,"")</f>
        <v/>
      </c>
      <c r="K237" s="66" t="str">
        <f>IF($H237=1,'Event summary'!D237,"")</f>
        <v/>
      </c>
    </row>
    <row r="238" spans="7:11" x14ac:dyDescent="0.2">
      <c r="G238" s="46">
        <f>'Event summary'!A238</f>
        <v>238</v>
      </c>
      <c r="H238" s="43">
        <f>MIN(TYPE(SEARCH($E$2,'Event summary'!C238)),TYPE(SEARCH($E$2,'Event summary'!D238)))</f>
        <v>16</v>
      </c>
      <c r="I238" s="65" t="str">
        <f t="shared" si="4"/>
        <v/>
      </c>
      <c r="J238" s="66" t="str">
        <f>IF($H238=1,'Event summary'!C238,"")</f>
        <v/>
      </c>
      <c r="K238" s="66" t="str">
        <f>IF($H238=1,'Event summary'!D238,"")</f>
        <v/>
      </c>
    </row>
    <row r="239" spans="7:11" x14ac:dyDescent="0.2">
      <c r="G239" s="46">
        <f>'Event summary'!A239</f>
        <v>239</v>
      </c>
      <c r="H239" s="43">
        <f>MIN(TYPE(SEARCH($E$2,'Event summary'!C239)),TYPE(SEARCH($E$2,'Event summary'!D239)))</f>
        <v>16</v>
      </c>
      <c r="I239" s="65" t="str">
        <f t="shared" si="4"/>
        <v/>
      </c>
      <c r="J239" s="66" t="str">
        <f>IF($H239=1,'Event summary'!C239,"")</f>
        <v/>
      </c>
      <c r="K239" s="66" t="str">
        <f>IF($H239=1,'Event summary'!D239,"")</f>
        <v/>
      </c>
    </row>
    <row r="240" spans="7:11" x14ac:dyDescent="0.2">
      <c r="G240" s="46">
        <f>'Event summary'!A240</f>
        <v>240</v>
      </c>
      <c r="H240" s="43">
        <f>MIN(TYPE(SEARCH($E$2,'Event summary'!C240)),TYPE(SEARCH($E$2,'Event summary'!D240)))</f>
        <v>16</v>
      </c>
      <c r="I240" s="65" t="str">
        <f t="shared" si="4"/>
        <v/>
      </c>
      <c r="J240" s="66" t="str">
        <f>IF($H240=1,'Event summary'!C240,"")</f>
        <v/>
      </c>
      <c r="K240" s="66" t="str">
        <f>IF($H240=1,'Event summary'!D240,"")</f>
        <v/>
      </c>
    </row>
    <row r="241" spans="7:11" x14ac:dyDescent="0.2">
      <c r="G241" s="46">
        <f>'Event summary'!A241</f>
        <v>241</v>
      </c>
      <c r="H241" s="43">
        <f>MIN(TYPE(SEARCH($E$2,'Event summary'!C241)),TYPE(SEARCH($E$2,'Event summary'!D241)))</f>
        <v>16</v>
      </c>
      <c r="I241" s="65" t="str">
        <f t="shared" si="4"/>
        <v/>
      </c>
      <c r="J241" s="66" t="str">
        <f>IF($H241=1,'Event summary'!C241,"")</f>
        <v/>
      </c>
      <c r="K241" s="66" t="str">
        <f>IF($H241=1,'Event summary'!D241,"")</f>
        <v/>
      </c>
    </row>
    <row r="242" spans="7:11" ht="71.25" x14ac:dyDescent="0.2">
      <c r="G242" s="46">
        <f>'Event summary'!A242</f>
        <v>242</v>
      </c>
      <c r="H242" s="43">
        <f>MIN(TYPE(SEARCH($E$2,'Event summary'!C242)),TYPE(SEARCH($E$2,'Event summary'!D242)))</f>
        <v>16</v>
      </c>
      <c r="I242" s="65" t="str">
        <f t="shared" si="4"/>
        <v/>
      </c>
      <c r="J242" s="66" t="str">
        <f>IF($H242=1,'Event summary'!C242,"")</f>
        <v/>
      </c>
      <c r="K242" s="66" t="str">
        <f>IF($H242=1,'Event summary'!D242,"")</f>
        <v/>
      </c>
    </row>
    <row r="243" spans="7:11" ht="28.5" x14ac:dyDescent="0.2">
      <c r="G243" s="46">
        <f>'Event summary'!A243</f>
        <v>243</v>
      </c>
      <c r="H243" s="43">
        <f>MIN(TYPE(SEARCH($E$2,'Event summary'!C243)),TYPE(SEARCH($E$2,'Event summary'!D243)))</f>
        <v>16</v>
      </c>
      <c r="I243" s="65" t="str">
        <f t="shared" si="4"/>
        <v/>
      </c>
      <c r="J243" s="66" t="str">
        <f>IF($H243=1,'Event summary'!C243,"")</f>
        <v/>
      </c>
      <c r="K243" s="66" t="str">
        <f>IF($H243=1,'Event summary'!D243,"")</f>
        <v/>
      </c>
    </row>
    <row r="244" spans="7:11" ht="28.5" x14ac:dyDescent="0.2">
      <c r="G244" s="46">
        <f>'Event summary'!A244</f>
        <v>244</v>
      </c>
      <c r="H244" s="43">
        <f>MIN(TYPE(SEARCH($E$2,'Event summary'!C244)),TYPE(SEARCH($E$2,'Event summary'!D244)))</f>
        <v>16</v>
      </c>
      <c r="I244" s="65" t="str">
        <f t="shared" si="4"/>
        <v/>
      </c>
      <c r="J244" s="66" t="str">
        <f>IF($H244=1,'Event summary'!C244,"")</f>
        <v/>
      </c>
      <c r="K244" s="66" t="str">
        <f>IF($H244=1,'Event summary'!D244,"")</f>
        <v/>
      </c>
    </row>
    <row r="245" spans="7:11" x14ac:dyDescent="0.2">
      <c r="G245" s="46">
        <f>'Event summary'!A245</f>
        <v>245</v>
      </c>
      <c r="H245" s="43">
        <f>MIN(TYPE(SEARCH($E$2,'Event summary'!C245)),TYPE(SEARCH($E$2,'Event summary'!D245)))</f>
        <v>1</v>
      </c>
      <c r="I245" s="65" t="str">
        <f t="shared" si="4"/>
        <v>שינוי</v>
      </c>
      <c r="J245" s="66" t="str">
        <f>IF($H245=1,'Event summary'!C245,"")</f>
        <v>תיעוד לא תקין - רישום בקמליון ל- 4Gy x 5 בפועל קיבל 8Gy x 1.</v>
      </c>
      <c r="K245" s="66" t="str">
        <f>IF($H245=1,'Event summary'!D245,"")</f>
        <v xml:space="preserve">בוצע שינוי בנוהל העבודה. </v>
      </c>
    </row>
    <row r="246" spans="7:11" ht="28.5" x14ac:dyDescent="0.2">
      <c r="G246" s="46">
        <f>'Event summary'!A246</f>
        <v>246</v>
      </c>
      <c r="H246" s="43">
        <f>MIN(TYPE(SEARCH($E$2,'Event summary'!C246)),TYPE(SEARCH($E$2,'Event summary'!D246)))</f>
        <v>16</v>
      </c>
      <c r="I246" s="65" t="str">
        <f t="shared" si="4"/>
        <v/>
      </c>
      <c r="J246" s="66" t="str">
        <f>IF($H246=1,'Event summary'!C246,"")</f>
        <v/>
      </c>
      <c r="K246" s="66" t="str">
        <f>IF($H246=1,'Event summary'!D246,"")</f>
        <v/>
      </c>
    </row>
    <row r="247" spans="7:11" x14ac:dyDescent="0.2">
      <c r="G247" s="46">
        <f>'Event summary'!A247</f>
        <v>247</v>
      </c>
      <c r="H247" s="43">
        <f>MIN(TYPE(SEARCH($E$2,'Event summary'!C247)),TYPE(SEARCH($E$2,'Event summary'!D247)))</f>
        <v>16</v>
      </c>
      <c r="I247" s="65" t="str">
        <f t="shared" si="4"/>
        <v/>
      </c>
      <c r="J247" s="66" t="str">
        <f>IF($H247=1,'Event summary'!C247,"")</f>
        <v/>
      </c>
      <c r="K247" s="66" t="str">
        <f>IF($H247=1,'Event summary'!D247,"")</f>
        <v/>
      </c>
    </row>
    <row r="248" spans="7:11" x14ac:dyDescent="0.2">
      <c r="G248" s="46">
        <f>'Event summary'!A248</f>
        <v>248</v>
      </c>
      <c r="H248" s="43">
        <f>MIN(TYPE(SEARCH($E$2,'Event summary'!C248)),TYPE(SEARCH($E$2,'Event summary'!D248)))</f>
        <v>16</v>
      </c>
      <c r="I248" s="65" t="str">
        <f t="shared" si="4"/>
        <v/>
      </c>
      <c r="J248" s="66" t="str">
        <f>IF($H248=1,'Event summary'!C248,"")</f>
        <v/>
      </c>
      <c r="K248" s="66" t="str">
        <f>IF($H248=1,'Event summary'!D248,"")</f>
        <v/>
      </c>
    </row>
    <row r="249" spans="7:11" x14ac:dyDescent="0.2">
      <c r="G249" s="46">
        <f>'Event summary'!A249</f>
        <v>249</v>
      </c>
      <c r="H249" s="43">
        <f>MIN(TYPE(SEARCH($E$2,'Event summary'!C249)),TYPE(SEARCH($E$2,'Event summary'!D249)))</f>
        <v>16</v>
      </c>
      <c r="I249" s="65" t="str">
        <f t="shared" si="4"/>
        <v/>
      </c>
      <c r="J249" s="66" t="str">
        <f>IF($H249=1,'Event summary'!C249,"")</f>
        <v/>
      </c>
      <c r="K249" s="66" t="str">
        <f>IF($H249=1,'Event summary'!D249,"")</f>
        <v/>
      </c>
    </row>
    <row r="250" spans="7:11" x14ac:dyDescent="0.2">
      <c r="G250" s="46">
        <f>'Event summary'!A250</f>
        <v>250</v>
      </c>
      <c r="H250" s="43">
        <f>MIN(TYPE(SEARCH($E$2,'Event summary'!C250)),TYPE(SEARCH($E$2,'Event summary'!D250)))</f>
        <v>16</v>
      </c>
      <c r="I250" s="65" t="str">
        <f t="shared" si="4"/>
        <v/>
      </c>
      <c r="J250" s="66" t="str">
        <f>IF($H250=1,'Event summary'!C250,"")</f>
        <v/>
      </c>
      <c r="K250" s="66" t="str">
        <f>IF($H250=1,'Event summary'!D250,"")</f>
        <v/>
      </c>
    </row>
    <row r="251" spans="7:11" x14ac:dyDescent="0.2">
      <c r="G251" s="46">
        <f>'Event summary'!A251</f>
        <v>251</v>
      </c>
      <c r="H251" s="43">
        <f>MIN(TYPE(SEARCH($E$2,'Event summary'!C251)),TYPE(SEARCH($E$2,'Event summary'!D251)))</f>
        <v>16</v>
      </c>
      <c r="I251" s="65" t="str">
        <f t="shared" si="4"/>
        <v/>
      </c>
      <c r="J251" s="66" t="str">
        <f>IF($H251=1,'Event summary'!C251,"")</f>
        <v/>
      </c>
      <c r="K251" s="66" t="str">
        <f>IF($H251=1,'Event summary'!D251,"")</f>
        <v/>
      </c>
    </row>
    <row r="252" spans="7:11" x14ac:dyDescent="0.2">
      <c r="G252" s="46">
        <f>'Event summary'!A252</f>
        <v>252</v>
      </c>
      <c r="H252" s="43">
        <f>MIN(TYPE(SEARCH($E$2,'Event summary'!C252)),TYPE(SEARCH($E$2,'Event summary'!D252)))</f>
        <v>16</v>
      </c>
      <c r="I252" s="65" t="str">
        <f t="shared" si="4"/>
        <v/>
      </c>
      <c r="J252" s="66" t="str">
        <f>IF($H252=1,'Event summary'!C252,"")</f>
        <v/>
      </c>
      <c r="K252" s="66" t="str">
        <f>IF($H252=1,'Event summary'!D252,"")</f>
        <v/>
      </c>
    </row>
    <row r="253" spans="7:11" x14ac:dyDescent="0.2">
      <c r="G253" s="46">
        <f>'Event summary'!A253</f>
        <v>253</v>
      </c>
      <c r="H253" s="43">
        <f>MIN(TYPE(SEARCH($E$2,'Event summary'!C253)),TYPE(SEARCH($E$2,'Event summary'!D253)))</f>
        <v>16</v>
      </c>
      <c r="I253" s="65" t="str">
        <f t="shared" si="4"/>
        <v/>
      </c>
      <c r="J253" s="66" t="str">
        <f>IF($H253=1,'Event summary'!C253,"")</f>
        <v/>
      </c>
      <c r="K253" s="66" t="str">
        <f>IF($H253=1,'Event summary'!D253,"")</f>
        <v/>
      </c>
    </row>
    <row r="254" spans="7:11" x14ac:dyDescent="0.2">
      <c r="G254" s="46">
        <f>'Event summary'!A254</f>
        <v>254</v>
      </c>
      <c r="H254" s="43">
        <f>MIN(TYPE(SEARCH($E$2,'Event summary'!C254)),TYPE(SEARCH($E$2,'Event summary'!D254)))</f>
        <v>16</v>
      </c>
      <c r="I254" s="65" t="str">
        <f t="shared" si="4"/>
        <v/>
      </c>
      <c r="J254" s="66" t="str">
        <f>IF($H254=1,'Event summary'!C254,"")</f>
        <v/>
      </c>
      <c r="K254" s="66" t="str">
        <f>IF($H254=1,'Event summary'!D254,"")</f>
        <v/>
      </c>
    </row>
    <row r="255" spans="7:11" ht="28.5" x14ac:dyDescent="0.2">
      <c r="G255" s="46">
        <f>'Event summary'!A255</f>
        <v>255</v>
      </c>
      <c r="H255" s="43">
        <f>MIN(TYPE(SEARCH($E$2,'Event summary'!C255)),TYPE(SEARCH($E$2,'Event summary'!D255)))</f>
        <v>16</v>
      </c>
      <c r="I255" s="65" t="str">
        <f t="shared" si="4"/>
        <v/>
      </c>
      <c r="J255" s="66" t="str">
        <f>IF($H255=1,'Event summary'!C255,"")</f>
        <v/>
      </c>
      <c r="K255" s="66" t="str">
        <f>IF($H255=1,'Event summary'!D255,"")</f>
        <v/>
      </c>
    </row>
    <row r="256" spans="7:11" x14ac:dyDescent="0.2">
      <c r="G256" s="46">
        <f>'Event summary'!A256</f>
        <v>256</v>
      </c>
      <c r="H256" s="43">
        <f>MIN(TYPE(SEARCH($E$2,'Event summary'!C256)),TYPE(SEARCH($E$2,'Event summary'!D256)))</f>
        <v>16</v>
      </c>
      <c r="I256" s="65" t="str">
        <f t="shared" si="4"/>
        <v/>
      </c>
      <c r="J256" s="66" t="str">
        <f>IF($H256=1,'Event summary'!C256,"")</f>
        <v/>
      </c>
      <c r="K256" s="66" t="str">
        <f>IF($H256=1,'Event summary'!D256,"")</f>
        <v/>
      </c>
    </row>
    <row r="257" spans="7:11" x14ac:dyDescent="0.2">
      <c r="G257" s="46">
        <f>'Event summary'!A257</f>
        <v>257</v>
      </c>
      <c r="H257" s="43">
        <f>MIN(TYPE(SEARCH($E$2,'Event summary'!C257)),TYPE(SEARCH($E$2,'Event summary'!D257)))</f>
        <v>16</v>
      </c>
      <c r="I257" s="65" t="str">
        <f t="shared" si="4"/>
        <v/>
      </c>
      <c r="J257" s="66" t="str">
        <f>IF($H257=1,'Event summary'!C257,"")</f>
        <v/>
      </c>
      <c r="K257" s="66" t="str">
        <f>IF($H257=1,'Event summary'!D257,"")</f>
        <v/>
      </c>
    </row>
    <row r="258" spans="7:11" x14ac:dyDescent="0.2">
      <c r="G258" s="46">
        <f>'Event summary'!A258</f>
        <v>258</v>
      </c>
      <c r="H258" s="43">
        <f>MIN(TYPE(SEARCH($E$2,'Event summary'!C258)),TYPE(SEARCH($E$2,'Event summary'!D258)))</f>
        <v>16</v>
      </c>
      <c r="I258" s="65" t="str">
        <f t="shared" ref="I258:I321" si="5">IF(H258=1,$E$2,"")</f>
        <v/>
      </c>
      <c r="J258" s="66" t="str">
        <f>IF($H258=1,'Event summary'!C258,"")</f>
        <v/>
      </c>
      <c r="K258" s="66" t="str">
        <f>IF($H258=1,'Event summary'!D258,"")</f>
        <v/>
      </c>
    </row>
    <row r="259" spans="7:11" x14ac:dyDescent="0.2">
      <c r="G259" s="46">
        <f>'Event summary'!A259</f>
        <v>259</v>
      </c>
      <c r="H259" s="43">
        <f>MIN(TYPE(SEARCH($E$2,'Event summary'!C259)),TYPE(SEARCH($E$2,'Event summary'!D259)))</f>
        <v>16</v>
      </c>
      <c r="I259" s="65" t="str">
        <f t="shared" si="5"/>
        <v/>
      </c>
      <c r="J259" s="66" t="str">
        <f>IF($H259=1,'Event summary'!C259,"")</f>
        <v/>
      </c>
      <c r="K259" s="66" t="str">
        <f>IF($H259=1,'Event summary'!D259,"")</f>
        <v/>
      </c>
    </row>
    <row r="260" spans="7:11" x14ac:dyDescent="0.2">
      <c r="G260" s="46">
        <f>'Event summary'!A260</f>
        <v>260</v>
      </c>
      <c r="H260" s="43">
        <f>MIN(TYPE(SEARCH($E$2,'Event summary'!C260)),TYPE(SEARCH($E$2,'Event summary'!D260)))</f>
        <v>16</v>
      </c>
      <c r="I260" s="65" t="str">
        <f t="shared" si="5"/>
        <v/>
      </c>
      <c r="J260" s="66" t="str">
        <f>IF($H260=1,'Event summary'!C260,"")</f>
        <v/>
      </c>
      <c r="K260" s="66" t="str">
        <f>IF($H260=1,'Event summary'!D260,"")</f>
        <v/>
      </c>
    </row>
    <row r="261" spans="7:11" x14ac:dyDescent="0.2">
      <c r="G261" s="46">
        <f>'Event summary'!A261</f>
        <v>261</v>
      </c>
      <c r="H261" s="43">
        <f>MIN(TYPE(SEARCH($E$2,'Event summary'!C261)),TYPE(SEARCH($E$2,'Event summary'!D261)))</f>
        <v>16</v>
      </c>
      <c r="I261" s="65" t="str">
        <f t="shared" si="5"/>
        <v/>
      </c>
      <c r="J261" s="66" t="str">
        <f>IF($H261=1,'Event summary'!C261,"")</f>
        <v/>
      </c>
      <c r="K261" s="66" t="str">
        <f>IF($H261=1,'Event summary'!D261,"")</f>
        <v/>
      </c>
    </row>
    <row r="262" spans="7:11" x14ac:dyDescent="0.2">
      <c r="G262" s="46">
        <f>'Event summary'!A262</f>
        <v>262</v>
      </c>
      <c r="H262" s="43">
        <f>MIN(TYPE(SEARCH($E$2,'Event summary'!C262)),TYPE(SEARCH($E$2,'Event summary'!D262)))</f>
        <v>16</v>
      </c>
      <c r="I262" s="65" t="str">
        <f t="shared" si="5"/>
        <v/>
      </c>
      <c r="J262" s="66" t="str">
        <f>IF($H262=1,'Event summary'!C262,"")</f>
        <v/>
      </c>
      <c r="K262" s="66" t="str">
        <f>IF($H262=1,'Event summary'!D262,"")</f>
        <v/>
      </c>
    </row>
    <row r="263" spans="7:11" x14ac:dyDescent="0.2">
      <c r="G263" s="46">
        <f>'Event summary'!A263</f>
        <v>263</v>
      </c>
      <c r="H263" s="43">
        <f>MIN(TYPE(SEARCH($E$2,'Event summary'!C263)),TYPE(SEARCH($E$2,'Event summary'!D263)))</f>
        <v>16</v>
      </c>
      <c r="I263" s="65" t="str">
        <f t="shared" si="5"/>
        <v/>
      </c>
      <c r="J263" s="66" t="str">
        <f>IF($H263=1,'Event summary'!C263,"")</f>
        <v/>
      </c>
      <c r="K263" s="66" t="str">
        <f>IF($H263=1,'Event summary'!D263,"")</f>
        <v/>
      </c>
    </row>
    <row r="264" spans="7:11" x14ac:dyDescent="0.2">
      <c r="G264" s="46">
        <f>'Event summary'!A264</f>
        <v>264</v>
      </c>
      <c r="H264" s="43">
        <f>MIN(TYPE(SEARCH($E$2,'Event summary'!C264)),TYPE(SEARCH($E$2,'Event summary'!D264)))</f>
        <v>16</v>
      </c>
      <c r="I264" s="65" t="str">
        <f t="shared" si="5"/>
        <v/>
      </c>
      <c r="J264" s="66" t="str">
        <f>IF($H264=1,'Event summary'!C264,"")</f>
        <v/>
      </c>
      <c r="K264" s="66" t="str">
        <f>IF($H264=1,'Event summary'!D264,"")</f>
        <v/>
      </c>
    </row>
    <row r="265" spans="7:11" x14ac:dyDescent="0.2">
      <c r="G265" s="46">
        <f>'Event summary'!A265</f>
        <v>265</v>
      </c>
      <c r="H265" s="43">
        <f>MIN(TYPE(SEARCH($E$2,'Event summary'!C265)),TYPE(SEARCH($E$2,'Event summary'!D265)))</f>
        <v>16</v>
      </c>
      <c r="I265" s="65" t="str">
        <f t="shared" si="5"/>
        <v/>
      </c>
      <c r="J265" s="66" t="str">
        <f>IF($H265=1,'Event summary'!C265,"")</f>
        <v/>
      </c>
      <c r="K265" s="66" t="str">
        <f>IF($H265=1,'Event summary'!D265,"")</f>
        <v/>
      </c>
    </row>
    <row r="266" spans="7:11" x14ac:dyDescent="0.2">
      <c r="G266" s="46">
        <f>'Event summary'!A266</f>
        <v>266</v>
      </c>
      <c r="H266" s="43">
        <f>MIN(TYPE(SEARCH($E$2,'Event summary'!C266)),TYPE(SEARCH($E$2,'Event summary'!D266)))</f>
        <v>16</v>
      </c>
      <c r="I266" s="65" t="str">
        <f t="shared" si="5"/>
        <v/>
      </c>
      <c r="J266" s="66" t="str">
        <f>IF($H266=1,'Event summary'!C266,"")</f>
        <v/>
      </c>
      <c r="K266" s="66" t="str">
        <f>IF($H266=1,'Event summary'!D266,"")</f>
        <v/>
      </c>
    </row>
    <row r="267" spans="7:11" x14ac:dyDescent="0.2">
      <c r="G267" s="46">
        <f>'Event summary'!A267</f>
        <v>267</v>
      </c>
      <c r="H267" s="43">
        <f>MIN(TYPE(SEARCH($E$2,'Event summary'!C267)),TYPE(SEARCH($E$2,'Event summary'!D267)))</f>
        <v>16</v>
      </c>
      <c r="I267" s="65" t="str">
        <f t="shared" si="5"/>
        <v/>
      </c>
      <c r="J267" s="66" t="str">
        <f>IF($H267=1,'Event summary'!C267,"")</f>
        <v/>
      </c>
      <c r="K267" s="66" t="str">
        <f>IF($H267=1,'Event summary'!D267,"")</f>
        <v/>
      </c>
    </row>
    <row r="268" spans="7:11" x14ac:dyDescent="0.2">
      <c r="G268" s="46">
        <f>'Event summary'!A268</f>
        <v>268</v>
      </c>
      <c r="H268" s="43">
        <f>MIN(TYPE(SEARCH($E$2,'Event summary'!C268)),TYPE(SEARCH($E$2,'Event summary'!D268)))</f>
        <v>16</v>
      </c>
      <c r="I268" s="65" t="str">
        <f t="shared" si="5"/>
        <v/>
      </c>
      <c r="J268" s="66" t="str">
        <f>IF($H268=1,'Event summary'!C268,"")</f>
        <v/>
      </c>
      <c r="K268" s="66" t="str">
        <f>IF($H268=1,'Event summary'!D268,"")</f>
        <v/>
      </c>
    </row>
    <row r="269" spans="7:11" x14ac:dyDescent="0.2">
      <c r="G269" s="46">
        <f>'Event summary'!A269</f>
        <v>269</v>
      </c>
      <c r="H269" s="43">
        <f>MIN(TYPE(SEARCH($E$2,'Event summary'!C269)),TYPE(SEARCH($E$2,'Event summary'!D269)))</f>
        <v>16</v>
      </c>
      <c r="I269" s="65" t="str">
        <f t="shared" si="5"/>
        <v/>
      </c>
      <c r="J269" s="66" t="str">
        <f>IF($H269=1,'Event summary'!C269,"")</f>
        <v/>
      </c>
      <c r="K269" s="66" t="str">
        <f>IF($H269=1,'Event summary'!D269,"")</f>
        <v/>
      </c>
    </row>
    <row r="270" spans="7:11" x14ac:dyDescent="0.2">
      <c r="G270" s="46">
        <f>'Event summary'!A270</f>
        <v>270</v>
      </c>
      <c r="H270" s="43">
        <f>MIN(TYPE(SEARCH($E$2,'Event summary'!C270)),TYPE(SEARCH($E$2,'Event summary'!D270)))</f>
        <v>16</v>
      </c>
      <c r="I270" s="65" t="str">
        <f t="shared" si="5"/>
        <v/>
      </c>
      <c r="J270" s="66" t="str">
        <f>IF($H270=1,'Event summary'!C270,"")</f>
        <v/>
      </c>
      <c r="K270" s="66" t="str">
        <f>IF($H270=1,'Event summary'!D270,"")</f>
        <v/>
      </c>
    </row>
    <row r="271" spans="7:11" x14ac:dyDescent="0.2">
      <c r="G271" s="46">
        <f>'Event summary'!A271</f>
        <v>271</v>
      </c>
      <c r="H271" s="43">
        <f>MIN(TYPE(SEARCH($E$2,'Event summary'!C271)),TYPE(SEARCH($E$2,'Event summary'!D271)))</f>
        <v>16</v>
      </c>
      <c r="I271" s="65" t="str">
        <f t="shared" si="5"/>
        <v/>
      </c>
      <c r="J271" s="66" t="str">
        <f>IF($H271=1,'Event summary'!C271,"")</f>
        <v/>
      </c>
      <c r="K271" s="66" t="str">
        <f>IF($H271=1,'Event summary'!D271,"")</f>
        <v/>
      </c>
    </row>
    <row r="272" spans="7:11" x14ac:dyDescent="0.2">
      <c r="G272" s="46">
        <f>'Event summary'!A272</f>
        <v>272</v>
      </c>
      <c r="H272" s="43">
        <f>MIN(TYPE(SEARCH($E$2,'Event summary'!C272)),TYPE(SEARCH($E$2,'Event summary'!D272)))</f>
        <v>16</v>
      </c>
      <c r="I272" s="65" t="str">
        <f t="shared" si="5"/>
        <v/>
      </c>
      <c r="J272" s="66" t="str">
        <f>IF($H272=1,'Event summary'!C272,"")</f>
        <v/>
      </c>
      <c r="K272" s="66" t="str">
        <f>IF($H272=1,'Event summary'!D272,"")</f>
        <v/>
      </c>
    </row>
    <row r="273" spans="7:11" ht="28.5" x14ac:dyDescent="0.2">
      <c r="G273" s="46">
        <f>'Event summary'!A273</f>
        <v>273</v>
      </c>
      <c r="H273" s="43">
        <f>MIN(TYPE(SEARCH($E$2,'Event summary'!C273)),TYPE(SEARCH($E$2,'Event summary'!D273)))</f>
        <v>16</v>
      </c>
      <c r="I273" s="65" t="str">
        <f t="shared" si="5"/>
        <v/>
      </c>
      <c r="J273" s="66" t="str">
        <f>IF($H273=1,'Event summary'!C273,"")</f>
        <v/>
      </c>
      <c r="K273" s="66" t="str">
        <f>IF($H273=1,'Event summary'!D273,"")</f>
        <v/>
      </c>
    </row>
    <row r="274" spans="7:11" x14ac:dyDescent="0.2">
      <c r="G274" s="46">
        <f>'Event summary'!A274</f>
        <v>274</v>
      </c>
      <c r="H274" s="43">
        <f>MIN(TYPE(SEARCH($E$2,'Event summary'!C274)),TYPE(SEARCH($E$2,'Event summary'!D274)))</f>
        <v>16</v>
      </c>
      <c r="I274" s="65" t="str">
        <f t="shared" si="5"/>
        <v/>
      </c>
      <c r="J274" s="66" t="str">
        <f>IF($H274=1,'Event summary'!C274,"")</f>
        <v/>
      </c>
      <c r="K274" s="66" t="str">
        <f>IF($H274=1,'Event summary'!D274,"")</f>
        <v/>
      </c>
    </row>
    <row r="275" spans="7:11" ht="28.5" x14ac:dyDescent="0.2">
      <c r="G275" s="46">
        <f>'Event summary'!A275</f>
        <v>275</v>
      </c>
      <c r="H275" s="43">
        <f>MIN(TYPE(SEARCH($E$2,'Event summary'!C275)),TYPE(SEARCH($E$2,'Event summary'!D275)))</f>
        <v>1</v>
      </c>
      <c r="I275" s="65" t="str">
        <f t="shared" si="5"/>
        <v>שינוי</v>
      </c>
      <c r="J275" s="66" t="str">
        <f>IF($H275=1,'Event summary'!C275,"")</f>
        <v>כמעט מתן טיפול באופן שגוי - מטופלת עברה סימולציה לשד + ריאה ימין+דמאל. בתאריך 9/2/21 הוחלט לא לטפל ריאות. למרות זאת לא היה שינוי בתכנון.</v>
      </c>
      <c r="K275" s="66">
        <f>IF($H275=1,'Event summary'!D275,"")</f>
        <v>0</v>
      </c>
    </row>
    <row r="276" spans="7:11" x14ac:dyDescent="0.2">
      <c r="G276" s="46">
        <f>'Event summary'!A276</f>
        <v>276</v>
      </c>
      <c r="H276" s="43">
        <f>MIN(TYPE(SEARCH($E$2,'Event summary'!C276)),TYPE(SEARCH($E$2,'Event summary'!D276)))</f>
        <v>16</v>
      </c>
      <c r="I276" s="65" t="str">
        <f t="shared" si="5"/>
        <v/>
      </c>
      <c r="J276" s="66" t="str">
        <f>IF($H276=1,'Event summary'!C276,"")</f>
        <v/>
      </c>
      <c r="K276" s="66" t="str">
        <f>IF($H276=1,'Event summary'!D276,"")</f>
        <v/>
      </c>
    </row>
    <row r="277" spans="7:11" x14ac:dyDescent="0.2">
      <c r="G277" s="46">
        <f>'Event summary'!A277</f>
        <v>277</v>
      </c>
      <c r="H277" s="43">
        <f>MIN(TYPE(SEARCH($E$2,'Event summary'!C277)),TYPE(SEARCH($E$2,'Event summary'!D277)))</f>
        <v>16</v>
      </c>
      <c r="I277" s="65" t="str">
        <f t="shared" si="5"/>
        <v/>
      </c>
      <c r="J277" s="66" t="str">
        <f>IF($H277=1,'Event summary'!C277,"")</f>
        <v/>
      </c>
      <c r="K277" s="66" t="str">
        <f>IF($H277=1,'Event summary'!D277,"")</f>
        <v/>
      </c>
    </row>
    <row r="278" spans="7:11" x14ac:dyDescent="0.2">
      <c r="G278" s="46">
        <f>'Event summary'!A278</f>
        <v>278</v>
      </c>
      <c r="H278" s="43">
        <f>MIN(TYPE(SEARCH($E$2,'Event summary'!C278)),TYPE(SEARCH($E$2,'Event summary'!D278)))</f>
        <v>16</v>
      </c>
      <c r="I278" s="65" t="str">
        <f t="shared" si="5"/>
        <v/>
      </c>
      <c r="J278" s="66" t="str">
        <f>IF($H278=1,'Event summary'!C278,"")</f>
        <v/>
      </c>
      <c r="K278" s="66" t="str">
        <f>IF($H278=1,'Event summary'!D278,"")</f>
        <v/>
      </c>
    </row>
    <row r="279" spans="7:11" x14ac:dyDescent="0.2">
      <c r="G279" s="46">
        <f>'Event summary'!A279</f>
        <v>279</v>
      </c>
      <c r="H279" s="43">
        <f>MIN(TYPE(SEARCH($E$2,'Event summary'!C279)),TYPE(SEARCH($E$2,'Event summary'!D279)))</f>
        <v>16</v>
      </c>
      <c r="I279" s="65" t="str">
        <f t="shared" si="5"/>
        <v/>
      </c>
      <c r="J279" s="66" t="str">
        <f>IF($H279=1,'Event summary'!C279,"")</f>
        <v/>
      </c>
      <c r="K279" s="66" t="str">
        <f>IF($H279=1,'Event summary'!D279,"")</f>
        <v/>
      </c>
    </row>
    <row r="280" spans="7:11" x14ac:dyDescent="0.2">
      <c r="G280" s="46">
        <f>'Event summary'!A280</f>
        <v>280</v>
      </c>
      <c r="H280" s="43">
        <f>MIN(TYPE(SEARCH($E$2,'Event summary'!C280)),TYPE(SEARCH($E$2,'Event summary'!D280)))</f>
        <v>16</v>
      </c>
      <c r="I280" s="65" t="str">
        <f t="shared" si="5"/>
        <v/>
      </c>
      <c r="J280" s="66" t="str">
        <f>IF($H280=1,'Event summary'!C280,"")</f>
        <v/>
      </c>
      <c r="K280" s="66" t="str">
        <f>IF($H280=1,'Event summary'!D280,"")</f>
        <v/>
      </c>
    </row>
    <row r="281" spans="7:11" x14ac:dyDescent="0.2">
      <c r="G281" s="46">
        <f>'Event summary'!A281</f>
        <v>281</v>
      </c>
      <c r="H281" s="43">
        <f>MIN(TYPE(SEARCH($E$2,'Event summary'!C281)),TYPE(SEARCH($E$2,'Event summary'!D281)))</f>
        <v>16</v>
      </c>
      <c r="I281" s="65" t="str">
        <f t="shared" si="5"/>
        <v/>
      </c>
      <c r="J281" s="66" t="str">
        <f>IF($H281=1,'Event summary'!C281,"")</f>
        <v/>
      </c>
      <c r="K281" s="66" t="str">
        <f>IF($H281=1,'Event summary'!D281,"")</f>
        <v/>
      </c>
    </row>
    <row r="282" spans="7:11" x14ac:dyDescent="0.2">
      <c r="G282" s="46">
        <f>'Event summary'!A282</f>
        <v>282</v>
      </c>
      <c r="H282" s="43">
        <f>MIN(TYPE(SEARCH($E$2,'Event summary'!C282)),TYPE(SEARCH($E$2,'Event summary'!D282)))</f>
        <v>16</v>
      </c>
      <c r="I282" s="65" t="str">
        <f t="shared" si="5"/>
        <v/>
      </c>
      <c r="J282" s="66" t="str">
        <f>IF($H282=1,'Event summary'!C282,"")</f>
        <v/>
      </c>
      <c r="K282" s="66" t="str">
        <f>IF($H282=1,'Event summary'!D282,"")</f>
        <v/>
      </c>
    </row>
    <row r="283" spans="7:11" x14ac:dyDescent="0.2">
      <c r="G283" s="46">
        <f>'Event summary'!A283</f>
        <v>283</v>
      </c>
      <c r="H283" s="43">
        <f>MIN(TYPE(SEARCH($E$2,'Event summary'!C283)),TYPE(SEARCH($E$2,'Event summary'!D283)))</f>
        <v>16</v>
      </c>
      <c r="I283" s="65" t="str">
        <f t="shared" si="5"/>
        <v/>
      </c>
      <c r="J283" s="66" t="str">
        <f>IF($H283=1,'Event summary'!C283,"")</f>
        <v/>
      </c>
      <c r="K283" s="66" t="str">
        <f>IF($H283=1,'Event summary'!D283,"")</f>
        <v/>
      </c>
    </row>
    <row r="284" spans="7:11" x14ac:dyDescent="0.2">
      <c r="G284" s="46">
        <f>'Event summary'!A284</f>
        <v>284</v>
      </c>
      <c r="H284" s="43">
        <f>MIN(TYPE(SEARCH($E$2,'Event summary'!C284)),TYPE(SEARCH($E$2,'Event summary'!D284)))</f>
        <v>16</v>
      </c>
      <c r="I284" s="65" t="str">
        <f t="shared" si="5"/>
        <v/>
      </c>
      <c r="J284" s="66" t="str">
        <f>IF($H284=1,'Event summary'!C284,"")</f>
        <v/>
      </c>
      <c r="K284" s="66" t="str">
        <f>IF($H284=1,'Event summary'!D284,"")</f>
        <v/>
      </c>
    </row>
    <row r="285" spans="7:11" x14ac:dyDescent="0.2">
      <c r="G285" s="46">
        <f>'Event summary'!A285</f>
        <v>285</v>
      </c>
      <c r="H285" s="43">
        <f>MIN(TYPE(SEARCH($E$2,'Event summary'!C285)),TYPE(SEARCH($E$2,'Event summary'!D285)))</f>
        <v>16</v>
      </c>
      <c r="I285" s="65" t="str">
        <f t="shared" si="5"/>
        <v/>
      </c>
      <c r="J285" s="66" t="str">
        <f>IF($H285=1,'Event summary'!C285,"")</f>
        <v/>
      </c>
      <c r="K285" s="66" t="str">
        <f>IF($H285=1,'Event summary'!D285,"")</f>
        <v/>
      </c>
    </row>
    <row r="286" spans="7:11" x14ac:dyDescent="0.2">
      <c r="G286" s="46">
        <f>'Event summary'!A286</f>
        <v>286</v>
      </c>
      <c r="H286" s="43">
        <f>MIN(TYPE(SEARCH($E$2,'Event summary'!C286)),TYPE(SEARCH($E$2,'Event summary'!D286)))</f>
        <v>16</v>
      </c>
      <c r="I286" s="65" t="str">
        <f t="shared" si="5"/>
        <v/>
      </c>
      <c r="J286" s="66" t="str">
        <f>IF($H286=1,'Event summary'!C286,"")</f>
        <v/>
      </c>
      <c r="K286" s="66" t="str">
        <f>IF($H286=1,'Event summary'!D286,"")</f>
        <v/>
      </c>
    </row>
    <row r="287" spans="7:11" x14ac:dyDescent="0.2">
      <c r="G287" s="46">
        <f>'Event summary'!A287</f>
        <v>287</v>
      </c>
      <c r="H287" s="43">
        <f>MIN(TYPE(SEARCH($E$2,'Event summary'!C287)),TYPE(SEARCH($E$2,'Event summary'!D287)))</f>
        <v>16</v>
      </c>
      <c r="I287" s="65" t="str">
        <f t="shared" si="5"/>
        <v/>
      </c>
      <c r="J287" s="66" t="str">
        <f>IF($H287=1,'Event summary'!C287,"")</f>
        <v/>
      </c>
      <c r="K287" s="66" t="str">
        <f>IF($H287=1,'Event summary'!D287,"")</f>
        <v/>
      </c>
    </row>
    <row r="288" spans="7:11" x14ac:dyDescent="0.2">
      <c r="G288" s="46">
        <f>'Event summary'!A288</f>
        <v>288</v>
      </c>
      <c r="H288" s="43">
        <f>MIN(TYPE(SEARCH($E$2,'Event summary'!C288)),TYPE(SEARCH($E$2,'Event summary'!D288)))</f>
        <v>16</v>
      </c>
      <c r="I288" s="65" t="str">
        <f t="shared" si="5"/>
        <v/>
      </c>
      <c r="J288" s="66" t="str">
        <f>IF($H288=1,'Event summary'!C288,"")</f>
        <v/>
      </c>
      <c r="K288" s="66" t="str">
        <f>IF($H288=1,'Event summary'!D288,"")</f>
        <v/>
      </c>
    </row>
    <row r="289" spans="7:11" x14ac:dyDescent="0.2">
      <c r="G289" s="46">
        <f>'Event summary'!A289</f>
        <v>289</v>
      </c>
      <c r="H289" s="43">
        <f>MIN(TYPE(SEARCH($E$2,'Event summary'!C289)),TYPE(SEARCH($E$2,'Event summary'!D289)))</f>
        <v>16</v>
      </c>
      <c r="I289" s="65" t="str">
        <f t="shared" si="5"/>
        <v/>
      </c>
      <c r="J289" s="66" t="str">
        <f>IF($H289=1,'Event summary'!C289,"")</f>
        <v/>
      </c>
      <c r="K289" s="66" t="str">
        <f>IF($H289=1,'Event summary'!D289,"")</f>
        <v/>
      </c>
    </row>
    <row r="290" spans="7:11" x14ac:dyDescent="0.2">
      <c r="G290" s="46">
        <f>'Event summary'!A290</f>
        <v>290</v>
      </c>
      <c r="H290" s="43">
        <f>MIN(TYPE(SEARCH($E$2,'Event summary'!C290)),TYPE(SEARCH($E$2,'Event summary'!D290)))</f>
        <v>16</v>
      </c>
      <c r="I290" s="65" t="str">
        <f t="shared" si="5"/>
        <v/>
      </c>
      <c r="J290" s="66" t="str">
        <f>IF($H290=1,'Event summary'!C290,"")</f>
        <v/>
      </c>
      <c r="K290" s="66" t="str">
        <f>IF($H290=1,'Event summary'!D290,"")</f>
        <v/>
      </c>
    </row>
    <row r="291" spans="7:11" x14ac:dyDescent="0.2">
      <c r="G291" s="46">
        <f>'Event summary'!A291</f>
        <v>291</v>
      </c>
      <c r="H291" s="43">
        <f>MIN(TYPE(SEARCH($E$2,'Event summary'!C291)),TYPE(SEARCH($E$2,'Event summary'!D291)))</f>
        <v>16</v>
      </c>
      <c r="I291" s="65" t="str">
        <f t="shared" si="5"/>
        <v/>
      </c>
      <c r="J291" s="66" t="str">
        <f>IF($H291=1,'Event summary'!C291,"")</f>
        <v/>
      </c>
      <c r="K291" s="66" t="str">
        <f>IF($H291=1,'Event summary'!D291,"")</f>
        <v/>
      </c>
    </row>
    <row r="292" spans="7:11" x14ac:dyDescent="0.2">
      <c r="G292" s="46">
        <f>'Event summary'!A292</f>
        <v>292</v>
      </c>
      <c r="H292" s="43">
        <f>MIN(TYPE(SEARCH($E$2,'Event summary'!C292)),TYPE(SEARCH($E$2,'Event summary'!D292)))</f>
        <v>16</v>
      </c>
      <c r="I292" s="65" t="str">
        <f t="shared" si="5"/>
        <v/>
      </c>
      <c r="J292" s="66" t="str">
        <f>IF($H292=1,'Event summary'!C292,"")</f>
        <v/>
      </c>
      <c r="K292" s="66" t="str">
        <f>IF($H292=1,'Event summary'!D292,"")</f>
        <v/>
      </c>
    </row>
    <row r="293" spans="7:11" x14ac:dyDescent="0.2">
      <c r="G293" s="46">
        <f>'Event summary'!A293</f>
        <v>293</v>
      </c>
      <c r="H293" s="43">
        <f>MIN(TYPE(SEARCH($E$2,'Event summary'!C293)),TYPE(SEARCH($E$2,'Event summary'!D293)))</f>
        <v>16</v>
      </c>
      <c r="I293" s="65" t="str">
        <f t="shared" si="5"/>
        <v/>
      </c>
      <c r="J293" s="66" t="str">
        <f>IF($H293=1,'Event summary'!C293,"")</f>
        <v/>
      </c>
      <c r="K293" s="66" t="str">
        <f>IF($H293=1,'Event summary'!D293,"")</f>
        <v/>
      </c>
    </row>
    <row r="294" spans="7:11" x14ac:dyDescent="0.2">
      <c r="G294" s="46">
        <f>'Event summary'!A294</f>
        <v>294</v>
      </c>
      <c r="H294" s="43">
        <f>MIN(TYPE(SEARCH($E$2,'Event summary'!C294)),TYPE(SEARCH($E$2,'Event summary'!D294)))</f>
        <v>16</v>
      </c>
      <c r="I294" s="65" t="str">
        <f t="shared" si="5"/>
        <v/>
      </c>
      <c r="J294" s="66" t="str">
        <f>IF($H294=1,'Event summary'!C294,"")</f>
        <v/>
      </c>
      <c r="K294" s="66" t="str">
        <f>IF($H294=1,'Event summary'!D294,"")</f>
        <v/>
      </c>
    </row>
    <row r="295" spans="7:11" x14ac:dyDescent="0.2">
      <c r="G295" s="46">
        <f>'Event summary'!A295</f>
        <v>295</v>
      </c>
      <c r="H295" s="43">
        <f>MIN(TYPE(SEARCH($E$2,'Event summary'!C295)),TYPE(SEARCH($E$2,'Event summary'!D295)))</f>
        <v>16</v>
      </c>
      <c r="I295" s="65" t="str">
        <f t="shared" si="5"/>
        <v/>
      </c>
      <c r="J295" s="66" t="str">
        <f>IF($H295=1,'Event summary'!C295,"")</f>
        <v/>
      </c>
      <c r="K295" s="66" t="str">
        <f>IF($H295=1,'Event summary'!D295,"")</f>
        <v/>
      </c>
    </row>
    <row r="296" spans="7:11" x14ac:dyDescent="0.2">
      <c r="G296" s="46">
        <f>'Event summary'!A296</f>
        <v>296</v>
      </c>
      <c r="H296" s="43">
        <f>MIN(TYPE(SEARCH($E$2,'Event summary'!C296)),TYPE(SEARCH($E$2,'Event summary'!D296)))</f>
        <v>16</v>
      </c>
      <c r="I296" s="65" t="str">
        <f t="shared" si="5"/>
        <v/>
      </c>
      <c r="J296" s="66" t="str">
        <f>IF($H296=1,'Event summary'!C296,"")</f>
        <v/>
      </c>
      <c r="K296" s="66" t="str">
        <f>IF($H296=1,'Event summary'!D296,"")</f>
        <v/>
      </c>
    </row>
    <row r="297" spans="7:11" x14ac:dyDescent="0.2">
      <c r="G297" s="46">
        <f>'Event summary'!A297</f>
        <v>297</v>
      </c>
      <c r="H297" s="43">
        <f>MIN(TYPE(SEARCH($E$2,'Event summary'!C297)),TYPE(SEARCH($E$2,'Event summary'!D297)))</f>
        <v>16</v>
      </c>
      <c r="I297" s="65" t="str">
        <f t="shared" si="5"/>
        <v/>
      </c>
      <c r="J297" s="66" t="str">
        <f>IF($H297=1,'Event summary'!C297,"")</f>
        <v/>
      </c>
      <c r="K297" s="66" t="str">
        <f>IF($H297=1,'Event summary'!D297,"")</f>
        <v/>
      </c>
    </row>
    <row r="298" spans="7:11" x14ac:dyDescent="0.2">
      <c r="G298" s="46">
        <f>'Event summary'!A298</f>
        <v>298</v>
      </c>
      <c r="H298" s="43">
        <f>MIN(TYPE(SEARCH($E$2,'Event summary'!C298)),TYPE(SEARCH($E$2,'Event summary'!D298)))</f>
        <v>16</v>
      </c>
      <c r="I298" s="65" t="str">
        <f t="shared" si="5"/>
        <v/>
      </c>
      <c r="J298" s="66" t="str">
        <f>IF($H298=1,'Event summary'!C298,"")</f>
        <v/>
      </c>
      <c r="K298" s="66" t="str">
        <f>IF($H298=1,'Event summary'!D298,"")</f>
        <v/>
      </c>
    </row>
    <row r="299" spans="7:11" x14ac:dyDescent="0.2">
      <c r="G299" s="46">
        <f>'Event summary'!A299</f>
        <v>299</v>
      </c>
      <c r="H299" s="43">
        <f>MIN(TYPE(SEARCH($E$2,'Event summary'!C299)),TYPE(SEARCH($E$2,'Event summary'!D299)))</f>
        <v>16</v>
      </c>
      <c r="I299" s="65" t="str">
        <f t="shared" si="5"/>
        <v/>
      </c>
      <c r="J299" s="66" t="str">
        <f>IF($H299=1,'Event summary'!C299,"")</f>
        <v/>
      </c>
      <c r="K299" s="66" t="str">
        <f>IF($H299=1,'Event summary'!D299,"")</f>
        <v/>
      </c>
    </row>
    <row r="300" spans="7:11" x14ac:dyDescent="0.2">
      <c r="G300" s="46">
        <f>'Event summary'!A300</f>
        <v>300</v>
      </c>
      <c r="H300" s="43">
        <f>MIN(TYPE(SEARCH($E$2,'Event summary'!C300)),TYPE(SEARCH($E$2,'Event summary'!D300)))</f>
        <v>16</v>
      </c>
      <c r="I300" s="65" t="str">
        <f t="shared" si="5"/>
        <v/>
      </c>
      <c r="J300" s="66" t="str">
        <f>IF($H300=1,'Event summary'!C300,"")</f>
        <v/>
      </c>
      <c r="K300" s="66" t="str">
        <f>IF($H300=1,'Event summary'!D300,"")</f>
        <v/>
      </c>
    </row>
    <row r="301" spans="7:11" x14ac:dyDescent="0.2">
      <c r="G301" s="46">
        <f>'Event summary'!A301</f>
        <v>301</v>
      </c>
      <c r="H301" s="43">
        <f>MIN(TYPE(SEARCH($E$2,'Event summary'!C301)),TYPE(SEARCH($E$2,'Event summary'!D301)))</f>
        <v>16</v>
      </c>
      <c r="I301" s="65" t="str">
        <f t="shared" si="5"/>
        <v/>
      </c>
      <c r="J301" s="66" t="str">
        <f>IF($H301=1,'Event summary'!C301,"")</f>
        <v/>
      </c>
      <c r="K301" s="66" t="str">
        <f>IF($H301=1,'Event summary'!D301,"")</f>
        <v/>
      </c>
    </row>
    <row r="302" spans="7:11" x14ac:dyDescent="0.2">
      <c r="G302" s="46">
        <f>'Event summary'!A302</f>
        <v>302</v>
      </c>
      <c r="H302" s="43">
        <f>MIN(TYPE(SEARCH($E$2,'Event summary'!C302)),TYPE(SEARCH($E$2,'Event summary'!D302)))</f>
        <v>16</v>
      </c>
      <c r="I302" s="65" t="str">
        <f t="shared" si="5"/>
        <v/>
      </c>
      <c r="J302" s="66" t="str">
        <f>IF($H302=1,'Event summary'!C302,"")</f>
        <v/>
      </c>
      <c r="K302" s="66" t="str">
        <f>IF($H302=1,'Event summary'!D302,"")</f>
        <v/>
      </c>
    </row>
    <row r="303" spans="7:11" x14ac:dyDescent="0.2">
      <c r="G303" s="46">
        <f>'Event summary'!A303</f>
        <v>303</v>
      </c>
      <c r="H303" s="43">
        <f>MIN(TYPE(SEARCH($E$2,'Event summary'!C303)),TYPE(SEARCH($E$2,'Event summary'!D303)))</f>
        <v>16</v>
      </c>
      <c r="I303" s="65" t="str">
        <f t="shared" si="5"/>
        <v/>
      </c>
      <c r="J303" s="66" t="str">
        <f>IF($H303=1,'Event summary'!C303,"")</f>
        <v/>
      </c>
      <c r="K303" s="66" t="str">
        <f>IF($H303=1,'Event summary'!D303,"")</f>
        <v/>
      </c>
    </row>
    <row r="304" spans="7:11" x14ac:dyDescent="0.2">
      <c r="G304" s="46">
        <f>'Event summary'!A304</f>
        <v>304</v>
      </c>
      <c r="H304" s="43">
        <f>MIN(TYPE(SEARCH($E$2,'Event summary'!C304)),TYPE(SEARCH($E$2,'Event summary'!D304)))</f>
        <v>16</v>
      </c>
      <c r="I304" s="65" t="str">
        <f t="shared" si="5"/>
        <v/>
      </c>
      <c r="J304" s="66" t="str">
        <f>IF($H304=1,'Event summary'!C304,"")</f>
        <v/>
      </c>
      <c r="K304" s="66" t="str">
        <f>IF($H304=1,'Event summary'!D304,"")</f>
        <v/>
      </c>
    </row>
    <row r="305" spans="7:11" x14ac:dyDescent="0.2">
      <c r="G305" s="46">
        <f>'Event summary'!A305</f>
        <v>305</v>
      </c>
      <c r="H305" s="43">
        <f>MIN(TYPE(SEARCH($E$2,'Event summary'!C305)),TYPE(SEARCH($E$2,'Event summary'!D305)))</f>
        <v>16</v>
      </c>
      <c r="I305" s="65" t="str">
        <f t="shared" si="5"/>
        <v/>
      </c>
      <c r="J305" s="66" t="str">
        <f>IF($H305=1,'Event summary'!C305,"")</f>
        <v/>
      </c>
      <c r="K305" s="66" t="str">
        <f>IF($H305=1,'Event summary'!D305,"")</f>
        <v/>
      </c>
    </row>
    <row r="306" spans="7:11" x14ac:dyDescent="0.2">
      <c r="G306" s="46">
        <f>'Event summary'!A306</f>
        <v>306</v>
      </c>
      <c r="H306" s="43">
        <f>MIN(TYPE(SEARCH($E$2,'Event summary'!C306)),TYPE(SEARCH($E$2,'Event summary'!D306)))</f>
        <v>16</v>
      </c>
      <c r="I306" s="65" t="str">
        <f t="shared" si="5"/>
        <v/>
      </c>
      <c r="J306" s="66" t="str">
        <f>IF($H306=1,'Event summary'!C306,"")</f>
        <v/>
      </c>
      <c r="K306" s="66" t="str">
        <f>IF($H306=1,'Event summary'!D306,"")</f>
        <v/>
      </c>
    </row>
    <row r="307" spans="7:11" x14ac:dyDescent="0.2">
      <c r="G307" s="46">
        <f>'Event summary'!A307</f>
        <v>307</v>
      </c>
      <c r="H307" s="43">
        <f>MIN(TYPE(SEARCH($E$2,'Event summary'!C307)),TYPE(SEARCH($E$2,'Event summary'!D307)))</f>
        <v>16</v>
      </c>
      <c r="I307" s="65" t="str">
        <f t="shared" si="5"/>
        <v/>
      </c>
      <c r="J307" s="66" t="str">
        <f>IF($H307=1,'Event summary'!C307,"")</f>
        <v/>
      </c>
      <c r="K307" s="66" t="str">
        <f>IF($H307=1,'Event summary'!D307,"")</f>
        <v/>
      </c>
    </row>
    <row r="308" spans="7:11" x14ac:dyDescent="0.2">
      <c r="G308" s="46">
        <f>'Event summary'!A308</f>
        <v>308</v>
      </c>
      <c r="H308" s="43">
        <f>MIN(TYPE(SEARCH($E$2,'Event summary'!C308)),TYPE(SEARCH($E$2,'Event summary'!D308)))</f>
        <v>16</v>
      </c>
      <c r="I308" s="65" t="str">
        <f t="shared" si="5"/>
        <v/>
      </c>
      <c r="J308" s="66" t="str">
        <f>IF($H308=1,'Event summary'!C308,"")</f>
        <v/>
      </c>
      <c r="K308" s="66" t="str">
        <f>IF($H308=1,'Event summary'!D308,"")</f>
        <v/>
      </c>
    </row>
    <row r="309" spans="7:11" x14ac:dyDescent="0.2">
      <c r="G309" s="46">
        <f>'Event summary'!A309</f>
        <v>309</v>
      </c>
      <c r="H309" s="43">
        <f>MIN(TYPE(SEARCH($E$2,'Event summary'!C309)),TYPE(SEARCH($E$2,'Event summary'!D309)))</f>
        <v>16</v>
      </c>
      <c r="I309" s="65" t="str">
        <f t="shared" si="5"/>
        <v/>
      </c>
      <c r="J309" s="66" t="str">
        <f>IF($H309=1,'Event summary'!C309,"")</f>
        <v/>
      </c>
      <c r="K309" s="66" t="str">
        <f>IF($H309=1,'Event summary'!D309,"")</f>
        <v/>
      </c>
    </row>
    <row r="310" spans="7:11" x14ac:dyDescent="0.2">
      <c r="G310" s="46">
        <f>'Event summary'!A310</f>
        <v>310</v>
      </c>
      <c r="H310" s="43">
        <f>MIN(TYPE(SEARCH($E$2,'Event summary'!C310)),TYPE(SEARCH($E$2,'Event summary'!D310)))</f>
        <v>16</v>
      </c>
      <c r="I310" s="65" t="str">
        <f t="shared" si="5"/>
        <v/>
      </c>
      <c r="J310" s="66" t="str">
        <f>IF($H310=1,'Event summary'!C310,"")</f>
        <v/>
      </c>
      <c r="K310" s="66" t="str">
        <f>IF($H310=1,'Event summary'!D310,"")</f>
        <v/>
      </c>
    </row>
    <row r="311" spans="7:11" ht="28.5" x14ac:dyDescent="0.2">
      <c r="G311" s="46">
        <f>'Event summary'!A311</f>
        <v>311</v>
      </c>
      <c r="H311" s="43">
        <f>MIN(TYPE(SEARCH($E$2,'Event summary'!C311)),TYPE(SEARCH($E$2,'Event summary'!D311)))</f>
        <v>16</v>
      </c>
      <c r="I311" s="65" t="str">
        <f t="shared" si="5"/>
        <v/>
      </c>
      <c r="J311" s="66" t="str">
        <f>IF($H311=1,'Event summary'!C311,"")</f>
        <v/>
      </c>
      <c r="K311" s="66" t="str">
        <f>IF($H311=1,'Event summary'!D311,"")</f>
        <v/>
      </c>
    </row>
    <row r="312" spans="7:11" ht="28.5" x14ac:dyDescent="0.2">
      <c r="G312" s="46">
        <f>'Event summary'!A312</f>
        <v>312</v>
      </c>
      <c r="H312" s="43">
        <f>MIN(TYPE(SEARCH($E$2,'Event summary'!C312)),TYPE(SEARCH($E$2,'Event summary'!D312)))</f>
        <v>16</v>
      </c>
      <c r="I312" s="65" t="str">
        <f t="shared" si="5"/>
        <v/>
      </c>
      <c r="J312" s="66" t="str">
        <f>IF($H312=1,'Event summary'!C312,"")</f>
        <v/>
      </c>
      <c r="K312" s="66" t="str">
        <f>IF($H312=1,'Event summary'!D312,"")</f>
        <v/>
      </c>
    </row>
    <row r="313" spans="7:11" x14ac:dyDescent="0.2">
      <c r="G313" s="46">
        <f>'Event summary'!A313</f>
        <v>313</v>
      </c>
      <c r="H313" s="43">
        <f>MIN(TYPE(SEARCH($E$2,'Event summary'!C313)),TYPE(SEARCH($E$2,'Event summary'!D313)))</f>
        <v>16</v>
      </c>
      <c r="I313" s="65" t="str">
        <f t="shared" si="5"/>
        <v/>
      </c>
      <c r="J313" s="66" t="str">
        <f>IF($H313=1,'Event summary'!C313,"")</f>
        <v/>
      </c>
      <c r="K313" s="66" t="str">
        <f>IF($H313=1,'Event summary'!D313,"")</f>
        <v/>
      </c>
    </row>
    <row r="314" spans="7:11" x14ac:dyDescent="0.2">
      <c r="G314" s="46">
        <f>'Event summary'!A314</f>
        <v>314</v>
      </c>
      <c r="H314" s="43">
        <f>MIN(TYPE(SEARCH($E$2,'Event summary'!C314)),TYPE(SEARCH($E$2,'Event summary'!D314)))</f>
        <v>16</v>
      </c>
      <c r="I314" s="65" t="str">
        <f t="shared" si="5"/>
        <v/>
      </c>
      <c r="J314" s="66" t="str">
        <f>IF($H314=1,'Event summary'!C314,"")</f>
        <v/>
      </c>
      <c r="K314" s="66" t="str">
        <f>IF($H314=1,'Event summary'!D314,"")</f>
        <v/>
      </c>
    </row>
    <row r="315" spans="7:11" x14ac:dyDescent="0.2">
      <c r="G315" s="46">
        <f>'Event summary'!A315</f>
        <v>315</v>
      </c>
      <c r="H315" s="43">
        <f>MIN(TYPE(SEARCH($E$2,'Event summary'!C315)),TYPE(SEARCH($E$2,'Event summary'!D315)))</f>
        <v>16</v>
      </c>
      <c r="I315" s="65" t="str">
        <f t="shared" si="5"/>
        <v/>
      </c>
      <c r="J315" s="66" t="str">
        <f>IF($H315=1,'Event summary'!C315,"")</f>
        <v/>
      </c>
      <c r="K315" s="66" t="str">
        <f>IF($H315=1,'Event summary'!D315,"")</f>
        <v/>
      </c>
    </row>
    <row r="316" spans="7:11" x14ac:dyDescent="0.2">
      <c r="G316" s="46">
        <f>'Event summary'!A316</f>
        <v>316</v>
      </c>
      <c r="H316" s="43">
        <f>MIN(TYPE(SEARCH($E$2,'Event summary'!C316)),TYPE(SEARCH($E$2,'Event summary'!D316)))</f>
        <v>16</v>
      </c>
      <c r="I316" s="65" t="str">
        <f t="shared" si="5"/>
        <v/>
      </c>
      <c r="J316" s="66" t="str">
        <f>IF($H316=1,'Event summary'!C316,"")</f>
        <v/>
      </c>
      <c r="K316" s="66" t="str">
        <f>IF($H316=1,'Event summary'!D316,"")</f>
        <v/>
      </c>
    </row>
    <row r="317" spans="7:11" x14ac:dyDescent="0.2">
      <c r="G317" s="46">
        <f>'Event summary'!A317</f>
        <v>317</v>
      </c>
      <c r="H317" s="43">
        <f>MIN(TYPE(SEARCH($E$2,'Event summary'!C317)),TYPE(SEARCH($E$2,'Event summary'!D317)))</f>
        <v>16</v>
      </c>
      <c r="I317" s="65" t="str">
        <f t="shared" si="5"/>
        <v/>
      </c>
      <c r="J317" s="66" t="str">
        <f>IF($H317=1,'Event summary'!C317,"")</f>
        <v/>
      </c>
      <c r="K317" s="66" t="str">
        <f>IF($H317=1,'Event summary'!D317,"")</f>
        <v/>
      </c>
    </row>
    <row r="318" spans="7:11" x14ac:dyDescent="0.2">
      <c r="G318" s="46">
        <f>'Event summary'!A318</f>
        <v>318</v>
      </c>
      <c r="H318" s="43">
        <f>MIN(TYPE(SEARCH($E$2,'Event summary'!C318)),TYPE(SEARCH($E$2,'Event summary'!D318)))</f>
        <v>16</v>
      </c>
      <c r="I318" s="65" t="str">
        <f t="shared" si="5"/>
        <v/>
      </c>
      <c r="J318" s="66" t="str">
        <f>IF($H318=1,'Event summary'!C318,"")</f>
        <v/>
      </c>
      <c r="K318" s="66" t="str">
        <f>IF($H318=1,'Event summary'!D318,"")</f>
        <v/>
      </c>
    </row>
    <row r="319" spans="7:11" x14ac:dyDescent="0.2">
      <c r="G319" s="46">
        <f>'Event summary'!A319</f>
        <v>319</v>
      </c>
      <c r="H319" s="43">
        <f>MIN(TYPE(SEARCH($E$2,'Event summary'!C319)),TYPE(SEARCH($E$2,'Event summary'!D319)))</f>
        <v>16</v>
      </c>
      <c r="I319" s="65" t="str">
        <f t="shared" si="5"/>
        <v/>
      </c>
      <c r="J319" s="66" t="str">
        <f>IF($H319=1,'Event summary'!C319,"")</f>
        <v/>
      </c>
      <c r="K319" s="66" t="str">
        <f>IF($H319=1,'Event summary'!D319,"")</f>
        <v/>
      </c>
    </row>
    <row r="320" spans="7:11" x14ac:dyDescent="0.2">
      <c r="G320" s="46">
        <f>'Event summary'!A320</f>
        <v>320</v>
      </c>
      <c r="H320" s="43">
        <f>MIN(TYPE(SEARCH($E$2,'Event summary'!C320)),TYPE(SEARCH($E$2,'Event summary'!D320)))</f>
        <v>16</v>
      </c>
      <c r="I320" s="65" t="str">
        <f t="shared" si="5"/>
        <v/>
      </c>
      <c r="J320" s="66" t="str">
        <f>IF($H320=1,'Event summary'!C320,"")</f>
        <v/>
      </c>
      <c r="K320" s="66" t="str">
        <f>IF($H320=1,'Event summary'!D320,"")</f>
        <v/>
      </c>
    </row>
    <row r="321" spans="7:11" ht="28.5" x14ac:dyDescent="0.2">
      <c r="G321" s="46">
        <f>'Event summary'!A321</f>
        <v>321</v>
      </c>
      <c r="H321" s="43">
        <f>MIN(TYPE(SEARCH($E$2,'Event summary'!C321)),TYPE(SEARCH($E$2,'Event summary'!D321)))</f>
        <v>1</v>
      </c>
      <c r="I321" s="65" t="str">
        <f t="shared" si="5"/>
        <v>שינוי</v>
      </c>
      <c r="J321" s="66" t="str">
        <f>IF($H321=1,'Event summary'!C321,"")</f>
        <v xml:space="preserve">רישום לקוי - מרשם קמליון נכתב למנה של 54Gy למוח. לאחר תכנון פוצל הטיפול לשני נפחים ל- 36Gy+18Gy=54Gy. האם יש צורך לפצל גם את המרשם של הקמליון כאשר המנה הכוללת זהה. </v>
      </c>
      <c r="K321" s="66" t="str">
        <f>IF($H321=1,'Event summary'!D321,"")</f>
        <v>יש לתאם ישיבת רופאים לקביעה ותאום על אופן כתיבת מרשם בקמליון. נוכחות פיזיקאי ראשי רצויה בישיבה. יש לתאם שינויים בקמליון בהתאם להחלטות הישיבה.</v>
      </c>
    </row>
    <row r="322" spans="7:11" ht="57" x14ac:dyDescent="0.2">
      <c r="G322" s="46">
        <f>'Event summary'!A322</f>
        <v>322</v>
      </c>
      <c r="H322" s="43">
        <f>MIN(TYPE(SEARCH($E$2,'Event summary'!C322)),TYPE(SEARCH($E$2,'Event summary'!D322)))</f>
        <v>1</v>
      </c>
      <c r="I322" s="65" t="str">
        <f t="shared" ref="I322:I385" si="6">IF(H322=1,$E$2,"")</f>
        <v>שינוי</v>
      </c>
      <c r="J322" s="66" t="str">
        <f>IF($H322=1,'Event summary'!C322,"")</f>
        <v xml:space="preserve">רישום לקוי - מרשם אריה נכתב במקור למנה של 50Gy למפשאה ואגן ימין עם סמוליציה נוספת לאחר 40Gy ויתכנות לתוספת מנה של 10Gy . לאחר התוספת התקבלה דרישה למרשם של 60Gy במקום 50Gy+10Gy. בפועל טופל על 50Gy+10Gy. האם יש צורך לפצל גם את המרשם של הקמליון כאשר המנה הכוללת זהה. </v>
      </c>
      <c r="K322" s="66" t="str">
        <f>IF($H322=1,'Event summary'!D322,"")</f>
        <v>יש לתאם ישיבת רופאים לקביעה ותאום על אופן כתיבת מרשם בקמליון. נוכחות פיזיקאי ראשי רצויה בישיבה. יש לתאם שינויים בקמליון בהתאם להחלטות הישיבה.</v>
      </c>
    </row>
    <row r="323" spans="7:11" x14ac:dyDescent="0.2">
      <c r="G323" s="46">
        <f>'Event summary'!A323</f>
        <v>323</v>
      </c>
      <c r="H323" s="43">
        <f>MIN(TYPE(SEARCH($E$2,'Event summary'!C323)),TYPE(SEARCH($E$2,'Event summary'!D323)))</f>
        <v>16</v>
      </c>
      <c r="I323" s="65" t="str">
        <f t="shared" si="6"/>
        <v/>
      </c>
      <c r="J323" s="66" t="str">
        <f>IF($H323=1,'Event summary'!C323,"")</f>
        <v/>
      </c>
      <c r="K323" s="66" t="str">
        <f>IF($H323=1,'Event summary'!D323,"")</f>
        <v/>
      </c>
    </row>
    <row r="324" spans="7:11" ht="28.5" x14ac:dyDescent="0.2">
      <c r="G324" s="46">
        <f>'Event summary'!A324</f>
        <v>324</v>
      </c>
      <c r="H324" s="43">
        <f>MIN(TYPE(SEARCH($E$2,'Event summary'!C324)),TYPE(SEARCH($E$2,'Event summary'!D324)))</f>
        <v>1</v>
      </c>
      <c r="I324" s="65" t="str">
        <f t="shared" si="6"/>
        <v>שינוי</v>
      </c>
      <c r="J324" s="66" t="str">
        <f>IF($H324=1,'Event summary'!C324,"")</f>
        <v>תיעוד לא תקין - אי התאמה בתדירות הטיפול בין מרשם אריה לקמליון. המטופל היה צריך לקבל 5 טיפולים בשבוע. המטופל ידע על 3 פעמים בשבוע. המטופל סירב להגיע יום אחרי יום.</v>
      </c>
      <c r="K324" s="66" t="str">
        <f>IF($H324=1,'Event summary'!D324,"")</f>
        <v>הקפדה על כתיבת מרשם וכן לתקשר שינויים טיפוליים עם הצוות והמטופל.</v>
      </c>
    </row>
    <row r="325" spans="7:11" ht="28.5" x14ac:dyDescent="0.2">
      <c r="G325" s="46">
        <f>'Event summary'!A325</f>
        <v>325</v>
      </c>
      <c r="H325" s="43">
        <f>MIN(TYPE(SEARCH($E$2,'Event summary'!C325)),TYPE(SEARCH($E$2,'Event summary'!D325)))</f>
        <v>1</v>
      </c>
      <c r="I325" s="65" t="str">
        <f t="shared" si="6"/>
        <v>שינוי</v>
      </c>
      <c r="J325" s="66" t="str">
        <f>IF($H325=1,'Event summary'!C325,"")</f>
        <v>היעדר מרשם - העדר מרשם לבוסט שד. חוסר התאמה בין קמליון לאריה. התגלה בשלב בקרת איכות רנטגנאים (RTTQA).</v>
      </c>
      <c r="K325" s="66" t="str">
        <f>IF($H325=1,'Event summary'!D325,"")</f>
        <v>הקפדה על כתיבת מרשם וכן לתקשר שינויים טיפוליים עם הצוות והמטופל.</v>
      </c>
    </row>
    <row r="326" spans="7:11" ht="28.5" x14ac:dyDescent="0.2">
      <c r="G326" s="46">
        <f>'Event summary'!A326</f>
        <v>326</v>
      </c>
      <c r="H326" s="43">
        <f>MIN(TYPE(SEARCH($E$2,'Event summary'!C326)),TYPE(SEARCH($E$2,'Event summary'!D326)))</f>
        <v>16</v>
      </c>
      <c r="I326" s="65" t="str">
        <f t="shared" si="6"/>
        <v/>
      </c>
      <c r="J326" s="66" t="str">
        <f>IF($H326=1,'Event summary'!C326,"")</f>
        <v/>
      </c>
      <c r="K326" s="66" t="str">
        <f>IF($H326=1,'Event summary'!D326,"")</f>
        <v/>
      </c>
    </row>
    <row r="327" spans="7:11" x14ac:dyDescent="0.2">
      <c r="G327" s="46">
        <f>'Event summary'!A327</f>
        <v>327</v>
      </c>
      <c r="H327" s="43">
        <f>MIN(TYPE(SEARCH($E$2,'Event summary'!C327)),TYPE(SEARCH($E$2,'Event summary'!D327)))</f>
        <v>16</v>
      </c>
      <c r="I327" s="65" t="str">
        <f t="shared" si="6"/>
        <v/>
      </c>
      <c r="J327" s="66" t="str">
        <f>IF($H327=1,'Event summary'!C327,"")</f>
        <v/>
      </c>
      <c r="K327" s="66" t="str">
        <f>IF($H327=1,'Event summary'!D327,"")</f>
        <v/>
      </c>
    </row>
    <row r="328" spans="7:11" ht="28.5" x14ac:dyDescent="0.2">
      <c r="G328" s="46">
        <f>'Event summary'!A328</f>
        <v>328</v>
      </c>
      <c r="H328" s="43">
        <f>MIN(TYPE(SEARCH($E$2,'Event summary'!C328)),TYPE(SEARCH($E$2,'Event summary'!D328)))</f>
        <v>1</v>
      </c>
      <c r="I328" s="65" t="str">
        <f t="shared" si="6"/>
        <v>שינוי</v>
      </c>
      <c r="J328" s="66" t="str">
        <f>IF($H328=1,'Event summary'!C328,"")</f>
        <v>תיעוד לא תקין- נכתב מרשם באריה ללא הוספת מרשם קמליון. רופא סירב להוסיף את המרשם לאריה. בנוסף, היתה אי התאמה בין המרשמים. הרופא תיקן את הקמליון אך לא את האריה.</v>
      </c>
      <c r="K328" s="66" t="str">
        <f>IF($H328=1,'Event summary'!D328,"")</f>
        <v>הקפדה על כתיבת מרשם וכן לתקשר שינויים טיפוליים עם הצוות והמטופל.</v>
      </c>
    </row>
    <row r="329" spans="7:11" ht="28.5" x14ac:dyDescent="0.2">
      <c r="G329" s="46">
        <f>'Event summary'!A329</f>
        <v>329</v>
      </c>
      <c r="H329" s="43">
        <f>MIN(TYPE(SEARCH($E$2,'Event summary'!C329)),TYPE(SEARCH($E$2,'Event summary'!D329)))</f>
        <v>1</v>
      </c>
      <c r="I329" s="65" t="str">
        <f t="shared" si="6"/>
        <v>שינוי</v>
      </c>
      <c r="J329" s="66" t="str">
        <f>IF($H329=1,'Event summary'!C329,"")</f>
        <v>רישום לקוי - שכתוב מרשם שלא לצורך בקמליון. בקמליון נכתב 20x2.75Gy=55Gy. נדרש לשנות ל- 2.75Gyx(14+6)=38.5Gy+16.5Gy=55Gy. עבור תכנית + בוסט.</v>
      </c>
      <c r="K329" s="66" t="str">
        <f>IF($H329=1,'Event summary'!D329,"")</f>
        <v>יש לתאם ישיבת רופאים לקביעה ותאום על אופן כתיבת מרשם בקמליון. נוכחות פיזיקאי ראשי רצויה בישיבה. יש לתאם שינויים בקמליון בהתאם להחלטות הישיבה.</v>
      </c>
    </row>
    <row r="330" spans="7:11" x14ac:dyDescent="0.2">
      <c r="G330" s="46">
        <f>'Event summary'!A330</f>
        <v>330</v>
      </c>
      <c r="H330" s="43">
        <f>MIN(TYPE(SEARCH($E$2,'Event summary'!C330)),TYPE(SEARCH($E$2,'Event summary'!D330)))</f>
        <v>16</v>
      </c>
      <c r="I330" s="65" t="str">
        <f t="shared" si="6"/>
        <v/>
      </c>
      <c r="J330" s="66" t="str">
        <f>IF($H330=1,'Event summary'!C330,"")</f>
        <v/>
      </c>
      <c r="K330" s="66" t="str">
        <f>IF($H330=1,'Event summary'!D330,"")</f>
        <v/>
      </c>
    </row>
    <row r="331" spans="7:11" x14ac:dyDescent="0.2">
      <c r="G331" s="46">
        <f>'Event summary'!A331</f>
        <v>331</v>
      </c>
      <c r="H331" s="43">
        <f>MIN(TYPE(SEARCH($E$2,'Event summary'!C331)),TYPE(SEARCH($E$2,'Event summary'!D331)))</f>
        <v>16</v>
      </c>
      <c r="I331" s="65" t="str">
        <f t="shared" si="6"/>
        <v/>
      </c>
      <c r="J331" s="66" t="str">
        <f>IF($H331=1,'Event summary'!C331,"")</f>
        <v/>
      </c>
      <c r="K331" s="66" t="str">
        <f>IF($H331=1,'Event summary'!D331,"")</f>
        <v/>
      </c>
    </row>
    <row r="332" spans="7:11" x14ac:dyDescent="0.2">
      <c r="G332" s="46">
        <f>'Event summary'!A332</f>
        <v>332</v>
      </c>
      <c r="H332" s="43">
        <f>MIN(TYPE(SEARCH($E$2,'Event summary'!C332)),TYPE(SEARCH($E$2,'Event summary'!D332)))</f>
        <v>16</v>
      </c>
      <c r="I332" s="65" t="str">
        <f t="shared" si="6"/>
        <v/>
      </c>
      <c r="J332" s="66" t="str">
        <f>IF($H332=1,'Event summary'!C332,"")</f>
        <v/>
      </c>
      <c r="K332" s="66" t="str">
        <f>IF($H332=1,'Event summary'!D332,"")</f>
        <v/>
      </c>
    </row>
    <row r="333" spans="7:11" ht="28.5" x14ac:dyDescent="0.2">
      <c r="G333" s="46">
        <f>'Event summary'!A333</f>
        <v>333</v>
      </c>
      <c r="H333" s="43">
        <f>MIN(TYPE(SEARCH($E$2,'Event summary'!C333)),TYPE(SEARCH($E$2,'Event summary'!D333)))</f>
        <v>1</v>
      </c>
      <c r="I333" s="65" t="str">
        <f t="shared" si="6"/>
        <v>שינוי</v>
      </c>
      <c r="J333" s="66" t="str">
        <f>IF($H333=1,'Event summary'!C333,"")</f>
        <v>תקשורת לקויה - מטופל נשלח לסימולציה חוזרת ע"י רופא לפני טיפול עקב שבר. המידע לא הועבר לצוות המטפל, תורים, פיזיקה, QA.</v>
      </c>
      <c r="K333" s="66" t="str">
        <f>IF($H333=1,'Event summary'!D333,"")</f>
        <v>באחריות מבצע השינוי לדווח לגורמים הרלבנטיים.</v>
      </c>
    </row>
    <row r="334" spans="7:11" x14ac:dyDescent="0.2">
      <c r="G334" s="46">
        <f>'Event summary'!A334</f>
        <v>334</v>
      </c>
      <c r="H334" s="43">
        <f>MIN(TYPE(SEARCH($E$2,'Event summary'!C334)),TYPE(SEARCH($E$2,'Event summary'!D334)))</f>
        <v>16</v>
      </c>
      <c r="I334" s="65" t="str">
        <f t="shared" si="6"/>
        <v/>
      </c>
      <c r="J334" s="66" t="str">
        <f>IF($H334=1,'Event summary'!C334,"")</f>
        <v/>
      </c>
      <c r="K334" s="66" t="str">
        <f>IF($H334=1,'Event summary'!D334,"")</f>
        <v/>
      </c>
    </row>
    <row r="335" spans="7:11" x14ac:dyDescent="0.2">
      <c r="G335" s="46">
        <f>'Event summary'!A335</f>
        <v>335</v>
      </c>
      <c r="H335" s="43">
        <f>MIN(TYPE(SEARCH($E$2,'Event summary'!C335)),TYPE(SEARCH($E$2,'Event summary'!D335)))</f>
        <v>16</v>
      </c>
      <c r="I335" s="65" t="str">
        <f t="shared" si="6"/>
        <v/>
      </c>
      <c r="J335" s="66" t="str">
        <f>IF($H335=1,'Event summary'!C335,"")</f>
        <v/>
      </c>
      <c r="K335" s="66" t="str">
        <f>IF($H335=1,'Event summary'!D335,"")</f>
        <v/>
      </c>
    </row>
    <row r="336" spans="7:11" x14ac:dyDescent="0.2">
      <c r="G336" s="46">
        <f>'Event summary'!A336</f>
        <v>336</v>
      </c>
      <c r="H336" s="43">
        <f>MIN(TYPE(SEARCH($E$2,'Event summary'!C336)),TYPE(SEARCH($E$2,'Event summary'!D336)))</f>
        <v>16</v>
      </c>
      <c r="I336" s="65" t="str">
        <f t="shared" si="6"/>
        <v/>
      </c>
      <c r="J336" s="66" t="str">
        <f>IF($H336=1,'Event summary'!C336,"")</f>
        <v/>
      </c>
      <c r="K336" s="66" t="str">
        <f>IF($H336=1,'Event summary'!D336,"")</f>
        <v/>
      </c>
    </row>
    <row r="337" spans="7:11" ht="57" x14ac:dyDescent="0.2">
      <c r="G337" s="46">
        <f>'Event summary'!A337</f>
        <v>337</v>
      </c>
      <c r="H337" s="43">
        <f>MIN(TYPE(SEARCH($E$2,'Event summary'!C337)),TYPE(SEARCH($E$2,'Event summary'!D337)))</f>
        <v>1</v>
      </c>
      <c r="I337" s="65" t="str">
        <f t="shared" si="6"/>
        <v>שינוי</v>
      </c>
      <c r="J337" s="66" t="str">
        <f>IF($H337=1,'Event summary'!C337,"")</f>
        <v>מתן טיפול שלא על פי הפרוטוקול  - תיק לא עבר QA איבר בריא לא סומן , וגם לא ניתנה הגבלה לאיבר. התיק תוכנן מחדש ביום הטיפול וניתן ללא מדידות. מקרה SBRT</v>
      </c>
      <c r="K337" s="66" t="str">
        <f>IF($H337=1,'Event summary'!D337,"")</f>
        <v>כאשר תכנית אינה עוברת QA יש לשייך את Update Care Path לרופא והפיזיקאי באחריות הפיזיקה לעדכן. כמו כן יש לידע את הרופא על מהות השינויים באחריות רופא ה QA וכן לתעד אותם בהערות של ה Update Care Path. יש לרכז רשימת הגבלות לאיברים בסיכון של היחידה ולא להשתמש בטבלאות אחרות.</v>
      </c>
    </row>
    <row r="338" spans="7:11" x14ac:dyDescent="0.2">
      <c r="G338" s="46">
        <f>'Event summary'!A338</f>
        <v>338</v>
      </c>
      <c r="H338" s="43">
        <f>MIN(TYPE(SEARCH($E$2,'Event summary'!C338)),TYPE(SEARCH($E$2,'Event summary'!D338)))</f>
        <v>16</v>
      </c>
      <c r="I338" s="65" t="str">
        <f t="shared" si="6"/>
        <v/>
      </c>
      <c r="J338" s="66" t="str">
        <f>IF($H338=1,'Event summary'!C338,"")</f>
        <v/>
      </c>
      <c r="K338" s="66" t="str">
        <f>IF($H338=1,'Event summary'!D338,"")</f>
        <v/>
      </c>
    </row>
    <row r="339" spans="7:11" x14ac:dyDescent="0.2">
      <c r="G339" s="46">
        <f>'Event summary'!A339</f>
        <v>339</v>
      </c>
      <c r="H339" s="43">
        <f>MIN(TYPE(SEARCH($E$2,'Event summary'!C339)),TYPE(SEARCH($E$2,'Event summary'!D339)))</f>
        <v>16</v>
      </c>
      <c r="I339" s="65" t="str">
        <f t="shared" si="6"/>
        <v/>
      </c>
      <c r="J339" s="66" t="str">
        <f>IF($H339=1,'Event summary'!C339,"")</f>
        <v/>
      </c>
      <c r="K339" s="66" t="str">
        <f>IF($H339=1,'Event summary'!D339,"")</f>
        <v/>
      </c>
    </row>
    <row r="340" spans="7:11" ht="28.5" x14ac:dyDescent="0.2">
      <c r="G340" s="46">
        <f>'Event summary'!A340</f>
        <v>340</v>
      </c>
      <c r="H340" s="43">
        <f>MIN(TYPE(SEARCH($E$2,'Event summary'!C340)),TYPE(SEARCH($E$2,'Event summary'!D340)))</f>
        <v>16</v>
      </c>
      <c r="I340" s="65" t="str">
        <f t="shared" si="6"/>
        <v/>
      </c>
      <c r="J340" s="66" t="str">
        <f>IF($H340=1,'Event summary'!C340,"")</f>
        <v/>
      </c>
      <c r="K340" s="66" t="str">
        <f>IF($H340=1,'Event summary'!D340,"")</f>
        <v/>
      </c>
    </row>
    <row r="341" spans="7:11" x14ac:dyDescent="0.2">
      <c r="G341" s="46">
        <f>'Event summary'!A341</f>
        <v>341</v>
      </c>
      <c r="H341" s="43">
        <f>MIN(TYPE(SEARCH($E$2,'Event summary'!C341)),TYPE(SEARCH($E$2,'Event summary'!D341)))</f>
        <v>16</v>
      </c>
      <c r="I341" s="65" t="str">
        <f t="shared" si="6"/>
        <v/>
      </c>
      <c r="J341" s="66" t="str">
        <f>IF($H341=1,'Event summary'!C341,"")</f>
        <v/>
      </c>
      <c r="K341" s="66" t="str">
        <f>IF($H341=1,'Event summary'!D341,"")</f>
        <v/>
      </c>
    </row>
    <row r="342" spans="7:11" ht="28.5" x14ac:dyDescent="0.2">
      <c r="G342" s="46">
        <f>'Event summary'!A342</f>
        <v>342</v>
      </c>
      <c r="H342" s="43">
        <f>MIN(TYPE(SEARCH($E$2,'Event summary'!C342)),TYPE(SEARCH($E$2,'Event summary'!D342)))</f>
        <v>16</v>
      </c>
      <c r="I342" s="65" t="str">
        <f t="shared" si="6"/>
        <v/>
      </c>
      <c r="J342" s="66" t="str">
        <f>IF($H342=1,'Event summary'!C342,"")</f>
        <v/>
      </c>
      <c r="K342" s="66" t="str">
        <f>IF($H342=1,'Event summary'!D342,"")</f>
        <v/>
      </c>
    </row>
    <row r="343" spans="7:11" ht="57" x14ac:dyDescent="0.2">
      <c r="G343" s="46">
        <f>'Event summary'!A343</f>
        <v>343</v>
      </c>
      <c r="H343" s="43">
        <f>MIN(TYPE(SEARCH($E$2,'Event summary'!C343)),TYPE(SEARCH($E$2,'Event summary'!D343)))</f>
        <v>1</v>
      </c>
      <c r="I343" s="65" t="str">
        <f t="shared" si="6"/>
        <v>שינוי</v>
      </c>
      <c r="J343" s="66" t="str">
        <f>IF($H343=1,'Event summary'!C343,"")</f>
        <v>תקשורת לקויה - שינויים מרובים בתאריך  הטיפול + בזמני הטיפול למטופל. שינוי נעשה ב- ATD ולא באריה. קבל תזכורת למועד טיפול שגוי</v>
      </c>
      <c r="K343" s="66" t="str">
        <f>IF($H343=1,'Event summary'!D343,"")</f>
        <v>יש להקפיד על תקשורת בין סקטורים על שינויים במועדי תכנון. על מבצע השינוי ליידע את המזכירות. המזכירות תיידע את זימון תורים ו- RTTQA לגבי השינויים. RTTQA תיידע את הפיזיקה והמאיצים לפי הצורך התכנוני. בטיפולים דחופים בקצ"תים לעיתים יש צורך בקביעה של מאיץ לתכנון. יש לקבוע רנטגנאי תורן בכל קצ"ת.</v>
      </c>
    </row>
    <row r="344" spans="7:11" ht="57" x14ac:dyDescent="0.2">
      <c r="G344" s="46">
        <f>'Event summary'!A344</f>
        <v>344</v>
      </c>
      <c r="H344" s="43">
        <f>MIN(TYPE(SEARCH($E$2,'Event summary'!C344)),TYPE(SEARCH($E$2,'Event summary'!D344)))</f>
        <v>1</v>
      </c>
      <c r="I344" s="65" t="str">
        <f t="shared" si="6"/>
        <v>שינוי</v>
      </c>
      <c r="J344" s="66" t="str">
        <f>IF($H344=1,'Event summary'!C344,"")</f>
        <v xml:space="preserve">תקשורת לקויה - מטפלת לטיפול דחוף המתינה לטיפול. לא דווח לאיזה מאיץ לתכנן וכן המאיץ לא עודכן על הטיפול. </v>
      </c>
      <c r="K344" s="66" t="str">
        <f>IF($H344=1,'Event summary'!D344,"")</f>
        <v>יש להקפיד על תקשורת בין סקטורים על שינויים במועדי תכנון. על מבצע השינוי ליידע את המזכירות. המזכירות תיידע את זימון תורים ו- RTTQA לגבי השינויים. RTTQA תיידע את הפיזיקה והמאיצים לפי הצורך התכנוני. בטיפולים דחופים בקצ"תים לעיתים יש צורך בקביעה של מאיץ לתכנון. יש לקבוע רנטגנאי תורן בכל קצ"ת.</v>
      </c>
    </row>
    <row r="345" spans="7:11" x14ac:dyDescent="0.2">
      <c r="G345" s="46">
        <f>'Event summary'!A345</f>
        <v>345</v>
      </c>
      <c r="H345" s="43">
        <f>MIN(TYPE(SEARCH($E$2,'Event summary'!C345)),TYPE(SEARCH($E$2,'Event summary'!D345)))</f>
        <v>16</v>
      </c>
      <c r="I345" s="65" t="str">
        <f t="shared" si="6"/>
        <v/>
      </c>
      <c r="J345" s="66" t="str">
        <f>IF($H345=1,'Event summary'!C345,"")</f>
        <v/>
      </c>
      <c r="K345" s="66" t="str">
        <f>IF($H345=1,'Event summary'!D345,"")</f>
        <v/>
      </c>
    </row>
    <row r="346" spans="7:11" ht="28.5" x14ac:dyDescent="0.2">
      <c r="G346" s="46">
        <f>'Event summary'!A346</f>
        <v>346</v>
      </c>
      <c r="H346" s="43">
        <f>MIN(TYPE(SEARCH($E$2,'Event summary'!C346)),TYPE(SEARCH($E$2,'Event summary'!D346)))</f>
        <v>16</v>
      </c>
      <c r="I346" s="65" t="str">
        <f t="shared" si="6"/>
        <v/>
      </c>
      <c r="J346" s="66" t="str">
        <f>IF($H346=1,'Event summary'!C346,"")</f>
        <v/>
      </c>
      <c r="K346" s="66" t="str">
        <f>IF($H346=1,'Event summary'!D346,"")</f>
        <v/>
      </c>
    </row>
    <row r="347" spans="7:11" ht="28.5" x14ac:dyDescent="0.2">
      <c r="G347" s="46">
        <f>'Event summary'!A347</f>
        <v>347</v>
      </c>
      <c r="H347" s="43">
        <f>MIN(TYPE(SEARCH($E$2,'Event summary'!C347)),TYPE(SEARCH($E$2,'Event summary'!D347)))</f>
        <v>16</v>
      </c>
      <c r="I347" s="65" t="str">
        <f t="shared" si="6"/>
        <v/>
      </c>
      <c r="J347" s="66" t="str">
        <f>IF($H347=1,'Event summary'!C347,"")</f>
        <v/>
      </c>
      <c r="K347" s="66" t="str">
        <f>IF($H347=1,'Event summary'!D347,"")</f>
        <v/>
      </c>
    </row>
    <row r="348" spans="7:11" x14ac:dyDescent="0.2">
      <c r="G348" s="46">
        <f>'Event summary'!A348</f>
        <v>348</v>
      </c>
      <c r="H348" s="43">
        <f>MIN(TYPE(SEARCH($E$2,'Event summary'!C348)),TYPE(SEARCH($E$2,'Event summary'!D348)))</f>
        <v>16</v>
      </c>
      <c r="I348" s="65" t="str">
        <f t="shared" si="6"/>
        <v/>
      </c>
      <c r="J348" s="66" t="str">
        <f>IF($H348=1,'Event summary'!C348,"")</f>
        <v/>
      </c>
      <c r="K348" s="66" t="str">
        <f>IF($H348=1,'Event summary'!D348,"")</f>
        <v/>
      </c>
    </row>
    <row r="349" spans="7:11" ht="28.5" x14ac:dyDescent="0.2">
      <c r="G349" s="46">
        <f>'Event summary'!A349</f>
        <v>349</v>
      </c>
      <c r="H349" s="43">
        <f>MIN(TYPE(SEARCH($E$2,'Event summary'!C349)),TYPE(SEARCH($E$2,'Event summary'!D349)))</f>
        <v>16</v>
      </c>
      <c r="I349" s="65" t="str">
        <f t="shared" si="6"/>
        <v/>
      </c>
      <c r="J349" s="66" t="str">
        <f>IF($H349=1,'Event summary'!C349,"")</f>
        <v/>
      </c>
      <c r="K349" s="66" t="str">
        <f>IF($H349=1,'Event summary'!D349,"")</f>
        <v/>
      </c>
    </row>
    <row r="350" spans="7:11" x14ac:dyDescent="0.2">
      <c r="G350" s="46">
        <f>'Event summary'!A350</f>
        <v>350</v>
      </c>
      <c r="H350" s="43">
        <f>MIN(TYPE(SEARCH($E$2,'Event summary'!C350)),TYPE(SEARCH($E$2,'Event summary'!D350)))</f>
        <v>16</v>
      </c>
      <c r="I350" s="65" t="str">
        <f t="shared" si="6"/>
        <v/>
      </c>
      <c r="J350" s="66" t="str">
        <f>IF($H350=1,'Event summary'!C350,"")</f>
        <v/>
      </c>
      <c r="K350" s="66" t="str">
        <f>IF($H350=1,'Event summary'!D350,"")</f>
        <v/>
      </c>
    </row>
    <row r="351" spans="7:11" x14ac:dyDescent="0.2">
      <c r="G351" s="46">
        <f>'Event summary'!A351</f>
        <v>351</v>
      </c>
      <c r="H351" s="43">
        <f>MIN(TYPE(SEARCH($E$2,'Event summary'!C351)),TYPE(SEARCH($E$2,'Event summary'!D351)))</f>
        <v>16</v>
      </c>
      <c r="I351" s="65" t="str">
        <f t="shared" si="6"/>
        <v/>
      </c>
      <c r="J351" s="66" t="str">
        <f>IF($H351=1,'Event summary'!C351,"")</f>
        <v/>
      </c>
      <c r="K351" s="66" t="str">
        <f>IF($H351=1,'Event summary'!D351,"")</f>
        <v/>
      </c>
    </row>
    <row r="352" spans="7:11" ht="28.5" x14ac:dyDescent="0.2">
      <c r="G352" s="46">
        <f>'Event summary'!A352</f>
        <v>352</v>
      </c>
      <c r="H352" s="43">
        <f>MIN(TYPE(SEARCH($E$2,'Event summary'!C352)),TYPE(SEARCH($E$2,'Event summary'!D352)))</f>
        <v>16</v>
      </c>
      <c r="I352" s="65" t="str">
        <f t="shared" si="6"/>
        <v/>
      </c>
      <c r="J352" s="66" t="str">
        <f>IF($H352=1,'Event summary'!C352,"")</f>
        <v/>
      </c>
      <c r="K352" s="66" t="str">
        <f>IF($H352=1,'Event summary'!D352,"")</f>
        <v/>
      </c>
    </row>
    <row r="353" spans="7:11" ht="57" x14ac:dyDescent="0.2">
      <c r="G353" s="46">
        <f>'Event summary'!A353</f>
        <v>353</v>
      </c>
      <c r="H353" s="43">
        <f>MIN(TYPE(SEARCH($E$2,'Event summary'!C353)),TYPE(SEARCH($E$2,'Event summary'!D353)))</f>
        <v>1</v>
      </c>
      <c r="I353" s="65" t="str">
        <f t="shared" si="6"/>
        <v>שינוי</v>
      </c>
      <c r="J353" s="66" t="str">
        <f>IF($H353=1,'Event summary'!C353,"")</f>
        <v>העברת מידע - מקרה שלא עבר QA ויש update care path המידע לא הועבר למאיץ או לרופא המטפל. המטופלת הגיעה לטיפול ונעשה RTT QA במאיץ וקיבלה טיפול ללא תיקון התכנית בהתאם להמלצות QA.</v>
      </c>
      <c r="K353" s="66" t="str">
        <f>IF($H353=1,'Event summary'!D353,"")</f>
        <v>בישיבת QA יש לייצר דו"ח בקרת איכות אשר יכלול את המקרים שנידונו, עבר/לא עבר ומה הם השינויים הדרושים. עבור כל שינוי בתכנון יש ליצור קשר עם הרופא המתכנן וליידע אותו יש ליידע גם פיזיקאי בעת הצורך. הדו"ח יועבר ל RTTQA. נוכחות RTTQA רצויה במהלך הישיבות. בנוסף, צריך לשנות את ה Care Path שישויך לפיזיקה, באחריות דימה לבצע.</v>
      </c>
    </row>
    <row r="354" spans="7:11" ht="57" x14ac:dyDescent="0.2">
      <c r="G354" s="46">
        <f>'Event summary'!A354</f>
        <v>354</v>
      </c>
      <c r="H354" s="43">
        <f>MIN(TYPE(SEARCH($E$2,'Event summary'!C354)),TYPE(SEARCH($E$2,'Event summary'!D354)))</f>
        <v>1</v>
      </c>
      <c r="I354" s="65" t="str">
        <f t="shared" si="6"/>
        <v>שינוי</v>
      </c>
      <c r="J354" s="66" t="str">
        <f>IF($H354=1,'Event summary'!C354,"")</f>
        <v xml:space="preserve">העברת מידע - מקרה שלא עבר QA ויש update care path המידע לא הועבר לרופא או לפיזיקאי המטפל לצורך תיקון התכנון. </v>
      </c>
      <c r="K354" s="66" t="str">
        <f>IF($H354=1,'Event summary'!D354,"")</f>
        <v>בישיבת QA יש לייצר דו"ח בקרת איכות אשר יכלול את המקרים שנידונו, עבר/לא עבר ומה הם השינויים הדרושים. עבור כל שינוי בתכנון יש ליצור קשר עם הרופא המתכנן וליידע אותו יש ליידע גם פיזיקאי בעת הצורך. הדו"ח יועבר ל RTTQA. נוכחות RTTQA רצויה במהלך הישיבות. בנוסף, צריך לשנות את ה Care Path שישויך לפיזיקה, באחריות דימה לבצע.</v>
      </c>
    </row>
    <row r="355" spans="7:11" x14ac:dyDescent="0.2">
      <c r="G355" s="46">
        <f>'Event summary'!A355</f>
        <v>355</v>
      </c>
      <c r="H355" s="43">
        <f>MIN(TYPE(SEARCH($E$2,'Event summary'!C355)),TYPE(SEARCH($E$2,'Event summary'!D355)))</f>
        <v>16</v>
      </c>
      <c r="I355" s="65" t="str">
        <f t="shared" si="6"/>
        <v/>
      </c>
      <c r="J355" s="66" t="str">
        <f>IF($H355=1,'Event summary'!C355,"")</f>
        <v/>
      </c>
      <c r="K355" s="66" t="str">
        <f>IF($H355=1,'Event summary'!D355,"")</f>
        <v/>
      </c>
    </row>
    <row r="356" spans="7:11" ht="28.5" x14ac:dyDescent="0.2">
      <c r="G356" s="46">
        <f>'Event summary'!A356</f>
        <v>356</v>
      </c>
      <c r="H356" s="43">
        <f>MIN(TYPE(SEARCH($E$2,'Event summary'!C356)),TYPE(SEARCH($E$2,'Event summary'!D356)))</f>
        <v>16</v>
      </c>
      <c r="I356" s="65" t="str">
        <f t="shared" si="6"/>
        <v/>
      </c>
      <c r="J356" s="66" t="str">
        <f>IF($H356=1,'Event summary'!C356,"")</f>
        <v/>
      </c>
      <c r="K356" s="66" t="str">
        <f>IF($H356=1,'Event summary'!D356,"")</f>
        <v/>
      </c>
    </row>
    <row r="357" spans="7:11" x14ac:dyDescent="0.2">
      <c r="G357" s="46">
        <f>'Event summary'!A357</f>
        <v>357</v>
      </c>
      <c r="H357" s="43">
        <f>MIN(TYPE(SEARCH($E$2,'Event summary'!C357)),TYPE(SEARCH($E$2,'Event summary'!D357)))</f>
        <v>16</v>
      </c>
      <c r="I357" s="65" t="str">
        <f t="shared" si="6"/>
        <v/>
      </c>
      <c r="J357" s="66" t="str">
        <f>IF($H357=1,'Event summary'!C357,"")</f>
        <v/>
      </c>
      <c r="K357" s="66" t="str">
        <f>IF($H357=1,'Event summary'!D357,"")</f>
        <v/>
      </c>
    </row>
    <row r="358" spans="7:11" x14ac:dyDescent="0.2">
      <c r="G358" s="46">
        <f>'Event summary'!A358</f>
        <v>358</v>
      </c>
      <c r="H358" s="43">
        <f>MIN(TYPE(SEARCH($E$2,'Event summary'!C358)),TYPE(SEARCH($E$2,'Event summary'!D358)))</f>
        <v>16</v>
      </c>
      <c r="I358" s="65" t="str">
        <f t="shared" si="6"/>
        <v/>
      </c>
      <c r="J358" s="66" t="str">
        <f>IF($H358=1,'Event summary'!C358,"")</f>
        <v/>
      </c>
      <c r="K358" s="66" t="str">
        <f>IF($H358=1,'Event summary'!D358,"")</f>
        <v/>
      </c>
    </row>
    <row r="359" spans="7:11" x14ac:dyDescent="0.2">
      <c r="G359" s="46">
        <f>'Event summary'!A359</f>
        <v>359</v>
      </c>
      <c r="H359" s="43">
        <f>MIN(TYPE(SEARCH($E$2,'Event summary'!C359)),TYPE(SEARCH($E$2,'Event summary'!D359)))</f>
        <v>16</v>
      </c>
      <c r="I359" s="65" t="str">
        <f t="shared" si="6"/>
        <v/>
      </c>
      <c r="J359" s="66" t="str">
        <f>IF($H359=1,'Event summary'!C359,"")</f>
        <v/>
      </c>
      <c r="K359" s="66" t="str">
        <f>IF($H359=1,'Event summary'!D359,"")</f>
        <v/>
      </c>
    </row>
    <row r="360" spans="7:11" ht="28.5" x14ac:dyDescent="0.2">
      <c r="G360" s="46">
        <f>'Event summary'!A360</f>
        <v>360</v>
      </c>
      <c r="H360" s="43">
        <f>MIN(TYPE(SEARCH($E$2,'Event summary'!C360)),TYPE(SEARCH($E$2,'Event summary'!D360)))</f>
        <v>16</v>
      </c>
      <c r="I360" s="65" t="str">
        <f t="shared" si="6"/>
        <v/>
      </c>
      <c r="J360" s="66" t="str">
        <f>IF($H360=1,'Event summary'!C360,"")</f>
        <v/>
      </c>
      <c r="K360" s="66" t="str">
        <f>IF($H360=1,'Event summary'!D360,"")</f>
        <v/>
      </c>
    </row>
    <row r="361" spans="7:11" x14ac:dyDescent="0.2">
      <c r="G361" s="46">
        <f>'Event summary'!A361</f>
        <v>361</v>
      </c>
      <c r="H361" s="43">
        <f>MIN(TYPE(SEARCH($E$2,'Event summary'!C361)),TYPE(SEARCH($E$2,'Event summary'!D361)))</f>
        <v>16</v>
      </c>
      <c r="I361" s="65" t="str">
        <f t="shared" si="6"/>
        <v/>
      </c>
      <c r="J361" s="66" t="str">
        <f>IF($H361=1,'Event summary'!C361,"")</f>
        <v/>
      </c>
      <c r="K361" s="66" t="str">
        <f>IF($H361=1,'Event summary'!D361,"")</f>
        <v/>
      </c>
    </row>
    <row r="362" spans="7:11" x14ac:dyDescent="0.2">
      <c r="G362" s="46">
        <f>'Event summary'!A362</f>
        <v>362</v>
      </c>
      <c r="H362" s="43">
        <f>MIN(TYPE(SEARCH($E$2,'Event summary'!C362)),TYPE(SEARCH($E$2,'Event summary'!D362)))</f>
        <v>16</v>
      </c>
      <c r="I362" s="65" t="str">
        <f t="shared" si="6"/>
        <v/>
      </c>
      <c r="J362" s="66" t="str">
        <f>IF($H362=1,'Event summary'!C362,"")</f>
        <v/>
      </c>
      <c r="K362" s="66" t="str">
        <f>IF($H362=1,'Event summary'!D362,"")</f>
        <v/>
      </c>
    </row>
    <row r="363" spans="7:11" x14ac:dyDescent="0.2">
      <c r="G363" s="46">
        <f>'Event summary'!A363</f>
        <v>363</v>
      </c>
      <c r="H363" s="43">
        <f>MIN(TYPE(SEARCH($E$2,'Event summary'!C363)),TYPE(SEARCH($E$2,'Event summary'!D363)))</f>
        <v>16</v>
      </c>
      <c r="I363" s="65" t="str">
        <f t="shared" si="6"/>
        <v/>
      </c>
      <c r="J363" s="66" t="str">
        <f>IF($H363=1,'Event summary'!C363,"")</f>
        <v/>
      </c>
      <c r="K363" s="66" t="str">
        <f>IF($H363=1,'Event summary'!D363,"")</f>
        <v/>
      </c>
    </row>
    <row r="364" spans="7:11" x14ac:dyDescent="0.2">
      <c r="G364" s="46">
        <f>'Event summary'!A364</f>
        <v>364</v>
      </c>
      <c r="H364" s="43">
        <f>MIN(TYPE(SEARCH($E$2,'Event summary'!C364)),TYPE(SEARCH($E$2,'Event summary'!D364)))</f>
        <v>16</v>
      </c>
      <c r="I364" s="65" t="str">
        <f t="shared" si="6"/>
        <v/>
      </c>
      <c r="J364" s="66" t="str">
        <f>IF($H364=1,'Event summary'!C364,"")</f>
        <v/>
      </c>
      <c r="K364" s="66" t="str">
        <f>IF($H364=1,'Event summary'!D364,"")</f>
        <v/>
      </c>
    </row>
    <row r="365" spans="7:11" ht="28.5" x14ac:dyDescent="0.2">
      <c r="G365" s="46">
        <f>'Event summary'!A365</f>
        <v>365</v>
      </c>
      <c r="H365" s="43">
        <f>MIN(TYPE(SEARCH($E$2,'Event summary'!C365)),TYPE(SEARCH($E$2,'Event summary'!D365)))</f>
        <v>16</v>
      </c>
      <c r="I365" s="65" t="str">
        <f t="shared" si="6"/>
        <v/>
      </c>
      <c r="J365" s="66" t="str">
        <f>IF($H365=1,'Event summary'!C365,"")</f>
        <v/>
      </c>
      <c r="K365" s="66" t="str">
        <f>IF($H365=1,'Event summary'!D365,"")</f>
        <v/>
      </c>
    </row>
    <row r="366" spans="7:11" ht="28.5" x14ac:dyDescent="0.2">
      <c r="G366" s="46">
        <f>'Event summary'!A366</f>
        <v>366</v>
      </c>
      <c r="H366" s="43">
        <f>MIN(TYPE(SEARCH($E$2,'Event summary'!C366)),TYPE(SEARCH($E$2,'Event summary'!D366)))</f>
        <v>16</v>
      </c>
      <c r="I366" s="65" t="str">
        <f t="shared" si="6"/>
        <v/>
      </c>
      <c r="J366" s="66" t="str">
        <f>IF($H366=1,'Event summary'!C366,"")</f>
        <v/>
      </c>
      <c r="K366" s="66" t="str">
        <f>IF($H366=1,'Event summary'!D366,"")</f>
        <v/>
      </c>
    </row>
    <row r="367" spans="7:11" ht="28.5" x14ac:dyDescent="0.2">
      <c r="G367" s="46">
        <f>'Event summary'!A367</f>
        <v>367</v>
      </c>
      <c r="H367" s="43">
        <f>MIN(TYPE(SEARCH($E$2,'Event summary'!C367)),TYPE(SEARCH($E$2,'Event summary'!D367)))</f>
        <v>16</v>
      </c>
      <c r="I367" s="65" t="str">
        <f t="shared" si="6"/>
        <v/>
      </c>
      <c r="J367" s="66" t="str">
        <f>IF($H367=1,'Event summary'!C367,"")</f>
        <v/>
      </c>
      <c r="K367" s="66" t="str">
        <f>IF($H367=1,'Event summary'!D367,"")</f>
        <v/>
      </c>
    </row>
    <row r="368" spans="7:11" x14ac:dyDescent="0.2">
      <c r="G368" s="46">
        <f>'Event summary'!A368</f>
        <v>368</v>
      </c>
      <c r="H368" s="43">
        <f>MIN(TYPE(SEARCH($E$2,'Event summary'!C368)),TYPE(SEARCH($E$2,'Event summary'!D368)))</f>
        <v>16</v>
      </c>
      <c r="I368" s="65" t="str">
        <f t="shared" si="6"/>
        <v/>
      </c>
      <c r="J368" s="66" t="str">
        <f>IF($H368=1,'Event summary'!C368,"")</f>
        <v/>
      </c>
      <c r="K368" s="66" t="str">
        <f>IF($H368=1,'Event summary'!D368,"")</f>
        <v/>
      </c>
    </row>
    <row r="369" spans="7:11" x14ac:dyDescent="0.2">
      <c r="G369" s="46">
        <f>'Event summary'!A369</f>
        <v>369</v>
      </c>
      <c r="H369" s="43">
        <f>MIN(TYPE(SEARCH($E$2,'Event summary'!C369)),TYPE(SEARCH($E$2,'Event summary'!D369)))</f>
        <v>16</v>
      </c>
      <c r="I369" s="65" t="str">
        <f t="shared" si="6"/>
        <v/>
      </c>
      <c r="J369" s="66" t="str">
        <f>IF($H369=1,'Event summary'!C369,"")</f>
        <v/>
      </c>
      <c r="K369" s="66" t="str">
        <f>IF($H369=1,'Event summary'!D369,"")</f>
        <v/>
      </c>
    </row>
    <row r="370" spans="7:11" x14ac:dyDescent="0.2">
      <c r="G370" s="46">
        <f>'Event summary'!A370</f>
        <v>370</v>
      </c>
      <c r="H370" s="43">
        <f>MIN(TYPE(SEARCH($E$2,'Event summary'!C370)),TYPE(SEARCH($E$2,'Event summary'!D370)))</f>
        <v>16</v>
      </c>
      <c r="I370" s="65" t="str">
        <f t="shared" si="6"/>
        <v/>
      </c>
      <c r="J370" s="66" t="str">
        <f>IF($H370=1,'Event summary'!C370,"")</f>
        <v/>
      </c>
      <c r="K370" s="66" t="str">
        <f>IF($H370=1,'Event summary'!D370,"")</f>
        <v/>
      </c>
    </row>
    <row r="371" spans="7:11" ht="28.5" x14ac:dyDescent="0.2">
      <c r="G371" s="46">
        <f>'Event summary'!A371</f>
        <v>371</v>
      </c>
      <c r="H371" s="43">
        <f>MIN(TYPE(SEARCH($E$2,'Event summary'!C371)),TYPE(SEARCH($E$2,'Event summary'!D371)))</f>
        <v>16</v>
      </c>
      <c r="I371" s="65" t="str">
        <f t="shared" si="6"/>
        <v/>
      </c>
      <c r="J371" s="66" t="str">
        <f>IF($H371=1,'Event summary'!C371,"")</f>
        <v/>
      </c>
      <c r="K371" s="66" t="str">
        <f>IF($H371=1,'Event summary'!D371,"")</f>
        <v/>
      </c>
    </row>
    <row r="372" spans="7:11" ht="28.5" x14ac:dyDescent="0.2">
      <c r="G372" s="46">
        <f>'Event summary'!A372</f>
        <v>372</v>
      </c>
      <c r="H372" s="43">
        <f>MIN(TYPE(SEARCH($E$2,'Event summary'!C372)),TYPE(SEARCH($E$2,'Event summary'!D372)))</f>
        <v>16</v>
      </c>
      <c r="I372" s="65" t="str">
        <f t="shared" si="6"/>
        <v/>
      </c>
      <c r="J372" s="66" t="str">
        <f>IF($H372=1,'Event summary'!C372,"")</f>
        <v/>
      </c>
      <c r="K372" s="66" t="str">
        <f>IF($H372=1,'Event summary'!D372,"")</f>
        <v/>
      </c>
    </row>
    <row r="373" spans="7:11" ht="28.5" x14ac:dyDescent="0.2">
      <c r="G373" s="46">
        <f>'Event summary'!A373</f>
        <v>373</v>
      </c>
      <c r="H373" s="43">
        <f>MIN(TYPE(SEARCH($E$2,'Event summary'!C373)),TYPE(SEARCH($E$2,'Event summary'!D373)))</f>
        <v>16</v>
      </c>
      <c r="I373" s="65" t="str">
        <f t="shared" si="6"/>
        <v/>
      </c>
      <c r="J373" s="66" t="str">
        <f>IF($H373=1,'Event summary'!C373,"")</f>
        <v/>
      </c>
      <c r="K373" s="66" t="str">
        <f>IF($H373=1,'Event summary'!D373,"")</f>
        <v/>
      </c>
    </row>
    <row r="374" spans="7:11" ht="28.5" x14ac:dyDescent="0.2">
      <c r="G374" s="46">
        <f>'Event summary'!A374</f>
        <v>374</v>
      </c>
      <c r="H374" s="43">
        <f>MIN(TYPE(SEARCH($E$2,'Event summary'!C374)),TYPE(SEARCH($E$2,'Event summary'!D374)))</f>
        <v>16</v>
      </c>
      <c r="I374" s="65" t="str">
        <f t="shared" si="6"/>
        <v/>
      </c>
      <c r="J374" s="66" t="str">
        <f>IF($H374=1,'Event summary'!C374,"")</f>
        <v/>
      </c>
      <c r="K374" s="66" t="str">
        <f>IF($H374=1,'Event summary'!D374,"")</f>
        <v/>
      </c>
    </row>
    <row r="375" spans="7:11" ht="28.5" x14ac:dyDescent="0.2">
      <c r="G375" s="46">
        <f>'Event summary'!A375</f>
        <v>375</v>
      </c>
      <c r="H375" s="43">
        <f>MIN(TYPE(SEARCH($E$2,'Event summary'!C375)),TYPE(SEARCH($E$2,'Event summary'!D375)))</f>
        <v>16</v>
      </c>
      <c r="I375" s="65" t="str">
        <f t="shared" si="6"/>
        <v/>
      </c>
      <c r="J375" s="66" t="str">
        <f>IF($H375=1,'Event summary'!C375,"")</f>
        <v/>
      </c>
      <c r="K375" s="66" t="str">
        <f>IF($H375=1,'Event summary'!D375,"")</f>
        <v/>
      </c>
    </row>
    <row r="376" spans="7:11" ht="28.5" x14ac:dyDescent="0.2">
      <c r="G376" s="46">
        <f>'Event summary'!A376</f>
        <v>376</v>
      </c>
      <c r="H376" s="43">
        <f>MIN(TYPE(SEARCH($E$2,'Event summary'!C376)),TYPE(SEARCH($E$2,'Event summary'!D376)))</f>
        <v>16</v>
      </c>
      <c r="I376" s="65" t="str">
        <f t="shared" si="6"/>
        <v/>
      </c>
      <c r="J376" s="66" t="str">
        <f>IF($H376=1,'Event summary'!C376,"")</f>
        <v/>
      </c>
      <c r="K376" s="66" t="str">
        <f>IF($H376=1,'Event summary'!D376,"")</f>
        <v/>
      </c>
    </row>
    <row r="377" spans="7:11" x14ac:dyDescent="0.2">
      <c r="G377" s="46">
        <f>'Event summary'!A377</f>
        <v>377</v>
      </c>
      <c r="H377" s="43">
        <f>MIN(TYPE(SEARCH($E$2,'Event summary'!C377)),TYPE(SEARCH($E$2,'Event summary'!D377)))</f>
        <v>16</v>
      </c>
      <c r="I377" s="65" t="str">
        <f t="shared" si="6"/>
        <v/>
      </c>
      <c r="J377" s="66" t="str">
        <f>IF($H377=1,'Event summary'!C377,"")</f>
        <v/>
      </c>
      <c r="K377" s="66" t="str">
        <f>IF($H377=1,'Event summary'!D377,"")</f>
        <v/>
      </c>
    </row>
    <row r="378" spans="7:11" x14ac:dyDescent="0.2">
      <c r="G378" s="46">
        <f>'Event summary'!A378</f>
        <v>378</v>
      </c>
      <c r="H378" s="43">
        <f>MIN(TYPE(SEARCH($E$2,'Event summary'!C378)),TYPE(SEARCH($E$2,'Event summary'!D378)))</f>
        <v>16</v>
      </c>
      <c r="I378" s="65" t="str">
        <f t="shared" si="6"/>
        <v/>
      </c>
      <c r="J378" s="66" t="str">
        <f>IF($H378=1,'Event summary'!C378,"")</f>
        <v/>
      </c>
      <c r="K378" s="66" t="str">
        <f>IF($H378=1,'Event summary'!D378,"")</f>
        <v/>
      </c>
    </row>
    <row r="379" spans="7:11" ht="42.75" x14ac:dyDescent="0.2">
      <c r="G379" s="46">
        <f>'Event summary'!A379</f>
        <v>379</v>
      </c>
      <c r="H379" s="43">
        <f>MIN(TYPE(SEARCH($E$2,'Event summary'!C379)),TYPE(SEARCH($E$2,'Event summary'!D379)))</f>
        <v>1</v>
      </c>
      <c r="I379" s="65" t="str">
        <f t="shared" si="6"/>
        <v>שינוי</v>
      </c>
      <c r="J379" s="66" t="str">
        <f>IF($H379=1,'Event summary'!C379,"")</f>
        <v>העברת מידע - בהחלטה רפואית שונתה תוכנית  לטיפול ללא ספייסר. המדע לא הועבר למטופל על ידי הרופא המטפל.</v>
      </c>
      <c r="K379" s="66" t="str">
        <f>IF($H379=1,'Event summary'!D379,"")</f>
        <v>עבור שינוי בתכנית טיפול, יהיה באחריות הרופא המטפל ליידע את המטופל על אופי השינוי. עבור שינוי במועד טיפול ברגע האחרון, יהיה הרופא אחראי ליידע את המטופל. אחרת ניתן לבקש ממזכירות לתאם עם המטופל את השינוי.</v>
      </c>
    </row>
    <row r="380" spans="7:11" x14ac:dyDescent="0.2">
      <c r="G380" s="46">
        <f>'Event summary'!A380</f>
        <v>380</v>
      </c>
      <c r="H380" s="43">
        <f>MIN(TYPE(SEARCH($E$2,'Event summary'!C380)),TYPE(SEARCH($E$2,'Event summary'!D380)))</f>
        <v>16</v>
      </c>
      <c r="I380" s="65" t="str">
        <f t="shared" si="6"/>
        <v/>
      </c>
      <c r="J380" s="66" t="str">
        <f>IF($H380=1,'Event summary'!C380,"")</f>
        <v/>
      </c>
      <c r="K380" s="66" t="str">
        <f>IF($H380=1,'Event summary'!D380,"")</f>
        <v/>
      </c>
    </row>
    <row r="381" spans="7:11" x14ac:dyDescent="0.2">
      <c r="G381" s="46">
        <f>'Event summary'!A381</f>
        <v>381</v>
      </c>
      <c r="H381" s="43">
        <f>MIN(TYPE(SEARCH($E$2,'Event summary'!C381)),TYPE(SEARCH($E$2,'Event summary'!D381)))</f>
        <v>16</v>
      </c>
      <c r="I381" s="65" t="str">
        <f t="shared" si="6"/>
        <v/>
      </c>
      <c r="J381" s="66" t="str">
        <f>IF($H381=1,'Event summary'!C381,"")</f>
        <v/>
      </c>
      <c r="K381" s="66" t="str">
        <f>IF($H381=1,'Event summary'!D381,"")</f>
        <v/>
      </c>
    </row>
    <row r="382" spans="7:11" ht="28.5" x14ac:dyDescent="0.2">
      <c r="G382" s="46">
        <f>'Event summary'!A382</f>
        <v>382</v>
      </c>
      <c r="H382" s="43">
        <f>MIN(TYPE(SEARCH($E$2,'Event summary'!C382)),TYPE(SEARCH($E$2,'Event summary'!D382)))</f>
        <v>16</v>
      </c>
      <c r="I382" s="65" t="str">
        <f t="shared" si="6"/>
        <v/>
      </c>
      <c r="J382" s="66" t="str">
        <f>IF($H382=1,'Event summary'!C382,"")</f>
        <v/>
      </c>
      <c r="K382" s="66" t="str">
        <f>IF($H382=1,'Event summary'!D382,"")</f>
        <v/>
      </c>
    </row>
    <row r="383" spans="7:11" ht="42.75" x14ac:dyDescent="0.2">
      <c r="G383" s="46">
        <f>'Event summary'!A383</f>
        <v>383</v>
      </c>
      <c r="H383" s="43">
        <f>MIN(TYPE(SEARCH($E$2,'Event summary'!C383)),TYPE(SEARCH($E$2,'Event summary'!D383)))</f>
        <v>16</v>
      </c>
      <c r="I383" s="65" t="str">
        <f t="shared" si="6"/>
        <v/>
      </c>
      <c r="J383" s="66" t="str">
        <f>IF($H383=1,'Event summary'!C383,"")</f>
        <v/>
      </c>
      <c r="K383" s="66" t="str">
        <f>IF($H383=1,'Event summary'!D383,"")</f>
        <v/>
      </c>
    </row>
    <row r="384" spans="7:11" ht="28.5" x14ac:dyDescent="0.2">
      <c r="G384" s="46">
        <f>'Event summary'!A384</f>
        <v>384</v>
      </c>
      <c r="H384" s="43">
        <f>MIN(TYPE(SEARCH($E$2,'Event summary'!C384)),TYPE(SEARCH($E$2,'Event summary'!D384)))</f>
        <v>16</v>
      </c>
      <c r="I384" s="65" t="str">
        <f t="shared" si="6"/>
        <v/>
      </c>
      <c r="J384" s="66" t="str">
        <f>IF($H384=1,'Event summary'!C384,"")</f>
        <v/>
      </c>
      <c r="K384" s="66" t="str">
        <f>IF($H384=1,'Event summary'!D384,"")</f>
        <v/>
      </c>
    </row>
    <row r="385" spans="7:11" ht="42.75" x14ac:dyDescent="0.2">
      <c r="G385" s="46">
        <f>'Event summary'!A385</f>
        <v>385</v>
      </c>
      <c r="H385" s="43">
        <f>MIN(TYPE(SEARCH($E$2,'Event summary'!C385)),TYPE(SEARCH($E$2,'Event summary'!D385)))</f>
        <v>16</v>
      </c>
      <c r="I385" s="65" t="str">
        <f t="shared" si="6"/>
        <v/>
      </c>
      <c r="J385" s="66" t="str">
        <f>IF($H385=1,'Event summary'!C385,"")</f>
        <v/>
      </c>
      <c r="K385" s="66" t="str">
        <f>IF($H385=1,'Event summary'!D385,"")</f>
        <v/>
      </c>
    </row>
    <row r="386" spans="7:11" ht="28.5" x14ac:dyDescent="0.2">
      <c r="G386" s="46">
        <f>'Event summary'!A386</f>
        <v>386</v>
      </c>
      <c r="H386" s="43">
        <f>MIN(TYPE(SEARCH($E$2,'Event summary'!C386)),TYPE(SEARCH($E$2,'Event summary'!D386)))</f>
        <v>16</v>
      </c>
      <c r="I386" s="65" t="str">
        <f t="shared" ref="I386:I449" si="7">IF(H386=1,$E$2,"")</f>
        <v/>
      </c>
      <c r="J386" s="66" t="str">
        <f>IF($H386=1,'Event summary'!C386,"")</f>
        <v/>
      </c>
      <c r="K386" s="66" t="str">
        <f>IF($H386=1,'Event summary'!D386,"")</f>
        <v/>
      </c>
    </row>
    <row r="387" spans="7:11" ht="42.75" x14ac:dyDescent="0.2">
      <c r="G387" s="46">
        <f>'Event summary'!A387</f>
        <v>387</v>
      </c>
      <c r="H387" s="43">
        <f>MIN(TYPE(SEARCH($E$2,'Event summary'!C387)),TYPE(SEARCH($E$2,'Event summary'!D387)))</f>
        <v>16</v>
      </c>
      <c r="I387" s="65" t="str">
        <f t="shared" si="7"/>
        <v/>
      </c>
      <c r="J387" s="66" t="str">
        <f>IF($H387=1,'Event summary'!C387,"")</f>
        <v/>
      </c>
      <c r="K387" s="66" t="str">
        <f>IF($H387=1,'Event summary'!D387,"")</f>
        <v/>
      </c>
    </row>
    <row r="388" spans="7:11" ht="42.75" x14ac:dyDescent="0.2">
      <c r="G388" s="46">
        <f>'Event summary'!A388</f>
        <v>388</v>
      </c>
      <c r="H388" s="43">
        <f>MIN(TYPE(SEARCH($E$2,'Event summary'!C388)),TYPE(SEARCH($E$2,'Event summary'!D388)))</f>
        <v>16</v>
      </c>
      <c r="I388" s="65" t="str">
        <f t="shared" si="7"/>
        <v/>
      </c>
      <c r="J388" s="66" t="str">
        <f>IF($H388=1,'Event summary'!C388,"")</f>
        <v/>
      </c>
      <c r="K388" s="66" t="str">
        <f>IF($H388=1,'Event summary'!D388,"")</f>
        <v/>
      </c>
    </row>
    <row r="389" spans="7:11" x14ac:dyDescent="0.2">
      <c r="G389" s="46">
        <f>'Event summary'!A389</f>
        <v>389</v>
      </c>
      <c r="H389" s="43">
        <f>MIN(TYPE(SEARCH($E$2,'Event summary'!C389)),TYPE(SEARCH($E$2,'Event summary'!D389)))</f>
        <v>16</v>
      </c>
      <c r="I389" s="65" t="str">
        <f t="shared" si="7"/>
        <v/>
      </c>
      <c r="J389" s="66" t="str">
        <f>IF($H389=1,'Event summary'!C389,"")</f>
        <v/>
      </c>
      <c r="K389" s="66" t="str">
        <f>IF($H389=1,'Event summary'!D389,"")</f>
        <v/>
      </c>
    </row>
    <row r="390" spans="7:11" ht="28.5" x14ac:dyDescent="0.2">
      <c r="G390" s="46">
        <f>'Event summary'!A390</f>
        <v>390</v>
      </c>
      <c r="H390" s="43">
        <f>MIN(TYPE(SEARCH($E$2,'Event summary'!C390)),TYPE(SEARCH($E$2,'Event summary'!D390)))</f>
        <v>16</v>
      </c>
      <c r="I390" s="65" t="str">
        <f t="shared" si="7"/>
        <v/>
      </c>
      <c r="J390" s="66" t="str">
        <f>IF($H390=1,'Event summary'!C390,"")</f>
        <v/>
      </c>
      <c r="K390" s="66" t="str">
        <f>IF($H390=1,'Event summary'!D390,"")</f>
        <v/>
      </c>
    </row>
    <row r="391" spans="7:11" ht="28.5" x14ac:dyDescent="0.2">
      <c r="G391" s="46">
        <f>'Event summary'!A391</f>
        <v>391</v>
      </c>
      <c r="H391" s="43">
        <f>MIN(TYPE(SEARCH($E$2,'Event summary'!C391)),TYPE(SEARCH($E$2,'Event summary'!D391)))</f>
        <v>16</v>
      </c>
      <c r="I391" s="65" t="str">
        <f t="shared" si="7"/>
        <v/>
      </c>
      <c r="J391" s="66" t="str">
        <f>IF($H391=1,'Event summary'!C391,"")</f>
        <v/>
      </c>
      <c r="K391" s="66" t="str">
        <f>IF($H391=1,'Event summary'!D391,"")</f>
        <v/>
      </c>
    </row>
    <row r="392" spans="7:11" x14ac:dyDescent="0.2">
      <c r="G392" s="46">
        <f>'Event summary'!A392</f>
        <v>392</v>
      </c>
      <c r="H392" s="43">
        <f>MIN(TYPE(SEARCH($E$2,'Event summary'!C392)),TYPE(SEARCH($E$2,'Event summary'!D392)))</f>
        <v>16</v>
      </c>
      <c r="I392" s="65" t="str">
        <f t="shared" si="7"/>
        <v/>
      </c>
      <c r="J392" s="66" t="str">
        <f>IF($H392=1,'Event summary'!C392,"")</f>
        <v/>
      </c>
      <c r="K392" s="66" t="str">
        <f>IF($H392=1,'Event summary'!D392,"")</f>
        <v/>
      </c>
    </row>
    <row r="393" spans="7:11" x14ac:dyDescent="0.2">
      <c r="G393" s="46">
        <f>'Event summary'!A393</f>
        <v>393</v>
      </c>
      <c r="H393" s="43">
        <f>MIN(TYPE(SEARCH($E$2,'Event summary'!C393)),TYPE(SEARCH($E$2,'Event summary'!D393)))</f>
        <v>16</v>
      </c>
      <c r="I393" s="65" t="str">
        <f t="shared" si="7"/>
        <v/>
      </c>
      <c r="J393" s="66" t="str">
        <f>IF($H393=1,'Event summary'!C393,"")</f>
        <v/>
      </c>
      <c r="K393" s="66" t="str">
        <f>IF($H393=1,'Event summary'!D393,"")</f>
        <v/>
      </c>
    </row>
    <row r="394" spans="7:11" x14ac:dyDescent="0.2">
      <c r="G394" s="46">
        <f>'Event summary'!A394</f>
        <v>394</v>
      </c>
      <c r="H394" s="43">
        <f>MIN(TYPE(SEARCH($E$2,'Event summary'!C394)),TYPE(SEARCH($E$2,'Event summary'!D394)))</f>
        <v>16</v>
      </c>
      <c r="I394" s="65" t="str">
        <f t="shared" si="7"/>
        <v/>
      </c>
      <c r="J394" s="66" t="str">
        <f>IF($H394=1,'Event summary'!C394,"")</f>
        <v/>
      </c>
      <c r="K394" s="66" t="str">
        <f>IF($H394=1,'Event summary'!D394,"")</f>
        <v/>
      </c>
    </row>
    <row r="395" spans="7:11" x14ac:dyDescent="0.2">
      <c r="G395" s="46">
        <f>'Event summary'!A395</f>
        <v>395</v>
      </c>
      <c r="H395" s="43">
        <f>MIN(TYPE(SEARCH($E$2,'Event summary'!C395)),TYPE(SEARCH($E$2,'Event summary'!D395)))</f>
        <v>16</v>
      </c>
      <c r="I395" s="65" t="str">
        <f t="shared" si="7"/>
        <v/>
      </c>
      <c r="J395" s="66" t="str">
        <f>IF($H395=1,'Event summary'!C395,"")</f>
        <v/>
      </c>
      <c r="K395" s="66" t="str">
        <f>IF($H395=1,'Event summary'!D395,"")</f>
        <v/>
      </c>
    </row>
    <row r="396" spans="7:11" ht="28.5" x14ac:dyDescent="0.2">
      <c r="G396" s="46">
        <f>'Event summary'!A396</f>
        <v>396</v>
      </c>
      <c r="H396" s="43">
        <f>MIN(TYPE(SEARCH($E$2,'Event summary'!C396)),TYPE(SEARCH($E$2,'Event summary'!D396)))</f>
        <v>16</v>
      </c>
      <c r="I396" s="65" t="str">
        <f t="shared" si="7"/>
        <v/>
      </c>
      <c r="J396" s="66" t="str">
        <f>IF($H396=1,'Event summary'!C396,"")</f>
        <v/>
      </c>
      <c r="K396" s="66" t="str">
        <f>IF($H396=1,'Event summary'!D396,"")</f>
        <v/>
      </c>
    </row>
    <row r="397" spans="7:11" ht="28.5" x14ac:dyDescent="0.2">
      <c r="G397" s="46">
        <f>'Event summary'!A397</f>
        <v>397</v>
      </c>
      <c r="H397" s="43">
        <f>MIN(TYPE(SEARCH($E$2,'Event summary'!C397)),TYPE(SEARCH($E$2,'Event summary'!D397)))</f>
        <v>16</v>
      </c>
      <c r="I397" s="65" t="str">
        <f t="shared" si="7"/>
        <v/>
      </c>
      <c r="J397" s="66" t="str">
        <f>IF($H397=1,'Event summary'!C397,"")</f>
        <v/>
      </c>
      <c r="K397" s="66" t="str">
        <f>IF($H397=1,'Event summary'!D397,"")</f>
        <v/>
      </c>
    </row>
    <row r="398" spans="7:11" ht="28.5" x14ac:dyDescent="0.2">
      <c r="G398" s="46">
        <f>'Event summary'!A398</f>
        <v>398</v>
      </c>
      <c r="H398" s="43">
        <f>MIN(TYPE(SEARCH($E$2,'Event summary'!C398)),TYPE(SEARCH($E$2,'Event summary'!D398)))</f>
        <v>16</v>
      </c>
      <c r="I398" s="65" t="str">
        <f t="shared" si="7"/>
        <v/>
      </c>
      <c r="J398" s="66" t="str">
        <f>IF($H398=1,'Event summary'!C398,"")</f>
        <v/>
      </c>
      <c r="K398" s="66" t="str">
        <f>IF($H398=1,'Event summary'!D398,"")</f>
        <v/>
      </c>
    </row>
    <row r="399" spans="7:11" x14ac:dyDescent="0.2">
      <c r="G399" s="46">
        <f>'Event summary'!A399</f>
        <v>399</v>
      </c>
      <c r="H399" s="43">
        <f>MIN(TYPE(SEARCH($E$2,'Event summary'!C399)),TYPE(SEARCH($E$2,'Event summary'!D399)))</f>
        <v>16</v>
      </c>
      <c r="I399" s="65" t="str">
        <f t="shared" si="7"/>
        <v/>
      </c>
      <c r="J399" s="66" t="str">
        <f>IF($H399=1,'Event summary'!C399,"")</f>
        <v/>
      </c>
      <c r="K399" s="66" t="str">
        <f>IF($H399=1,'Event summary'!D399,"")</f>
        <v/>
      </c>
    </row>
    <row r="400" spans="7:11" x14ac:dyDescent="0.2">
      <c r="G400" s="46">
        <f>'Event summary'!A400</f>
        <v>400</v>
      </c>
      <c r="H400" s="43">
        <f>MIN(TYPE(SEARCH($E$2,'Event summary'!C400)),TYPE(SEARCH($E$2,'Event summary'!D400)))</f>
        <v>16</v>
      </c>
      <c r="I400" s="65" t="str">
        <f t="shared" si="7"/>
        <v/>
      </c>
      <c r="J400" s="66" t="str">
        <f>IF($H400=1,'Event summary'!C400,"")</f>
        <v/>
      </c>
      <c r="K400" s="66" t="str">
        <f>IF($H400=1,'Event summary'!D400,"")</f>
        <v/>
      </c>
    </row>
    <row r="401" spans="7:11" x14ac:dyDescent="0.2">
      <c r="G401" s="46">
        <f>'Event summary'!A401</f>
        <v>401</v>
      </c>
      <c r="H401" s="43">
        <f>MIN(TYPE(SEARCH($E$2,'Event summary'!C401)),TYPE(SEARCH($E$2,'Event summary'!D401)))</f>
        <v>16</v>
      </c>
      <c r="I401" s="65" t="str">
        <f t="shared" si="7"/>
        <v/>
      </c>
      <c r="J401" s="66" t="str">
        <f>IF($H401=1,'Event summary'!C401,"")</f>
        <v/>
      </c>
      <c r="K401" s="66" t="str">
        <f>IF($H401=1,'Event summary'!D401,"")</f>
        <v/>
      </c>
    </row>
    <row r="402" spans="7:11" x14ac:dyDescent="0.2">
      <c r="G402" s="46">
        <f>'Event summary'!A402</f>
        <v>402</v>
      </c>
      <c r="H402" s="43">
        <f>MIN(TYPE(SEARCH($E$2,'Event summary'!C402)),TYPE(SEARCH($E$2,'Event summary'!D402)))</f>
        <v>16</v>
      </c>
      <c r="I402" s="65" t="str">
        <f t="shared" si="7"/>
        <v/>
      </c>
      <c r="J402" s="66" t="str">
        <f>IF($H402=1,'Event summary'!C402,"")</f>
        <v/>
      </c>
      <c r="K402" s="66" t="str">
        <f>IF($H402=1,'Event summary'!D402,"")</f>
        <v/>
      </c>
    </row>
    <row r="403" spans="7:11" x14ac:dyDescent="0.2">
      <c r="G403" s="46">
        <f>'Event summary'!A403</f>
        <v>403</v>
      </c>
      <c r="H403" s="43">
        <f>MIN(TYPE(SEARCH($E$2,'Event summary'!C403)),TYPE(SEARCH($E$2,'Event summary'!D403)))</f>
        <v>16</v>
      </c>
      <c r="I403" s="65" t="str">
        <f t="shared" si="7"/>
        <v/>
      </c>
      <c r="J403" s="66" t="str">
        <f>IF($H403=1,'Event summary'!C403,"")</f>
        <v/>
      </c>
      <c r="K403" s="66" t="str">
        <f>IF($H403=1,'Event summary'!D403,"")</f>
        <v/>
      </c>
    </row>
    <row r="404" spans="7:11" x14ac:dyDescent="0.2">
      <c r="G404" s="46">
        <f>'Event summary'!A404</f>
        <v>404</v>
      </c>
      <c r="H404" s="43">
        <f>MIN(TYPE(SEARCH($E$2,'Event summary'!C404)),TYPE(SEARCH($E$2,'Event summary'!D404)))</f>
        <v>1</v>
      </c>
      <c r="I404" s="65" t="str">
        <f t="shared" si="7"/>
        <v>שינוי</v>
      </c>
      <c r="J404" s="66" t="str">
        <f>IF($H404=1,'Event summary'!C404,"")</f>
        <v>תקשורת לקויה - התיק נדחה בחודש, הצוות הרלוונטי לא קיבל עדכון על השינוי.</v>
      </c>
      <c r="K404" s="66">
        <f>IF($H404=1,'Event summary'!D404,"")</f>
        <v>0</v>
      </c>
    </row>
    <row r="405" spans="7:11" ht="28.5" x14ac:dyDescent="0.2">
      <c r="G405" s="46">
        <f>'Event summary'!A405</f>
        <v>405</v>
      </c>
      <c r="H405" s="43">
        <f>MIN(TYPE(SEARCH($E$2,'Event summary'!C405)),TYPE(SEARCH($E$2,'Event summary'!D405)))</f>
        <v>16</v>
      </c>
      <c r="I405" s="65" t="str">
        <f t="shared" si="7"/>
        <v/>
      </c>
      <c r="J405" s="66" t="str">
        <f>IF($H405=1,'Event summary'!C405,"")</f>
        <v/>
      </c>
      <c r="K405" s="66" t="str">
        <f>IF($H405=1,'Event summary'!D405,"")</f>
        <v/>
      </c>
    </row>
    <row r="406" spans="7:11" x14ac:dyDescent="0.2">
      <c r="G406" s="46">
        <f>'Event summary'!A406</f>
        <v>406</v>
      </c>
      <c r="H406" s="43">
        <f>MIN(TYPE(SEARCH($E$2,'Event summary'!C406)),TYPE(SEARCH($E$2,'Event summary'!D406)))</f>
        <v>16</v>
      </c>
      <c r="I406" s="65" t="str">
        <f t="shared" si="7"/>
        <v/>
      </c>
      <c r="J406" s="66" t="str">
        <f>IF($H406=1,'Event summary'!C406,"")</f>
        <v/>
      </c>
      <c r="K406" s="66" t="str">
        <f>IF($H406=1,'Event summary'!D406,"")</f>
        <v/>
      </c>
    </row>
    <row r="407" spans="7:11" x14ac:dyDescent="0.2">
      <c r="G407" s="46">
        <f>'Event summary'!A407</f>
        <v>407</v>
      </c>
      <c r="H407" s="43">
        <f>MIN(TYPE(SEARCH($E$2,'Event summary'!C407)),TYPE(SEARCH($E$2,'Event summary'!D407)))</f>
        <v>16</v>
      </c>
      <c r="I407" s="65" t="str">
        <f t="shared" si="7"/>
        <v/>
      </c>
      <c r="J407" s="66" t="str">
        <f>IF($H407=1,'Event summary'!C407,"")</f>
        <v/>
      </c>
      <c r="K407" s="66" t="str">
        <f>IF($H407=1,'Event summary'!D407,"")</f>
        <v/>
      </c>
    </row>
    <row r="408" spans="7:11" x14ac:dyDescent="0.2">
      <c r="G408" s="46">
        <f>'Event summary'!A408</f>
        <v>408</v>
      </c>
      <c r="H408" s="43">
        <f>MIN(TYPE(SEARCH($E$2,'Event summary'!C408)),TYPE(SEARCH($E$2,'Event summary'!D408)))</f>
        <v>16</v>
      </c>
      <c r="I408" s="65" t="str">
        <f t="shared" si="7"/>
        <v/>
      </c>
      <c r="J408" s="66" t="str">
        <f>IF($H408=1,'Event summary'!C408,"")</f>
        <v/>
      </c>
      <c r="K408" s="66" t="str">
        <f>IF($H408=1,'Event summary'!D408,"")</f>
        <v/>
      </c>
    </row>
    <row r="409" spans="7:11" x14ac:dyDescent="0.2">
      <c r="G409" s="46">
        <f>'Event summary'!A409</f>
        <v>409</v>
      </c>
      <c r="H409" s="43">
        <f>MIN(TYPE(SEARCH($E$2,'Event summary'!C409)),TYPE(SEARCH($E$2,'Event summary'!D409)))</f>
        <v>16</v>
      </c>
      <c r="I409" s="65" t="str">
        <f t="shared" si="7"/>
        <v/>
      </c>
      <c r="J409" s="66" t="str">
        <f>IF($H409=1,'Event summary'!C409,"")</f>
        <v/>
      </c>
      <c r="K409" s="66" t="str">
        <f>IF($H409=1,'Event summary'!D409,"")</f>
        <v/>
      </c>
    </row>
    <row r="410" spans="7:11" x14ac:dyDescent="0.2">
      <c r="G410" s="46">
        <f>'Event summary'!A410</f>
        <v>410</v>
      </c>
      <c r="H410" s="43">
        <f>MIN(TYPE(SEARCH($E$2,'Event summary'!C410)),TYPE(SEARCH($E$2,'Event summary'!D410)))</f>
        <v>16</v>
      </c>
      <c r="I410" s="65" t="str">
        <f t="shared" si="7"/>
        <v/>
      </c>
      <c r="J410" s="66" t="str">
        <f>IF($H410=1,'Event summary'!C410,"")</f>
        <v/>
      </c>
      <c r="K410" s="66" t="str">
        <f>IF($H410=1,'Event summary'!D410,"")</f>
        <v/>
      </c>
    </row>
    <row r="411" spans="7:11" x14ac:dyDescent="0.2">
      <c r="G411" s="46">
        <f>'Event summary'!A411</f>
        <v>411</v>
      </c>
      <c r="H411" s="43">
        <f>MIN(TYPE(SEARCH($E$2,'Event summary'!C411)),TYPE(SEARCH($E$2,'Event summary'!D411)))</f>
        <v>16</v>
      </c>
      <c r="I411" s="65" t="str">
        <f t="shared" si="7"/>
        <v/>
      </c>
      <c r="J411" s="66" t="str">
        <f>IF($H411=1,'Event summary'!C411,"")</f>
        <v/>
      </c>
      <c r="K411" s="66" t="str">
        <f>IF($H411=1,'Event summary'!D411,"")</f>
        <v/>
      </c>
    </row>
    <row r="412" spans="7:11" x14ac:dyDescent="0.2">
      <c r="G412" s="46">
        <f>'Event summary'!A412</f>
        <v>412</v>
      </c>
      <c r="H412" s="43">
        <f>MIN(TYPE(SEARCH($E$2,'Event summary'!C412)),TYPE(SEARCH($E$2,'Event summary'!D412)))</f>
        <v>16</v>
      </c>
      <c r="I412" s="65" t="str">
        <f t="shared" si="7"/>
        <v/>
      </c>
      <c r="J412" s="66" t="str">
        <f>IF($H412=1,'Event summary'!C412,"")</f>
        <v/>
      </c>
      <c r="K412" s="66" t="str">
        <f>IF($H412=1,'Event summary'!D412,"")</f>
        <v/>
      </c>
    </row>
    <row r="413" spans="7:11" x14ac:dyDescent="0.2">
      <c r="G413" s="46">
        <f>'Event summary'!A413</f>
        <v>413</v>
      </c>
      <c r="H413" s="43">
        <f>MIN(TYPE(SEARCH($E$2,'Event summary'!C413)),TYPE(SEARCH($E$2,'Event summary'!D413)))</f>
        <v>16</v>
      </c>
      <c r="I413" s="65" t="str">
        <f t="shared" si="7"/>
        <v/>
      </c>
      <c r="J413" s="66" t="str">
        <f>IF($H413=1,'Event summary'!C413,"")</f>
        <v/>
      </c>
      <c r="K413" s="66" t="str">
        <f>IF($H413=1,'Event summary'!D413,"")</f>
        <v/>
      </c>
    </row>
    <row r="414" spans="7:11" x14ac:dyDescent="0.2">
      <c r="G414" s="46">
        <f>'Event summary'!A414</f>
        <v>414</v>
      </c>
      <c r="H414" s="43">
        <f>MIN(TYPE(SEARCH($E$2,'Event summary'!C414)),TYPE(SEARCH($E$2,'Event summary'!D414)))</f>
        <v>16</v>
      </c>
      <c r="I414" s="65" t="str">
        <f t="shared" si="7"/>
        <v/>
      </c>
      <c r="J414" s="66" t="str">
        <f>IF($H414=1,'Event summary'!C414,"")</f>
        <v/>
      </c>
      <c r="K414" s="66" t="str">
        <f>IF($H414=1,'Event summary'!D414,"")</f>
        <v/>
      </c>
    </row>
    <row r="415" spans="7:11" x14ac:dyDescent="0.2">
      <c r="G415" s="46">
        <f>'Event summary'!A415</f>
        <v>415</v>
      </c>
      <c r="H415" s="43">
        <f>MIN(TYPE(SEARCH($E$2,'Event summary'!C415)),TYPE(SEARCH($E$2,'Event summary'!D415)))</f>
        <v>16</v>
      </c>
      <c r="I415" s="65" t="str">
        <f t="shared" si="7"/>
        <v/>
      </c>
      <c r="J415" s="66" t="str">
        <f>IF($H415=1,'Event summary'!C415,"")</f>
        <v/>
      </c>
      <c r="K415" s="66" t="str">
        <f>IF($H415=1,'Event summary'!D415,"")</f>
        <v/>
      </c>
    </row>
    <row r="416" spans="7:11" ht="28.5" x14ac:dyDescent="0.2">
      <c r="G416" s="46">
        <f>'Event summary'!A416</f>
        <v>416</v>
      </c>
      <c r="H416" s="43">
        <f>MIN(TYPE(SEARCH($E$2,'Event summary'!C416)),TYPE(SEARCH($E$2,'Event summary'!D416)))</f>
        <v>16</v>
      </c>
      <c r="I416" s="65" t="str">
        <f t="shared" si="7"/>
        <v/>
      </c>
      <c r="J416" s="66" t="str">
        <f>IF($H416=1,'Event summary'!C416,"")</f>
        <v/>
      </c>
      <c r="K416" s="66" t="str">
        <f>IF($H416=1,'Event summary'!D416,"")</f>
        <v/>
      </c>
    </row>
    <row r="417" spans="7:11" x14ac:dyDescent="0.2">
      <c r="G417" s="46">
        <f>'Event summary'!A417</f>
        <v>417</v>
      </c>
      <c r="H417" s="43">
        <f>MIN(TYPE(SEARCH($E$2,'Event summary'!C417)),TYPE(SEARCH($E$2,'Event summary'!D417)))</f>
        <v>16</v>
      </c>
      <c r="I417" s="65" t="str">
        <f t="shared" si="7"/>
        <v/>
      </c>
      <c r="J417" s="66" t="str">
        <f>IF($H417=1,'Event summary'!C417,"")</f>
        <v/>
      </c>
      <c r="K417" s="66" t="str">
        <f>IF($H417=1,'Event summary'!D417,"")</f>
        <v/>
      </c>
    </row>
    <row r="418" spans="7:11" x14ac:dyDescent="0.2">
      <c r="G418" s="46">
        <f>'Event summary'!A418</f>
        <v>418</v>
      </c>
      <c r="H418" s="43">
        <f>MIN(TYPE(SEARCH($E$2,'Event summary'!C418)),TYPE(SEARCH($E$2,'Event summary'!D418)))</f>
        <v>16</v>
      </c>
      <c r="I418" s="65" t="str">
        <f t="shared" si="7"/>
        <v/>
      </c>
      <c r="J418" s="66" t="str">
        <f>IF($H418=1,'Event summary'!C418,"")</f>
        <v/>
      </c>
      <c r="K418" s="66" t="str">
        <f>IF($H418=1,'Event summary'!D418,"")</f>
        <v/>
      </c>
    </row>
    <row r="419" spans="7:11" ht="28.5" x14ac:dyDescent="0.2">
      <c r="G419" s="46">
        <f>'Event summary'!A419</f>
        <v>419</v>
      </c>
      <c r="H419" s="43">
        <f>MIN(TYPE(SEARCH($E$2,'Event summary'!C419)),TYPE(SEARCH($E$2,'Event summary'!D419)))</f>
        <v>1</v>
      </c>
      <c r="I419" s="65" t="str">
        <f t="shared" si="7"/>
        <v>שינוי</v>
      </c>
      <c r="J419" s="66" t="str">
        <f>IF($H419=1,'Event summary'!C419,"")</f>
        <v>תקשורת לקויה – בעקבות שינוי תכנית טיפול אשר בוצע ברגע האחרון וחוסר תקשורת בין הצוותים, המטופלת הורדה מהשולחן.</v>
      </c>
      <c r="K419" s="66" t="str">
        <f>IF($H419=1,'Event summary'!D419,"")</f>
        <v>במהלך שינויים בתכנון יש ליידע את הצוות הרלבנטי ואת המטופל. יבוצעו ישיבות QA בפיזיקה בנוכחות פיזיקאי ו- RTTQA.</v>
      </c>
    </row>
    <row r="420" spans="7:11" ht="42.75" x14ac:dyDescent="0.2">
      <c r="G420" s="46">
        <f>'Event summary'!A420</f>
        <v>420</v>
      </c>
      <c r="H420" s="43">
        <f>MIN(TYPE(SEARCH($E$2,'Event summary'!C420)),TYPE(SEARCH($E$2,'Event summary'!D420)))</f>
        <v>16</v>
      </c>
      <c r="I420" s="65" t="str">
        <f t="shared" si="7"/>
        <v/>
      </c>
      <c r="J420" s="66" t="str">
        <f>IF($H420=1,'Event summary'!C420,"")</f>
        <v/>
      </c>
      <c r="K420" s="66" t="str">
        <f>IF($H420=1,'Event summary'!D420,"")</f>
        <v/>
      </c>
    </row>
    <row r="421" spans="7:11" x14ac:dyDescent="0.2">
      <c r="G421" s="46">
        <f>'Event summary'!A421</f>
        <v>421</v>
      </c>
      <c r="H421" s="43">
        <f>MIN(TYPE(SEARCH($E$2,'Event summary'!C421)),TYPE(SEARCH($E$2,'Event summary'!D421)))</f>
        <v>16</v>
      </c>
      <c r="I421" s="65" t="str">
        <f t="shared" si="7"/>
        <v/>
      </c>
      <c r="J421" s="66" t="str">
        <f>IF($H421=1,'Event summary'!C421,"")</f>
        <v/>
      </c>
      <c r="K421" s="66" t="str">
        <f>IF($H421=1,'Event summary'!D421,"")</f>
        <v/>
      </c>
    </row>
    <row r="422" spans="7:11" x14ac:dyDescent="0.2">
      <c r="G422" s="46">
        <f>'Event summary'!A422</f>
        <v>422</v>
      </c>
      <c r="H422" s="43">
        <f>MIN(TYPE(SEARCH($E$2,'Event summary'!C422)),TYPE(SEARCH($E$2,'Event summary'!D422)))</f>
        <v>16</v>
      </c>
      <c r="I422" s="65" t="str">
        <f t="shared" si="7"/>
        <v/>
      </c>
      <c r="J422" s="66" t="str">
        <f>IF($H422=1,'Event summary'!C422,"")</f>
        <v/>
      </c>
      <c r="K422" s="66" t="str">
        <f>IF($H422=1,'Event summary'!D422,"")</f>
        <v/>
      </c>
    </row>
    <row r="423" spans="7:11" x14ac:dyDescent="0.2">
      <c r="G423" s="46">
        <f>'Event summary'!A423</f>
        <v>423</v>
      </c>
      <c r="H423" s="43">
        <f>MIN(TYPE(SEARCH($E$2,'Event summary'!C423)),TYPE(SEARCH($E$2,'Event summary'!D423)))</f>
        <v>16</v>
      </c>
      <c r="I423" s="65" t="str">
        <f t="shared" si="7"/>
        <v/>
      </c>
      <c r="J423" s="66" t="str">
        <f>IF($H423=1,'Event summary'!C423,"")</f>
        <v/>
      </c>
      <c r="K423" s="66" t="str">
        <f>IF($H423=1,'Event summary'!D423,"")</f>
        <v/>
      </c>
    </row>
    <row r="424" spans="7:11" x14ac:dyDescent="0.2">
      <c r="G424" s="46">
        <f>'Event summary'!A424</f>
        <v>424</v>
      </c>
      <c r="H424" s="43">
        <f>MIN(TYPE(SEARCH($E$2,'Event summary'!C424)),TYPE(SEARCH($E$2,'Event summary'!D424)))</f>
        <v>16</v>
      </c>
      <c r="I424" s="65" t="str">
        <f t="shared" si="7"/>
        <v/>
      </c>
      <c r="J424" s="66" t="str">
        <f>IF($H424=1,'Event summary'!C424,"")</f>
        <v/>
      </c>
      <c r="K424" s="66" t="str">
        <f>IF($H424=1,'Event summary'!D424,"")</f>
        <v/>
      </c>
    </row>
    <row r="425" spans="7:11" x14ac:dyDescent="0.2">
      <c r="G425" s="46">
        <f>'Event summary'!A425</f>
        <v>425</v>
      </c>
      <c r="H425" s="43">
        <f>MIN(TYPE(SEARCH($E$2,'Event summary'!C425)),TYPE(SEARCH($E$2,'Event summary'!D425)))</f>
        <v>16</v>
      </c>
      <c r="I425" s="65" t="str">
        <f t="shared" si="7"/>
        <v/>
      </c>
      <c r="J425" s="66" t="str">
        <f>IF($H425=1,'Event summary'!C425,"")</f>
        <v/>
      </c>
      <c r="K425" s="66" t="str">
        <f>IF($H425=1,'Event summary'!D425,"")</f>
        <v/>
      </c>
    </row>
    <row r="426" spans="7:11" ht="42.75" x14ac:dyDescent="0.2">
      <c r="G426" s="46">
        <f>'Event summary'!A426</f>
        <v>426</v>
      </c>
      <c r="H426" s="43">
        <f>MIN(TYPE(SEARCH($E$2,'Event summary'!C426)),TYPE(SEARCH($E$2,'Event summary'!D426)))</f>
        <v>16</v>
      </c>
      <c r="I426" s="65" t="str">
        <f t="shared" si="7"/>
        <v/>
      </c>
      <c r="J426" s="66" t="str">
        <f>IF($H426=1,'Event summary'!C426,"")</f>
        <v/>
      </c>
      <c r="K426" s="66" t="str">
        <f>IF($H426=1,'Event summary'!D426,"")</f>
        <v/>
      </c>
    </row>
    <row r="427" spans="7:11" x14ac:dyDescent="0.2">
      <c r="G427" s="46">
        <f>'Event summary'!A427</f>
        <v>427</v>
      </c>
      <c r="H427" s="43">
        <f>MIN(TYPE(SEARCH($E$2,'Event summary'!C427)),TYPE(SEARCH($E$2,'Event summary'!D427)))</f>
        <v>16</v>
      </c>
      <c r="I427" s="65" t="str">
        <f t="shared" si="7"/>
        <v/>
      </c>
      <c r="J427" s="66" t="str">
        <f>IF($H427=1,'Event summary'!C427,"")</f>
        <v/>
      </c>
      <c r="K427" s="66" t="str">
        <f>IF($H427=1,'Event summary'!D427,"")</f>
        <v/>
      </c>
    </row>
    <row r="428" spans="7:11" x14ac:dyDescent="0.2">
      <c r="G428" s="46">
        <f>'Event summary'!A428</f>
        <v>428</v>
      </c>
      <c r="H428" s="43">
        <f>MIN(TYPE(SEARCH($E$2,'Event summary'!C428)),TYPE(SEARCH($E$2,'Event summary'!D428)))</f>
        <v>16</v>
      </c>
      <c r="I428" s="65" t="str">
        <f t="shared" si="7"/>
        <v/>
      </c>
      <c r="J428" s="66" t="str">
        <f>IF($H428=1,'Event summary'!C428,"")</f>
        <v/>
      </c>
      <c r="K428" s="66" t="str">
        <f>IF($H428=1,'Event summary'!D428,"")</f>
        <v/>
      </c>
    </row>
    <row r="429" spans="7:11" ht="28.5" x14ac:dyDescent="0.2">
      <c r="G429" s="46">
        <f>'Event summary'!A429</f>
        <v>429</v>
      </c>
      <c r="H429" s="43">
        <f>MIN(TYPE(SEARCH($E$2,'Event summary'!C429)),TYPE(SEARCH($E$2,'Event summary'!D429)))</f>
        <v>16</v>
      </c>
      <c r="I429" s="65" t="str">
        <f t="shared" si="7"/>
        <v/>
      </c>
      <c r="J429" s="66" t="str">
        <f>IF($H429=1,'Event summary'!C429,"")</f>
        <v/>
      </c>
      <c r="K429" s="66" t="str">
        <f>IF($H429=1,'Event summary'!D429,"")</f>
        <v/>
      </c>
    </row>
    <row r="430" spans="7:11" ht="28.5" x14ac:dyDescent="0.2">
      <c r="G430" s="46">
        <f>'Event summary'!A430</f>
        <v>430</v>
      </c>
      <c r="H430" s="43">
        <f>MIN(TYPE(SEARCH($E$2,'Event summary'!C430)),TYPE(SEARCH($E$2,'Event summary'!D430)))</f>
        <v>16</v>
      </c>
      <c r="I430" s="65" t="str">
        <f t="shared" si="7"/>
        <v/>
      </c>
      <c r="J430" s="66" t="str">
        <f>IF($H430=1,'Event summary'!C430,"")</f>
        <v/>
      </c>
      <c r="K430" s="66" t="str">
        <f>IF($H430=1,'Event summary'!D430,"")</f>
        <v/>
      </c>
    </row>
    <row r="431" spans="7:11" x14ac:dyDescent="0.2">
      <c r="G431" s="46">
        <f>'Event summary'!A431</f>
        <v>431</v>
      </c>
      <c r="H431" s="43">
        <f>MIN(TYPE(SEARCH($E$2,'Event summary'!C431)),TYPE(SEARCH($E$2,'Event summary'!D431)))</f>
        <v>16</v>
      </c>
      <c r="I431" s="65" t="str">
        <f t="shared" si="7"/>
        <v/>
      </c>
      <c r="J431" s="66" t="str">
        <f>IF($H431=1,'Event summary'!C431,"")</f>
        <v/>
      </c>
      <c r="K431" s="66" t="str">
        <f>IF($H431=1,'Event summary'!D431,"")</f>
        <v/>
      </c>
    </row>
    <row r="432" spans="7:11" x14ac:dyDescent="0.2">
      <c r="G432" s="46">
        <f>'Event summary'!A432</f>
        <v>432</v>
      </c>
      <c r="H432" s="43">
        <f>MIN(TYPE(SEARCH($E$2,'Event summary'!C432)),TYPE(SEARCH($E$2,'Event summary'!D432)))</f>
        <v>16</v>
      </c>
      <c r="I432" s="65" t="str">
        <f t="shared" si="7"/>
        <v/>
      </c>
      <c r="J432" s="66" t="str">
        <f>IF($H432=1,'Event summary'!C432,"")</f>
        <v/>
      </c>
      <c r="K432" s="66" t="str">
        <f>IF($H432=1,'Event summary'!D432,"")</f>
        <v/>
      </c>
    </row>
    <row r="433" spans="7:11" ht="28.5" x14ac:dyDescent="0.2">
      <c r="G433" s="46">
        <f>'Event summary'!A433</f>
        <v>433</v>
      </c>
      <c r="H433" s="43">
        <f>MIN(TYPE(SEARCH($E$2,'Event summary'!C433)),TYPE(SEARCH($E$2,'Event summary'!D433)))</f>
        <v>16</v>
      </c>
      <c r="I433" s="65" t="str">
        <f t="shared" si="7"/>
        <v/>
      </c>
      <c r="J433" s="66" t="str">
        <f>IF($H433=1,'Event summary'!C433,"")</f>
        <v/>
      </c>
      <c r="K433" s="66" t="str">
        <f>IF($H433=1,'Event summary'!D433,"")</f>
        <v/>
      </c>
    </row>
    <row r="434" spans="7:11" x14ac:dyDescent="0.2">
      <c r="G434" s="46">
        <f>'Event summary'!A434</f>
        <v>434</v>
      </c>
      <c r="H434" s="43">
        <f>MIN(TYPE(SEARCH($E$2,'Event summary'!C434)),TYPE(SEARCH($E$2,'Event summary'!D434)))</f>
        <v>16</v>
      </c>
      <c r="I434" s="65" t="str">
        <f t="shared" si="7"/>
        <v/>
      </c>
      <c r="J434" s="66" t="str">
        <f>IF($H434=1,'Event summary'!C434,"")</f>
        <v/>
      </c>
      <c r="K434" s="66" t="str">
        <f>IF($H434=1,'Event summary'!D434,"")</f>
        <v/>
      </c>
    </row>
    <row r="435" spans="7:11" ht="28.5" x14ac:dyDescent="0.2">
      <c r="G435" s="46">
        <f>'Event summary'!A435</f>
        <v>435</v>
      </c>
      <c r="H435" s="43">
        <f>MIN(TYPE(SEARCH($E$2,'Event summary'!C435)),TYPE(SEARCH($E$2,'Event summary'!D435)))</f>
        <v>16</v>
      </c>
      <c r="I435" s="65" t="str">
        <f t="shared" si="7"/>
        <v/>
      </c>
      <c r="J435" s="66" t="str">
        <f>IF($H435=1,'Event summary'!C435,"")</f>
        <v/>
      </c>
      <c r="K435" s="66" t="str">
        <f>IF($H435=1,'Event summary'!D435,"")</f>
        <v/>
      </c>
    </row>
    <row r="436" spans="7:11" x14ac:dyDescent="0.2">
      <c r="G436" s="46">
        <f>'Event summary'!A436</f>
        <v>436</v>
      </c>
      <c r="H436" s="43">
        <f>MIN(TYPE(SEARCH($E$2,'Event summary'!C436)),TYPE(SEARCH($E$2,'Event summary'!D436)))</f>
        <v>16</v>
      </c>
      <c r="I436" s="65" t="str">
        <f t="shared" si="7"/>
        <v/>
      </c>
      <c r="J436" s="66" t="str">
        <f>IF($H436=1,'Event summary'!C436,"")</f>
        <v/>
      </c>
      <c r="K436" s="66" t="str">
        <f>IF($H436=1,'Event summary'!D436,"")</f>
        <v/>
      </c>
    </row>
    <row r="437" spans="7:11" ht="42.75" x14ac:dyDescent="0.2">
      <c r="G437" s="46">
        <f>'Event summary'!A437</f>
        <v>437</v>
      </c>
      <c r="H437" s="43">
        <f>MIN(TYPE(SEARCH($E$2,'Event summary'!C437)),TYPE(SEARCH($E$2,'Event summary'!D437)))</f>
        <v>16</v>
      </c>
      <c r="I437" s="65" t="str">
        <f t="shared" si="7"/>
        <v/>
      </c>
      <c r="J437" s="66" t="str">
        <f>IF($H437=1,'Event summary'!C437,"")</f>
        <v/>
      </c>
      <c r="K437" s="66" t="str">
        <f>IF($H437=1,'Event summary'!D437,"")</f>
        <v/>
      </c>
    </row>
    <row r="438" spans="7:11" x14ac:dyDescent="0.2">
      <c r="G438" s="46">
        <f>'Event summary'!A438</f>
        <v>438</v>
      </c>
      <c r="H438" s="43">
        <f>MIN(TYPE(SEARCH($E$2,'Event summary'!C438)),TYPE(SEARCH($E$2,'Event summary'!D438)))</f>
        <v>16</v>
      </c>
      <c r="I438" s="65" t="str">
        <f t="shared" si="7"/>
        <v/>
      </c>
      <c r="J438" s="66" t="str">
        <f>IF($H438=1,'Event summary'!C438,"")</f>
        <v/>
      </c>
      <c r="K438" s="66" t="str">
        <f>IF($H438=1,'Event summary'!D438,"")</f>
        <v/>
      </c>
    </row>
    <row r="439" spans="7:11" ht="42.75" x14ac:dyDescent="0.2">
      <c r="G439" s="46">
        <f>'Event summary'!A439</f>
        <v>439</v>
      </c>
      <c r="H439" s="43">
        <f>MIN(TYPE(SEARCH($E$2,'Event summary'!C439)),TYPE(SEARCH($E$2,'Event summary'!D439)))</f>
        <v>16</v>
      </c>
      <c r="I439" s="65" t="str">
        <f t="shared" si="7"/>
        <v/>
      </c>
      <c r="J439" s="66" t="str">
        <f>IF($H439=1,'Event summary'!C439,"")</f>
        <v/>
      </c>
      <c r="K439" s="66" t="str">
        <f>IF($H439=1,'Event summary'!D439,"")</f>
        <v/>
      </c>
    </row>
    <row r="440" spans="7:11" x14ac:dyDescent="0.2">
      <c r="G440" s="46">
        <f>'Event summary'!A440</f>
        <v>440</v>
      </c>
      <c r="H440" s="43">
        <f>MIN(TYPE(SEARCH($E$2,'Event summary'!C440)),TYPE(SEARCH($E$2,'Event summary'!D440)))</f>
        <v>16</v>
      </c>
      <c r="I440" s="65" t="str">
        <f t="shared" si="7"/>
        <v/>
      </c>
      <c r="J440" s="66" t="str">
        <f>IF($H440=1,'Event summary'!C440,"")</f>
        <v/>
      </c>
      <c r="K440" s="66" t="str">
        <f>IF($H440=1,'Event summary'!D440,"")</f>
        <v/>
      </c>
    </row>
    <row r="441" spans="7:11" x14ac:dyDescent="0.2">
      <c r="G441" s="46">
        <f>'Event summary'!A441</f>
        <v>441</v>
      </c>
      <c r="H441" s="43">
        <f>MIN(TYPE(SEARCH($E$2,'Event summary'!C441)),TYPE(SEARCH($E$2,'Event summary'!D441)))</f>
        <v>16</v>
      </c>
      <c r="I441" s="65" t="str">
        <f t="shared" si="7"/>
        <v/>
      </c>
      <c r="J441" s="66" t="str">
        <f>IF($H441=1,'Event summary'!C441,"")</f>
        <v/>
      </c>
      <c r="K441" s="66" t="str">
        <f>IF($H441=1,'Event summary'!D441,"")</f>
        <v/>
      </c>
    </row>
    <row r="442" spans="7:11" x14ac:dyDescent="0.2">
      <c r="G442" s="46">
        <f>'Event summary'!A442</f>
        <v>442</v>
      </c>
      <c r="H442" s="43">
        <f>MIN(TYPE(SEARCH($E$2,'Event summary'!C442)),TYPE(SEARCH($E$2,'Event summary'!D442)))</f>
        <v>16</v>
      </c>
      <c r="I442" s="65" t="str">
        <f t="shared" si="7"/>
        <v/>
      </c>
      <c r="J442" s="66" t="str">
        <f>IF($H442=1,'Event summary'!C442,"")</f>
        <v/>
      </c>
      <c r="K442" s="66" t="str">
        <f>IF($H442=1,'Event summary'!D442,"")</f>
        <v/>
      </c>
    </row>
    <row r="443" spans="7:11" x14ac:dyDescent="0.2">
      <c r="G443" s="46">
        <f>'Event summary'!A443</f>
        <v>443</v>
      </c>
      <c r="H443" s="43">
        <f>MIN(TYPE(SEARCH($E$2,'Event summary'!C443)),TYPE(SEARCH($E$2,'Event summary'!D443)))</f>
        <v>16</v>
      </c>
      <c r="I443" s="65" t="str">
        <f t="shared" si="7"/>
        <v/>
      </c>
      <c r="J443" s="66" t="str">
        <f>IF($H443=1,'Event summary'!C443,"")</f>
        <v/>
      </c>
      <c r="K443" s="66" t="str">
        <f>IF($H443=1,'Event summary'!D443,"")</f>
        <v/>
      </c>
    </row>
    <row r="444" spans="7:11" x14ac:dyDescent="0.2">
      <c r="G444" s="46">
        <f>'Event summary'!A444</f>
        <v>444</v>
      </c>
      <c r="H444" s="43">
        <f>MIN(TYPE(SEARCH($E$2,'Event summary'!C444)),TYPE(SEARCH($E$2,'Event summary'!D444)))</f>
        <v>16</v>
      </c>
      <c r="I444" s="65" t="str">
        <f t="shared" si="7"/>
        <v/>
      </c>
      <c r="J444" s="66" t="str">
        <f>IF($H444=1,'Event summary'!C444,"")</f>
        <v/>
      </c>
      <c r="K444" s="66" t="str">
        <f>IF($H444=1,'Event summary'!D444,"")</f>
        <v/>
      </c>
    </row>
    <row r="445" spans="7:11" x14ac:dyDescent="0.2">
      <c r="G445" s="46">
        <f>'Event summary'!A445</f>
        <v>445</v>
      </c>
      <c r="H445" s="43">
        <f>MIN(TYPE(SEARCH($E$2,'Event summary'!C445)),TYPE(SEARCH($E$2,'Event summary'!D445)))</f>
        <v>16</v>
      </c>
      <c r="I445" s="65" t="str">
        <f t="shared" si="7"/>
        <v/>
      </c>
      <c r="J445" s="66" t="str">
        <f>IF($H445=1,'Event summary'!C445,"")</f>
        <v/>
      </c>
      <c r="K445" s="66" t="str">
        <f>IF($H445=1,'Event summary'!D445,"")</f>
        <v/>
      </c>
    </row>
    <row r="446" spans="7:11" ht="42.75" x14ac:dyDescent="0.2">
      <c r="G446" s="46">
        <f>'Event summary'!A446</f>
        <v>446</v>
      </c>
      <c r="H446" s="43">
        <f>MIN(TYPE(SEARCH($E$2,'Event summary'!C446)),TYPE(SEARCH($E$2,'Event summary'!D446)))</f>
        <v>1</v>
      </c>
      <c r="I446" s="65" t="str">
        <f t="shared" si="7"/>
        <v>שינוי</v>
      </c>
      <c r="J446" s="66" t="str">
        <f>IF($H446=1,'Event summary'!C446,"")</f>
        <v>תקשורת לקויה - המטופלת קיבלה הדרכה על SBRT ל 5 פרקציות. היא ידעה על 30 טיפולים (מכתב סיכום מתאריך 20/6/22). נעשה שינוי ללא ידוע של המטופלת ל 15 פרקציות (מכתב סיכום מתאריך 20/7/22).</v>
      </c>
      <c r="K446" s="66" t="str">
        <f>IF($H446=1,'Event summary'!D446,"")</f>
        <v>עקב שינויים בתכנות רופא לא עדכן את המטופל באופי השינוי. יש לעדכן מטופלים על שינויי תכנון - באחריות הרופא המטפל.</v>
      </c>
    </row>
    <row r="447" spans="7:11" x14ac:dyDescent="0.2">
      <c r="G447" s="46">
        <f>'Event summary'!A447</f>
        <v>447</v>
      </c>
      <c r="H447" s="43">
        <f>MIN(TYPE(SEARCH($E$2,'Event summary'!C447)),TYPE(SEARCH($E$2,'Event summary'!D447)))</f>
        <v>16</v>
      </c>
      <c r="I447" s="65" t="str">
        <f t="shared" si="7"/>
        <v/>
      </c>
      <c r="J447" s="66" t="str">
        <f>IF($H447=1,'Event summary'!C447,"")</f>
        <v/>
      </c>
      <c r="K447" s="66" t="str">
        <f>IF($H447=1,'Event summary'!D447,"")</f>
        <v/>
      </c>
    </row>
    <row r="448" spans="7:11" x14ac:dyDescent="0.2">
      <c r="G448" s="46">
        <f>'Event summary'!A448</f>
        <v>448</v>
      </c>
      <c r="H448" s="43">
        <f>MIN(TYPE(SEARCH($E$2,'Event summary'!C448)),TYPE(SEARCH($E$2,'Event summary'!D448)))</f>
        <v>16</v>
      </c>
      <c r="I448" s="65" t="str">
        <f t="shared" si="7"/>
        <v/>
      </c>
      <c r="J448" s="66" t="str">
        <f>IF($H448=1,'Event summary'!C448,"")</f>
        <v/>
      </c>
      <c r="K448" s="66" t="str">
        <f>IF($H448=1,'Event summary'!D448,"")</f>
        <v/>
      </c>
    </row>
    <row r="449" spans="7:11" x14ac:dyDescent="0.2">
      <c r="G449" s="46">
        <f>'Event summary'!A449</f>
        <v>449</v>
      </c>
      <c r="H449" s="43">
        <f>MIN(TYPE(SEARCH($E$2,'Event summary'!C449)),TYPE(SEARCH($E$2,'Event summary'!D449)))</f>
        <v>16</v>
      </c>
      <c r="I449" s="65" t="str">
        <f t="shared" si="7"/>
        <v/>
      </c>
      <c r="J449" s="66" t="str">
        <f>IF($H449=1,'Event summary'!C449,"")</f>
        <v/>
      </c>
      <c r="K449" s="66" t="str">
        <f>IF($H449=1,'Event summary'!D449,"")</f>
        <v/>
      </c>
    </row>
    <row r="450" spans="7:11" ht="28.5" x14ac:dyDescent="0.2">
      <c r="G450" s="46">
        <f>'Event summary'!A450</f>
        <v>450</v>
      </c>
      <c r="H450" s="43">
        <f>MIN(TYPE(SEARCH($E$2,'Event summary'!C450)),TYPE(SEARCH($E$2,'Event summary'!D450)))</f>
        <v>1</v>
      </c>
      <c r="I450" s="65" t="str">
        <f t="shared" ref="I450:I513" si="8">IF(H450=1,$E$2,"")</f>
        <v>שינוי</v>
      </c>
      <c r="J450" s="66" t="str">
        <f>IF($H450=1,'Event summary'!C450,"")</f>
        <v>תקשורת לקויה - מטופל תוכנן למאיץ אחר כיוון שגודל השדה גדול מדי. הצוות הרלבנטי לא יודע בדבר השינוי ולא הותאמו התורים.</v>
      </c>
      <c r="K450" s="66" t="str">
        <f>IF($H450=1,'Event summary'!D450,"")</f>
        <v>יש ליידע זימון תורים בכל שינוי מאיץ או מועד טיפול. כמו כן על זימון תורים ליידע שינויי מועד טיפול לצוות המתכנן.</v>
      </c>
    </row>
    <row r="451" spans="7:11" ht="42.75" x14ac:dyDescent="0.2">
      <c r="G451" s="46">
        <f>'Event summary'!A451</f>
        <v>451</v>
      </c>
      <c r="H451" s="43">
        <f>MIN(TYPE(SEARCH($E$2,'Event summary'!C451)),TYPE(SEARCH($E$2,'Event summary'!D451)))</f>
        <v>16</v>
      </c>
      <c r="I451" s="65" t="str">
        <f t="shared" si="8"/>
        <v/>
      </c>
      <c r="J451" s="66" t="str">
        <f>IF($H451=1,'Event summary'!C451,"")</f>
        <v/>
      </c>
      <c r="K451" s="66" t="str">
        <f>IF($H451=1,'Event summary'!D451,"")</f>
        <v/>
      </c>
    </row>
    <row r="452" spans="7:11" ht="28.5" x14ac:dyDescent="0.2">
      <c r="G452" s="46">
        <f>'Event summary'!A452</f>
        <v>452</v>
      </c>
      <c r="H452" s="43">
        <f>MIN(TYPE(SEARCH($E$2,'Event summary'!C452)),TYPE(SEARCH($E$2,'Event summary'!D452)))</f>
        <v>16</v>
      </c>
      <c r="I452" s="65" t="str">
        <f t="shared" si="8"/>
        <v/>
      </c>
      <c r="J452" s="66" t="str">
        <f>IF($H452=1,'Event summary'!C452,"")</f>
        <v/>
      </c>
      <c r="K452" s="66" t="str">
        <f>IF($H452=1,'Event summary'!D452,"")</f>
        <v/>
      </c>
    </row>
    <row r="453" spans="7:11" ht="28.5" x14ac:dyDescent="0.2">
      <c r="G453" s="46">
        <f>'Event summary'!A453</f>
        <v>453</v>
      </c>
      <c r="H453" s="43">
        <f>MIN(TYPE(SEARCH($E$2,'Event summary'!C453)),TYPE(SEARCH($E$2,'Event summary'!D453)))</f>
        <v>16</v>
      </c>
      <c r="I453" s="65" t="str">
        <f t="shared" si="8"/>
        <v/>
      </c>
      <c r="J453" s="66" t="str">
        <f>IF($H453=1,'Event summary'!C453,"")</f>
        <v/>
      </c>
      <c r="K453" s="66" t="str">
        <f>IF($H453=1,'Event summary'!D453,"")</f>
        <v/>
      </c>
    </row>
    <row r="454" spans="7:11" x14ac:dyDescent="0.2">
      <c r="G454" s="46">
        <f>'Event summary'!A454</f>
        <v>454</v>
      </c>
      <c r="H454" s="43">
        <f>MIN(TYPE(SEARCH($E$2,'Event summary'!C454)),TYPE(SEARCH($E$2,'Event summary'!D454)))</f>
        <v>16</v>
      </c>
      <c r="I454" s="65" t="str">
        <f t="shared" si="8"/>
        <v/>
      </c>
      <c r="J454" s="66" t="str">
        <f>IF($H454=1,'Event summary'!C454,"")</f>
        <v/>
      </c>
      <c r="K454" s="66" t="str">
        <f>IF($H454=1,'Event summary'!D454,"")</f>
        <v/>
      </c>
    </row>
    <row r="455" spans="7:11" x14ac:dyDescent="0.2">
      <c r="G455" s="46">
        <f>'Event summary'!A455</f>
        <v>455</v>
      </c>
      <c r="H455" s="43">
        <f>MIN(TYPE(SEARCH($E$2,'Event summary'!C455)),TYPE(SEARCH($E$2,'Event summary'!D455)))</f>
        <v>16</v>
      </c>
      <c r="I455" s="65" t="str">
        <f t="shared" si="8"/>
        <v/>
      </c>
      <c r="J455" s="66" t="str">
        <f>IF($H455=1,'Event summary'!C455,"")</f>
        <v/>
      </c>
      <c r="K455" s="66" t="str">
        <f>IF($H455=1,'Event summary'!D455,"")</f>
        <v/>
      </c>
    </row>
    <row r="456" spans="7:11" x14ac:dyDescent="0.2">
      <c r="G456" s="46">
        <f>'Event summary'!A456</f>
        <v>456</v>
      </c>
      <c r="H456" s="43">
        <f>MIN(TYPE(SEARCH($E$2,'Event summary'!C456)),TYPE(SEARCH($E$2,'Event summary'!D456)))</f>
        <v>16</v>
      </c>
      <c r="I456" s="65" t="str">
        <f t="shared" si="8"/>
        <v/>
      </c>
      <c r="J456" s="66" t="str">
        <f>IF($H456=1,'Event summary'!C456,"")</f>
        <v/>
      </c>
      <c r="K456" s="66" t="str">
        <f>IF($H456=1,'Event summary'!D456,"")</f>
        <v/>
      </c>
    </row>
    <row r="457" spans="7:11" x14ac:dyDescent="0.2">
      <c r="G457" s="46">
        <f>'Event summary'!A457</f>
        <v>457</v>
      </c>
      <c r="H457" s="43">
        <f>MIN(TYPE(SEARCH($E$2,'Event summary'!C457)),TYPE(SEARCH($E$2,'Event summary'!D457)))</f>
        <v>16</v>
      </c>
      <c r="I457" s="65" t="str">
        <f t="shared" si="8"/>
        <v/>
      </c>
      <c r="J457" s="66" t="str">
        <f>IF($H457=1,'Event summary'!C457,"")</f>
        <v/>
      </c>
      <c r="K457" s="66" t="str">
        <f>IF($H457=1,'Event summary'!D457,"")</f>
        <v/>
      </c>
    </row>
    <row r="458" spans="7:11" x14ac:dyDescent="0.2">
      <c r="G458" s="46">
        <f>'Event summary'!A458</f>
        <v>458</v>
      </c>
      <c r="H458" s="43">
        <f>MIN(TYPE(SEARCH($E$2,'Event summary'!C458)),TYPE(SEARCH($E$2,'Event summary'!D458)))</f>
        <v>16</v>
      </c>
      <c r="I458" s="65" t="str">
        <f t="shared" si="8"/>
        <v/>
      </c>
      <c r="J458" s="66" t="str">
        <f>IF($H458=1,'Event summary'!C458,"")</f>
        <v/>
      </c>
      <c r="K458" s="66" t="str">
        <f>IF($H458=1,'Event summary'!D458,"")</f>
        <v/>
      </c>
    </row>
    <row r="459" spans="7:11" x14ac:dyDescent="0.2">
      <c r="G459" s="46">
        <f>'Event summary'!A459</f>
        <v>459</v>
      </c>
      <c r="H459" s="43">
        <f>MIN(TYPE(SEARCH($E$2,'Event summary'!C459)),TYPE(SEARCH($E$2,'Event summary'!D459)))</f>
        <v>1</v>
      </c>
      <c r="I459" s="65" t="str">
        <f t="shared" si="8"/>
        <v>שינוי</v>
      </c>
      <c r="J459" s="66" t="str">
        <f>IF($H459=1,'Event summary'!C459,"")</f>
        <v>תקשורת לקויה - המטופל ידע על 5 פרקציות כאשר בפועל היה צריך לקבל 20 פרקציות.</v>
      </c>
      <c r="K459" s="66" t="str">
        <f>IF($H459=1,'Event summary'!D459,"")</f>
        <v>רופא צריך להתקשר למטופל כאשר נעשים שינויים בתכנון.</v>
      </c>
    </row>
    <row r="460" spans="7:11" x14ac:dyDescent="0.2">
      <c r="G460" s="46">
        <f>'Event summary'!A460</f>
        <v>460</v>
      </c>
      <c r="H460" s="43">
        <f>MIN(TYPE(SEARCH($E$2,'Event summary'!C460)),TYPE(SEARCH($E$2,'Event summary'!D460)))</f>
        <v>1</v>
      </c>
      <c r="I460" s="65" t="str">
        <f t="shared" si="8"/>
        <v>שינוי</v>
      </c>
      <c r="J460" s="66" t="str">
        <f>IF($H460=1,'Event summary'!C460,"")</f>
        <v>תקשורת לקויה - מקרה לאחר חתימה, הוחזר לרופא פעם נוספת ללא הסבר.</v>
      </c>
      <c r="K460" s="66" t="str">
        <f>IF($H460=1,'Event summary'!D460,"")</f>
        <v xml:space="preserve">יש להקפיד על תקשורת נאותה בין מטפלים. פיזיקאי ירשום הערה על מהות השינויים שביצע. </v>
      </c>
    </row>
    <row r="461" spans="7:11" x14ac:dyDescent="0.2">
      <c r="G461" s="46">
        <f>'Event summary'!A461</f>
        <v>461</v>
      </c>
      <c r="H461" s="43">
        <f>MIN(TYPE(SEARCH($E$2,'Event summary'!C461)),TYPE(SEARCH($E$2,'Event summary'!D461)))</f>
        <v>1</v>
      </c>
      <c r="I461" s="65" t="str">
        <f t="shared" si="8"/>
        <v>שינוי</v>
      </c>
      <c r="J461" s="66" t="str">
        <f>IF($H461=1,'Event summary'!C461,"")</f>
        <v xml:space="preserve">מתן טיפול באופן שגוי - מטופלת קיבלה 5 טיפולים לאחר ניקור עם שינוי מורפולוגי מהותי. </v>
      </c>
      <c r="K461" s="66" t="str">
        <f>IF($H461=1,'Event summary'!D461,"")</f>
        <v>רופא ראה ואישר המשך טיפולים. בישיבה הוחלט שהיתה טעות בשיקול דעת רפואי.</v>
      </c>
    </row>
    <row r="462" spans="7:11" ht="28.5" x14ac:dyDescent="0.2">
      <c r="G462" s="46">
        <f>'Event summary'!A462</f>
        <v>462</v>
      </c>
      <c r="H462" s="43">
        <f>MIN(TYPE(SEARCH($E$2,'Event summary'!C462)),TYPE(SEARCH($E$2,'Event summary'!D462)))</f>
        <v>16</v>
      </c>
      <c r="I462" s="65" t="str">
        <f t="shared" si="8"/>
        <v/>
      </c>
      <c r="J462" s="66" t="str">
        <f>IF($H462=1,'Event summary'!C462,"")</f>
        <v/>
      </c>
      <c r="K462" s="66" t="str">
        <f>IF($H462=1,'Event summary'!D462,"")</f>
        <v/>
      </c>
    </row>
    <row r="463" spans="7:11" x14ac:dyDescent="0.2">
      <c r="G463" s="46">
        <f>'Event summary'!A463</f>
        <v>463</v>
      </c>
      <c r="H463" s="43">
        <f>MIN(TYPE(SEARCH($E$2,'Event summary'!C463)),TYPE(SEARCH($E$2,'Event summary'!D463)))</f>
        <v>16</v>
      </c>
      <c r="I463" s="65" t="str">
        <f t="shared" si="8"/>
        <v/>
      </c>
      <c r="J463" s="66" t="str">
        <f>IF($H463=1,'Event summary'!C463,"")</f>
        <v/>
      </c>
      <c r="K463" s="66" t="str">
        <f>IF($H463=1,'Event summary'!D463,"")</f>
        <v/>
      </c>
    </row>
    <row r="464" spans="7:11" x14ac:dyDescent="0.2">
      <c r="G464" s="46">
        <f>'Event summary'!A464</f>
        <v>464</v>
      </c>
      <c r="H464" s="43">
        <f>MIN(TYPE(SEARCH($E$2,'Event summary'!C464)),TYPE(SEARCH($E$2,'Event summary'!D464)))</f>
        <v>16</v>
      </c>
      <c r="I464" s="65" t="str">
        <f t="shared" si="8"/>
        <v/>
      </c>
      <c r="J464" s="66" t="str">
        <f>IF($H464=1,'Event summary'!C464,"")</f>
        <v/>
      </c>
      <c r="K464" s="66" t="str">
        <f>IF($H464=1,'Event summary'!D464,"")</f>
        <v/>
      </c>
    </row>
    <row r="465" spans="7:11" ht="42.75" x14ac:dyDescent="0.2">
      <c r="G465" s="46">
        <f>'Event summary'!A465</f>
        <v>465</v>
      </c>
      <c r="H465" s="43">
        <f>MIN(TYPE(SEARCH($E$2,'Event summary'!C465)),TYPE(SEARCH($E$2,'Event summary'!D465)))</f>
        <v>1</v>
      </c>
      <c r="I465" s="65" t="str">
        <f t="shared" si="8"/>
        <v>שינוי</v>
      </c>
      <c r="J465" s="66" t="str">
        <f>IF($H465=1,'Event summary'!C465,"")</f>
        <v>תקשורת לקויה - תכנית טיפול שונתה מ 3Gy x 10 ל- 3Gy x 5 ו- 5Gy x 2. המידע לא הועבר למאיץ ול- RTTQA. בנוסף, הייתה אי הבנה לגבי התכנון החדש אם הוא יינתן בהמשך לפרקציות שהתקבלו או במקומם. בפועל תוכננו 7 פרקציות לטיפול במקום 5.</v>
      </c>
      <c r="K465" s="66" t="str">
        <f>IF($H465=1,'Event summary'!D465,"")</f>
        <v>יוקם צוות תיאום (חמ"ל) אשר מטרתו להעביר את האינפורמציה הרלבנטית על שינויים בתכנון של מטופלים אל הצוותים הרלבנטיים. הצוות יכלול רנטגנאים ומזכירות. תקשורת בין מטפלים. הרופא המטפל ישוחח עם המתכנן והחמ"ל באופן ישיר על שינוי ומהות השינוי.</v>
      </c>
    </row>
    <row r="466" spans="7:11" x14ac:dyDescent="0.2">
      <c r="G466" s="46">
        <f>'Event summary'!A466</f>
        <v>466</v>
      </c>
      <c r="H466" s="43">
        <f>MIN(TYPE(SEARCH($E$2,'Event summary'!C466)),TYPE(SEARCH($E$2,'Event summary'!D466)))</f>
        <v>16</v>
      </c>
      <c r="I466" s="65" t="str">
        <f t="shared" si="8"/>
        <v/>
      </c>
      <c r="J466" s="66" t="str">
        <f>IF($H466=1,'Event summary'!C466,"")</f>
        <v/>
      </c>
      <c r="K466" s="66" t="str">
        <f>IF($H466=1,'Event summary'!D466,"")</f>
        <v/>
      </c>
    </row>
    <row r="467" spans="7:11" x14ac:dyDescent="0.2">
      <c r="G467" s="46">
        <f>'Event summary'!A467</f>
        <v>467</v>
      </c>
      <c r="H467" s="43">
        <f>MIN(TYPE(SEARCH($E$2,'Event summary'!C467)),TYPE(SEARCH($E$2,'Event summary'!D467)))</f>
        <v>16</v>
      </c>
      <c r="I467" s="65" t="str">
        <f t="shared" si="8"/>
        <v/>
      </c>
      <c r="J467" s="66" t="str">
        <f>IF($H467=1,'Event summary'!C467,"")</f>
        <v/>
      </c>
      <c r="K467" s="66" t="str">
        <f>IF($H467=1,'Event summary'!D467,"")</f>
        <v/>
      </c>
    </row>
    <row r="468" spans="7:11" x14ac:dyDescent="0.2">
      <c r="G468" s="46">
        <f>'Event summary'!A468</f>
        <v>468</v>
      </c>
      <c r="H468" s="43">
        <f>MIN(TYPE(SEARCH($E$2,'Event summary'!C468)),TYPE(SEARCH($E$2,'Event summary'!D468)))</f>
        <v>16</v>
      </c>
      <c r="I468" s="65" t="str">
        <f t="shared" si="8"/>
        <v/>
      </c>
      <c r="J468" s="66" t="str">
        <f>IF($H468=1,'Event summary'!C468,"")</f>
        <v/>
      </c>
      <c r="K468" s="66" t="str">
        <f>IF($H468=1,'Event summary'!D468,"")</f>
        <v/>
      </c>
    </row>
    <row r="469" spans="7:11" x14ac:dyDescent="0.2">
      <c r="G469" s="46">
        <f>'Event summary'!A469</f>
        <v>469</v>
      </c>
      <c r="H469" s="43">
        <f>MIN(TYPE(SEARCH($E$2,'Event summary'!C469)),TYPE(SEARCH($E$2,'Event summary'!D469)))</f>
        <v>1</v>
      </c>
      <c r="I469" s="65" t="str">
        <f t="shared" si="8"/>
        <v>שינוי</v>
      </c>
      <c r="J469" s="66" t="str">
        <f>IF($H469=1,'Event summary'!C469,"")</f>
        <v xml:space="preserve">תקשורת לקויה - חוסר בהירות לגבי הרופא המטפל עקב רישום  כפול. </v>
      </c>
      <c r="K469" s="66" t="str">
        <f>IF($H469=1,'Event summary'!D469,"")</f>
        <v>כל שינוי Care Path יש להעביר את מהות השינוי לחמ"ל.</v>
      </c>
    </row>
    <row r="470" spans="7:11" ht="28.5" x14ac:dyDescent="0.2">
      <c r="G470" s="46">
        <f>'Event summary'!A470</f>
        <v>470</v>
      </c>
      <c r="H470" s="43">
        <f>MIN(TYPE(SEARCH($E$2,'Event summary'!C470)),TYPE(SEARCH($E$2,'Event summary'!D470)))</f>
        <v>1</v>
      </c>
      <c r="I470" s="65" t="str">
        <f t="shared" si="8"/>
        <v>שינוי</v>
      </c>
      <c r="J470" s="66" t="str">
        <f>IF($H470=1,'Event summary'!C470,"")</f>
        <v>סריקה לא תקינה - סריקה ללא localizer. בסריקת ה- 4D לא ניתן למצוא את המרקרים למיקום המרכז.</v>
      </c>
      <c r="K470" s="66" t="str">
        <f>IF($H470=1,'Event summary'!D470,"")</f>
        <v>ללא שינוי</v>
      </c>
    </row>
    <row r="471" spans="7:11" x14ac:dyDescent="0.2">
      <c r="G471" s="46">
        <f>'Event summary'!A471</f>
        <v>471</v>
      </c>
      <c r="H471" s="43">
        <f>MIN(TYPE(SEARCH($E$2,'Event summary'!C471)),TYPE(SEARCH($E$2,'Event summary'!D471)))</f>
        <v>16</v>
      </c>
      <c r="I471" s="65" t="str">
        <f t="shared" si="8"/>
        <v/>
      </c>
      <c r="J471" s="66" t="str">
        <f>IF($H471=1,'Event summary'!C471,"")</f>
        <v/>
      </c>
      <c r="K471" s="66" t="str">
        <f>IF($H471=1,'Event summary'!D471,"")</f>
        <v/>
      </c>
    </row>
    <row r="472" spans="7:11" x14ac:dyDescent="0.2">
      <c r="G472" s="46">
        <f>'Event summary'!A472</f>
        <v>472</v>
      </c>
      <c r="H472" s="43">
        <f>MIN(TYPE(SEARCH($E$2,'Event summary'!C472)),TYPE(SEARCH($E$2,'Event summary'!D472)))</f>
        <v>16</v>
      </c>
      <c r="I472" s="65" t="str">
        <f t="shared" si="8"/>
        <v/>
      </c>
      <c r="J472" s="66" t="str">
        <f>IF($H472=1,'Event summary'!C472,"")</f>
        <v/>
      </c>
      <c r="K472" s="66" t="str">
        <f>IF($H472=1,'Event summary'!D472,"")</f>
        <v/>
      </c>
    </row>
    <row r="473" spans="7:11" x14ac:dyDescent="0.2">
      <c r="G473" s="46">
        <f>'Event summary'!A473</f>
        <v>473</v>
      </c>
      <c r="H473" s="43">
        <f>MIN(TYPE(SEARCH($E$2,'Event summary'!C473)),TYPE(SEARCH($E$2,'Event summary'!D473)))</f>
        <v>16</v>
      </c>
      <c r="I473" s="65" t="str">
        <f t="shared" si="8"/>
        <v/>
      </c>
      <c r="J473" s="66" t="str">
        <f>IF($H473=1,'Event summary'!C473,"")</f>
        <v/>
      </c>
      <c r="K473" s="66" t="str">
        <f>IF($H473=1,'Event summary'!D473,"")</f>
        <v/>
      </c>
    </row>
    <row r="474" spans="7:11" x14ac:dyDescent="0.2">
      <c r="G474" s="46">
        <f>'Event summary'!A474</f>
        <v>474</v>
      </c>
      <c r="H474" s="43">
        <f>MIN(TYPE(SEARCH($E$2,'Event summary'!C474)),TYPE(SEARCH($E$2,'Event summary'!D474)))</f>
        <v>16</v>
      </c>
      <c r="I474" s="65" t="str">
        <f t="shared" si="8"/>
        <v/>
      </c>
      <c r="J474" s="66" t="str">
        <f>IF($H474=1,'Event summary'!C474,"")</f>
        <v/>
      </c>
      <c r="K474" s="66" t="str">
        <f>IF($H474=1,'Event summary'!D474,"")</f>
        <v/>
      </c>
    </row>
    <row r="475" spans="7:11" x14ac:dyDescent="0.2">
      <c r="G475" s="46">
        <f>'Event summary'!A475</f>
        <v>475</v>
      </c>
      <c r="H475" s="43">
        <f>MIN(TYPE(SEARCH($E$2,'Event summary'!C475)),TYPE(SEARCH($E$2,'Event summary'!D475)))</f>
        <v>16</v>
      </c>
      <c r="I475" s="65" t="str">
        <f t="shared" si="8"/>
        <v/>
      </c>
      <c r="J475" s="66" t="str">
        <f>IF($H475=1,'Event summary'!C475,"")</f>
        <v/>
      </c>
      <c r="K475" s="66" t="str">
        <f>IF($H475=1,'Event summary'!D475,"")</f>
        <v/>
      </c>
    </row>
    <row r="476" spans="7:11" x14ac:dyDescent="0.2">
      <c r="G476" s="46">
        <f>'Event summary'!A476</f>
        <v>476</v>
      </c>
      <c r="H476" s="43">
        <f>MIN(TYPE(SEARCH($E$2,'Event summary'!C476)),TYPE(SEARCH($E$2,'Event summary'!D476)))</f>
        <v>16</v>
      </c>
      <c r="I476" s="65" t="str">
        <f t="shared" si="8"/>
        <v/>
      </c>
      <c r="J476" s="66" t="str">
        <f>IF($H476=1,'Event summary'!C476,"")</f>
        <v/>
      </c>
      <c r="K476" s="66" t="str">
        <f>IF($H476=1,'Event summary'!D476,"")</f>
        <v/>
      </c>
    </row>
    <row r="477" spans="7:11" ht="57" x14ac:dyDescent="0.2">
      <c r="G477" s="46">
        <f>'Event summary'!A477</f>
        <v>477</v>
      </c>
      <c r="H477" s="43">
        <f>MIN(TYPE(SEARCH($E$2,'Event summary'!C477)),TYPE(SEARCH($E$2,'Event summary'!D477)))</f>
        <v>16</v>
      </c>
      <c r="I477" s="65" t="str">
        <f t="shared" si="8"/>
        <v/>
      </c>
      <c r="J477" s="66" t="str">
        <f>IF($H477=1,'Event summary'!C477,"")</f>
        <v/>
      </c>
      <c r="K477" s="66" t="str">
        <f>IF($H477=1,'Event summary'!D477,"")</f>
        <v/>
      </c>
    </row>
    <row r="478" spans="7:11" x14ac:dyDescent="0.2">
      <c r="G478" s="46">
        <f>'Event summary'!A478</f>
        <v>478</v>
      </c>
      <c r="H478" s="43">
        <f>MIN(TYPE(SEARCH($E$2,'Event summary'!C478)),TYPE(SEARCH($E$2,'Event summary'!D478)))</f>
        <v>16</v>
      </c>
      <c r="I478" s="65" t="str">
        <f t="shared" si="8"/>
        <v/>
      </c>
      <c r="J478" s="66" t="str">
        <f>IF($H478=1,'Event summary'!C478,"")</f>
        <v/>
      </c>
      <c r="K478" s="66" t="str">
        <f>IF($H478=1,'Event summary'!D478,"")</f>
        <v/>
      </c>
    </row>
    <row r="479" spans="7:11" ht="28.5" x14ac:dyDescent="0.2">
      <c r="G479" s="46">
        <f>'Event summary'!A479</f>
        <v>479</v>
      </c>
      <c r="H479" s="43">
        <f>MIN(TYPE(SEARCH($E$2,'Event summary'!C479)),TYPE(SEARCH($E$2,'Event summary'!D479)))</f>
        <v>16</v>
      </c>
      <c r="I479" s="65" t="str">
        <f t="shared" si="8"/>
        <v/>
      </c>
      <c r="J479" s="66" t="str">
        <f>IF($H479=1,'Event summary'!C479,"")</f>
        <v/>
      </c>
      <c r="K479" s="66" t="str">
        <f>IF($H479=1,'Event summary'!D479,"")</f>
        <v/>
      </c>
    </row>
    <row r="480" spans="7:11" x14ac:dyDescent="0.2">
      <c r="G480" s="46">
        <f>'Event summary'!A480</f>
        <v>480</v>
      </c>
      <c r="H480" s="43">
        <f>MIN(TYPE(SEARCH($E$2,'Event summary'!C480)),TYPE(SEARCH($E$2,'Event summary'!D480)))</f>
        <v>16</v>
      </c>
      <c r="I480" s="65" t="str">
        <f t="shared" si="8"/>
        <v/>
      </c>
      <c r="J480" s="66" t="str">
        <f>IF($H480=1,'Event summary'!C480,"")</f>
        <v/>
      </c>
      <c r="K480" s="66" t="str">
        <f>IF($H480=1,'Event summary'!D480,"")</f>
        <v/>
      </c>
    </row>
    <row r="481" spans="7:11" x14ac:dyDescent="0.2">
      <c r="G481" s="46">
        <f>'Event summary'!A481</f>
        <v>481</v>
      </c>
      <c r="H481" s="43">
        <f>MIN(TYPE(SEARCH($E$2,'Event summary'!C481)),TYPE(SEARCH($E$2,'Event summary'!D481)))</f>
        <v>16</v>
      </c>
      <c r="I481" s="65" t="str">
        <f t="shared" si="8"/>
        <v/>
      </c>
      <c r="J481" s="66" t="str">
        <f>IF($H481=1,'Event summary'!C481,"")</f>
        <v/>
      </c>
      <c r="K481" s="66" t="str">
        <f>IF($H481=1,'Event summary'!D481,"")</f>
        <v/>
      </c>
    </row>
    <row r="482" spans="7:11" x14ac:dyDescent="0.2">
      <c r="G482" s="46">
        <f>'Event summary'!A482</f>
        <v>482</v>
      </c>
      <c r="H482" s="43">
        <f>MIN(TYPE(SEARCH($E$2,'Event summary'!C482)),TYPE(SEARCH($E$2,'Event summary'!D482)))</f>
        <v>16</v>
      </c>
      <c r="I482" s="65" t="str">
        <f t="shared" si="8"/>
        <v/>
      </c>
      <c r="J482" s="66" t="str">
        <f>IF($H482=1,'Event summary'!C482,"")</f>
        <v/>
      </c>
      <c r="K482" s="66" t="str">
        <f>IF($H482=1,'Event summary'!D482,"")</f>
        <v/>
      </c>
    </row>
    <row r="483" spans="7:11" ht="28.5" x14ac:dyDescent="0.2">
      <c r="G483" s="46">
        <f>'Event summary'!A483</f>
        <v>483</v>
      </c>
      <c r="H483" s="43">
        <f>MIN(TYPE(SEARCH($E$2,'Event summary'!C483)),TYPE(SEARCH($E$2,'Event summary'!D483)))</f>
        <v>1</v>
      </c>
      <c r="I483" s="65" t="str">
        <f t="shared" si="8"/>
        <v>שינוי</v>
      </c>
      <c r="J483" s="66" t="str">
        <f>IF($H483=1,'Event summary'!C483,"")</f>
        <v>תכנון שגוי - מטופלת לאחר הפסקת טיפול קיבלה המשך טיפולים על סימולציה ישנה. המטופלת קיבלה 6 טיפולים בסריקה זו.</v>
      </c>
      <c r="K483" s="66" t="str">
        <f>IF($H483=1,'Event summary'!D483,"")</f>
        <v xml:space="preserve">יש לבצע חישוב חדש עבור שינויים. רופא יעביר סימונים לסימולציה חדשה ויתכנן עליה.  </v>
      </c>
    </row>
    <row r="484" spans="7:11" x14ac:dyDescent="0.2">
      <c r="G484" s="46">
        <f>'Event summary'!A484</f>
        <v>484</v>
      </c>
      <c r="H484" s="43">
        <f>MIN(TYPE(SEARCH($E$2,'Event summary'!C484)),TYPE(SEARCH($E$2,'Event summary'!D484)))</f>
        <v>16</v>
      </c>
      <c r="I484" s="65" t="str">
        <f t="shared" si="8"/>
        <v/>
      </c>
      <c r="J484" s="66" t="str">
        <f>IF($H484=1,'Event summary'!C484,"")</f>
        <v/>
      </c>
      <c r="K484" s="66" t="str">
        <f>IF($H484=1,'Event summary'!D484,"")</f>
        <v/>
      </c>
    </row>
    <row r="485" spans="7:11" x14ac:dyDescent="0.2">
      <c r="G485" s="46">
        <f>'Event summary'!A485</f>
        <v>485</v>
      </c>
      <c r="H485" s="43">
        <f>MIN(TYPE(SEARCH($E$2,'Event summary'!C485)),TYPE(SEARCH($E$2,'Event summary'!D485)))</f>
        <v>16</v>
      </c>
      <c r="I485" s="65" t="str">
        <f t="shared" si="8"/>
        <v/>
      </c>
      <c r="J485" s="66" t="str">
        <f>IF($H485=1,'Event summary'!C485,"")</f>
        <v/>
      </c>
      <c r="K485" s="66" t="str">
        <f>IF($H485=1,'Event summary'!D485,"")</f>
        <v/>
      </c>
    </row>
    <row r="486" spans="7:11" x14ac:dyDescent="0.2">
      <c r="G486" s="46">
        <f>'Event summary'!A486</f>
        <v>486</v>
      </c>
      <c r="H486" s="43">
        <f>MIN(TYPE(SEARCH($E$2,'Event summary'!C486)),TYPE(SEARCH($E$2,'Event summary'!D486)))</f>
        <v>16</v>
      </c>
      <c r="I486" s="65" t="str">
        <f t="shared" si="8"/>
        <v/>
      </c>
      <c r="J486" s="66" t="str">
        <f>IF($H486=1,'Event summary'!C486,"")</f>
        <v/>
      </c>
      <c r="K486" s="66" t="str">
        <f>IF($H486=1,'Event summary'!D486,"")</f>
        <v/>
      </c>
    </row>
    <row r="487" spans="7:11" x14ac:dyDescent="0.2">
      <c r="G487" s="46">
        <f>'Event summary'!A487</f>
        <v>487</v>
      </c>
      <c r="H487" s="43">
        <f>MIN(TYPE(SEARCH($E$2,'Event summary'!C487)),TYPE(SEARCH($E$2,'Event summary'!D487)))</f>
        <v>16</v>
      </c>
      <c r="I487" s="65" t="str">
        <f t="shared" si="8"/>
        <v/>
      </c>
      <c r="J487" s="66" t="str">
        <f>IF($H487=1,'Event summary'!C487,"")</f>
        <v/>
      </c>
      <c r="K487" s="66" t="str">
        <f>IF($H487=1,'Event summary'!D487,"")</f>
        <v/>
      </c>
    </row>
    <row r="488" spans="7:11" ht="28.5" x14ac:dyDescent="0.2">
      <c r="G488" s="46">
        <f>'Event summary'!A488</f>
        <v>488</v>
      </c>
      <c r="H488" s="43">
        <f>MIN(TYPE(SEARCH($E$2,'Event summary'!C488)),TYPE(SEARCH($E$2,'Event summary'!D488)))</f>
        <v>16</v>
      </c>
      <c r="I488" s="65" t="str">
        <f t="shared" si="8"/>
        <v/>
      </c>
      <c r="J488" s="66" t="str">
        <f>IF($H488=1,'Event summary'!C488,"")</f>
        <v/>
      </c>
      <c r="K488" s="66" t="str">
        <f>IF($H488=1,'Event summary'!D488,"")</f>
        <v/>
      </c>
    </row>
    <row r="489" spans="7:11" ht="42.75" x14ac:dyDescent="0.2">
      <c r="G489" s="46">
        <f>'Event summary'!A489</f>
        <v>489</v>
      </c>
      <c r="H489" s="43">
        <f>MIN(TYPE(SEARCH($E$2,'Event summary'!C489)),TYPE(SEARCH($E$2,'Event summary'!D489)))</f>
        <v>16</v>
      </c>
      <c r="I489" s="65" t="str">
        <f t="shared" si="8"/>
        <v/>
      </c>
      <c r="J489" s="66" t="str">
        <f>IF($H489=1,'Event summary'!C489,"")</f>
        <v/>
      </c>
      <c r="K489" s="66" t="str">
        <f>IF($H489=1,'Event summary'!D489,"")</f>
        <v/>
      </c>
    </row>
    <row r="490" spans="7:11" x14ac:dyDescent="0.2">
      <c r="G490" s="46">
        <f>'Event summary'!A490</f>
        <v>490</v>
      </c>
      <c r="H490" s="43">
        <f>MIN(TYPE(SEARCH($E$2,'Event summary'!C490)),TYPE(SEARCH($E$2,'Event summary'!D490)))</f>
        <v>16</v>
      </c>
      <c r="I490" s="65" t="str">
        <f t="shared" si="8"/>
        <v/>
      </c>
      <c r="J490" s="66" t="str">
        <f>IF($H490=1,'Event summary'!C490,"")</f>
        <v/>
      </c>
      <c r="K490" s="66" t="str">
        <f>IF($H490=1,'Event summary'!D490,"")</f>
        <v/>
      </c>
    </row>
    <row r="491" spans="7:11" ht="42.75" x14ac:dyDescent="0.2">
      <c r="G491" s="46">
        <f>'Event summary'!A491</f>
        <v>491</v>
      </c>
      <c r="H491" s="43">
        <f>MIN(TYPE(SEARCH($E$2,'Event summary'!C491)),TYPE(SEARCH($E$2,'Event summary'!D491)))</f>
        <v>1</v>
      </c>
      <c r="I491" s="65" t="str">
        <f t="shared" si="8"/>
        <v>שינוי</v>
      </c>
      <c r="J491" s="66" t="str">
        <f>IF($H491=1,'Event summary'!C491,"")</f>
        <v>העברת מידע - מטופלת לאחר סימולציה חוזרת. התכנית הועתקה לסימולציה החדשה ונחתמה ללא אישור הרופא. הרופא לא עודכן לגבי הסטטוס של הטיפול. האם יש צורך בחתימה מחודשת של רופא ובאיזה אופן יש לעדכן את הרופא המטפל?</v>
      </c>
      <c r="K491" s="66" t="str">
        <f>IF($H491=1,'Event summary'!D491,"")</f>
        <v xml:space="preserve">לאחר תכנון מחודש יש להחתים רופא מחדש גם אם לא קיים שינוי מהותי במנות. </v>
      </c>
    </row>
    <row r="492" spans="7:11" ht="42.75" x14ac:dyDescent="0.2">
      <c r="G492" s="46">
        <f>'Event summary'!A492</f>
        <v>492</v>
      </c>
      <c r="H492" s="43">
        <f>MIN(TYPE(SEARCH($E$2,'Event summary'!C492)),TYPE(SEARCH($E$2,'Event summary'!D492)))</f>
        <v>1</v>
      </c>
      <c r="I492" s="65" t="str">
        <f t="shared" si="8"/>
        <v>שינוי</v>
      </c>
      <c r="J492" s="66" t="str">
        <f>IF($H492=1,'Event summary'!C492,"")</f>
        <v>תקשורת לקויה - מטופל נקרא למאיץ ותיק לא היה מוכן לאחר סימולציה חוזרת. היתה הודעה ב Pt. Alert  אשר נכתב יום לפני הטיפול. הרופא המטפל חתם על התכנית בבוקר הטיפול כאשר המטופל מוזמן לשעה 8:40.</v>
      </c>
      <c r="K492" s="66" t="str">
        <f>IF($H492=1,'Event summary'!D492,"")</f>
        <v>יש להודיע לצוות באופן ישיר לאחר שינויים בתכנית. מוצע לכתב נהל אשר מבסס את ההתקשרות בין הצוותים לאחר שינויים בתכנון. תתואם בפגישה בנושא סימולציות ראש צוואר.</v>
      </c>
    </row>
    <row r="493" spans="7:11" ht="28.5" x14ac:dyDescent="0.2">
      <c r="G493" s="46">
        <f>'Event summary'!A493</f>
        <v>493</v>
      </c>
      <c r="H493" s="43">
        <f>MIN(TYPE(SEARCH($E$2,'Event summary'!C493)),TYPE(SEARCH($E$2,'Event summary'!D493)))</f>
        <v>1</v>
      </c>
      <c r="I493" s="65" t="str">
        <f t="shared" si="8"/>
        <v>שינוי</v>
      </c>
      <c r="J493" s="66" t="str">
        <f>IF($H493=1,'Event summary'!C493,"")</f>
        <v>שגיאה בזיהוי מטופל - עקב הכנסה שגויה ידנית של פרטי מטופל לטושיבה, נוצר מטופל בעל פרטים מזהים שגויים ולא ניתן היה לשייך את הסריקה למטופל הקיים באריה.</v>
      </c>
      <c r="K493" s="66" t="str">
        <f>IF($H493=1,'Event summary'!D493,"")</f>
        <v xml:space="preserve">בסימולציה לא יהיה שינויים דמוגרפיים של מטופלים. יבוצע מיפוי של כל השמות הפיקטיביים באריה. </v>
      </c>
    </row>
    <row r="494" spans="7:11" ht="28.5" x14ac:dyDescent="0.2">
      <c r="G494" s="46">
        <f>'Event summary'!A494</f>
        <v>494</v>
      </c>
      <c r="H494" s="43">
        <f>MIN(TYPE(SEARCH($E$2,'Event summary'!C494)),TYPE(SEARCH($E$2,'Event summary'!D494)))</f>
        <v>1</v>
      </c>
      <c r="I494" s="65" t="str">
        <f t="shared" si="8"/>
        <v>שינוי</v>
      </c>
      <c r="J494" s="66" t="str">
        <f>IF($H494=1,'Event summary'!C494,"")</f>
        <v>שגיאה בזיהוי מטופל - עקב הכנסה שגויה ידנית של פרטי מטופל לטושיבה, נוצר מטופל בעל פרטים מזהים שגויים ולא ניתן היה לשייך את הסריקה למטופל הקיים באריה.</v>
      </c>
      <c r="K494" s="66" t="str">
        <f>IF($H494=1,'Event summary'!D494,"")</f>
        <v xml:space="preserve">בסימולציה לא יהיה שינויים דמוגרפיים של מטופלים. יבוצע מיפוי של כל השמות הפיקטיביים באריה. </v>
      </c>
    </row>
    <row r="495" spans="7:11" x14ac:dyDescent="0.2">
      <c r="G495" s="46">
        <f>'Event summary'!A495</f>
        <v>495</v>
      </c>
      <c r="H495" s="43">
        <f>MIN(TYPE(SEARCH($E$2,'Event summary'!C495)),TYPE(SEARCH($E$2,'Event summary'!D495)))</f>
        <v>16</v>
      </c>
      <c r="I495" s="65" t="str">
        <f t="shared" si="8"/>
        <v/>
      </c>
      <c r="J495" s="66" t="str">
        <f>IF($H495=1,'Event summary'!C495,"")</f>
        <v/>
      </c>
      <c r="K495" s="66" t="str">
        <f>IF($H495=1,'Event summary'!D495,"")</f>
        <v/>
      </c>
    </row>
    <row r="496" spans="7:11" x14ac:dyDescent="0.2">
      <c r="G496" s="46">
        <f>'Event summary'!A496</f>
        <v>496</v>
      </c>
      <c r="H496" s="43">
        <f>MIN(TYPE(SEARCH($E$2,'Event summary'!C496)),TYPE(SEARCH($E$2,'Event summary'!D496)))</f>
        <v>16</v>
      </c>
      <c r="I496" s="65" t="str">
        <f t="shared" si="8"/>
        <v/>
      </c>
      <c r="J496" s="66" t="str">
        <f>IF($H496=1,'Event summary'!C496,"")</f>
        <v/>
      </c>
      <c r="K496" s="66" t="str">
        <f>IF($H496=1,'Event summary'!D496,"")</f>
        <v/>
      </c>
    </row>
    <row r="497" spans="7:11" ht="71.25" x14ac:dyDescent="0.2">
      <c r="G497" s="46">
        <f>'Event summary'!A497</f>
        <v>497</v>
      </c>
      <c r="H497" s="43">
        <f>MIN(TYPE(SEARCH($E$2,'Event summary'!C497)),TYPE(SEARCH($E$2,'Event summary'!D497)))</f>
        <v>16</v>
      </c>
      <c r="I497" s="65" t="str">
        <f t="shared" si="8"/>
        <v/>
      </c>
      <c r="J497" s="66" t="str">
        <f>IF($H497=1,'Event summary'!C497,"")</f>
        <v/>
      </c>
      <c r="K497" s="66" t="str">
        <f>IF($H497=1,'Event summary'!D497,"")</f>
        <v/>
      </c>
    </row>
    <row r="498" spans="7:11" ht="42.75" x14ac:dyDescent="0.2">
      <c r="G498" s="46">
        <f>'Event summary'!A498</f>
        <v>498</v>
      </c>
      <c r="H498" s="43">
        <f>MIN(TYPE(SEARCH($E$2,'Event summary'!C498)),TYPE(SEARCH($E$2,'Event summary'!D498)))</f>
        <v>16</v>
      </c>
      <c r="I498" s="65" t="str">
        <f t="shared" si="8"/>
        <v/>
      </c>
      <c r="J498" s="66" t="str">
        <f>IF($H498=1,'Event summary'!C498,"")</f>
        <v/>
      </c>
      <c r="K498" s="66" t="str">
        <f>IF($H498=1,'Event summary'!D498,"")</f>
        <v/>
      </c>
    </row>
    <row r="499" spans="7:11" x14ac:dyDescent="0.2">
      <c r="G499" s="46">
        <f>'Event summary'!A499</f>
        <v>499</v>
      </c>
      <c r="H499" s="43">
        <f>MIN(TYPE(SEARCH($E$2,'Event summary'!C499)),TYPE(SEARCH($E$2,'Event summary'!D499)))</f>
        <v>16</v>
      </c>
      <c r="I499" s="65" t="str">
        <f t="shared" si="8"/>
        <v/>
      </c>
      <c r="J499" s="66" t="str">
        <f>IF($H499=1,'Event summary'!C499,"")</f>
        <v/>
      </c>
      <c r="K499" s="66" t="str">
        <f>IF($H499=1,'Event summary'!D499,"")</f>
        <v/>
      </c>
    </row>
    <row r="500" spans="7:11" ht="28.5" x14ac:dyDescent="0.2">
      <c r="G500" s="46">
        <f>'Event summary'!A500</f>
        <v>500</v>
      </c>
      <c r="H500" s="43">
        <f>MIN(TYPE(SEARCH($E$2,'Event summary'!C500)),TYPE(SEARCH($E$2,'Event summary'!D500)))</f>
        <v>16</v>
      </c>
      <c r="I500" s="65" t="str">
        <f t="shared" si="8"/>
        <v/>
      </c>
      <c r="J500" s="66" t="str">
        <f>IF($H500=1,'Event summary'!C500,"")</f>
        <v/>
      </c>
      <c r="K500" s="66" t="str">
        <f>IF($H500=1,'Event summary'!D500,"")</f>
        <v/>
      </c>
    </row>
    <row r="501" spans="7:11" x14ac:dyDescent="0.2">
      <c r="G501" s="46">
        <f>'Event summary'!A501</f>
        <v>501</v>
      </c>
      <c r="H501" s="43">
        <f>MIN(TYPE(SEARCH($E$2,'Event summary'!C501)),TYPE(SEARCH($E$2,'Event summary'!D501)))</f>
        <v>16</v>
      </c>
      <c r="I501" s="65" t="str">
        <f t="shared" si="8"/>
        <v/>
      </c>
      <c r="J501" s="66" t="str">
        <f>IF($H501=1,'Event summary'!C501,"")</f>
        <v/>
      </c>
      <c r="K501" s="66" t="str">
        <f>IF($H501=1,'Event summary'!D501,"")</f>
        <v/>
      </c>
    </row>
    <row r="502" spans="7:11" ht="42.75" x14ac:dyDescent="0.2">
      <c r="G502" s="46">
        <f>'Event summary'!A502</f>
        <v>502</v>
      </c>
      <c r="H502" s="43">
        <f>MIN(TYPE(SEARCH($E$2,'Event summary'!C502)),TYPE(SEARCH($E$2,'Event summary'!D502)))</f>
        <v>16</v>
      </c>
      <c r="I502" s="65" t="str">
        <f t="shared" si="8"/>
        <v/>
      </c>
      <c r="J502" s="66" t="str">
        <f>IF($H502=1,'Event summary'!C502,"")</f>
        <v/>
      </c>
      <c r="K502" s="66" t="str">
        <f>IF($H502=1,'Event summary'!D502,"")</f>
        <v/>
      </c>
    </row>
    <row r="503" spans="7:11" x14ac:dyDescent="0.2">
      <c r="G503" s="46">
        <f>'Event summary'!A503</f>
        <v>503</v>
      </c>
      <c r="H503" s="43">
        <f>MIN(TYPE(SEARCH($E$2,'Event summary'!C503)),TYPE(SEARCH($E$2,'Event summary'!D503)))</f>
        <v>16</v>
      </c>
      <c r="I503" s="65" t="str">
        <f t="shared" si="8"/>
        <v/>
      </c>
      <c r="J503" s="66" t="str">
        <f>IF($H503=1,'Event summary'!C503,"")</f>
        <v/>
      </c>
      <c r="K503" s="66" t="str">
        <f>IF($H503=1,'Event summary'!D503,"")</f>
        <v/>
      </c>
    </row>
    <row r="504" spans="7:11" x14ac:dyDescent="0.2">
      <c r="G504" s="46">
        <f>'Event summary'!A504</f>
        <v>504</v>
      </c>
      <c r="H504" s="43">
        <f>MIN(TYPE(SEARCH($E$2,'Event summary'!C504)),TYPE(SEARCH($E$2,'Event summary'!D504)))</f>
        <v>16</v>
      </c>
      <c r="I504" s="65" t="str">
        <f t="shared" si="8"/>
        <v/>
      </c>
      <c r="J504" s="66" t="str">
        <f>IF($H504=1,'Event summary'!C504,"")</f>
        <v/>
      </c>
      <c r="K504" s="66" t="str">
        <f>IF($H504=1,'Event summary'!D504,"")</f>
        <v/>
      </c>
    </row>
    <row r="505" spans="7:11" ht="42.75" x14ac:dyDescent="0.2">
      <c r="G505" s="46">
        <f>'Event summary'!A505</f>
        <v>505</v>
      </c>
      <c r="H505" s="43">
        <f>MIN(TYPE(SEARCH($E$2,'Event summary'!C505)),TYPE(SEARCH($E$2,'Event summary'!D505)))</f>
        <v>16</v>
      </c>
      <c r="I505" s="65" t="str">
        <f t="shared" si="8"/>
        <v/>
      </c>
      <c r="J505" s="66" t="str">
        <f>IF($H505=1,'Event summary'!C505,"")</f>
        <v/>
      </c>
      <c r="K505" s="66" t="str">
        <f>IF($H505=1,'Event summary'!D505,"")</f>
        <v/>
      </c>
    </row>
    <row r="506" spans="7:11" x14ac:dyDescent="0.2">
      <c r="G506" s="46">
        <f>'Event summary'!A506</f>
        <v>506</v>
      </c>
      <c r="H506" s="43">
        <f>MIN(TYPE(SEARCH($E$2,'Event summary'!C506)),TYPE(SEARCH($E$2,'Event summary'!D506)))</f>
        <v>16</v>
      </c>
      <c r="I506" s="65" t="str">
        <f t="shared" si="8"/>
        <v/>
      </c>
      <c r="J506" s="66" t="str">
        <f>IF($H506=1,'Event summary'!C506,"")</f>
        <v/>
      </c>
      <c r="K506" s="66" t="str">
        <f>IF($H506=1,'Event summary'!D506,"")</f>
        <v/>
      </c>
    </row>
    <row r="507" spans="7:11" x14ac:dyDescent="0.2">
      <c r="G507" s="46">
        <f>'Event summary'!A507</f>
        <v>507</v>
      </c>
      <c r="H507" s="43">
        <f>MIN(TYPE(SEARCH($E$2,'Event summary'!C507)),TYPE(SEARCH($E$2,'Event summary'!D507)))</f>
        <v>16</v>
      </c>
      <c r="I507" s="65" t="str">
        <f t="shared" si="8"/>
        <v/>
      </c>
      <c r="J507" s="66" t="str">
        <f>IF($H507=1,'Event summary'!C507,"")</f>
        <v/>
      </c>
      <c r="K507" s="66" t="str">
        <f>IF($H507=1,'Event summary'!D507,"")</f>
        <v/>
      </c>
    </row>
    <row r="508" spans="7:11" ht="28.5" x14ac:dyDescent="0.2">
      <c r="G508" s="46">
        <f>'Event summary'!A508</f>
        <v>508</v>
      </c>
      <c r="H508" s="43">
        <f>MIN(TYPE(SEARCH($E$2,'Event summary'!C508)),TYPE(SEARCH($E$2,'Event summary'!D508)))</f>
        <v>1</v>
      </c>
      <c r="I508" s="65" t="str">
        <f t="shared" si="8"/>
        <v>שינוי</v>
      </c>
      <c r="J508" s="66" t="str">
        <f>IF($H508=1,'Event summary'!C508,"")</f>
        <v>עיכוב במתן טיפול - מטופל מאושפז המתין לטיפול כשעה כיוון שבישיבת QA הוחלט על שינוי התכנית.</v>
      </c>
      <c r="K508" s="66" t="str">
        <f>IF($H508=1,'Event summary'!D508,"")</f>
        <v>אם תכנית לא מאושרת יש לבדוק איפה התיק בתהליך וליידע את איש הצוות הרלבנטי. RTTQA תשתתף בישיבת QA ביום שלישי.</v>
      </c>
    </row>
    <row r="509" spans="7:11" x14ac:dyDescent="0.2">
      <c r="G509" s="46">
        <f>'Event summary'!A509</f>
        <v>509</v>
      </c>
      <c r="H509" s="43">
        <f>MIN(TYPE(SEARCH($E$2,'Event summary'!C509)),TYPE(SEARCH($E$2,'Event summary'!D509)))</f>
        <v>16</v>
      </c>
      <c r="I509" s="65" t="str">
        <f t="shared" si="8"/>
        <v/>
      </c>
      <c r="J509" s="66" t="str">
        <f>IF($H509=1,'Event summary'!C509,"")</f>
        <v/>
      </c>
      <c r="K509" s="66" t="str">
        <f>IF($H509=1,'Event summary'!D509,"")</f>
        <v/>
      </c>
    </row>
    <row r="510" spans="7:11" ht="28.5" x14ac:dyDescent="0.2">
      <c r="G510" s="46">
        <f>'Event summary'!A510</f>
        <v>510</v>
      </c>
      <c r="H510" s="43">
        <f>MIN(TYPE(SEARCH($E$2,'Event summary'!C510)),TYPE(SEARCH($E$2,'Event summary'!D510)))</f>
        <v>16</v>
      </c>
      <c r="I510" s="65" t="str">
        <f t="shared" si="8"/>
        <v/>
      </c>
      <c r="J510" s="66" t="str">
        <f>IF($H510=1,'Event summary'!C510,"")</f>
        <v/>
      </c>
      <c r="K510" s="66" t="str">
        <f>IF($H510=1,'Event summary'!D510,"")</f>
        <v/>
      </c>
    </row>
    <row r="511" spans="7:11" x14ac:dyDescent="0.2">
      <c r="G511" s="46">
        <f>'Event summary'!A511</f>
        <v>511</v>
      </c>
      <c r="H511" s="43">
        <f>MIN(TYPE(SEARCH($E$2,'Event summary'!C511)),TYPE(SEARCH($E$2,'Event summary'!D511)))</f>
        <v>16</v>
      </c>
      <c r="I511" s="65" t="str">
        <f t="shared" si="8"/>
        <v/>
      </c>
      <c r="J511" s="66" t="str">
        <f>IF($H511=1,'Event summary'!C511,"")</f>
        <v/>
      </c>
      <c r="K511" s="66" t="str">
        <f>IF($H511=1,'Event summary'!D511,"")</f>
        <v/>
      </c>
    </row>
    <row r="512" spans="7:11" x14ac:dyDescent="0.2">
      <c r="G512" s="46">
        <f>'Event summary'!A512</f>
        <v>512</v>
      </c>
      <c r="H512" s="43">
        <f>MIN(TYPE(SEARCH($E$2,'Event summary'!C512)),TYPE(SEARCH($E$2,'Event summary'!D512)))</f>
        <v>16</v>
      </c>
      <c r="I512" s="65" t="str">
        <f t="shared" si="8"/>
        <v/>
      </c>
      <c r="J512" s="66" t="str">
        <f>IF($H512=1,'Event summary'!C512,"")</f>
        <v/>
      </c>
      <c r="K512" s="66" t="str">
        <f>IF($H512=1,'Event summary'!D512,"")</f>
        <v/>
      </c>
    </row>
    <row r="513" spans="7:11" x14ac:dyDescent="0.2">
      <c r="G513" s="46">
        <f>'Event summary'!A513</f>
        <v>513</v>
      </c>
      <c r="H513" s="43">
        <f>MIN(TYPE(SEARCH($E$2,'Event summary'!C513)),TYPE(SEARCH($E$2,'Event summary'!D513)))</f>
        <v>16</v>
      </c>
      <c r="I513" s="65" t="str">
        <f t="shared" si="8"/>
        <v/>
      </c>
      <c r="J513" s="66" t="str">
        <f>IF($H513=1,'Event summary'!C513,"")</f>
        <v/>
      </c>
      <c r="K513" s="66" t="str">
        <f>IF($H513=1,'Event summary'!D513,"")</f>
        <v/>
      </c>
    </row>
    <row r="514" spans="7:11" x14ac:dyDescent="0.2">
      <c r="G514" s="46">
        <f>'Event summary'!A514</f>
        <v>514</v>
      </c>
      <c r="H514" s="43">
        <f>MIN(TYPE(SEARCH($E$2,'Event summary'!C514)),TYPE(SEARCH($E$2,'Event summary'!D514)))</f>
        <v>16</v>
      </c>
      <c r="I514" s="65" t="str">
        <f t="shared" ref="I514:I577" si="9">IF(H514=1,$E$2,"")</f>
        <v/>
      </c>
      <c r="J514" s="66" t="str">
        <f>IF($H514=1,'Event summary'!C514,"")</f>
        <v/>
      </c>
      <c r="K514" s="66" t="str">
        <f>IF($H514=1,'Event summary'!D514,"")</f>
        <v/>
      </c>
    </row>
    <row r="515" spans="7:11" x14ac:dyDescent="0.2">
      <c r="G515" s="46">
        <f>'Event summary'!A515</f>
        <v>515</v>
      </c>
      <c r="H515" s="43">
        <f>MIN(TYPE(SEARCH($E$2,'Event summary'!C515)),TYPE(SEARCH($E$2,'Event summary'!D515)))</f>
        <v>16</v>
      </c>
      <c r="I515" s="65" t="str">
        <f t="shared" si="9"/>
        <v/>
      </c>
      <c r="J515" s="66" t="str">
        <f>IF($H515=1,'Event summary'!C515,"")</f>
        <v/>
      </c>
      <c r="K515" s="66" t="str">
        <f>IF($H515=1,'Event summary'!D515,"")</f>
        <v/>
      </c>
    </row>
    <row r="516" spans="7:11" ht="28.5" x14ac:dyDescent="0.2">
      <c r="G516" s="46">
        <f>'Event summary'!A516</f>
        <v>516</v>
      </c>
      <c r="H516" s="43">
        <f>MIN(TYPE(SEARCH($E$2,'Event summary'!C516)),TYPE(SEARCH($E$2,'Event summary'!D516)))</f>
        <v>1</v>
      </c>
      <c r="I516" s="65" t="str">
        <f t="shared" si="9"/>
        <v>שינוי</v>
      </c>
      <c r="J516" s="66" t="str">
        <f>IF($H516=1,'Event summary'!C516,"")</f>
        <v>תיקשורת לקויה - מטופלת הגיעה לטיפול כשהתיק לא מוכן. הרופא אמר לה לבוא במידה ולא מתקשרים אליה.</v>
      </c>
      <c r="K516" s="66" t="str">
        <f>IF($H516=1,'Event summary'!D516,"")</f>
        <v>רופא ופיזיקאי צריכים ליידע את המזכירות לגבי שינויי מועד טיפול על מנת שיתקשרו למטופל.</v>
      </c>
    </row>
    <row r="517" spans="7:11" ht="42.75" x14ac:dyDescent="0.2">
      <c r="G517" s="46">
        <f>'Event summary'!A517</f>
        <v>517</v>
      </c>
      <c r="H517" s="43">
        <f>MIN(TYPE(SEARCH($E$2,'Event summary'!C517)),TYPE(SEARCH($E$2,'Event summary'!D517)))</f>
        <v>1</v>
      </c>
      <c r="I517" s="65" t="str">
        <f t="shared" si="9"/>
        <v>שינוי</v>
      </c>
      <c r="J517" s="66" t="str">
        <f>IF($H517=1,'Event summary'!C517,"")</f>
        <v>תקשורת לקויה - מטופלת הוזמנה לסימון קליני לא היה מרשם לטיפול. למטופלת היה קוצב בעבר ולא נעשה בירור בנושא. המטופלת נשלחה לביתה ע"י רופא לפני התור שלה. חוסר התקשורת בין הצוות המטפל למטופלת הורגש, ונוצר תסכול.</v>
      </c>
      <c r="K517" s="66" t="str">
        <f>IF($H517=1,'Event summary'!D517,"")</f>
        <v>מטופלים חוזרים שקיבלו טיפול בעבר, ישובצו חזרה אל הרופא המטפל המקורי. יש לידע זימון תורים לגבי שינויים בתכנית טיפול.</v>
      </c>
    </row>
    <row r="518" spans="7:11" ht="28.5" x14ac:dyDescent="0.2">
      <c r="G518" s="46">
        <f>'Event summary'!A518</f>
        <v>518</v>
      </c>
      <c r="H518" s="43">
        <f>MIN(TYPE(SEARCH($E$2,'Event summary'!C518)),TYPE(SEARCH($E$2,'Event summary'!D518)))</f>
        <v>1</v>
      </c>
      <c r="I518" s="65" t="str">
        <f t="shared" si="9"/>
        <v>שינוי</v>
      </c>
      <c r="J518" s="66" t="str">
        <f>IF($H518=1,'Event summary'!C518,"")</f>
        <v>סריקה לא תקינה - מטופל עבר סימולציה חוזרת למפשעה עקב שינוי מורפולוגי של הגידול. הסריקה בוצעה כשהפין אינו מוסט לצד הנגדי ונכנס לשדה הטיפול.</v>
      </c>
      <c r="K518" s="66" t="str">
        <f>IF($H518=1,'Event summary'!D518,"")</f>
        <v>יש למלא הנחיות מלאות לסימולציה בטופס סימולציה באריה.</v>
      </c>
    </row>
    <row r="519" spans="7:11" x14ac:dyDescent="0.2">
      <c r="G519" s="46">
        <f>'Event summary'!A519</f>
        <v>519</v>
      </c>
      <c r="H519" s="43">
        <f>MIN(TYPE(SEARCH($E$2,'Event summary'!C519)),TYPE(SEARCH($E$2,'Event summary'!D519)))</f>
        <v>16</v>
      </c>
      <c r="I519" s="65" t="str">
        <f t="shared" si="9"/>
        <v/>
      </c>
      <c r="J519" s="66" t="str">
        <f>IF($H519=1,'Event summary'!C519,"")</f>
        <v/>
      </c>
      <c r="K519" s="66" t="str">
        <f>IF($H519=1,'Event summary'!D519,"")</f>
        <v/>
      </c>
    </row>
    <row r="520" spans="7:11" x14ac:dyDescent="0.2">
      <c r="G520" s="46">
        <f>'Event summary'!A520</f>
        <v>520</v>
      </c>
      <c r="H520" s="43">
        <f>MIN(TYPE(SEARCH($E$2,'Event summary'!C520)),TYPE(SEARCH($E$2,'Event summary'!D520)))</f>
        <v>16</v>
      </c>
      <c r="I520" s="65" t="str">
        <f t="shared" si="9"/>
        <v/>
      </c>
      <c r="J520" s="66" t="str">
        <f>IF($H520=1,'Event summary'!C520,"")</f>
        <v/>
      </c>
      <c r="K520" s="66" t="str">
        <f>IF($H520=1,'Event summary'!D520,"")</f>
        <v/>
      </c>
    </row>
    <row r="521" spans="7:11" x14ac:dyDescent="0.2">
      <c r="G521" s="46">
        <f>'Event summary'!A521</f>
        <v>521</v>
      </c>
      <c r="H521" s="43">
        <f>MIN(TYPE(SEARCH($E$2,'Event summary'!C521)),TYPE(SEARCH($E$2,'Event summary'!D521)))</f>
        <v>16</v>
      </c>
      <c r="I521" s="65" t="str">
        <f t="shared" si="9"/>
        <v/>
      </c>
      <c r="J521" s="66" t="str">
        <f>IF($H521=1,'Event summary'!C521,"")</f>
        <v/>
      </c>
      <c r="K521" s="66" t="str">
        <f>IF($H521=1,'Event summary'!D521,"")</f>
        <v/>
      </c>
    </row>
    <row r="522" spans="7:11" ht="28.5" x14ac:dyDescent="0.2">
      <c r="G522" s="46">
        <f>'Event summary'!A522</f>
        <v>522</v>
      </c>
      <c r="H522" s="43">
        <f>MIN(TYPE(SEARCH($E$2,'Event summary'!C522)),TYPE(SEARCH($E$2,'Event summary'!D522)))</f>
        <v>16</v>
      </c>
      <c r="I522" s="65" t="str">
        <f t="shared" si="9"/>
        <v/>
      </c>
      <c r="J522" s="66" t="str">
        <f>IF($H522=1,'Event summary'!C522,"")</f>
        <v/>
      </c>
      <c r="K522" s="66" t="str">
        <f>IF($H522=1,'Event summary'!D522,"")</f>
        <v/>
      </c>
    </row>
    <row r="523" spans="7:11" x14ac:dyDescent="0.2">
      <c r="G523" s="46">
        <f>'Event summary'!A523</f>
        <v>523</v>
      </c>
      <c r="H523" s="43">
        <f>MIN(TYPE(SEARCH($E$2,'Event summary'!C523)),TYPE(SEARCH($E$2,'Event summary'!D523)))</f>
        <v>16</v>
      </c>
      <c r="I523" s="65" t="str">
        <f t="shared" si="9"/>
        <v/>
      </c>
      <c r="J523" s="66" t="str">
        <f>IF($H523=1,'Event summary'!C523,"")</f>
        <v/>
      </c>
      <c r="K523" s="66" t="str">
        <f>IF($H523=1,'Event summary'!D523,"")</f>
        <v/>
      </c>
    </row>
    <row r="524" spans="7:11" x14ac:dyDescent="0.2">
      <c r="G524" s="46">
        <f>'Event summary'!A524</f>
        <v>524</v>
      </c>
      <c r="H524" s="43">
        <f>MIN(TYPE(SEARCH($E$2,'Event summary'!C524)),TYPE(SEARCH($E$2,'Event summary'!D524)))</f>
        <v>16</v>
      </c>
      <c r="I524" s="65" t="str">
        <f t="shared" si="9"/>
        <v/>
      </c>
      <c r="J524" s="66" t="str">
        <f>IF($H524=1,'Event summary'!C524,"")</f>
        <v/>
      </c>
      <c r="K524" s="66" t="str">
        <f>IF($H524=1,'Event summary'!D524,"")</f>
        <v/>
      </c>
    </row>
    <row r="525" spans="7:11" x14ac:dyDescent="0.2">
      <c r="G525" s="46">
        <f>'Event summary'!A525</f>
        <v>525</v>
      </c>
      <c r="H525" s="43">
        <f>MIN(TYPE(SEARCH($E$2,'Event summary'!C525)),TYPE(SEARCH($E$2,'Event summary'!D525)))</f>
        <v>16</v>
      </c>
      <c r="I525" s="65" t="str">
        <f t="shared" si="9"/>
        <v/>
      </c>
      <c r="J525" s="66" t="str">
        <f>IF($H525=1,'Event summary'!C525,"")</f>
        <v/>
      </c>
      <c r="K525" s="66" t="str">
        <f>IF($H525=1,'Event summary'!D525,"")</f>
        <v/>
      </c>
    </row>
    <row r="526" spans="7:11" x14ac:dyDescent="0.2">
      <c r="G526" s="46">
        <f>'Event summary'!A526</f>
        <v>526</v>
      </c>
      <c r="H526" s="43">
        <f>MIN(TYPE(SEARCH($E$2,'Event summary'!C526)),TYPE(SEARCH($E$2,'Event summary'!D526)))</f>
        <v>16</v>
      </c>
      <c r="I526" s="65" t="str">
        <f t="shared" si="9"/>
        <v/>
      </c>
      <c r="J526" s="66" t="str">
        <f>IF($H526=1,'Event summary'!C526,"")</f>
        <v/>
      </c>
      <c r="K526" s="66" t="str">
        <f>IF($H526=1,'Event summary'!D526,"")</f>
        <v/>
      </c>
    </row>
    <row r="527" spans="7:11" x14ac:dyDescent="0.2">
      <c r="G527" s="46">
        <f>'Event summary'!A527</f>
        <v>527</v>
      </c>
      <c r="H527" s="43">
        <f>MIN(TYPE(SEARCH($E$2,'Event summary'!C527)),TYPE(SEARCH($E$2,'Event summary'!D527)))</f>
        <v>16</v>
      </c>
      <c r="I527" s="65" t="str">
        <f t="shared" si="9"/>
        <v/>
      </c>
      <c r="J527" s="66" t="str">
        <f>IF($H527=1,'Event summary'!C527,"")</f>
        <v/>
      </c>
      <c r="K527" s="66" t="str">
        <f>IF($H527=1,'Event summary'!D527,"")</f>
        <v/>
      </c>
    </row>
    <row r="528" spans="7:11" x14ac:dyDescent="0.2">
      <c r="G528" s="46">
        <f>'Event summary'!A528</f>
        <v>528</v>
      </c>
      <c r="H528" s="43">
        <f>MIN(TYPE(SEARCH($E$2,'Event summary'!C528)),TYPE(SEARCH($E$2,'Event summary'!D528)))</f>
        <v>16</v>
      </c>
      <c r="I528" s="65" t="str">
        <f t="shared" si="9"/>
        <v/>
      </c>
      <c r="J528" s="66" t="str">
        <f>IF($H528=1,'Event summary'!C528,"")</f>
        <v/>
      </c>
      <c r="K528" s="66" t="str">
        <f>IF($H528=1,'Event summary'!D528,"")</f>
        <v/>
      </c>
    </row>
    <row r="529" spans="7:11" x14ac:dyDescent="0.2">
      <c r="G529" s="46">
        <f>'Event summary'!A529</f>
        <v>529</v>
      </c>
      <c r="H529" s="43">
        <f>MIN(TYPE(SEARCH($E$2,'Event summary'!C529)),TYPE(SEARCH($E$2,'Event summary'!D529)))</f>
        <v>16</v>
      </c>
      <c r="I529" s="65" t="str">
        <f t="shared" si="9"/>
        <v/>
      </c>
      <c r="J529" s="66" t="str">
        <f>IF($H529=1,'Event summary'!C529,"")</f>
        <v/>
      </c>
      <c r="K529" s="66" t="str">
        <f>IF($H529=1,'Event summary'!D529,"")</f>
        <v/>
      </c>
    </row>
    <row r="530" spans="7:11" ht="28.5" x14ac:dyDescent="0.2">
      <c r="G530" s="46">
        <f>'Event summary'!A530</f>
        <v>530</v>
      </c>
      <c r="H530" s="43">
        <f>MIN(TYPE(SEARCH($E$2,'Event summary'!C530)),TYPE(SEARCH($E$2,'Event summary'!D530)))</f>
        <v>16</v>
      </c>
      <c r="I530" s="65" t="str">
        <f t="shared" si="9"/>
        <v/>
      </c>
      <c r="J530" s="66" t="str">
        <f>IF($H530=1,'Event summary'!C530,"")</f>
        <v/>
      </c>
      <c r="K530" s="66" t="str">
        <f>IF($H530=1,'Event summary'!D530,"")</f>
        <v/>
      </c>
    </row>
    <row r="531" spans="7:11" ht="28.5" x14ac:dyDescent="0.2">
      <c r="G531" s="46">
        <f>'Event summary'!A531</f>
        <v>531</v>
      </c>
      <c r="H531" s="43">
        <f>MIN(TYPE(SEARCH($E$2,'Event summary'!C531)),TYPE(SEARCH($E$2,'Event summary'!D531)))</f>
        <v>16</v>
      </c>
      <c r="I531" s="65" t="str">
        <f t="shared" si="9"/>
        <v/>
      </c>
      <c r="J531" s="66" t="str">
        <f>IF($H531=1,'Event summary'!C531,"")</f>
        <v/>
      </c>
      <c r="K531" s="66" t="str">
        <f>IF($H531=1,'Event summary'!D531,"")</f>
        <v/>
      </c>
    </row>
    <row r="532" spans="7:11" x14ac:dyDescent="0.2">
      <c r="G532" s="46">
        <f>'Event summary'!A532</f>
        <v>532</v>
      </c>
      <c r="H532" s="43">
        <f>MIN(TYPE(SEARCH($E$2,'Event summary'!C532)),TYPE(SEARCH($E$2,'Event summary'!D532)))</f>
        <v>16</v>
      </c>
      <c r="I532" s="65" t="str">
        <f t="shared" si="9"/>
        <v/>
      </c>
      <c r="J532" s="66" t="str">
        <f>IF($H532=1,'Event summary'!C532,"")</f>
        <v/>
      </c>
      <c r="K532" s="66" t="str">
        <f>IF($H532=1,'Event summary'!D532,"")</f>
        <v/>
      </c>
    </row>
    <row r="533" spans="7:11" x14ac:dyDescent="0.2">
      <c r="G533" s="46">
        <f>'Event summary'!A533</f>
        <v>533</v>
      </c>
      <c r="H533" s="43">
        <f>MIN(TYPE(SEARCH($E$2,'Event summary'!C533)),TYPE(SEARCH($E$2,'Event summary'!D533)))</f>
        <v>16</v>
      </c>
      <c r="I533" s="65" t="str">
        <f t="shared" si="9"/>
        <v/>
      </c>
      <c r="J533" s="66" t="str">
        <f>IF($H533=1,'Event summary'!C533,"")</f>
        <v/>
      </c>
      <c r="K533" s="66" t="str">
        <f>IF($H533=1,'Event summary'!D533,"")</f>
        <v/>
      </c>
    </row>
    <row r="534" spans="7:11" ht="28.5" x14ac:dyDescent="0.2">
      <c r="G534" s="46">
        <f>'Event summary'!A534</f>
        <v>534</v>
      </c>
      <c r="H534" s="43">
        <f>MIN(TYPE(SEARCH($E$2,'Event summary'!C534)),TYPE(SEARCH($E$2,'Event summary'!D534)))</f>
        <v>1</v>
      </c>
      <c r="I534" s="65" t="str">
        <f t="shared" si="9"/>
        <v>שינוי</v>
      </c>
      <c r="J534" s="66" t="str">
        <f>IF($H534=1,'Event summary'!C534,"")</f>
        <v>תכנון שגוי - מטופל לא קיבל תוספת אלקטרונים לאיבר המין במהלך כל סדרת הטיפולים. היה קיים מרשם מתאים.</v>
      </c>
      <c r="K534" s="66" t="str">
        <f>IF($H534=1,'Event summary'!D534,"")</f>
        <v>במקרה של תוספת סימון קליני RTTQA צריך להוסיף תעוד לרנטגנאים במאיץ. במקרה והיתה החלטה מקדימה על שינוי, יש לתעד ולפעול ע"י מחיקה/שינוי של המרשם.</v>
      </c>
    </row>
    <row r="535" spans="7:11" ht="42.75" x14ac:dyDescent="0.2">
      <c r="G535" s="46">
        <f>'Event summary'!A535</f>
        <v>535</v>
      </c>
      <c r="H535" s="43">
        <f>MIN(TYPE(SEARCH($E$2,'Event summary'!C535)),TYPE(SEARCH($E$2,'Event summary'!D535)))</f>
        <v>16</v>
      </c>
      <c r="I535" s="65" t="str">
        <f t="shared" si="9"/>
        <v/>
      </c>
      <c r="J535" s="66" t="str">
        <f>IF($H535=1,'Event summary'!C535,"")</f>
        <v/>
      </c>
      <c r="K535" s="66" t="str">
        <f>IF($H535=1,'Event summary'!D535,"")</f>
        <v/>
      </c>
    </row>
    <row r="536" spans="7:11" x14ac:dyDescent="0.2">
      <c r="G536" s="46">
        <f>'Event summary'!A536</f>
        <v>536</v>
      </c>
      <c r="H536" s="43">
        <f>MIN(TYPE(SEARCH($E$2,'Event summary'!C536)),TYPE(SEARCH($E$2,'Event summary'!D536)))</f>
        <v>16</v>
      </c>
      <c r="I536" s="65" t="str">
        <f t="shared" si="9"/>
        <v/>
      </c>
      <c r="J536" s="66" t="str">
        <f>IF($H536=1,'Event summary'!C536,"")</f>
        <v/>
      </c>
      <c r="K536" s="66" t="str">
        <f>IF($H536=1,'Event summary'!D536,"")</f>
        <v/>
      </c>
    </row>
    <row r="537" spans="7:11" x14ac:dyDescent="0.2">
      <c r="G537" s="46">
        <f>'Event summary'!A537</f>
        <v>537</v>
      </c>
      <c r="H537" s="43">
        <f>MIN(TYPE(SEARCH($E$2,'Event summary'!C537)),TYPE(SEARCH($E$2,'Event summary'!D537)))</f>
        <v>16</v>
      </c>
      <c r="I537" s="65" t="str">
        <f t="shared" si="9"/>
        <v/>
      </c>
      <c r="J537" s="66" t="str">
        <f>IF($H537=1,'Event summary'!C537,"")</f>
        <v/>
      </c>
      <c r="K537" s="66" t="str">
        <f>IF($H537=1,'Event summary'!D537,"")</f>
        <v/>
      </c>
    </row>
    <row r="538" spans="7:11" x14ac:dyDescent="0.2">
      <c r="G538" s="46">
        <f>'Event summary'!A538</f>
        <v>538</v>
      </c>
      <c r="H538" s="43">
        <f>MIN(TYPE(SEARCH($E$2,'Event summary'!C538)),TYPE(SEARCH($E$2,'Event summary'!D538)))</f>
        <v>16</v>
      </c>
      <c r="I538" s="65" t="str">
        <f t="shared" si="9"/>
        <v/>
      </c>
      <c r="J538" s="66" t="str">
        <f>IF($H538=1,'Event summary'!C538,"")</f>
        <v/>
      </c>
      <c r="K538" s="66" t="str">
        <f>IF($H538=1,'Event summary'!D538,"")</f>
        <v/>
      </c>
    </row>
    <row r="539" spans="7:11" ht="28.5" x14ac:dyDescent="0.2">
      <c r="G539" s="46">
        <f>'Event summary'!A539</f>
        <v>539</v>
      </c>
      <c r="H539" s="43">
        <f>MIN(TYPE(SEARCH($E$2,'Event summary'!C539)),TYPE(SEARCH($E$2,'Event summary'!D539)))</f>
        <v>1</v>
      </c>
      <c r="I539" s="65" t="str">
        <f t="shared" si="9"/>
        <v>שינוי</v>
      </c>
      <c r="J539" s="66" t="str">
        <f>IF($H539=1,'Event summary'!C539,"")</f>
        <v>תיק לתכנון בוטל ללא שהמידע עבר לצוות המתכנן. בנוסף, אורך הסריקה היתה מוגזמת.</v>
      </c>
      <c r="K539" s="66" t="str">
        <f>IF($H539=1,'Event summary'!D539,"")</f>
        <v>יוקם צוות תיאום (חמ"ל) אשר מטרתו להעביר את האינפורמציה הרלבנטית על שינויים בתכנון של מטופלים אל הצוותים הרלבנטיים.</v>
      </c>
    </row>
    <row r="540" spans="7:11" x14ac:dyDescent="0.2">
      <c r="G540" s="46">
        <f>'Event summary'!A540</f>
        <v>540</v>
      </c>
      <c r="H540" s="43">
        <f>MIN(TYPE(SEARCH($E$2,'Event summary'!C540)),TYPE(SEARCH($E$2,'Event summary'!D540)))</f>
        <v>16</v>
      </c>
      <c r="I540" s="65" t="str">
        <f t="shared" si="9"/>
        <v/>
      </c>
      <c r="J540" s="66" t="str">
        <f>IF($H540=1,'Event summary'!C540,"")</f>
        <v/>
      </c>
      <c r="K540" s="66" t="str">
        <f>IF($H540=1,'Event summary'!D540,"")</f>
        <v/>
      </c>
    </row>
    <row r="541" spans="7:11" x14ac:dyDescent="0.2">
      <c r="G541" s="46">
        <f>'Event summary'!A541</f>
        <v>541</v>
      </c>
      <c r="H541" s="43">
        <f>MIN(TYPE(SEARCH($E$2,'Event summary'!C541)),TYPE(SEARCH($E$2,'Event summary'!D541)))</f>
        <v>16</v>
      </c>
      <c r="I541" s="65" t="str">
        <f t="shared" si="9"/>
        <v/>
      </c>
      <c r="J541" s="66" t="str">
        <f>IF($H541=1,'Event summary'!C541,"")</f>
        <v/>
      </c>
      <c r="K541" s="66" t="str">
        <f>IF($H541=1,'Event summary'!D541,"")</f>
        <v/>
      </c>
    </row>
    <row r="542" spans="7:11" ht="28.5" x14ac:dyDescent="0.2">
      <c r="G542" s="46">
        <f>'Event summary'!A542</f>
        <v>542</v>
      </c>
      <c r="H542" s="43">
        <f>MIN(TYPE(SEARCH($E$2,'Event summary'!C542)),TYPE(SEARCH($E$2,'Event summary'!D542)))</f>
        <v>16</v>
      </c>
      <c r="I542" s="65" t="str">
        <f t="shared" si="9"/>
        <v/>
      </c>
      <c r="J542" s="66" t="str">
        <f>IF($H542=1,'Event summary'!C542,"")</f>
        <v/>
      </c>
      <c r="K542" s="66" t="str">
        <f>IF($H542=1,'Event summary'!D542,"")</f>
        <v/>
      </c>
    </row>
    <row r="543" spans="7:11" x14ac:dyDescent="0.2">
      <c r="G543" s="46">
        <f>'Event summary'!A543</f>
        <v>543</v>
      </c>
      <c r="H543" s="43">
        <f>MIN(TYPE(SEARCH($E$2,'Event summary'!C543)),TYPE(SEARCH($E$2,'Event summary'!D543)))</f>
        <v>16</v>
      </c>
      <c r="I543" s="65" t="str">
        <f t="shared" si="9"/>
        <v/>
      </c>
      <c r="J543" s="66" t="str">
        <f>IF($H543=1,'Event summary'!C543,"")</f>
        <v/>
      </c>
      <c r="K543" s="66" t="str">
        <f>IF($H543=1,'Event summary'!D543,"")</f>
        <v/>
      </c>
    </row>
    <row r="544" spans="7:11" ht="28.5" x14ac:dyDescent="0.2">
      <c r="G544" s="46">
        <f>'Event summary'!A544</f>
        <v>544</v>
      </c>
      <c r="H544" s="43">
        <f>MIN(TYPE(SEARCH($E$2,'Event summary'!C544)),TYPE(SEARCH($E$2,'Event summary'!D544)))</f>
        <v>1</v>
      </c>
      <c r="I544" s="65" t="str">
        <f t="shared" si="9"/>
        <v>שינוי</v>
      </c>
      <c r="J544" s="66" t="str">
        <f>IF($H544=1,'Event summary'!C544,"")</f>
        <v>עקב שינוי מורפולוגי של איזור הטיפול, בוצעה סימולציה חוזרת. למרות זאת המטופל המשיך לקבל את התכנית המקורית בהנחית הרופא המטפל.</v>
      </c>
      <c r="K544" s="66" t="str">
        <f>IF($H544=1,'Event summary'!D544,"")</f>
        <v>המקרה נשאר להמשך בדיקה ומסקנות (ד"ר וייס).</v>
      </c>
    </row>
    <row r="545" spans="7:11" x14ac:dyDescent="0.2">
      <c r="G545" s="46">
        <f>'Event summary'!A545</f>
        <v>545</v>
      </c>
      <c r="H545" s="43">
        <f>MIN(TYPE(SEARCH($E$2,'Event summary'!C545)),TYPE(SEARCH($E$2,'Event summary'!D545)))</f>
        <v>16</v>
      </c>
      <c r="I545" s="65" t="str">
        <f t="shared" si="9"/>
        <v/>
      </c>
      <c r="J545" s="66" t="str">
        <f>IF($H545=1,'Event summary'!C545,"")</f>
        <v/>
      </c>
      <c r="K545" s="66" t="str">
        <f>IF($H545=1,'Event summary'!D545,"")</f>
        <v/>
      </c>
    </row>
    <row r="546" spans="7:11" x14ac:dyDescent="0.2">
      <c r="G546" s="46">
        <f>'Event summary'!A546</f>
        <v>546</v>
      </c>
      <c r="H546" s="43">
        <f>MIN(TYPE(SEARCH($E$2,'Event summary'!C546)),TYPE(SEARCH($E$2,'Event summary'!D546)))</f>
        <v>16</v>
      </c>
      <c r="I546" s="65" t="str">
        <f t="shared" si="9"/>
        <v/>
      </c>
      <c r="J546" s="66" t="str">
        <f>IF($H546=1,'Event summary'!C546,"")</f>
        <v/>
      </c>
      <c r="K546" s="66" t="str">
        <f>IF($H546=1,'Event summary'!D546,"")</f>
        <v/>
      </c>
    </row>
    <row r="547" spans="7:11" x14ac:dyDescent="0.2">
      <c r="G547" s="46">
        <f>'Event summary'!A547</f>
        <v>547</v>
      </c>
      <c r="H547" s="43">
        <f>MIN(TYPE(SEARCH($E$2,'Event summary'!C547)),TYPE(SEARCH($E$2,'Event summary'!D547)))</f>
        <v>16</v>
      </c>
      <c r="I547" s="65" t="str">
        <f t="shared" si="9"/>
        <v/>
      </c>
      <c r="J547" s="66" t="str">
        <f>IF($H547=1,'Event summary'!C547,"")</f>
        <v/>
      </c>
      <c r="K547" s="66" t="str">
        <f>IF($H547=1,'Event summary'!D547,"")</f>
        <v/>
      </c>
    </row>
    <row r="548" spans="7:11" x14ac:dyDescent="0.2">
      <c r="G548" s="46">
        <f>'Event summary'!A548</f>
        <v>548</v>
      </c>
      <c r="H548" s="43">
        <f>MIN(TYPE(SEARCH($E$2,'Event summary'!C548)),TYPE(SEARCH($E$2,'Event summary'!D548)))</f>
        <v>16</v>
      </c>
      <c r="I548" s="65" t="str">
        <f t="shared" si="9"/>
        <v/>
      </c>
      <c r="J548" s="66" t="str">
        <f>IF($H548=1,'Event summary'!C548,"")</f>
        <v/>
      </c>
      <c r="K548" s="66" t="str">
        <f>IF($H548=1,'Event summary'!D548,"")</f>
        <v/>
      </c>
    </row>
    <row r="549" spans="7:11" x14ac:dyDescent="0.2">
      <c r="G549" s="46">
        <f>'Event summary'!A549</f>
        <v>549</v>
      </c>
      <c r="H549" s="43">
        <f>MIN(TYPE(SEARCH($E$2,'Event summary'!C549)),TYPE(SEARCH($E$2,'Event summary'!D549)))</f>
        <v>16</v>
      </c>
      <c r="I549" s="65" t="str">
        <f t="shared" si="9"/>
        <v/>
      </c>
      <c r="J549" s="66" t="str">
        <f>IF($H549=1,'Event summary'!C549,"")</f>
        <v/>
      </c>
      <c r="K549" s="66" t="str">
        <f>IF($H549=1,'Event summary'!D549,"")</f>
        <v/>
      </c>
    </row>
    <row r="550" spans="7:11" x14ac:dyDescent="0.2">
      <c r="G550" s="46">
        <f>'Event summary'!A550</f>
        <v>550</v>
      </c>
      <c r="H550" s="43">
        <f>MIN(TYPE(SEARCH($E$2,'Event summary'!C550)),TYPE(SEARCH($E$2,'Event summary'!D550)))</f>
        <v>16</v>
      </c>
      <c r="I550" s="65" t="str">
        <f t="shared" si="9"/>
        <v/>
      </c>
      <c r="J550" s="66" t="str">
        <f>IF($H550=1,'Event summary'!C550,"")</f>
        <v/>
      </c>
      <c r="K550" s="66" t="str">
        <f>IF($H550=1,'Event summary'!D550,"")</f>
        <v/>
      </c>
    </row>
    <row r="551" spans="7:11" x14ac:dyDescent="0.2">
      <c r="G551" s="46">
        <f>'Event summary'!A551</f>
        <v>551</v>
      </c>
      <c r="H551" s="43">
        <f>MIN(TYPE(SEARCH($E$2,'Event summary'!C551)),TYPE(SEARCH($E$2,'Event summary'!D551)))</f>
        <v>16</v>
      </c>
      <c r="I551" s="65" t="str">
        <f t="shared" si="9"/>
        <v/>
      </c>
      <c r="J551" s="66" t="str">
        <f>IF($H551=1,'Event summary'!C551,"")</f>
        <v/>
      </c>
      <c r="K551" s="66" t="str">
        <f>IF($H551=1,'Event summary'!D551,"")</f>
        <v/>
      </c>
    </row>
    <row r="552" spans="7:11" ht="28.5" x14ac:dyDescent="0.2">
      <c r="G552" s="46">
        <f>'Event summary'!A552</f>
        <v>552</v>
      </c>
      <c r="H552" s="43">
        <f>MIN(TYPE(SEARCH($E$2,'Event summary'!C552)),TYPE(SEARCH($E$2,'Event summary'!D552)))</f>
        <v>1</v>
      </c>
      <c r="I552" s="65" t="str">
        <f t="shared" si="9"/>
        <v>שינוי</v>
      </c>
      <c r="J552" s="66" t="str">
        <f>IF($H552=1,'Event summary'!C552,"")</f>
        <v>מטופלת דחופה שקיבלה טיפול יום קודם הורדה מהמחלקה אך התכנית לא הייתה מוכנה לטיפול עקב שינויים. הצוות לא קיבל הודעה על השינויים.</v>
      </c>
      <c r="K552" s="66" t="str">
        <f>IF($H552=1,'Event summary'!D552,"")</f>
        <v>ייכתב נוהל עבודה על תקשור של שינויים בתכנון. באחריות צוות נהלים.</v>
      </c>
    </row>
    <row r="553" spans="7:11" x14ac:dyDescent="0.2">
      <c r="G553" s="46">
        <f>'Event summary'!A553</f>
        <v>553</v>
      </c>
      <c r="H553" s="43">
        <f>MIN(TYPE(SEARCH($E$2,'Event summary'!C553)),TYPE(SEARCH($E$2,'Event summary'!D553)))</f>
        <v>16</v>
      </c>
      <c r="I553" s="65" t="str">
        <f t="shared" si="9"/>
        <v/>
      </c>
      <c r="J553" s="66" t="str">
        <f>IF($H553=1,'Event summary'!C553,"")</f>
        <v/>
      </c>
      <c r="K553" s="66" t="str">
        <f>IF($H553=1,'Event summary'!D553,"")</f>
        <v/>
      </c>
    </row>
    <row r="554" spans="7:11" x14ac:dyDescent="0.2">
      <c r="G554" s="46">
        <f>'Event summary'!A554</f>
        <v>554</v>
      </c>
      <c r="H554" s="43">
        <f>MIN(TYPE(SEARCH($E$2,'Event summary'!C554)),TYPE(SEARCH($E$2,'Event summary'!D554)))</f>
        <v>16</v>
      </c>
      <c r="I554" s="65" t="str">
        <f t="shared" si="9"/>
        <v/>
      </c>
      <c r="J554" s="66" t="str">
        <f>IF($H554=1,'Event summary'!C554,"")</f>
        <v/>
      </c>
      <c r="K554" s="66" t="str">
        <f>IF($H554=1,'Event summary'!D554,"")</f>
        <v/>
      </c>
    </row>
    <row r="555" spans="7:11" x14ac:dyDescent="0.2">
      <c r="G555" s="46">
        <f>'Event summary'!A555</f>
        <v>555</v>
      </c>
      <c r="H555" s="43">
        <f>MIN(TYPE(SEARCH($E$2,'Event summary'!C555)),TYPE(SEARCH($E$2,'Event summary'!D555)))</f>
        <v>16</v>
      </c>
      <c r="I555" s="65" t="str">
        <f t="shared" si="9"/>
        <v/>
      </c>
      <c r="J555" s="66" t="str">
        <f>IF($H555=1,'Event summary'!C555,"")</f>
        <v/>
      </c>
      <c r="K555" s="66" t="str">
        <f>IF($H555=1,'Event summary'!D555,"")</f>
        <v/>
      </c>
    </row>
    <row r="556" spans="7:11" x14ac:dyDescent="0.2">
      <c r="G556" s="46">
        <f>'Event summary'!A556</f>
        <v>556</v>
      </c>
      <c r="H556" s="43">
        <f>MIN(TYPE(SEARCH($E$2,'Event summary'!C556)),TYPE(SEARCH($E$2,'Event summary'!D556)))</f>
        <v>16</v>
      </c>
      <c r="I556" s="65" t="str">
        <f t="shared" si="9"/>
        <v/>
      </c>
      <c r="J556" s="66" t="str">
        <f>IF($H556=1,'Event summary'!C556,"")</f>
        <v/>
      </c>
      <c r="K556" s="66" t="str">
        <f>IF($H556=1,'Event summary'!D556,"")</f>
        <v/>
      </c>
    </row>
    <row r="557" spans="7:11" x14ac:dyDescent="0.2">
      <c r="G557" s="46">
        <f>'Event summary'!A557</f>
        <v>557</v>
      </c>
      <c r="H557" s="43">
        <f>MIN(TYPE(SEARCH($E$2,'Event summary'!C557)),TYPE(SEARCH($E$2,'Event summary'!D557)))</f>
        <v>16</v>
      </c>
      <c r="I557" s="65" t="str">
        <f t="shared" si="9"/>
        <v/>
      </c>
      <c r="J557" s="66" t="str">
        <f>IF($H557=1,'Event summary'!C557,"")</f>
        <v/>
      </c>
      <c r="K557" s="66" t="str">
        <f>IF($H557=1,'Event summary'!D557,"")</f>
        <v/>
      </c>
    </row>
    <row r="558" spans="7:11" x14ac:dyDescent="0.2">
      <c r="G558" s="46">
        <f>'Event summary'!A558</f>
        <v>558</v>
      </c>
      <c r="H558" s="43">
        <f>MIN(TYPE(SEARCH($E$2,'Event summary'!C558)),TYPE(SEARCH($E$2,'Event summary'!D558)))</f>
        <v>16</v>
      </c>
      <c r="I558" s="65" t="str">
        <f t="shared" si="9"/>
        <v/>
      </c>
      <c r="J558" s="66" t="str">
        <f>IF($H558=1,'Event summary'!C558,"")</f>
        <v/>
      </c>
      <c r="K558" s="66" t="str">
        <f>IF($H558=1,'Event summary'!D558,"")</f>
        <v/>
      </c>
    </row>
    <row r="559" spans="7:11" ht="28.5" x14ac:dyDescent="0.2">
      <c r="G559" s="46">
        <f>'Event summary'!A559</f>
        <v>559</v>
      </c>
      <c r="H559" s="43">
        <f>MIN(TYPE(SEARCH($E$2,'Event summary'!C559)),TYPE(SEARCH($E$2,'Event summary'!D559)))</f>
        <v>1</v>
      </c>
      <c r="I559" s="65" t="str">
        <f t="shared" si="9"/>
        <v>שינוי</v>
      </c>
      <c r="J559" s="66" t="str">
        <f>IF($H559=1,'Event summary'!C559,"")</f>
        <v>עקב שינוי בתכנית הטיפול יום לפני התיק לא היה מוכן בזמן. הצוות לא קיבל עדכון לגבי השינויים וכן לא נדחה מועד תחילת הטיפול.</v>
      </c>
      <c r="K559" s="66" t="str">
        <f>IF($H559=1,'Event summary'!D559,"")</f>
        <v>שינויים בטיפול יתוקשרו ע"י הרופא ל- RTTQA בשעות הבוקר ולמזכירות בשעות הערב.</v>
      </c>
    </row>
    <row r="560" spans="7:11" x14ac:dyDescent="0.2">
      <c r="G560" s="46">
        <f>'Event summary'!A560</f>
        <v>560</v>
      </c>
      <c r="H560" s="43">
        <f>MIN(TYPE(SEARCH($E$2,'Event summary'!C560)),TYPE(SEARCH($E$2,'Event summary'!D560)))</f>
        <v>16</v>
      </c>
      <c r="I560" s="65" t="str">
        <f t="shared" si="9"/>
        <v/>
      </c>
      <c r="J560" s="66" t="str">
        <f>IF($H560=1,'Event summary'!C560,"")</f>
        <v/>
      </c>
      <c r="K560" s="66" t="str">
        <f>IF($H560=1,'Event summary'!D560,"")</f>
        <v/>
      </c>
    </row>
    <row r="561" spans="7:11" x14ac:dyDescent="0.2">
      <c r="G561" s="46">
        <f>'Event summary'!A561</f>
        <v>561</v>
      </c>
      <c r="H561" s="43">
        <f>MIN(TYPE(SEARCH($E$2,'Event summary'!C561)),TYPE(SEARCH($E$2,'Event summary'!D561)))</f>
        <v>16</v>
      </c>
      <c r="I561" s="65" t="str">
        <f t="shared" si="9"/>
        <v/>
      </c>
      <c r="J561" s="66" t="str">
        <f>IF($H561=1,'Event summary'!C561,"")</f>
        <v/>
      </c>
      <c r="K561" s="66" t="str">
        <f>IF($H561=1,'Event summary'!D561,"")</f>
        <v/>
      </c>
    </row>
    <row r="562" spans="7:11" x14ac:dyDescent="0.2">
      <c r="G562" s="46">
        <f>'Event summary'!A562</f>
        <v>562</v>
      </c>
      <c r="H562" s="43">
        <f>MIN(TYPE(SEARCH($E$2,'Event summary'!C562)),TYPE(SEARCH($E$2,'Event summary'!D562)))</f>
        <v>16</v>
      </c>
      <c r="I562" s="65" t="str">
        <f t="shared" si="9"/>
        <v/>
      </c>
      <c r="J562" s="66" t="str">
        <f>IF($H562=1,'Event summary'!C562,"")</f>
        <v/>
      </c>
      <c r="K562" s="66" t="str">
        <f>IF($H562=1,'Event summary'!D562,"")</f>
        <v/>
      </c>
    </row>
    <row r="563" spans="7:11" ht="28.5" x14ac:dyDescent="0.2">
      <c r="G563" s="46">
        <f>'Event summary'!A563</f>
        <v>563</v>
      </c>
      <c r="H563" s="43">
        <f>MIN(TYPE(SEARCH($E$2,'Event summary'!C563)),TYPE(SEARCH($E$2,'Event summary'!D563)))</f>
        <v>1</v>
      </c>
      <c r="I563" s="65" t="str">
        <f t="shared" si="9"/>
        <v>שינוי</v>
      </c>
      <c r="J563" s="66" t="str">
        <f>IF($H563=1,'Event summary'!C563,"")</f>
        <v>לאחר סימולציה חוזרת 3 מתוך 4 קשתות היו אם קישור לבולוס. המטופלת קבלה 12 מתוך 19 טיפולים באופן זה. לא אובחן שינוי בעל משמעות בDVH</v>
      </c>
      <c r="K563" s="66" t="str">
        <f>IF($H563=1,'Event summary'!D563,"")</f>
        <v>בעת התכנון יש להקפיד על שחרור התיק לחתימה שניה לאחר בדיקה קפדנית של כלל הפרמטרים של התיק. בחתימה שניה של פיזיקה יבדקו גם את השיוך לבולוס.</v>
      </c>
    </row>
    <row r="564" spans="7:11" ht="42.75" x14ac:dyDescent="0.2">
      <c r="G564" s="46">
        <f>'Event summary'!A564</f>
        <v>564</v>
      </c>
      <c r="H564" s="43">
        <f>MIN(TYPE(SEARCH($E$2,'Event summary'!C564)),TYPE(SEARCH($E$2,'Event summary'!D564)))</f>
        <v>16</v>
      </c>
      <c r="I564" s="65" t="str">
        <f t="shared" si="9"/>
        <v/>
      </c>
      <c r="J564" s="66" t="str">
        <f>IF($H564=1,'Event summary'!C564,"")</f>
        <v/>
      </c>
      <c r="K564" s="66" t="str">
        <f>IF($H564=1,'Event summary'!D564,"")</f>
        <v/>
      </c>
    </row>
    <row r="565" spans="7:11" ht="28.5" x14ac:dyDescent="0.2">
      <c r="G565" s="46">
        <f>'Event summary'!A565</f>
        <v>565</v>
      </c>
      <c r="H565" s="43">
        <f>MIN(TYPE(SEARCH($E$2,'Event summary'!C565)),TYPE(SEARCH($E$2,'Event summary'!D565)))</f>
        <v>1</v>
      </c>
      <c r="I565" s="65" t="str">
        <f t="shared" si="9"/>
        <v>שינוי</v>
      </c>
      <c r="J565" s="66" t="str">
        <f>IF($H565=1,'Event summary'!C565,"")</f>
        <v>תיק SBRT תוכנן למאיץ לא נכון.</v>
      </c>
      <c r="K565" s="66" t="str">
        <f>IF($H565=1,'Event summary'!D565,"")</f>
        <v>בעת שינוי של מאיץ יש לקבל אישור של זימון תורים להחלפת המאיץ. במקרה של תכנון שגוי, חתימה שניה צריכה לעלות על השגיאה. ריענון נוהל חתימה שניה של פיזיקאים.</v>
      </c>
    </row>
    <row r="566" spans="7:11" x14ac:dyDescent="0.2">
      <c r="G566" s="46">
        <f>'Event summary'!A566</f>
        <v>566</v>
      </c>
      <c r="H566" s="43">
        <f>MIN(TYPE(SEARCH($E$2,'Event summary'!C566)),TYPE(SEARCH($E$2,'Event summary'!D566)))</f>
        <v>16</v>
      </c>
      <c r="I566" s="65" t="str">
        <f t="shared" si="9"/>
        <v/>
      </c>
      <c r="J566" s="66" t="str">
        <f>IF($H566=1,'Event summary'!C566,"")</f>
        <v/>
      </c>
      <c r="K566" s="66" t="str">
        <f>IF($H566=1,'Event summary'!D566,"")</f>
        <v/>
      </c>
    </row>
    <row r="567" spans="7:11" x14ac:dyDescent="0.2">
      <c r="G567" s="46">
        <f>'Event summary'!A567</f>
        <v>567</v>
      </c>
      <c r="H567" s="43">
        <f>MIN(TYPE(SEARCH($E$2,'Event summary'!C567)),TYPE(SEARCH($E$2,'Event summary'!D567)))</f>
        <v>16</v>
      </c>
      <c r="I567" s="65" t="str">
        <f t="shared" si="9"/>
        <v/>
      </c>
      <c r="J567" s="66" t="str">
        <f>IF($H567=1,'Event summary'!C567,"")</f>
        <v/>
      </c>
      <c r="K567" s="66" t="str">
        <f>IF($H567=1,'Event summary'!D567,"")</f>
        <v/>
      </c>
    </row>
    <row r="568" spans="7:11" x14ac:dyDescent="0.2">
      <c r="G568" s="46">
        <f>'Event summary'!A568</f>
        <v>568</v>
      </c>
      <c r="H568" s="43">
        <f>MIN(TYPE(SEARCH($E$2,'Event summary'!C568)),TYPE(SEARCH($E$2,'Event summary'!D568)))</f>
        <v>16</v>
      </c>
      <c r="I568" s="65" t="str">
        <f t="shared" si="9"/>
        <v/>
      </c>
      <c r="J568" s="66" t="str">
        <f>IF($H568=1,'Event summary'!C568,"")</f>
        <v/>
      </c>
      <c r="K568" s="66" t="str">
        <f>IF($H568=1,'Event summary'!D568,"")</f>
        <v/>
      </c>
    </row>
    <row r="569" spans="7:11" x14ac:dyDescent="0.2">
      <c r="G569" s="46">
        <f>'Event summary'!A569</f>
        <v>569</v>
      </c>
      <c r="H569" s="43">
        <f>MIN(TYPE(SEARCH($E$2,'Event summary'!C569)),TYPE(SEARCH($E$2,'Event summary'!D569)))</f>
        <v>16</v>
      </c>
      <c r="I569" s="65" t="str">
        <f t="shared" si="9"/>
        <v/>
      </c>
      <c r="J569" s="66" t="str">
        <f>IF($H569=1,'Event summary'!C569,"")</f>
        <v/>
      </c>
      <c r="K569" s="66" t="str">
        <f>IF($H569=1,'Event summary'!D569,"")</f>
        <v/>
      </c>
    </row>
    <row r="570" spans="7:11" x14ac:dyDescent="0.2">
      <c r="G570" s="46">
        <f>'Event summary'!A570</f>
        <v>570</v>
      </c>
      <c r="H570" s="43">
        <f>MIN(TYPE(SEARCH($E$2,'Event summary'!C570)),TYPE(SEARCH($E$2,'Event summary'!D570)))</f>
        <v>16</v>
      </c>
      <c r="I570" s="65" t="str">
        <f t="shared" si="9"/>
        <v/>
      </c>
      <c r="J570" s="66" t="str">
        <f>IF($H570=1,'Event summary'!C570,"")</f>
        <v/>
      </c>
      <c r="K570" s="66" t="str">
        <f>IF($H570=1,'Event summary'!D570,"")</f>
        <v/>
      </c>
    </row>
    <row r="571" spans="7:11" x14ac:dyDescent="0.2">
      <c r="G571" s="46">
        <f>'Event summary'!A571</f>
        <v>571</v>
      </c>
      <c r="H571" s="43">
        <f>MIN(TYPE(SEARCH($E$2,'Event summary'!C571)),TYPE(SEARCH($E$2,'Event summary'!D571)))</f>
        <v>16</v>
      </c>
      <c r="I571" s="65" t="str">
        <f t="shared" si="9"/>
        <v/>
      </c>
      <c r="J571" s="66" t="str">
        <f>IF($H571=1,'Event summary'!C571,"")</f>
        <v/>
      </c>
      <c r="K571" s="66" t="str">
        <f>IF($H571=1,'Event summary'!D571,"")</f>
        <v/>
      </c>
    </row>
    <row r="572" spans="7:11" x14ac:dyDescent="0.2">
      <c r="G572" s="46">
        <f>'Event summary'!A572</f>
        <v>572</v>
      </c>
      <c r="H572" s="43">
        <f>MIN(TYPE(SEARCH($E$2,'Event summary'!C572)),TYPE(SEARCH($E$2,'Event summary'!D572)))</f>
        <v>16</v>
      </c>
      <c r="I572" s="65" t="str">
        <f t="shared" si="9"/>
        <v/>
      </c>
      <c r="J572" s="66" t="str">
        <f>IF($H572=1,'Event summary'!C572,"")</f>
        <v/>
      </c>
      <c r="K572" s="66" t="str">
        <f>IF($H572=1,'Event summary'!D572,"")</f>
        <v/>
      </c>
    </row>
    <row r="573" spans="7:11" x14ac:dyDescent="0.2">
      <c r="G573" s="46">
        <f>'Event summary'!A573</f>
        <v>573</v>
      </c>
      <c r="H573" s="43">
        <f>MIN(TYPE(SEARCH($E$2,'Event summary'!C573)),TYPE(SEARCH($E$2,'Event summary'!D573)))</f>
        <v>16</v>
      </c>
      <c r="I573" s="65" t="str">
        <f t="shared" si="9"/>
        <v/>
      </c>
      <c r="J573" s="66" t="str">
        <f>IF($H573=1,'Event summary'!C573,"")</f>
        <v/>
      </c>
      <c r="K573" s="66" t="str">
        <f>IF($H573=1,'Event summary'!D573,"")</f>
        <v/>
      </c>
    </row>
    <row r="574" spans="7:11" ht="28.5" x14ac:dyDescent="0.2">
      <c r="G574" s="46">
        <f>'Event summary'!A574</f>
        <v>574</v>
      </c>
      <c r="H574" s="43">
        <f>MIN(TYPE(SEARCH($E$2,'Event summary'!C574)),TYPE(SEARCH($E$2,'Event summary'!D574)))</f>
        <v>1</v>
      </c>
      <c r="I574" s="65" t="str">
        <f t="shared" si="9"/>
        <v>שינוי</v>
      </c>
      <c r="J574" s="66" t="str">
        <f>IF($H574=1,'Event summary'!C574,"")</f>
        <v>מטופל הגיעה לקבלת טיפול 17 מתוך 18 טיפולים מתוכננים. המטופל ידע על 17 טיפולים בלבד. ב Aria כתוב 18 טיפולים בעוד שבקמליון כתוב 17.</v>
      </c>
      <c r="K574" s="66" t="str">
        <f>IF($H574=1,'Event summary'!D574,"")</f>
        <v>בעת שינוי של מספר טיפולים רופא יידע את המטופל וזימון תורים על השינוי.</v>
      </c>
    </row>
    <row r="575" spans="7:11" x14ac:dyDescent="0.2">
      <c r="G575" s="46">
        <f>'Event summary'!A575</f>
        <v>575</v>
      </c>
      <c r="H575" s="43">
        <f>MIN(TYPE(SEARCH($E$2,'Event summary'!C575)),TYPE(SEARCH($E$2,'Event summary'!D575)))</f>
        <v>16</v>
      </c>
      <c r="I575" s="65" t="str">
        <f t="shared" si="9"/>
        <v/>
      </c>
      <c r="J575" s="66" t="str">
        <f>IF($H575=1,'Event summary'!C575,"")</f>
        <v/>
      </c>
      <c r="K575" s="66" t="str">
        <f>IF($H575=1,'Event summary'!D575,"")</f>
        <v/>
      </c>
    </row>
    <row r="576" spans="7:11" x14ac:dyDescent="0.2">
      <c r="G576" s="46">
        <f>'Event summary'!A576</f>
        <v>576</v>
      </c>
      <c r="H576" s="43">
        <f>MIN(TYPE(SEARCH($E$2,'Event summary'!C576)),TYPE(SEARCH($E$2,'Event summary'!D576)))</f>
        <v>16</v>
      </c>
      <c r="I576" s="65" t="str">
        <f t="shared" si="9"/>
        <v/>
      </c>
      <c r="J576" s="66" t="str">
        <f>IF($H576=1,'Event summary'!C576,"")</f>
        <v/>
      </c>
      <c r="K576" s="66" t="str">
        <f>IF($H576=1,'Event summary'!D576,"")</f>
        <v/>
      </c>
    </row>
    <row r="577" spans="7:11" x14ac:dyDescent="0.2">
      <c r="G577" s="46">
        <f>'Event summary'!A577</f>
        <v>577</v>
      </c>
      <c r="H577" s="43">
        <f>MIN(TYPE(SEARCH($E$2,'Event summary'!C577)),TYPE(SEARCH($E$2,'Event summary'!D577)))</f>
        <v>16</v>
      </c>
      <c r="I577" s="65" t="str">
        <f t="shared" si="9"/>
        <v/>
      </c>
      <c r="J577" s="66" t="str">
        <f>IF($H577=1,'Event summary'!C577,"")</f>
        <v/>
      </c>
      <c r="K577" s="66" t="str">
        <f>IF($H577=1,'Event summary'!D577,"")</f>
        <v/>
      </c>
    </row>
    <row r="578" spans="7:11" x14ac:dyDescent="0.2">
      <c r="G578" s="46">
        <f>'Event summary'!A578</f>
        <v>578</v>
      </c>
      <c r="H578" s="43">
        <f>MIN(TYPE(SEARCH($E$2,'Event summary'!C578)),TYPE(SEARCH($E$2,'Event summary'!D578)))</f>
        <v>16</v>
      </c>
      <c r="I578" s="65" t="str">
        <f t="shared" ref="I578:I618" si="10">IF(H578=1,$E$2,"")</f>
        <v/>
      </c>
      <c r="J578" s="66" t="str">
        <f>IF($H578=1,'Event summary'!C578,"")</f>
        <v/>
      </c>
      <c r="K578" s="66" t="str">
        <f>IF($H578=1,'Event summary'!D578,"")</f>
        <v/>
      </c>
    </row>
    <row r="579" spans="7:11" x14ac:dyDescent="0.2">
      <c r="G579" s="46">
        <f>'Event summary'!A579</f>
        <v>579</v>
      </c>
      <c r="H579" s="43">
        <f>MIN(TYPE(SEARCH($E$2,'Event summary'!C579)),TYPE(SEARCH($E$2,'Event summary'!D579)))</f>
        <v>16</v>
      </c>
      <c r="I579" s="65" t="str">
        <f t="shared" si="10"/>
        <v/>
      </c>
      <c r="J579" s="66" t="str">
        <f>IF($H579=1,'Event summary'!C579,"")</f>
        <v/>
      </c>
      <c r="K579" s="66" t="str">
        <f>IF($H579=1,'Event summary'!D579,"")</f>
        <v/>
      </c>
    </row>
    <row r="580" spans="7:11" x14ac:dyDescent="0.2">
      <c r="G580" s="46">
        <f>'Event summary'!A580</f>
        <v>580</v>
      </c>
      <c r="H580" s="43">
        <f>MIN(TYPE(SEARCH($E$2,'Event summary'!C580)),TYPE(SEARCH($E$2,'Event summary'!D580)))</f>
        <v>16</v>
      </c>
      <c r="I580" s="65" t="str">
        <f t="shared" si="10"/>
        <v/>
      </c>
      <c r="J580" s="66" t="str">
        <f>IF($H580=1,'Event summary'!C580,"")</f>
        <v/>
      </c>
      <c r="K580" s="66" t="str">
        <f>IF($H580=1,'Event summary'!D580,"")</f>
        <v/>
      </c>
    </row>
    <row r="581" spans="7:11" x14ac:dyDescent="0.2">
      <c r="G581" s="46">
        <f>'Event summary'!A581</f>
        <v>581</v>
      </c>
      <c r="H581" s="43">
        <f>MIN(TYPE(SEARCH($E$2,'Event summary'!C581)),TYPE(SEARCH($E$2,'Event summary'!D581)))</f>
        <v>16</v>
      </c>
      <c r="I581" s="65" t="str">
        <f t="shared" si="10"/>
        <v/>
      </c>
      <c r="J581" s="66" t="str">
        <f>IF($H581=1,'Event summary'!C581,"")</f>
        <v/>
      </c>
      <c r="K581" s="66" t="str">
        <f>IF($H581=1,'Event summary'!D581,"")</f>
        <v/>
      </c>
    </row>
    <row r="582" spans="7:11" x14ac:dyDescent="0.2">
      <c r="G582" s="46">
        <f>'Event summary'!A582</f>
        <v>582</v>
      </c>
      <c r="H582" s="43">
        <f>MIN(TYPE(SEARCH($E$2,'Event summary'!C582)),TYPE(SEARCH($E$2,'Event summary'!D582)))</f>
        <v>16</v>
      </c>
      <c r="I582" s="65" t="str">
        <f t="shared" si="10"/>
        <v/>
      </c>
      <c r="J582" s="66" t="str">
        <f>IF($H582=1,'Event summary'!C582,"")</f>
        <v/>
      </c>
      <c r="K582" s="66" t="str">
        <f>IF($H582=1,'Event summary'!D582,"")</f>
        <v/>
      </c>
    </row>
    <row r="583" spans="7:11" x14ac:dyDescent="0.2">
      <c r="G583" s="46">
        <f>'Event summary'!A583</f>
        <v>583</v>
      </c>
      <c r="H583" s="43">
        <f>MIN(TYPE(SEARCH($E$2,'Event summary'!C583)),TYPE(SEARCH($E$2,'Event summary'!D583)))</f>
        <v>16</v>
      </c>
      <c r="I583" s="65" t="str">
        <f t="shared" si="10"/>
        <v/>
      </c>
      <c r="J583" s="66" t="str">
        <f>IF($H583=1,'Event summary'!C583,"")</f>
        <v/>
      </c>
      <c r="K583" s="66" t="str">
        <f>IF($H583=1,'Event summary'!D583,"")</f>
        <v/>
      </c>
    </row>
    <row r="584" spans="7:11" x14ac:dyDescent="0.2">
      <c r="G584" s="46">
        <f>'Event summary'!A584</f>
        <v>584</v>
      </c>
      <c r="H584" s="43">
        <f>MIN(TYPE(SEARCH($E$2,'Event summary'!C584)),TYPE(SEARCH($E$2,'Event summary'!D584)))</f>
        <v>16</v>
      </c>
      <c r="I584" s="65" t="str">
        <f t="shared" si="10"/>
        <v/>
      </c>
      <c r="J584" s="66" t="str">
        <f>IF($H584=1,'Event summary'!C584,"")</f>
        <v/>
      </c>
      <c r="K584" s="66" t="str">
        <f>IF($H584=1,'Event summary'!D584,"")</f>
        <v/>
      </c>
    </row>
    <row r="585" spans="7:11" x14ac:dyDescent="0.2">
      <c r="G585" s="46">
        <f>'Event summary'!A585</f>
        <v>585</v>
      </c>
      <c r="H585" s="43">
        <f>MIN(TYPE(SEARCH($E$2,'Event summary'!C585)),TYPE(SEARCH($E$2,'Event summary'!D585)))</f>
        <v>16</v>
      </c>
      <c r="I585" s="65" t="str">
        <f t="shared" si="10"/>
        <v/>
      </c>
      <c r="J585" s="66" t="str">
        <f>IF($H585=1,'Event summary'!C585,"")</f>
        <v/>
      </c>
      <c r="K585" s="66" t="str">
        <f>IF($H585=1,'Event summary'!D585,"")</f>
        <v/>
      </c>
    </row>
    <row r="586" spans="7:11" x14ac:dyDescent="0.2">
      <c r="G586" s="46">
        <f>'Event summary'!A586</f>
        <v>586</v>
      </c>
      <c r="H586" s="43">
        <f>MIN(TYPE(SEARCH($E$2,'Event summary'!C586)),TYPE(SEARCH($E$2,'Event summary'!D586)))</f>
        <v>16</v>
      </c>
      <c r="I586" s="65" t="str">
        <f t="shared" si="10"/>
        <v/>
      </c>
      <c r="J586" s="66" t="str">
        <f>IF($H586=1,'Event summary'!C586,"")</f>
        <v/>
      </c>
      <c r="K586" s="66" t="str">
        <f>IF($H586=1,'Event summary'!D586,"")</f>
        <v/>
      </c>
    </row>
    <row r="587" spans="7:11" x14ac:dyDescent="0.2">
      <c r="G587" s="46">
        <f>'Event summary'!A587</f>
        <v>587</v>
      </c>
      <c r="H587" s="43">
        <f>MIN(TYPE(SEARCH($E$2,'Event summary'!C587)),TYPE(SEARCH($E$2,'Event summary'!D587)))</f>
        <v>16</v>
      </c>
      <c r="I587" s="65" t="str">
        <f t="shared" si="10"/>
        <v/>
      </c>
      <c r="J587" s="66" t="str">
        <f>IF($H587=1,'Event summary'!C587,"")</f>
        <v/>
      </c>
      <c r="K587" s="66" t="str">
        <f>IF($H587=1,'Event summary'!D587,"")</f>
        <v/>
      </c>
    </row>
    <row r="588" spans="7:11" x14ac:dyDescent="0.2">
      <c r="G588" s="46">
        <f>'Event summary'!A588</f>
        <v>588</v>
      </c>
      <c r="H588" s="43">
        <f>MIN(TYPE(SEARCH($E$2,'Event summary'!C588)),TYPE(SEARCH($E$2,'Event summary'!D588)))</f>
        <v>1</v>
      </c>
      <c r="I588" s="65" t="str">
        <f t="shared" si="10"/>
        <v>שינוי</v>
      </c>
      <c r="J588" s="66" t="str">
        <f>IF($H588=1,'Event summary'!C588,"")</f>
        <v>מטופל נסרק בסימולציה עם סיפרת ביקורת בת.ז.</v>
      </c>
      <c r="K588" s="66" t="str">
        <f>IF($H588=1,'Event summary'!D588,"")</f>
        <v>עקב שינוי במערכת הזנת נתונים (מנור). השגיאה טופלה.</v>
      </c>
    </row>
    <row r="589" spans="7:11" x14ac:dyDescent="0.2">
      <c r="G589" s="46">
        <f>'Event summary'!A589</f>
        <v>589</v>
      </c>
      <c r="H589" s="43">
        <f>MIN(TYPE(SEARCH($E$2,'Event summary'!C589)),TYPE(SEARCH($E$2,'Event summary'!D589)))</f>
        <v>1</v>
      </c>
      <c r="I589" s="65" t="str">
        <f t="shared" si="10"/>
        <v>שינוי</v>
      </c>
      <c r="J589" s="66" t="str">
        <f>IF($H589=1,'Event summary'!C589,"")</f>
        <v>מטופל הוזן ב Aria עם סיפרת ביקורת בת.ז.</v>
      </c>
      <c r="K589" s="66" t="str">
        <f>IF($H589=1,'Event summary'!D589,"")</f>
        <v>עקב שינוי במערכת הזנת נתונים (מנור). השגיאה טופלה.</v>
      </c>
    </row>
    <row r="590" spans="7:11" x14ac:dyDescent="0.2">
      <c r="G590" s="46">
        <f>'Event summary'!A590</f>
        <v>590</v>
      </c>
      <c r="H590" s="43">
        <f>MIN(TYPE(SEARCH($E$2,'Event summary'!C590)),TYPE(SEARCH($E$2,'Event summary'!D590)))</f>
        <v>16</v>
      </c>
      <c r="I590" s="65" t="str">
        <f t="shared" si="10"/>
        <v/>
      </c>
      <c r="J590" s="66" t="str">
        <f>IF($H590=1,'Event summary'!C590,"")</f>
        <v/>
      </c>
      <c r="K590" s="66" t="str">
        <f>IF($H590=1,'Event summary'!D590,"")</f>
        <v/>
      </c>
    </row>
    <row r="591" spans="7:11" x14ac:dyDescent="0.2">
      <c r="G591" s="46">
        <f>'Event summary'!A591</f>
        <v>591</v>
      </c>
      <c r="H591" s="43">
        <f>MIN(TYPE(SEARCH($E$2,'Event summary'!C591)),TYPE(SEARCH($E$2,'Event summary'!D591)))</f>
        <v>16</v>
      </c>
      <c r="I591" s="65" t="str">
        <f t="shared" si="10"/>
        <v/>
      </c>
      <c r="J591" s="66" t="str">
        <f>IF($H591=1,'Event summary'!C591,"")</f>
        <v/>
      </c>
      <c r="K591" s="66" t="str">
        <f>IF($H591=1,'Event summary'!D591,"")</f>
        <v/>
      </c>
    </row>
    <row r="592" spans="7:11" x14ac:dyDescent="0.2">
      <c r="G592" s="46">
        <f>'Event summary'!A592</f>
        <v>592</v>
      </c>
      <c r="H592" s="43">
        <f>MIN(TYPE(SEARCH($E$2,'Event summary'!C592)),TYPE(SEARCH($E$2,'Event summary'!D592)))</f>
        <v>16</v>
      </c>
      <c r="I592" s="65" t="str">
        <f t="shared" si="10"/>
        <v/>
      </c>
      <c r="J592" s="66" t="str">
        <f>IF($H592=1,'Event summary'!C592,"")</f>
        <v/>
      </c>
      <c r="K592" s="66" t="str">
        <f>IF($H592=1,'Event summary'!D592,"")</f>
        <v/>
      </c>
    </row>
    <row r="593" spans="7:11" ht="71.25" x14ac:dyDescent="0.2">
      <c r="G593" s="46">
        <f>'Event summary'!A593</f>
        <v>593</v>
      </c>
      <c r="H593" s="43">
        <f>MIN(TYPE(SEARCH($E$2,'Event summary'!C593)),TYPE(SEARCH($E$2,'Event summary'!D593)))</f>
        <v>1</v>
      </c>
      <c r="I593" s="65" t="str">
        <f t="shared" si="10"/>
        <v>שינוי</v>
      </c>
      <c r="J593" s="66" t="str">
        <f>IF($H593=1,'Event summary'!C593,"")</f>
        <v>מטופלת התקבלה לסימולציה + טיפול דחוף. בישיבת הבוקר נאמר שהטיפול לא להותו היום. המטופלת לא היתה רשומה על רופא היום בסימולציה. המטופלת נשלחה חזרה לבי"ח מאיר והוחזרה חזרה לקבלת הטיפול. המטופלת התקבלה במכון בשעות הבוקר. מכתב קבלה (11:05), סיום סימולציה (14:01), סיום כתיבת מרשם (14:27), סיום תכנון + ח. שניה (15:26), חתימת רופא (15:30), סיום RTTQA ב (16:02), סיום טיפול (16:33). המטופלת המתינה לאמבולנס עד 18:30.</v>
      </c>
      <c r="K593" s="66" t="str">
        <f>IF($H593=1,'Event summary'!D593,"")</f>
        <v>יש להקפיד על תקשורת בין אנשי הצוות בפרט כאשר מתבצעים שינויים בתכנון.</v>
      </c>
    </row>
    <row r="594" spans="7:11" x14ac:dyDescent="0.2">
      <c r="G594" s="46">
        <f>'Event summary'!A594</f>
        <v>594</v>
      </c>
      <c r="H594" s="43">
        <f>MIN(TYPE(SEARCH($E$2,'Event summary'!C594)),TYPE(SEARCH($E$2,'Event summary'!D594)))</f>
        <v>16</v>
      </c>
      <c r="I594" s="65" t="str">
        <f t="shared" si="10"/>
        <v/>
      </c>
      <c r="J594" s="66" t="str">
        <f>IF($H594=1,'Event summary'!C594,"")</f>
        <v/>
      </c>
      <c r="K594" s="66" t="str">
        <f>IF($H594=1,'Event summary'!D594,"")</f>
        <v/>
      </c>
    </row>
    <row r="595" spans="7:11" x14ac:dyDescent="0.2">
      <c r="G595" s="46">
        <f>'Event summary'!A595</f>
        <v>595</v>
      </c>
      <c r="H595" s="43">
        <f>MIN(TYPE(SEARCH($E$2,'Event summary'!C595)),TYPE(SEARCH($E$2,'Event summary'!D595)))</f>
        <v>16</v>
      </c>
      <c r="I595" s="65" t="str">
        <f t="shared" si="10"/>
        <v/>
      </c>
      <c r="J595" s="66" t="str">
        <f>IF($H595=1,'Event summary'!C595,"")</f>
        <v/>
      </c>
      <c r="K595" s="66" t="str">
        <f>IF($H595=1,'Event summary'!D595,"")</f>
        <v/>
      </c>
    </row>
    <row r="596" spans="7:11" ht="28.5" x14ac:dyDescent="0.2">
      <c r="G596" s="46">
        <f>'Event summary'!A596</f>
        <v>596</v>
      </c>
      <c r="H596" s="43">
        <f>MIN(TYPE(SEARCH($E$2,'Event summary'!C596)),TYPE(SEARCH($E$2,'Event summary'!D596)))</f>
        <v>1</v>
      </c>
      <c r="I596" s="65" t="str">
        <f t="shared" si="10"/>
        <v>שינוי</v>
      </c>
      <c r="J596" s="66" t="str">
        <f>IF($H596=1,'Event summary'!C596,"")</f>
        <v>מרשם לתרופה לא נכונה. המרשם היה ל- Qxycod Forte במקום Oxycod. שינוי במינון המקובל, ניתן 10mg במקום 5mg ע"פ דרישת המרשם.</v>
      </c>
      <c r="K596" s="66" t="str">
        <f>IF($H596=1,'Event summary'!D596,"")</f>
        <v>לכתוב פרוטוקול ברור למתן תרופות לספייסרים והדרכת הצוות לכתיבת המרשמים.</v>
      </c>
    </row>
    <row r="597" spans="7:11" x14ac:dyDescent="0.2">
      <c r="G597" s="46">
        <f>'Event summary'!A597</f>
        <v>597</v>
      </c>
      <c r="H597" s="43">
        <f>MIN(TYPE(SEARCH($E$2,'Event summary'!C597)),TYPE(SEARCH($E$2,'Event summary'!D597)))</f>
        <v>1</v>
      </c>
      <c r="I597" s="65" t="str">
        <f t="shared" si="10"/>
        <v>שינוי</v>
      </c>
      <c r="J597" s="66" t="str">
        <f>IF($H597=1,'Event summary'!C597,"")</f>
        <v>שינוי במינון המקובל, ניתן 10mg במקום 5mg ע"פ דרישת המרשם. דווח כארוע.</v>
      </c>
      <c r="K597" s="66" t="str">
        <f>IF($H597=1,'Event summary'!D597,"")</f>
        <v>לכתוב פרוטוקול ברור למתן תרופות לספייסרים והדרכת הצוות לכתיבת המרשמים.</v>
      </c>
    </row>
    <row r="598" spans="7:11" ht="57" x14ac:dyDescent="0.2">
      <c r="G598" s="46">
        <f>'Event summary'!A598</f>
        <v>598</v>
      </c>
      <c r="H598" s="43">
        <f>MIN(TYPE(SEARCH($E$2,'Event summary'!C598)),TYPE(SEARCH($E$2,'Event summary'!D598)))</f>
        <v>1</v>
      </c>
      <c r="I598" s="65" t="str">
        <f t="shared" si="10"/>
        <v>שינוי</v>
      </c>
      <c r="J598" s="66" t="str">
        <f>IF($H598=1,'Event summary'!C598,"")</f>
        <v>תיק לא מוכן. מטופלת הגיעה לטיפול והמתינה למעלה משעה. למטופלת נאמר שהרופא לא אישר את התכנון. התכנית לא היתה מוכנה כיוון שהפיזיקאי המתכנן ידע על מועד 10/3 והמטופלת הגיעה ב 5/3. ב Care Path רשום שנדחתה ע"י המטופלת עצמה. בפועל לאחר הדחיה היתה בקשה להקדים אותה. הבקשה לא תועדה והצוות לא ידע על השינוי.</v>
      </c>
      <c r="K598" s="66" t="str">
        <f>IF($H598=1,'Event summary'!D598,"")</f>
        <v>נוהל שינויים בתכנון הינו בתהליך כתיבה.</v>
      </c>
    </row>
    <row r="599" spans="7:11" x14ac:dyDescent="0.2">
      <c r="G599" s="46">
        <f>'Event summary'!A599</f>
        <v>599</v>
      </c>
      <c r="H599" s="43">
        <f>MIN(TYPE(SEARCH($E$2,'Event summary'!C599)),TYPE(SEARCH($E$2,'Event summary'!D599)))</f>
        <v>16</v>
      </c>
      <c r="I599" s="65" t="str">
        <f t="shared" si="10"/>
        <v/>
      </c>
      <c r="J599" s="66" t="str">
        <f>IF($H599=1,'Event summary'!C599,"")</f>
        <v/>
      </c>
      <c r="K599" s="66" t="str">
        <f>IF($H599=1,'Event summary'!D599,"")</f>
        <v/>
      </c>
    </row>
    <row r="600" spans="7:11" x14ac:dyDescent="0.2">
      <c r="G600" s="46">
        <f>'Event summary'!A600</f>
        <v>600</v>
      </c>
      <c r="H600" s="43">
        <f>MIN(TYPE(SEARCH($E$2,'Event summary'!C600)),TYPE(SEARCH($E$2,'Event summary'!D600)))</f>
        <v>16</v>
      </c>
      <c r="I600" s="65" t="str">
        <f t="shared" si="10"/>
        <v/>
      </c>
      <c r="J600" s="66" t="str">
        <f>IF($H600=1,'Event summary'!C600,"")</f>
        <v/>
      </c>
      <c r="K600" s="66" t="str">
        <f>IF($H600=1,'Event summary'!D600,"")</f>
        <v/>
      </c>
    </row>
    <row r="601" spans="7:11" ht="28.5" x14ac:dyDescent="0.2">
      <c r="G601" s="46">
        <f>'Event summary'!A601</f>
        <v>601</v>
      </c>
      <c r="H601" s="43">
        <f>MIN(TYPE(SEARCH($E$2,'Event summary'!C601)),TYPE(SEARCH($E$2,'Event summary'!D601)))</f>
        <v>1</v>
      </c>
      <c r="I601" s="65" t="str">
        <f t="shared" si="10"/>
        <v>שינוי</v>
      </c>
      <c r="J601" s="66" t="str">
        <f>IF($H601=1,'Event summary'!C601,"")</f>
        <v>מסמך להוראות לסימולציה לפרוסטטה. במכתב סיכום של הרופא נכתב סימולציה לעצמות האגן. המסמך מתאריך 10/10/2023 הסימולציה מתאריך 21/3/2024.</v>
      </c>
      <c r="K601" s="66" t="str">
        <f>IF($H601=1,'Event summary'!D601,"")</f>
        <v>ללא שינוי.</v>
      </c>
    </row>
    <row r="602" spans="7:11" x14ac:dyDescent="0.2">
      <c r="G602" s="46">
        <f>'Event summary'!A602</f>
        <v>602</v>
      </c>
      <c r="H602" s="43">
        <f>MIN(TYPE(SEARCH($E$2,'Event summary'!C602)),TYPE(SEARCH($E$2,'Event summary'!D602)))</f>
        <v>16</v>
      </c>
      <c r="I602" s="65" t="str">
        <f t="shared" si="10"/>
        <v/>
      </c>
      <c r="J602" s="66" t="str">
        <f>IF($H602=1,'Event summary'!C602,"")</f>
        <v/>
      </c>
      <c r="K602" s="66" t="str">
        <f>IF($H602=1,'Event summary'!D602,"")</f>
        <v/>
      </c>
    </row>
    <row r="603" spans="7:11" x14ac:dyDescent="0.2">
      <c r="G603" s="46">
        <f>'Event summary'!A603</f>
        <v>603</v>
      </c>
      <c r="H603" s="43">
        <f>MIN(TYPE(SEARCH($E$2,'Event summary'!C603)),TYPE(SEARCH($E$2,'Event summary'!D603)))</f>
        <v>16</v>
      </c>
      <c r="I603" s="65" t="str">
        <f t="shared" si="10"/>
        <v/>
      </c>
      <c r="J603" s="66" t="str">
        <f>IF($H603=1,'Event summary'!C603,"")</f>
        <v/>
      </c>
      <c r="K603" s="66" t="str">
        <f>IF($H603=1,'Event summary'!D603,"")</f>
        <v/>
      </c>
    </row>
    <row r="604" spans="7:11" x14ac:dyDescent="0.2">
      <c r="G604" s="46">
        <f>'Event summary'!A604</f>
        <v>604</v>
      </c>
      <c r="H604" s="43">
        <f>MIN(TYPE(SEARCH($E$2,'Event summary'!C604)),TYPE(SEARCH($E$2,'Event summary'!D604)))</f>
        <v>16</v>
      </c>
      <c r="I604" s="65" t="str">
        <f t="shared" si="10"/>
        <v/>
      </c>
      <c r="J604" s="66" t="str">
        <f>IF($H604=1,'Event summary'!C604,"")</f>
        <v/>
      </c>
      <c r="K604" s="66" t="str">
        <f>IF($H604=1,'Event summary'!D604,"")</f>
        <v/>
      </c>
    </row>
    <row r="605" spans="7:11" x14ac:dyDescent="0.2">
      <c r="G605" s="46">
        <f>'Event summary'!A605</f>
        <v>605</v>
      </c>
      <c r="H605" s="43">
        <f>MIN(TYPE(SEARCH($E$2,'Event summary'!C605)),TYPE(SEARCH($E$2,'Event summary'!D605)))</f>
        <v>16</v>
      </c>
      <c r="I605" s="65" t="str">
        <f t="shared" si="10"/>
        <v/>
      </c>
      <c r="J605" s="66" t="str">
        <f>IF($H605=1,'Event summary'!C605,"")</f>
        <v/>
      </c>
      <c r="K605" s="66" t="str">
        <f>IF($H605=1,'Event summary'!D605,"")</f>
        <v/>
      </c>
    </row>
    <row r="606" spans="7:11" x14ac:dyDescent="0.2">
      <c r="G606" s="46">
        <f>'Event summary'!A606</f>
        <v>606</v>
      </c>
      <c r="H606" s="43">
        <f>MIN(TYPE(SEARCH($E$2,'Event summary'!C606)),TYPE(SEARCH($E$2,'Event summary'!D606)))</f>
        <v>16</v>
      </c>
      <c r="I606" s="65" t="str">
        <f t="shared" si="10"/>
        <v/>
      </c>
      <c r="J606" s="66" t="str">
        <f>IF($H606=1,'Event summary'!C606,"")</f>
        <v/>
      </c>
      <c r="K606" s="66" t="str">
        <f>IF($H606=1,'Event summary'!D606,"")</f>
        <v/>
      </c>
    </row>
    <row r="607" spans="7:11" x14ac:dyDescent="0.2">
      <c r="G607" s="46">
        <f>'Event summary'!A607</f>
        <v>607</v>
      </c>
      <c r="H607" s="43">
        <f>MIN(TYPE(SEARCH($E$2,'Event summary'!C607)),TYPE(SEARCH($E$2,'Event summary'!D607)))</f>
        <v>16</v>
      </c>
      <c r="I607" s="65" t="str">
        <f t="shared" si="10"/>
        <v/>
      </c>
      <c r="J607" s="66" t="str">
        <f>IF($H607=1,'Event summary'!C607,"")</f>
        <v/>
      </c>
      <c r="K607" s="66" t="str">
        <f>IF($H607=1,'Event summary'!D607,"")</f>
        <v/>
      </c>
    </row>
    <row r="608" spans="7:11" x14ac:dyDescent="0.2">
      <c r="G608" s="46">
        <f>'Event summary'!A608</f>
        <v>608</v>
      </c>
      <c r="H608" s="43">
        <f>MIN(TYPE(SEARCH($E$2,'Event summary'!C608)),TYPE(SEARCH($E$2,'Event summary'!D608)))</f>
        <v>16</v>
      </c>
      <c r="I608" s="65" t="str">
        <f t="shared" si="10"/>
        <v/>
      </c>
      <c r="J608" s="66" t="str">
        <f>IF($H608=1,'Event summary'!C608,"")</f>
        <v/>
      </c>
      <c r="K608" s="66" t="str">
        <f>IF($H608=1,'Event summary'!D608,"")</f>
        <v/>
      </c>
    </row>
    <row r="609" spans="7:11" x14ac:dyDescent="0.2">
      <c r="G609" s="46">
        <f>'Event summary'!A609</f>
        <v>609</v>
      </c>
      <c r="H609" s="43">
        <f>MIN(TYPE(SEARCH($E$2,'Event summary'!C609)),TYPE(SEARCH($E$2,'Event summary'!D609)))</f>
        <v>16</v>
      </c>
      <c r="I609" s="65" t="str">
        <f t="shared" si="10"/>
        <v/>
      </c>
      <c r="J609" s="66" t="str">
        <f>IF($H609=1,'Event summary'!C609,"")</f>
        <v/>
      </c>
      <c r="K609" s="66" t="str">
        <f>IF($H609=1,'Event summary'!D609,"")</f>
        <v/>
      </c>
    </row>
    <row r="610" spans="7:11" x14ac:dyDescent="0.2">
      <c r="G610" s="46">
        <f>'Event summary'!A610</f>
        <v>610</v>
      </c>
      <c r="H610" s="43">
        <f>MIN(TYPE(SEARCH($E$2,'Event summary'!C610)),TYPE(SEARCH($E$2,'Event summary'!D610)))</f>
        <v>16</v>
      </c>
      <c r="I610" s="65" t="str">
        <f t="shared" si="10"/>
        <v/>
      </c>
      <c r="J610" s="66" t="str">
        <f>IF($H610=1,'Event summary'!C610,"")</f>
        <v/>
      </c>
      <c r="K610" s="66" t="str">
        <f>IF($H610=1,'Event summary'!D610,"")</f>
        <v/>
      </c>
    </row>
    <row r="611" spans="7:11" x14ac:dyDescent="0.2">
      <c r="G611" s="46">
        <f>'Event summary'!A611</f>
        <v>611</v>
      </c>
      <c r="H611" s="43">
        <f>MIN(TYPE(SEARCH($E$2,'Event summary'!C611)),TYPE(SEARCH($E$2,'Event summary'!D611)))</f>
        <v>16</v>
      </c>
      <c r="I611" s="65" t="str">
        <f t="shared" si="10"/>
        <v/>
      </c>
      <c r="J611" s="66" t="str">
        <f>IF($H611=1,'Event summary'!C611,"")</f>
        <v/>
      </c>
      <c r="K611" s="66" t="str">
        <f>IF($H611=1,'Event summary'!D611,"")</f>
        <v/>
      </c>
    </row>
    <row r="612" spans="7:11" x14ac:dyDescent="0.2">
      <c r="G612" s="46">
        <f>'Event summary'!A612</f>
        <v>612</v>
      </c>
      <c r="H612" s="43">
        <f>MIN(TYPE(SEARCH($E$2,'Event summary'!C612)),TYPE(SEARCH($E$2,'Event summary'!D612)))</f>
        <v>16</v>
      </c>
      <c r="I612" s="65" t="str">
        <f t="shared" si="10"/>
        <v/>
      </c>
      <c r="J612" s="66" t="str">
        <f>IF($H612=1,'Event summary'!C612,"")</f>
        <v/>
      </c>
      <c r="K612" s="66" t="str">
        <f>IF($H612=1,'Event summary'!D612,"")</f>
        <v/>
      </c>
    </row>
    <row r="613" spans="7:11" x14ac:dyDescent="0.2">
      <c r="G613" s="46">
        <f>'Event summary'!A613</f>
        <v>613</v>
      </c>
      <c r="H613" s="43">
        <f>MIN(TYPE(SEARCH($E$2,'Event summary'!C613)),TYPE(SEARCH($E$2,'Event summary'!D613)))</f>
        <v>16</v>
      </c>
      <c r="I613" s="65" t="str">
        <f t="shared" si="10"/>
        <v/>
      </c>
      <c r="J613" s="66" t="str">
        <f>IF($H613=1,'Event summary'!C613,"")</f>
        <v/>
      </c>
      <c r="K613" s="66" t="str">
        <f>IF($H613=1,'Event summary'!D613,"")</f>
        <v/>
      </c>
    </row>
    <row r="614" spans="7:11" x14ac:dyDescent="0.2">
      <c r="G614" s="46">
        <f>'Event summary'!A614</f>
        <v>614</v>
      </c>
      <c r="H614" s="43">
        <f>MIN(TYPE(SEARCH($E$2,'Event summary'!C614)),TYPE(SEARCH($E$2,'Event summary'!D614)))</f>
        <v>16</v>
      </c>
      <c r="I614" s="65" t="str">
        <f t="shared" si="10"/>
        <v/>
      </c>
      <c r="J614" s="66" t="str">
        <f>IF($H614=1,'Event summary'!C614,"")</f>
        <v/>
      </c>
      <c r="K614" s="66" t="str">
        <f>IF($H614=1,'Event summary'!D614,"")</f>
        <v/>
      </c>
    </row>
    <row r="615" spans="7:11" ht="28.5" x14ac:dyDescent="0.2">
      <c r="G615" s="46">
        <f>'Event summary'!A615</f>
        <v>615</v>
      </c>
      <c r="H615" s="43">
        <f>MIN(TYPE(SEARCH($E$2,'Event summary'!C615)),TYPE(SEARCH($E$2,'Event summary'!D615)))</f>
        <v>1</v>
      </c>
      <c r="I615" s="65" t="str">
        <f t="shared" si="10"/>
        <v>שינוי</v>
      </c>
      <c r="J615" s="66" t="str">
        <f>IF($H615=1,'Event summary'!C615,"")</f>
        <v>מטופלת שד ימין עם בלוטות לא יכלה להחזיק נשימה (BH). נשלחה סריקה של FB ונכתב קמליון ע"י רנטגנאי. הרופאה כתבה מרשם ל BH ובוצע תכנון ל BH על סריקה של FB.</v>
      </c>
      <c r="K615" s="66" t="str">
        <f>IF($H615=1,'Event summary'!D615,"")</f>
        <v>יש לדבר עם הרופא על כל שינוי מהפרוטוקול. פיזיקאי יבדוק קמליון.</v>
      </c>
    </row>
    <row r="616" spans="7:11" x14ac:dyDescent="0.2">
      <c r="G616" s="46">
        <f>'Event summary'!A616</f>
        <v>616</v>
      </c>
      <c r="H616" s="43">
        <f>MIN(TYPE(SEARCH($E$2,'Event summary'!C616)),TYPE(SEARCH($E$2,'Event summary'!D616)))</f>
        <v>16</v>
      </c>
      <c r="I616" s="65" t="str">
        <f t="shared" si="10"/>
        <v/>
      </c>
      <c r="J616" s="66" t="str">
        <f>IF($H616=1,'Event summary'!C616,"")</f>
        <v/>
      </c>
      <c r="K616" s="66" t="str">
        <f>IF($H616=1,'Event summary'!D616,"")</f>
        <v/>
      </c>
    </row>
    <row r="617" spans="7:11" x14ac:dyDescent="0.2">
      <c r="G617" s="46">
        <f>'Event summary'!A617</f>
        <v>617</v>
      </c>
      <c r="H617" s="43">
        <f>MIN(TYPE(SEARCH($E$2,'Event summary'!C617)),TYPE(SEARCH($E$2,'Event summary'!D617)))</f>
        <v>16</v>
      </c>
      <c r="I617" s="65" t="str">
        <f t="shared" si="10"/>
        <v/>
      </c>
      <c r="J617" s="66" t="str">
        <f>IF($H617=1,'Event summary'!C617,"")</f>
        <v/>
      </c>
      <c r="K617" s="66" t="str">
        <f>IF($H617=1,'Event summary'!D617,"")</f>
        <v/>
      </c>
    </row>
    <row r="618" spans="7:11" x14ac:dyDescent="0.2">
      <c r="G618" s="46">
        <f>'Event summary'!A618</f>
        <v>618</v>
      </c>
      <c r="H618" s="43">
        <f>MIN(TYPE(SEARCH($E$2,'Event summary'!C618)),TYPE(SEARCH($E$2,'Event summary'!D618)))</f>
        <v>16</v>
      </c>
      <c r="I618" s="65" t="str">
        <f t="shared" si="10"/>
        <v/>
      </c>
      <c r="J618" s="66" t="str">
        <f>IF($H618=1,'Event summary'!C618,"")</f>
        <v/>
      </c>
      <c r="K618" s="66" t="str">
        <f>IF($H618=1,'Event summary'!D618,"")</f>
        <v/>
      </c>
    </row>
    <row r="619" spans="7:11" x14ac:dyDescent="0.2">
      <c r="G619" s="46">
        <f>'Event summary'!A619</f>
        <v>619</v>
      </c>
      <c r="H619" s="43">
        <f>MIN(TYPE(SEARCH($E$2,'Event summary'!C619)),TYPE(SEARCH($E$2,'Event summary'!D619)))</f>
        <v>16</v>
      </c>
      <c r="I619" s="65" t="str">
        <f t="shared" ref="I619:I682" si="11">IF(H619=1,$E$2,"")</f>
        <v/>
      </c>
      <c r="J619" s="66" t="str">
        <f>IF($H619=1,'Event summary'!C619,"")</f>
        <v/>
      </c>
      <c r="K619" s="66" t="str">
        <f>IF($H619=1,'Event summary'!D619,"")</f>
        <v/>
      </c>
    </row>
    <row r="620" spans="7:11" x14ac:dyDescent="0.2">
      <c r="G620" s="46">
        <f>'Event summary'!A620</f>
        <v>620</v>
      </c>
      <c r="H620" s="43">
        <f>MIN(TYPE(SEARCH($E$2,'Event summary'!C620)),TYPE(SEARCH($E$2,'Event summary'!D620)))</f>
        <v>16</v>
      </c>
      <c r="I620" s="65" t="str">
        <f t="shared" si="11"/>
        <v/>
      </c>
      <c r="J620" s="66" t="str">
        <f>IF($H620=1,'Event summary'!C620,"")</f>
        <v/>
      </c>
      <c r="K620" s="66" t="str">
        <f>IF($H620=1,'Event summary'!D620,"")</f>
        <v/>
      </c>
    </row>
    <row r="621" spans="7:11" x14ac:dyDescent="0.2">
      <c r="G621" s="46">
        <f>'Event summary'!A621</f>
        <v>621</v>
      </c>
      <c r="H621" s="43">
        <f>MIN(TYPE(SEARCH($E$2,'Event summary'!C621)),TYPE(SEARCH($E$2,'Event summary'!D621)))</f>
        <v>16</v>
      </c>
      <c r="I621" s="65" t="str">
        <f t="shared" si="11"/>
        <v/>
      </c>
      <c r="J621" s="66" t="str">
        <f>IF($H621=1,'Event summary'!C621,"")</f>
        <v/>
      </c>
      <c r="K621" s="66" t="str">
        <f>IF($H621=1,'Event summary'!D621,"")</f>
        <v/>
      </c>
    </row>
    <row r="622" spans="7:11" x14ac:dyDescent="0.2">
      <c r="G622" s="46">
        <f>'Event summary'!A622</f>
        <v>622</v>
      </c>
      <c r="H622" s="43">
        <f>MIN(TYPE(SEARCH($E$2,'Event summary'!C622)),TYPE(SEARCH($E$2,'Event summary'!D622)))</f>
        <v>16</v>
      </c>
      <c r="I622" s="65" t="str">
        <f t="shared" si="11"/>
        <v/>
      </c>
      <c r="J622" s="66" t="str">
        <f>IF($H622=1,'Event summary'!C622,"")</f>
        <v/>
      </c>
      <c r="K622" s="66" t="str">
        <f>IF($H622=1,'Event summary'!D622,"")</f>
        <v/>
      </c>
    </row>
    <row r="623" spans="7:11" x14ac:dyDescent="0.2">
      <c r="G623" s="46">
        <f>'Event summary'!A623</f>
        <v>623</v>
      </c>
      <c r="H623" s="43">
        <f>MIN(TYPE(SEARCH($E$2,'Event summary'!C623)),TYPE(SEARCH($E$2,'Event summary'!D623)))</f>
        <v>16</v>
      </c>
      <c r="I623" s="65" t="str">
        <f t="shared" si="11"/>
        <v/>
      </c>
      <c r="J623" s="66" t="str">
        <f>IF($H623=1,'Event summary'!C623,"")</f>
        <v/>
      </c>
      <c r="K623" s="66" t="str">
        <f>IF($H623=1,'Event summary'!D623,"")</f>
        <v/>
      </c>
    </row>
    <row r="624" spans="7:11" x14ac:dyDescent="0.2">
      <c r="G624" s="46">
        <f>'Event summary'!A624</f>
        <v>624</v>
      </c>
      <c r="H624" s="43">
        <f>MIN(TYPE(SEARCH($E$2,'Event summary'!C624)),TYPE(SEARCH($E$2,'Event summary'!D624)))</f>
        <v>16</v>
      </c>
      <c r="I624" s="65" t="str">
        <f t="shared" si="11"/>
        <v/>
      </c>
      <c r="J624" s="66" t="str">
        <f>IF($H624=1,'Event summary'!C624,"")</f>
        <v/>
      </c>
      <c r="K624" s="66" t="str">
        <f>IF($H624=1,'Event summary'!D624,"")</f>
        <v/>
      </c>
    </row>
    <row r="625" spans="7:11" ht="28.5" x14ac:dyDescent="0.2">
      <c r="G625" s="46">
        <f>'Event summary'!A625</f>
        <v>625</v>
      </c>
      <c r="H625" s="43">
        <f>MIN(TYPE(SEARCH($E$2,'Event summary'!C625)),TYPE(SEARCH($E$2,'Event summary'!D625)))</f>
        <v>1</v>
      </c>
      <c r="I625" s="65" t="str">
        <f t="shared" si="11"/>
        <v>שינוי</v>
      </c>
      <c r="J625" s="66" t="str">
        <f>IF($H625=1,'Event summary'!C625,"")</f>
        <v>מטופלת לא קיבלה זימון לרופא עד אחרי סיום ההקרנות לשד. המקרה דווח ע"י המטופלת.</v>
      </c>
      <c r="K625" s="66" t="str">
        <f>IF($H625=1,'Event summary'!D625,"")</f>
        <v>בקרוב יתבצע שינוי בהליך בקרת התורים ביחידה. שינוי זה יפתור את הסוגיה מעקב מטופלים ביחידה.</v>
      </c>
    </row>
    <row r="626" spans="7:11" ht="28.5" x14ac:dyDescent="0.2">
      <c r="G626" s="46">
        <f>'Event summary'!A626</f>
        <v>626</v>
      </c>
      <c r="H626" s="43">
        <f>MIN(TYPE(SEARCH($E$2,'Event summary'!C626)),TYPE(SEARCH($E$2,'Event summary'!D626)))</f>
        <v>1</v>
      </c>
      <c r="I626" s="65" t="str">
        <f t="shared" si="11"/>
        <v>שינוי</v>
      </c>
      <c r="J626" s="66" t="str">
        <f>IF($H626=1,'Event summary'!C626,"")</f>
        <v>מטופל קיבל טיפולים אך לא ראה אחות עד הטיפול האחרון כאשר התלונן על תופעות לוואי. מטופל של 7:00 בבוקר.</v>
      </c>
      <c r="K626" s="66" t="str">
        <f>IF($H626=1,'Event summary'!D626,"")</f>
        <v>בקרוב יתבצע שינוי בהליך בקרת התורים ביחידה. שינוי זה יפתור את הסוגיה מעקב מטופלים ביחידה.</v>
      </c>
    </row>
    <row r="627" spans="7:11" x14ac:dyDescent="0.2">
      <c r="G627" s="46">
        <f>'Event summary'!A627</f>
        <v>627</v>
      </c>
      <c r="H627" s="43">
        <f>MIN(TYPE(SEARCH($E$2,'Event summary'!C627)),TYPE(SEARCH($E$2,'Event summary'!D627)))</f>
        <v>16</v>
      </c>
      <c r="I627" s="65" t="str">
        <f t="shared" si="11"/>
        <v/>
      </c>
      <c r="J627" s="66" t="str">
        <f>IF($H627=1,'Event summary'!C627,"")</f>
        <v/>
      </c>
      <c r="K627" s="66" t="str">
        <f>IF($H627=1,'Event summary'!D627,"")</f>
        <v/>
      </c>
    </row>
    <row r="628" spans="7:11" x14ac:dyDescent="0.2">
      <c r="G628" s="46">
        <f>'Event summary'!A628</f>
        <v>628</v>
      </c>
      <c r="H628" s="43">
        <f>MIN(TYPE(SEARCH($E$2,'Event summary'!C628)),TYPE(SEARCH($E$2,'Event summary'!D628)))</f>
        <v>16</v>
      </c>
      <c r="I628" s="65" t="str">
        <f t="shared" si="11"/>
        <v/>
      </c>
      <c r="J628" s="66" t="str">
        <f>IF($H628=1,'Event summary'!C628,"")</f>
        <v/>
      </c>
      <c r="K628" s="66" t="str">
        <f>IF($H628=1,'Event summary'!D628,"")</f>
        <v/>
      </c>
    </row>
    <row r="629" spans="7:11" x14ac:dyDescent="0.2">
      <c r="G629" s="46">
        <f>'Event summary'!A629</f>
        <v>629</v>
      </c>
      <c r="H629" s="43">
        <f>MIN(TYPE(SEARCH($E$2,'Event summary'!C629)),TYPE(SEARCH($E$2,'Event summary'!D629)))</f>
        <v>16</v>
      </c>
      <c r="I629" s="65" t="str">
        <f t="shared" si="11"/>
        <v/>
      </c>
      <c r="J629" s="66" t="str">
        <f>IF($H629=1,'Event summary'!C629,"")</f>
        <v/>
      </c>
      <c r="K629" s="66" t="str">
        <f>IF($H629=1,'Event summary'!D629,"")</f>
        <v/>
      </c>
    </row>
    <row r="630" spans="7:11" x14ac:dyDescent="0.2">
      <c r="G630" s="46">
        <f>'Event summary'!A630</f>
        <v>630</v>
      </c>
      <c r="H630" s="43">
        <f>MIN(TYPE(SEARCH($E$2,'Event summary'!C630)),TYPE(SEARCH($E$2,'Event summary'!D630)))</f>
        <v>16</v>
      </c>
      <c r="I630" s="65" t="str">
        <f t="shared" si="11"/>
        <v/>
      </c>
      <c r="J630" s="66" t="str">
        <f>IF($H630=1,'Event summary'!C630,"")</f>
        <v/>
      </c>
      <c r="K630" s="66" t="str">
        <f>IF($H630=1,'Event summary'!D630,"")</f>
        <v/>
      </c>
    </row>
    <row r="631" spans="7:11" x14ac:dyDescent="0.2">
      <c r="G631" s="46">
        <f>'Event summary'!A631</f>
        <v>631</v>
      </c>
      <c r="H631" s="43">
        <f>MIN(TYPE(SEARCH($E$2,'Event summary'!C631)),TYPE(SEARCH($E$2,'Event summary'!D631)))</f>
        <v>16</v>
      </c>
      <c r="I631" s="65" t="str">
        <f t="shared" si="11"/>
        <v/>
      </c>
      <c r="J631" s="66" t="str">
        <f>IF($H631=1,'Event summary'!C631,"")</f>
        <v/>
      </c>
      <c r="K631" s="66" t="str">
        <f>IF($H631=1,'Event summary'!D631,"")</f>
        <v/>
      </c>
    </row>
    <row r="632" spans="7:11" x14ac:dyDescent="0.2">
      <c r="G632" s="46">
        <f>'Event summary'!A632</f>
        <v>632</v>
      </c>
      <c r="H632" s="43">
        <f>MIN(TYPE(SEARCH($E$2,'Event summary'!C632)),TYPE(SEARCH($E$2,'Event summary'!D632)))</f>
        <v>16</v>
      </c>
      <c r="I632" s="65" t="str">
        <f t="shared" si="11"/>
        <v/>
      </c>
      <c r="J632" s="66" t="str">
        <f>IF($H632=1,'Event summary'!C632,"")</f>
        <v/>
      </c>
      <c r="K632" s="66" t="str">
        <f>IF($H632=1,'Event summary'!D632,"")</f>
        <v/>
      </c>
    </row>
    <row r="633" spans="7:11" x14ac:dyDescent="0.2">
      <c r="G633" s="46">
        <f>'Event summary'!A633</f>
        <v>633</v>
      </c>
      <c r="H633" s="43">
        <f>MIN(TYPE(SEARCH($E$2,'Event summary'!C633)),TYPE(SEARCH($E$2,'Event summary'!D633)))</f>
        <v>16</v>
      </c>
      <c r="I633" s="65" t="str">
        <f t="shared" si="11"/>
        <v/>
      </c>
      <c r="J633" s="66" t="str">
        <f>IF($H633=1,'Event summary'!C633,"")</f>
        <v/>
      </c>
      <c r="K633" s="66" t="str">
        <f>IF($H633=1,'Event summary'!D633,"")</f>
        <v/>
      </c>
    </row>
    <row r="634" spans="7:11" x14ac:dyDescent="0.2">
      <c r="G634" s="46">
        <f>'Event summary'!A634</f>
        <v>634</v>
      </c>
      <c r="H634" s="43">
        <f>MIN(TYPE(SEARCH($E$2,'Event summary'!C634)),TYPE(SEARCH($E$2,'Event summary'!D634)))</f>
        <v>16</v>
      </c>
      <c r="I634" s="65" t="str">
        <f t="shared" si="11"/>
        <v/>
      </c>
      <c r="J634" s="66" t="str">
        <f>IF($H634=1,'Event summary'!C634,"")</f>
        <v/>
      </c>
      <c r="K634" s="66" t="str">
        <f>IF($H634=1,'Event summary'!D634,"")</f>
        <v/>
      </c>
    </row>
    <row r="635" spans="7:11" x14ac:dyDescent="0.2">
      <c r="G635" s="46">
        <f>'Event summary'!A635</f>
        <v>635</v>
      </c>
      <c r="H635" s="43">
        <f>MIN(TYPE(SEARCH($E$2,'Event summary'!C635)),TYPE(SEARCH($E$2,'Event summary'!D635)))</f>
        <v>16</v>
      </c>
      <c r="I635" s="65" t="str">
        <f t="shared" si="11"/>
        <v/>
      </c>
      <c r="J635" s="66" t="str">
        <f>IF($H635=1,'Event summary'!C635,"")</f>
        <v/>
      </c>
      <c r="K635" s="66" t="str">
        <f>IF($H635=1,'Event summary'!D635,"")</f>
        <v/>
      </c>
    </row>
    <row r="636" spans="7:11" x14ac:dyDescent="0.2">
      <c r="G636" s="46">
        <f>'Event summary'!A636</f>
        <v>636</v>
      </c>
      <c r="H636" s="43">
        <f>MIN(TYPE(SEARCH($E$2,'Event summary'!C636)),TYPE(SEARCH($E$2,'Event summary'!D636)))</f>
        <v>16</v>
      </c>
      <c r="I636" s="65" t="str">
        <f t="shared" si="11"/>
        <v/>
      </c>
      <c r="J636" s="66" t="str">
        <f>IF($H636=1,'Event summary'!C636,"")</f>
        <v/>
      </c>
      <c r="K636" s="66" t="str">
        <f>IF($H636=1,'Event summary'!D636,"")</f>
        <v/>
      </c>
    </row>
    <row r="637" spans="7:11" x14ac:dyDescent="0.2">
      <c r="G637" s="46">
        <f>'Event summary'!A637</f>
        <v>637</v>
      </c>
      <c r="H637" s="43">
        <f>MIN(TYPE(SEARCH($E$2,'Event summary'!C637)),TYPE(SEARCH($E$2,'Event summary'!D637)))</f>
        <v>16</v>
      </c>
      <c r="I637" s="65" t="str">
        <f t="shared" si="11"/>
        <v/>
      </c>
      <c r="J637" s="66" t="str">
        <f>IF($H637=1,'Event summary'!C637,"")</f>
        <v/>
      </c>
      <c r="K637" s="66" t="str">
        <f>IF($H637=1,'Event summary'!D637,"")</f>
        <v/>
      </c>
    </row>
    <row r="638" spans="7:11" x14ac:dyDescent="0.2">
      <c r="G638" s="46">
        <f>'Event summary'!A638</f>
        <v>638</v>
      </c>
      <c r="H638" s="43">
        <f>MIN(TYPE(SEARCH($E$2,'Event summary'!C638)),TYPE(SEARCH($E$2,'Event summary'!D638)))</f>
        <v>16</v>
      </c>
      <c r="I638" s="65" t="str">
        <f t="shared" si="11"/>
        <v/>
      </c>
      <c r="J638" s="66" t="str">
        <f>IF($H638=1,'Event summary'!C638,"")</f>
        <v/>
      </c>
      <c r="K638" s="66" t="str">
        <f>IF($H638=1,'Event summary'!D638,"")</f>
        <v/>
      </c>
    </row>
    <row r="639" spans="7:11" x14ac:dyDescent="0.2">
      <c r="G639" s="46">
        <f>'Event summary'!A639</f>
        <v>639</v>
      </c>
      <c r="H639" s="43">
        <f>MIN(TYPE(SEARCH($E$2,'Event summary'!C639)),TYPE(SEARCH($E$2,'Event summary'!D639)))</f>
        <v>16</v>
      </c>
      <c r="I639" s="65" t="str">
        <f t="shared" si="11"/>
        <v/>
      </c>
      <c r="J639" s="66" t="str">
        <f>IF($H639=1,'Event summary'!C639,"")</f>
        <v/>
      </c>
      <c r="K639" s="66" t="str">
        <f>IF($H639=1,'Event summary'!D639,"")</f>
        <v/>
      </c>
    </row>
    <row r="640" spans="7:11" x14ac:dyDescent="0.2">
      <c r="G640" s="46">
        <f>'Event summary'!A640</f>
        <v>640</v>
      </c>
      <c r="H640" s="43">
        <f>MIN(TYPE(SEARCH($E$2,'Event summary'!C640)),TYPE(SEARCH($E$2,'Event summary'!D640)))</f>
        <v>16</v>
      </c>
      <c r="I640" s="65" t="str">
        <f t="shared" si="11"/>
        <v/>
      </c>
      <c r="J640" s="66" t="str">
        <f>IF($H640=1,'Event summary'!C640,"")</f>
        <v/>
      </c>
      <c r="K640" s="66" t="str">
        <f>IF($H640=1,'Event summary'!D640,"")</f>
        <v/>
      </c>
    </row>
    <row r="641" spans="7:11" x14ac:dyDescent="0.2">
      <c r="G641" s="46">
        <f>'Event summary'!A641</f>
        <v>641</v>
      </c>
      <c r="H641" s="43">
        <f>MIN(TYPE(SEARCH($E$2,'Event summary'!C641)),TYPE(SEARCH($E$2,'Event summary'!D641)))</f>
        <v>16</v>
      </c>
      <c r="I641" s="65" t="str">
        <f t="shared" si="11"/>
        <v/>
      </c>
      <c r="J641" s="66" t="str">
        <f>IF($H641=1,'Event summary'!C641,"")</f>
        <v/>
      </c>
      <c r="K641" s="66" t="str">
        <f>IF($H641=1,'Event summary'!D641,"")</f>
        <v/>
      </c>
    </row>
    <row r="642" spans="7:11" x14ac:dyDescent="0.2">
      <c r="G642" s="46">
        <f>'Event summary'!A642</f>
        <v>642</v>
      </c>
      <c r="H642" s="43">
        <f>MIN(TYPE(SEARCH($E$2,'Event summary'!C642)),TYPE(SEARCH($E$2,'Event summary'!D642)))</f>
        <v>16</v>
      </c>
      <c r="I642" s="65" t="str">
        <f t="shared" si="11"/>
        <v/>
      </c>
      <c r="J642" s="66" t="str">
        <f>IF($H642=1,'Event summary'!C642,"")</f>
        <v/>
      </c>
      <c r="K642" s="66" t="str">
        <f>IF($H642=1,'Event summary'!D642,"")</f>
        <v/>
      </c>
    </row>
    <row r="643" spans="7:11" x14ac:dyDescent="0.2">
      <c r="G643" s="46">
        <f>'Event summary'!A643</f>
        <v>643</v>
      </c>
      <c r="H643" s="43">
        <f>MIN(TYPE(SEARCH($E$2,'Event summary'!C643)),TYPE(SEARCH($E$2,'Event summary'!D643)))</f>
        <v>16</v>
      </c>
      <c r="I643" s="65" t="str">
        <f t="shared" si="11"/>
        <v/>
      </c>
      <c r="J643" s="66" t="str">
        <f>IF($H643=1,'Event summary'!C643,"")</f>
        <v/>
      </c>
      <c r="K643" s="66" t="str">
        <f>IF($H643=1,'Event summary'!D643,"")</f>
        <v/>
      </c>
    </row>
    <row r="644" spans="7:11" ht="42.75" x14ac:dyDescent="0.2">
      <c r="G644" s="46">
        <f>'Event summary'!A644</f>
        <v>644</v>
      </c>
      <c r="H644" s="43">
        <f>MIN(TYPE(SEARCH($E$2,'Event summary'!C644)),TYPE(SEARCH($E$2,'Event summary'!D644)))</f>
        <v>1</v>
      </c>
      <c r="I644" s="65" t="str">
        <f t="shared" si="11"/>
        <v>שינוי</v>
      </c>
      <c r="J644" s="66" t="str">
        <f>IF($H644=1,'Event summary'!C644,"")</f>
        <v>המטופלת קיבלה טיפול מגע במנה של 5Gy במקום 3Gy. למטופלת יש 5 פרקציות. 4 הפרקציות הנותרות חולקו ל- 2.5Gy לפרקציה. קיימת אי התאמה בין המרשם בקמליון ל- Aria. בקורס הקיים ישנם מספר מרשמים לטיפול מגע משנים קודמות וקשה להבין איזה מרשם הוא הנכון.</v>
      </c>
      <c r="K644" s="66" t="str">
        <f>IF($H644=1,'Event summary'!D644,"")</f>
        <v>יש להקפיד על ביצוע פסק זמן לפני ביצוע ההקרנה בסימון קליני/קונטאקט. על סגירת קורסים ישנים וכתיבת המרשם ב- Aria בקורס החדש. כמו כן, יש לתעד את השינוים במרשם בקמליון.</v>
      </c>
    </row>
    <row r="645" spans="7:11" x14ac:dyDescent="0.2">
      <c r="G645" s="46">
        <f>'Event summary'!A645</f>
        <v>645</v>
      </c>
      <c r="H645" s="43">
        <f>MIN(TYPE(SEARCH($E$2,'Event summary'!C645)),TYPE(SEARCH($E$2,'Event summary'!D645)))</f>
        <v>16</v>
      </c>
      <c r="I645" s="65" t="str">
        <f t="shared" si="11"/>
        <v/>
      </c>
      <c r="J645" s="66" t="str">
        <f>IF($H645=1,'Event summary'!C645,"")</f>
        <v/>
      </c>
      <c r="K645" s="66" t="str">
        <f>IF($H645=1,'Event summary'!D645,"")</f>
        <v/>
      </c>
    </row>
    <row r="646" spans="7:11" x14ac:dyDescent="0.2">
      <c r="G646" s="46">
        <f>'Event summary'!A646</f>
        <v>646</v>
      </c>
      <c r="H646" s="43">
        <f>MIN(TYPE(SEARCH($E$2,'Event summary'!C646)),TYPE(SEARCH($E$2,'Event summary'!D646)))</f>
        <v>16</v>
      </c>
      <c r="I646" s="65" t="str">
        <f t="shared" si="11"/>
        <v/>
      </c>
      <c r="J646" s="66" t="str">
        <f>IF($H646=1,'Event summary'!C646,"")</f>
        <v/>
      </c>
      <c r="K646" s="66" t="str">
        <f>IF($H646=1,'Event summary'!D646,"")</f>
        <v/>
      </c>
    </row>
    <row r="647" spans="7:11" x14ac:dyDescent="0.2">
      <c r="G647" s="46">
        <f>'Event summary'!A647</f>
        <v>647</v>
      </c>
      <c r="H647" s="43">
        <f>MIN(TYPE(SEARCH($E$2,'Event summary'!C647)),TYPE(SEARCH($E$2,'Event summary'!D647)))</f>
        <v>16</v>
      </c>
      <c r="I647" s="65" t="str">
        <f t="shared" si="11"/>
        <v/>
      </c>
      <c r="J647" s="66" t="str">
        <f>IF($H647=1,'Event summary'!C647,"")</f>
        <v/>
      </c>
      <c r="K647" s="66" t="str">
        <f>IF($H647=1,'Event summary'!D647,"")</f>
        <v/>
      </c>
    </row>
    <row r="648" spans="7:11" x14ac:dyDescent="0.2">
      <c r="G648" s="46">
        <f>'Event summary'!A648</f>
        <v>648</v>
      </c>
      <c r="H648" s="43">
        <f>MIN(TYPE(SEARCH($E$2,'Event summary'!C648)),TYPE(SEARCH($E$2,'Event summary'!D648)))</f>
        <v>16</v>
      </c>
      <c r="I648" s="65" t="str">
        <f t="shared" si="11"/>
        <v/>
      </c>
      <c r="J648" s="66" t="str">
        <f>IF($H648=1,'Event summary'!C648,"")</f>
        <v/>
      </c>
      <c r="K648" s="66" t="str">
        <f>IF($H648=1,'Event summary'!D648,"")</f>
        <v/>
      </c>
    </row>
    <row r="649" spans="7:11" x14ac:dyDescent="0.2">
      <c r="G649" s="46">
        <f>'Event summary'!A649</f>
        <v>649</v>
      </c>
      <c r="H649" s="43">
        <f>MIN(TYPE(SEARCH($E$2,'Event summary'!C649)),TYPE(SEARCH($E$2,'Event summary'!D649)))</f>
        <v>16</v>
      </c>
      <c r="I649" s="65" t="str">
        <f t="shared" si="11"/>
        <v/>
      </c>
      <c r="J649" s="66" t="str">
        <f>IF($H649=1,'Event summary'!C649,"")</f>
        <v/>
      </c>
      <c r="K649" s="66" t="str">
        <f>IF($H649=1,'Event summary'!D649,"")</f>
        <v/>
      </c>
    </row>
    <row r="650" spans="7:11" x14ac:dyDescent="0.2">
      <c r="G650" s="46">
        <f>'Event summary'!A650</f>
        <v>650</v>
      </c>
      <c r="H650" s="43">
        <f>MIN(TYPE(SEARCH($E$2,'Event summary'!C650)),TYPE(SEARCH($E$2,'Event summary'!D650)))</f>
        <v>16</v>
      </c>
      <c r="I650" s="65" t="str">
        <f t="shared" si="11"/>
        <v/>
      </c>
      <c r="J650" s="66" t="str">
        <f>IF($H650=1,'Event summary'!C650,"")</f>
        <v/>
      </c>
      <c r="K650" s="66" t="str">
        <f>IF($H650=1,'Event summary'!D650,"")</f>
        <v/>
      </c>
    </row>
    <row r="651" spans="7:11" x14ac:dyDescent="0.2">
      <c r="G651" s="46">
        <f>'Event summary'!A651</f>
        <v>651</v>
      </c>
      <c r="H651" s="43">
        <f>MIN(TYPE(SEARCH($E$2,'Event summary'!C651)),TYPE(SEARCH($E$2,'Event summary'!D651)))</f>
        <v>16</v>
      </c>
      <c r="I651" s="65" t="str">
        <f t="shared" si="11"/>
        <v/>
      </c>
      <c r="J651" s="66" t="str">
        <f>IF($H651=1,'Event summary'!C651,"")</f>
        <v/>
      </c>
      <c r="K651" s="66" t="str">
        <f>IF($H651=1,'Event summary'!D651,"")</f>
        <v/>
      </c>
    </row>
    <row r="652" spans="7:11" x14ac:dyDescent="0.2">
      <c r="G652" s="46">
        <f>'Event summary'!A652</f>
        <v>652</v>
      </c>
      <c r="H652" s="43">
        <f>MIN(TYPE(SEARCH($E$2,'Event summary'!C652)),TYPE(SEARCH($E$2,'Event summary'!D652)))</f>
        <v>16</v>
      </c>
      <c r="I652" s="65" t="str">
        <f t="shared" si="11"/>
        <v/>
      </c>
      <c r="J652" s="66" t="str">
        <f>IF($H652=1,'Event summary'!C652,"")</f>
        <v/>
      </c>
      <c r="K652" s="66" t="str">
        <f>IF($H652=1,'Event summary'!D652,"")</f>
        <v/>
      </c>
    </row>
    <row r="653" spans="7:11" x14ac:dyDescent="0.2">
      <c r="G653" s="46">
        <f>'Event summary'!A653</f>
        <v>653</v>
      </c>
      <c r="H653" s="43">
        <f>MIN(TYPE(SEARCH($E$2,'Event summary'!C653)),TYPE(SEARCH($E$2,'Event summary'!D653)))</f>
        <v>16</v>
      </c>
      <c r="I653" s="65" t="str">
        <f t="shared" si="11"/>
        <v/>
      </c>
      <c r="J653" s="66" t="str">
        <f>IF($H653=1,'Event summary'!C653,"")</f>
        <v/>
      </c>
      <c r="K653" s="66" t="str">
        <f>IF($H653=1,'Event summary'!D653,"")</f>
        <v/>
      </c>
    </row>
    <row r="654" spans="7:11" x14ac:dyDescent="0.2">
      <c r="G654" s="46">
        <f>'Event summary'!A654</f>
        <v>654</v>
      </c>
      <c r="H654" s="43">
        <f>MIN(TYPE(SEARCH($E$2,'Event summary'!C654)),TYPE(SEARCH($E$2,'Event summary'!D654)))</f>
        <v>16</v>
      </c>
      <c r="I654" s="65" t="str">
        <f t="shared" si="11"/>
        <v/>
      </c>
      <c r="J654" s="66" t="str">
        <f>IF($H654=1,'Event summary'!C654,"")</f>
        <v/>
      </c>
      <c r="K654" s="66" t="str">
        <f>IF($H654=1,'Event summary'!D654,"")</f>
        <v/>
      </c>
    </row>
    <row r="655" spans="7:11" x14ac:dyDescent="0.2">
      <c r="G655" s="46">
        <f>'Event summary'!A655</f>
        <v>655</v>
      </c>
      <c r="H655" s="43">
        <f>MIN(TYPE(SEARCH($E$2,'Event summary'!C655)),TYPE(SEARCH($E$2,'Event summary'!D655)))</f>
        <v>16</v>
      </c>
      <c r="I655" s="65" t="str">
        <f t="shared" si="11"/>
        <v/>
      </c>
      <c r="J655" s="66" t="str">
        <f>IF($H655=1,'Event summary'!C655,"")</f>
        <v/>
      </c>
      <c r="K655" s="66" t="str">
        <f>IF($H655=1,'Event summary'!D655,"")</f>
        <v/>
      </c>
    </row>
    <row r="656" spans="7:11" x14ac:dyDescent="0.2">
      <c r="G656" s="46">
        <f>'Event summary'!A656</f>
        <v>656</v>
      </c>
      <c r="H656" s="43">
        <f>MIN(TYPE(SEARCH($E$2,'Event summary'!C656)),TYPE(SEARCH($E$2,'Event summary'!D656)))</f>
        <v>16</v>
      </c>
      <c r="I656" s="65" t="str">
        <f t="shared" si="11"/>
        <v/>
      </c>
      <c r="J656" s="66" t="str">
        <f>IF($H656=1,'Event summary'!C656,"")</f>
        <v/>
      </c>
      <c r="K656" s="66" t="str">
        <f>IF($H656=1,'Event summary'!D656,"")</f>
        <v/>
      </c>
    </row>
    <row r="657" spans="7:11" x14ac:dyDescent="0.2">
      <c r="G657" s="46">
        <f>'Event summary'!A657</f>
        <v>657</v>
      </c>
      <c r="H657" s="43">
        <f>MIN(TYPE(SEARCH($E$2,'Event summary'!C657)),TYPE(SEARCH($E$2,'Event summary'!D657)))</f>
        <v>16</v>
      </c>
      <c r="I657" s="65" t="str">
        <f t="shared" si="11"/>
        <v/>
      </c>
      <c r="J657" s="66" t="str">
        <f>IF($H657=1,'Event summary'!C657,"")</f>
        <v/>
      </c>
      <c r="K657" s="66" t="str">
        <f>IF($H657=1,'Event summary'!D657,"")</f>
        <v/>
      </c>
    </row>
    <row r="658" spans="7:11" x14ac:dyDescent="0.2">
      <c r="G658" s="46">
        <f>'Event summary'!A658</f>
        <v>658</v>
      </c>
      <c r="H658" s="43">
        <f>MIN(TYPE(SEARCH($E$2,'Event summary'!C658)),TYPE(SEARCH($E$2,'Event summary'!D658)))</f>
        <v>16</v>
      </c>
      <c r="I658" s="65" t="str">
        <f t="shared" si="11"/>
        <v/>
      </c>
      <c r="J658" s="66" t="str">
        <f>IF($H658=1,'Event summary'!C658,"")</f>
        <v/>
      </c>
      <c r="K658" s="66" t="str">
        <f>IF($H658=1,'Event summary'!D658,"")</f>
        <v/>
      </c>
    </row>
    <row r="659" spans="7:11" x14ac:dyDescent="0.2">
      <c r="G659" s="46">
        <f>'Event summary'!A659</f>
        <v>659</v>
      </c>
      <c r="H659" s="43">
        <f>MIN(TYPE(SEARCH($E$2,'Event summary'!C659)),TYPE(SEARCH($E$2,'Event summary'!D659)))</f>
        <v>16</v>
      </c>
      <c r="I659" s="65" t="str">
        <f t="shared" si="11"/>
        <v/>
      </c>
      <c r="J659" s="66" t="str">
        <f>IF($H659=1,'Event summary'!C659,"")</f>
        <v/>
      </c>
      <c r="K659" s="66" t="str">
        <f>IF($H659=1,'Event summary'!D659,"")</f>
        <v/>
      </c>
    </row>
    <row r="660" spans="7:11" ht="28.5" x14ac:dyDescent="0.2">
      <c r="G660" s="46">
        <f>'Event summary'!A660</f>
        <v>660</v>
      </c>
      <c r="H660" s="43">
        <f>MIN(TYPE(SEARCH($E$2,'Event summary'!C660)),TYPE(SEARCH($E$2,'Event summary'!D660)))</f>
        <v>1</v>
      </c>
      <c r="I660" s="65" t="str">
        <f t="shared" si="11"/>
        <v>שינוי</v>
      </c>
      <c r="J660" s="66" t="str">
        <f>IF($H660=1,'Event summary'!C660,"")</f>
        <v>מטופלת לא הגיעה לטיפול ראשון. לאחר שיחה איתה התברר שלא קיבלה זימון. המטופלת התחילה טיפול של 5 פרקציות ביום שני במקום בראשון.</v>
      </c>
      <c r="K660" s="66" t="str">
        <f>IF($H660=1,'Event summary'!D660,"")</f>
        <v>ללא שינוי.</v>
      </c>
    </row>
    <row r="661" spans="7:11" ht="28.5" x14ac:dyDescent="0.2">
      <c r="G661" s="46">
        <f>'Event summary'!A661</f>
        <v>661</v>
      </c>
      <c r="H661" s="43">
        <f>MIN(TYPE(SEARCH($E$2,'Event summary'!C661)),TYPE(SEARCH($E$2,'Event summary'!D661)))</f>
        <v>1</v>
      </c>
      <c r="I661" s="65" t="str">
        <f t="shared" si="11"/>
        <v>שינוי</v>
      </c>
      <c r="J661" s="66" t="str">
        <f>IF($H661=1,'Event summary'!C661,"")</f>
        <v>מטופל לא הגיע לטיפול ראשון. לאחר שיחה איתו התברר שלא קיבל זימון. המטופל התחיל טיפול של 5 פרקציות ביום שני במקום בראשון.</v>
      </c>
      <c r="K661" s="66" t="str">
        <f>IF($H661=1,'Event summary'!D661,"")</f>
        <v>ללא שינוי.</v>
      </c>
    </row>
    <row r="662" spans="7:11" x14ac:dyDescent="0.2">
      <c r="G662" s="46">
        <f>'Event summary'!A662</f>
        <v>662</v>
      </c>
      <c r="H662" s="43">
        <f>MIN(TYPE(SEARCH($E$2,'Event summary'!C662)),TYPE(SEARCH($E$2,'Event summary'!D662)))</f>
        <v>16</v>
      </c>
      <c r="I662" s="65" t="str">
        <f t="shared" si="11"/>
        <v/>
      </c>
      <c r="J662" s="66" t="str">
        <f>IF($H662=1,'Event summary'!C662,"")</f>
        <v/>
      </c>
      <c r="K662" s="66" t="str">
        <f>IF($H662=1,'Event summary'!D662,"")</f>
        <v/>
      </c>
    </row>
    <row r="663" spans="7:11" x14ac:dyDescent="0.2">
      <c r="G663" s="46">
        <f>'Event summary'!A663</f>
        <v>663</v>
      </c>
      <c r="H663" s="43">
        <f>MIN(TYPE(SEARCH($E$2,'Event summary'!C663)),TYPE(SEARCH($E$2,'Event summary'!D663)))</f>
        <v>16</v>
      </c>
      <c r="I663" s="65" t="str">
        <f t="shared" si="11"/>
        <v/>
      </c>
      <c r="J663" s="66" t="str">
        <f>IF($H663=1,'Event summary'!C663,"")</f>
        <v/>
      </c>
      <c r="K663" s="66" t="str">
        <f>IF($H663=1,'Event summary'!D663,"")</f>
        <v/>
      </c>
    </row>
    <row r="664" spans="7:11" x14ac:dyDescent="0.2">
      <c r="G664" s="46">
        <f>'Event summary'!A664</f>
        <v>664</v>
      </c>
      <c r="H664" s="43">
        <f>MIN(TYPE(SEARCH($E$2,'Event summary'!C664)),TYPE(SEARCH($E$2,'Event summary'!D664)))</f>
        <v>16</v>
      </c>
      <c r="I664" s="65" t="str">
        <f t="shared" si="11"/>
        <v/>
      </c>
      <c r="J664" s="66" t="str">
        <f>IF($H664=1,'Event summary'!C664,"")</f>
        <v/>
      </c>
      <c r="K664" s="66" t="str">
        <f>IF($H664=1,'Event summary'!D664,"")</f>
        <v/>
      </c>
    </row>
    <row r="665" spans="7:11" x14ac:dyDescent="0.2">
      <c r="G665" s="46">
        <f>'Event summary'!A665</f>
        <v>665</v>
      </c>
      <c r="H665" s="43">
        <f>MIN(TYPE(SEARCH($E$2,'Event summary'!C665)),TYPE(SEARCH($E$2,'Event summary'!D665)))</f>
        <v>16</v>
      </c>
      <c r="I665" s="65" t="str">
        <f t="shared" si="11"/>
        <v/>
      </c>
      <c r="J665" s="66" t="str">
        <f>IF($H665=1,'Event summary'!C665,"")</f>
        <v/>
      </c>
      <c r="K665" s="66" t="str">
        <f>IF($H665=1,'Event summary'!D665,"")</f>
        <v/>
      </c>
    </row>
    <row r="666" spans="7:11" x14ac:dyDescent="0.2">
      <c r="G666" s="46">
        <f>'Event summary'!A666</f>
        <v>666</v>
      </c>
      <c r="H666" s="43">
        <f>MIN(TYPE(SEARCH($E$2,'Event summary'!C666)),TYPE(SEARCH($E$2,'Event summary'!D666)))</f>
        <v>16</v>
      </c>
      <c r="I666" s="65" t="str">
        <f t="shared" si="11"/>
        <v/>
      </c>
      <c r="J666" s="66" t="str">
        <f>IF($H666=1,'Event summary'!C666,"")</f>
        <v/>
      </c>
      <c r="K666" s="66" t="str">
        <f>IF($H666=1,'Event summary'!D666,"")</f>
        <v/>
      </c>
    </row>
    <row r="667" spans="7:11" ht="28.5" x14ac:dyDescent="0.2">
      <c r="G667" s="46">
        <f>'Event summary'!A667</f>
        <v>667</v>
      </c>
      <c r="H667" s="43">
        <f>MIN(TYPE(SEARCH($E$2,'Event summary'!C667)),TYPE(SEARCH($E$2,'Event summary'!D667)))</f>
        <v>1</v>
      </c>
      <c r="I667" s="65" t="str">
        <f t="shared" si="11"/>
        <v>שינוי</v>
      </c>
      <c r="J667" s="66" t="str">
        <f>IF($H667=1,'Event summary'!C667,"")</f>
        <v>מטופל הוזמן לסימולציה לבירור עומק של צלקת לצורך טיפול. לאחר מכן הוחלט לטפל במוקד נוסף באגן. לא היו סימונים על המטופל להתאמת מרכז הטיפול.</v>
      </c>
      <c r="K667" s="66" t="str">
        <f>IF($H667=1,'Event summary'!D667,"")</f>
        <v>ללא שינוי.</v>
      </c>
    </row>
    <row r="668" spans="7:11" x14ac:dyDescent="0.2">
      <c r="G668" s="46">
        <f>'Event summary'!A668</f>
        <v>668</v>
      </c>
      <c r="H668" s="43">
        <f>MIN(TYPE(SEARCH($E$2,'Event summary'!C668)),TYPE(SEARCH($E$2,'Event summary'!D668)))</f>
        <v>16</v>
      </c>
      <c r="I668" s="65" t="str">
        <f t="shared" si="11"/>
        <v/>
      </c>
      <c r="J668" s="66" t="str">
        <f>IF($H668=1,'Event summary'!C668,"")</f>
        <v/>
      </c>
      <c r="K668" s="66" t="str">
        <f>IF($H668=1,'Event summary'!D668,"")</f>
        <v/>
      </c>
    </row>
    <row r="669" spans="7:11" x14ac:dyDescent="0.2">
      <c r="G669" s="46">
        <f>'Event summary'!A669</f>
        <v>669</v>
      </c>
      <c r="H669" s="43">
        <f>MIN(TYPE(SEARCH($E$2,'Event summary'!C669)),TYPE(SEARCH($E$2,'Event summary'!D669)))</f>
        <v>16</v>
      </c>
      <c r="I669" s="65" t="str">
        <f t="shared" si="11"/>
        <v/>
      </c>
      <c r="J669" s="66" t="str">
        <f>IF($H669=1,'Event summary'!C669,"")</f>
        <v/>
      </c>
      <c r="K669" s="66" t="str">
        <f>IF($H669=1,'Event summary'!D669,"")</f>
        <v/>
      </c>
    </row>
    <row r="670" spans="7:11" ht="28.5" x14ac:dyDescent="0.2">
      <c r="G670" s="46">
        <f>'Event summary'!A670</f>
        <v>670</v>
      </c>
      <c r="H670" s="43">
        <f>MIN(TYPE(SEARCH($E$2,'Event summary'!C670)),TYPE(SEARCH($E$2,'Event summary'!D670)))</f>
        <v>1</v>
      </c>
      <c r="I670" s="65" t="str">
        <f t="shared" si="11"/>
        <v>שינוי</v>
      </c>
      <c r="J670" s="66" t="str">
        <f>IF($H670=1,'Event summary'!C670,"")</f>
        <v>בטיפול TSET היו הנחיות לא ברורות ולא מדוייקות שלא הופיעו במרשם. כתוצאה מקבלה של רופא אחד והעברת המקרה לטיפולו של רופא אחר. המטופל נפל בין הכיסאות.</v>
      </c>
      <c r="K670" s="66" t="str">
        <f>IF($H670=1,'Event summary'!D670,"")</f>
        <v>בוצע שינוי באופן קבלת המטופלים של TSET.</v>
      </c>
    </row>
    <row r="671" spans="7:11" x14ac:dyDescent="0.2">
      <c r="G671" s="46">
        <f>'Event summary'!A671</f>
        <v>671</v>
      </c>
      <c r="H671" s="43">
        <f>MIN(TYPE(SEARCH($E$2,'Event summary'!C671)),TYPE(SEARCH($E$2,'Event summary'!D671)))</f>
        <v>16</v>
      </c>
      <c r="I671" s="65" t="str">
        <f t="shared" si="11"/>
        <v/>
      </c>
      <c r="J671" s="66" t="str">
        <f>IF($H671=1,'Event summary'!C671,"")</f>
        <v/>
      </c>
      <c r="K671" s="66" t="str">
        <f>IF($H671=1,'Event summary'!D671,"")</f>
        <v/>
      </c>
    </row>
    <row r="672" spans="7:11" x14ac:dyDescent="0.2">
      <c r="G672" s="46">
        <f>'Event summary'!A672</f>
        <v>672</v>
      </c>
      <c r="H672" s="43">
        <f>MIN(TYPE(SEARCH($E$2,'Event summary'!C672)),TYPE(SEARCH($E$2,'Event summary'!D672)))</f>
        <v>16</v>
      </c>
      <c r="I672" s="65" t="str">
        <f t="shared" si="11"/>
        <v/>
      </c>
      <c r="J672" s="66" t="str">
        <f>IF($H672=1,'Event summary'!C672,"")</f>
        <v/>
      </c>
      <c r="K672" s="66" t="str">
        <f>IF($H672=1,'Event summary'!D672,"")</f>
        <v/>
      </c>
    </row>
    <row r="673" spans="7:11" x14ac:dyDescent="0.2">
      <c r="G673" s="46">
        <f>'Event summary'!A673</f>
        <v>673</v>
      </c>
      <c r="H673" s="43">
        <f>MIN(TYPE(SEARCH($E$2,'Event summary'!C673)),TYPE(SEARCH($E$2,'Event summary'!D673)))</f>
        <v>16</v>
      </c>
      <c r="I673" s="65" t="str">
        <f t="shared" si="11"/>
        <v/>
      </c>
      <c r="J673" s="66" t="str">
        <f>IF($H673=1,'Event summary'!C673,"")</f>
        <v/>
      </c>
      <c r="K673" s="66" t="str">
        <f>IF($H673=1,'Event summary'!D673,"")</f>
        <v/>
      </c>
    </row>
    <row r="674" spans="7:11" x14ac:dyDescent="0.2">
      <c r="G674" s="46">
        <f>'Event summary'!A674</f>
        <v>674</v>
      </c>
      <c r="H674" s="43">
        <f>MIN(TYPE(SEARCH($E$2,'Event summary'!C674)),TYPE(SEARCH($E$2,'Event summary'!D674)))</f>
        <v>16</v>
      </c>
      <c r="I674" s="65" t="str">
        <f t="shared" si="11"/>
        <v/>
      </c>
      <c r="J674" s="66" t="str">
        <f>IF($H674=1,'Event summary'!C674,"")</f>
        <v/>
      </c>
      <c r="K674" s="66" t="str">
        <f>IF($H674=1,'Event summary'!D674,"")</f>
        <v/>
      </c>
    </row>
    <row r="675" spans="7:11" x14ac:dyDescent="0.2">
      <c r="G675" s="46">
        <f>'Event summary'!A675</f>
        <v>675</v>
      </c>
      <c r="H675" s="43">
        <f>MIN(TYPE(SEARCH($E$2,'Event summary'!C675)),TYPE(SEARCH($E$2,'Event summary'!D675)))</f>
        <v>16</v>
      </c>
      <c r="I675" s="65" t="str">
        <f t="shared" si="11"/>
        <v/>
      </c>
      <c r="J675" s="66" t="str">
        <f>IF($H675=1,'Event summary'!C675,"")</f>
        <v/>
      </c>
      <c r="K675" s="66" t="str">
        <f>IF($H675=1,'Event summary'!D675,"")</f>
        <v/>
      </c>
    </row>
    <row r="676" spans="7:11" ht="28.5" x14ac:dyDescent="0.2">
      <c r="G676" s="46">
        <f>'Event summary'!A676</f>
        <v>676</v>
      </c>
      <c r="H676" s="43">
        <f>MIN(TYPE(SEARCH($E$2,'Event summary'!C676)),TYPE(SEARCH($E$2,'Event summary'!D676)))</f>
        <v>1</v>
      </c>
      <c r="I676" s="65" t="str">
        <f t="shared" si="11"/>
        <v>שינוי</v>
      </c>
      <c r="J676" s="66" t="str">
        <f>IF($H676=1,'Event summary'!C676,"")</f>
        <v>מטופל הוזמן לסימולציה חוזרת עקב שינוים בגודל הגידול. לא היה טופס סימולציה חדש וכן לא היתה סיבה רשומה לסימולציה החוזרת לא ב Aria ולא בקמליון.</v>
      </c>
      <c r="K676" s="66" t="str">
        <f>IF($H676=1,'Event summary'!D676,"")</f>
        <v>זימון תורים יציין שהסימולציה היא אדפטיבית כאשר מתוכננת מראש.</v>
      </c>
    </row>
    <row r="677" spans="7:11" ht="28.5" x14ac:dyDescent="0.2">
      <c r="G677" s="46">
        <f>'Event summary'!A677</f>
        <v>677</v>
      </c>
      <c r="H677" s="43">
        <f>MIN(TYPE(SEARCH($E$2,'Event summary'!C677)),TYPE(SEARCH($E$2,'Event summary'!D677)))</f>
        <v>1</v>
      </c>
      <c r="I677" s="65" t="str">
        <f t="shared" si="11"/>
        <v>שינוי</v>
      </c>
      <c r="J677" s="66" t="str">
        <f>IF($H677=1,'Event summary'!C677,"")</f>
        <v>במהלך הדמיה לפני טיפול נתגלה שצורת השד אינה תואמת לצורה מהסימולציה. המטופלת עברה שאיבה לפני תחילת הטיפול. המטופלת נאלצה לעבור סימולציה חוזרת.</v>
      </c>
      <c r="K677" s="66" t="str">
        <f>IF($H677=1,'Event summary'!D677,"")</f>
        <v>להקפיד לומר למטופלים לא לבצע שינויים לפני תחילת הטיפול (אחיות ורופאים).</v>
      </c>
    </row>
    <row r="678" spans="7:11" x14ac:dyDescent="0.2">
      <c r="G678" s="46">
        <f>'Event summary'!A678</f>
        <v>678</v>
      </c>
      <c r="H678" s="43">
        <f>MIN(TYPE(SEARCH($E$2,'Event summary'!C678)),TYPE(SEARCH($E$2,'Event summary'!D678)))</f>
        <v>16</v>
      </c>
      <c r="I678" s="65" t="str">
        <f t="shared" si="11"/>
        <v/>
      </c>
      <c r="J678" s="66" t="str">
        <f>IF($H678=1,'Event summary'!C678,"")</f>
        <v/>
      </c>
      <c r="K678" s="66" t="str">
        <f>IF($H678=1,'Event summary'!D678,"")</f>
        <v/>
      </c>
    </row>
    <row r="679" spans="7:11" x14ac:dyDescent="0.2">
      <c r="G679" s="46">
        <f>'Event summary'!A679</f>
        <v>679</v>
      </c>
      <c r="H679" s="43">
        <f>MIN(TYPE(SEARCH($E$2,'Event summary'!C679)),TYPE(SEARCH($E$2,'Event summary'!D679)))</f>
        <v>16</v>
      </c>
      <c r="I679" s="65" t="str">
        <f t="shared" si="11"/>
        <v/>
      </c>
      <c r="J679" s="66" t="str">
        <f>IF($H679=1,'Event summary'!C679,"")</f>
        <v/>
      </c>
      <c r="K679" s="66" t="str">
        <f>IF($H679=1,'Event summary'!D679,"")</f>
        <v/>
      </c>
    </row>
    <row r="680" spans="7:11" x14ac:dyDescent="0.2">
      <c r="G680" s="46">
        <f>'Event summary'!A680</f>
        <v>680</v>
      </c>
      <c r="H680" s="43">
        <f>MIN(TYPE(SEARCH($E$2,'Event summary'!C680)),TYPE(SEARCH($E$2,'Event summary'!D680)))</f>
        <v>16</v>
      </c>
      <c r="I680" s="65" t="str">
        <f t="shared" si="11"/>
        <v/>
      </c>
      <c r="J680" s="66" t="str">
        <f>IF($H680=1,'Event summary'!C680,"")</f>
        <v/>
      </c>
      <c r="K680" s="66" t="str">
        <f>IF($H680=1,'Event summary'!D680,"")</f>
        <v/>
      </c>
    </row>
    <row r="681" spans="7:11" ht="42.75" x14ac:dyDescent="0.2">
      <c r="G681" s="46">
        <f>'Event summary'!A681</f>
        <v>681</v>
      </c>
      <c r="H681" s="43">
        <f>MIN(TYPE(SEARCH($E$2,'Event summary'!C681)),TYPE(SEARCH($E$2,'Event summary'!D681)))</f>
        <v>1</v>
      </c>
      <c r="I681" s="65" t="str">
        <f t="shared" si="11"/>
        <v>שינוי</v>
      </c>
      <c r="J681" s="66" t="str">
        <f>IF($H681=1,'Event summary'!C681,"")</f>
        <v>בשל שינויים בסימון לאחר ישיבת QA לא הצליחו לחתום על התיק. התברר שהשינויים בסימון גרמו לכך שהתיק לא עמד בהגבלות התכנון והפיזיקאי לא עודכן על כך. המקרה תוכנן מחדש כשעה לפני הטיפול.</v>
      </c>
      <c r="K681" s="66" t="str">
        <f>IF($H681=1,'Event summary'!D681,"")</f>
        <v>כל שינוי בנפח לאחר תכנון יתואם עם פיזיקאי ו RTTQA.</v>
      </c>
    </row>
    <row r="682" spans="7:11" x14ac:dyDescent="0.2">
      <c r="G682" s="46">
        <f>'Event summary'!A682</f>
        <v>682</v>
      </c>
      <c r="H682" s="43">
        <f>MIN(TYPE(SEARCH($E$2,'Event summary'!C682)),TYPE(SEARCH($E$2,'Event summary'!D682)))</f>
        <v>16</v>
      </c>
      <c r="I682" s="65" t="str">
        <f t="shared" si="11"/>
        <v/>
      </c>
      <c r="J682" s="66" t="str">
        <f>IF($H682=1,'Event summary'!C682,"")</f>
        <v/>
      </c>
      <c r="K682" s="66" t="str">
        <f>IF($H682=1,'Event summary'!D682,"")</f>
        <v/>
      </c>
    </row>
    <row r="683" spans="7:11" x14ac:dyDescent="0.2">
      <c r="G683" s="46">
        <f>'Event summary'!A683</f>
        <v>683</v>
      </c>
      <c r="H683" s="43">
        <f>MIN(TYPE(SEARCH($E$2,'Event summary'!C683)),TYPE(SEARCH($E$2,'Event summary'!D683)))</f>
        <v>16</v>
      </c>
      <c r="I683" s="65" t="str">
        <f t="shared" ref="I683:I746" si="12">IF(H683=1,$E$2,"")</f>
        <v/>
      </c>
      <c r="J683" s="66" t="str">
        <f>IF($H683=1,'Event summary'!C683,"")</f>
        <v/>
      </c>
      <c r="K683" s="66" t="str">
        <f>IF($H683=1,'Event summary'!D683,"")</f>
        <v/>
      </c>
    </row>
    <row r="684" spans="7:11" x14ac:dyDescent="0.2">
      <c r="G684" s="46">
        <f>'Event summary'!A684</f>
        <v>684</v>
      </c>
      <c r="H684" s="43">
        <f>MIN(TYPE(SEARCH($E$2,'Event summary'!C684)),TYPE(SEARCH($E$2,'Event summary'!D684)))</f>
        <v>16</v>
      </c>
      <c r="I684" s="65" t="str">
        <f t="shared" si="12"/>
        <v/>
      </c>
      <c r="J684" s="66" t="str">
        <f>IF($H684=1,'Event summary'!C684,"")</f>
        <v/>
      </c>
      <c r="K684" s="66" t="str">
        <f>IF($H684=1,'Event summary'!D684,"")</f>
        <v/>
      </c>
    </row>
    <row r="685" spans="7:11" x14ac:dyDescent="0.2">
      <c r="G685" s="46">
        <f>'Event summary'!A685</f>
        <v>685</v>
      </c>
      <c r="H685" s="43">
        <f>MIN(TYPE(SEARCH($E$2,'Event summary'!C685)),TYPE(SEARCH($E$2,'Event summary'!D685)))</f>
        <v>16</v>
      </c>
      <c r="I685" s="65" t="str">
        <f t="shared" si="12"/>
        <v/>
      </c>
      <c r="J685" s="66" t="str">
        <f>IF($H685=1,'Event summary'!C685,"")</f>
        <v/>
      </c>
      <c r="K685" s="66" t="str">
        <f>IF($H685=1,'Event summary'!D685,"")</f>
        <v/>
      </c>
    </row>
    <row r="686" spans="7:11" x14ac:dyDescent="0.2">
      <c r="G686" s="46">
        <f>'Event summary'!A686</f>
        <v>686</v>
      </c>
      <c r="H686" s="43">
        <f>MIN(TYPE(SEARCH($E$2,'Event summary'!C686)),TYPE(SEARCH($E$2,'Event summary'!D686)))</f>
        <v>16</v>
      </c>
      <c r="I686" s="65" t="str">
        <f t="shared" si="12"/>
        <v/>
      </c>
      <c r="J686" s="66" t="str">
        <f>IF($H686=1,'Event summary'!C686,"")</f>
        <v/>
      </c>
      <c r="K686" s="66" t="str">
        <f>IF($H686=1,'Event summary'!D686,"")</f>
        <v/>
      </c>
    </row>
    <row r="687" spans="7:11" x14ac:dyDescent="0.2">
      <c r="G687" s="46">
        <f>'Event summary'!A687</f>
        <v>687</v>
      </c>
      <c r="H687" s="43">
        <f>MIN(TYPE(SEARCH($E$2,'Event summary'!C687)),TYPE(SEARCH($E$2,'Event summary'!D687)))</f>
        <v>16</v>
      </c>
      <c r="I687" s="65" t="str">
        <f t="shared" si="12"/>
        <v/>
      </c>
      <c r="J687" s="66" t="str">
        <f>IF($H687=1,'Event summary'!C687,"")</f>
        <v/>
      </c>
      <c r="K687" s="66" t="str">
        <f>IF($H687=1,'Event summary'!D687,"")</f>
        <v/>
      </c>
    </row>
    <row r="688" spans="7:11" x14ac:dyDescent="0.2">
      <c r="G688" s="46">
        <f>'Event summary'!A688</f>
        <v>688</v>
      </c>
      <c r="H688" s="43">
        <f>MIN(TYPE(SEARCH($E$2,'Event summary'!C688)),TYPE(SEARCH($E$2,'Event summary'!D688)))</f>
        <v>16</v>
      </c>
      <c r="I688" s="65" t="str">
        <f t="shared" si="12"/>
        <v/>
      </c>
      <c r="J688" s="66" t="str">
        <f>IF($H688=1,'Event summary'!C688,"")</f>
        <v/>
      </c>
      <c r="K688" s="66" t="str">
        <f>IF($H688=1,'Event summary'!D688,"")</f>
        <v/>
      </c>
    </row>
    <row r="689" spans="7:11" x14ac:dyDescent="0.2">
      <c r="G689" s="46">
        <f>'Event summary'!A689</f>
        <v>689</v>
      </c>
      <c r="H689" s="43">
        <f>MIN(TYPE(SEARCH($E$2,'Event summary'!C689)),TYPE(SEARCH($E$2,'Event summary'!D689)))</f>
        <v>16</v>
      </c>
      <c r="I689" s="65" t="str">
        <f t="shared" si="12"/>
        <v/>
      </c>
      <c r="J689" s="66" t="str">
        <f>IF($H689=1,'Event summary'!C689,"")</f>
        <v/>
      </c>
      <c r="K689" s="66" t="str">
        <f>IF($H689=1,'Event summary'!D689,"")</f>
        <v/>
      </c>
    </row>
    <row r="690" spans="7:11" x14ac:dyDescent="0.2">
      <c r="G690" s="46">
        <f>'Event summary'!A690</f>
        <v>690</v>
      </c>
      <c r="H690" s="43">
        <f>MIN(TYPE(SEARCH($E$2,'Event summary'!C690)),TYPE(SEARCH($E$2,'Event summary'!D690)))</f>
        <v>16</v>
      </c>
      <c r="I690" s="65" t="str">
        <f t="shared" si="12"/>
        <v/>
      </c>
      <c r="J690" s="66" t="str">
        <f>IF($H690=1,'Event summary'!C690,"")</f>
        <v/>
      </c>
      <c r="K690" s="66" t="str">
        <f>IF($H690=1,'Event summary'!D690,"")</f>
        <v/>
      </c>
    </row>
    <row r="691" spans="7:11" x14ac:dyDescent="0.2">
      <c r="G691" s="46">
        <f>'Event summary'!A691</f>
        <v>691</v>
      </c>
      <c r="H691" s="43">
        <f>MIN(TYPE(SEARCH($E$2,'Event summary'!C691)),TYPE(SEARCH($E$2,'Event summary'!D691)))</f>
        <v>16</v>
      </c>
      <c r="I691" s="65" t="str">
        <f t="shared" si="12"/>
        <v/>
      </c>
      <c r="J691" s="66" t="str">
        <f>IF($H691=1,'Event summary'!C691,"")</f>
        <v/>
      </c>
      <c r="K691" s="66" t="str">
        <f>IF($H691=1,'Event summary'!D691,"")</f>
        <v/>
      </c>
    </row>
    <row r="692" spans="7:11" x14ac:dyDescent="0.2">
      <c r="G692" s="46">
        <f>'Event summary'!A692</f>
        <v>692</v>
      </c>
      <c r="H692" s="43">
        <f>MIN(TYPE(SEARCH($E$2,'Event summary'!C692)),TYPE(SEARCH($E$2,'Event summary'!D692)))</f>
        <v>16</v>
      </c>
      <c r="I692" s="65" t="str">
        <f t="shared" si="12"/>
        <v/>
      </c>
      <c r="J692" s="66" t="str">
        <f>IF($H692=1,'Event summary'!C692,"")</f>
        <v/>
      </c>
      <c r="K692" s="66" t="str">
        <f>IF($H692=1,'Event summary'!D692,"")</f>
        <v/>
      </c>
    </row>
    <row r="693" spans="7:11" x14ac:dyDescent="0.2">
      <c r="G693" s="46">
        <f>'Event summary'!A693</f>
        <v>693</v>
      </c>
      <c r="H693" s="43">
        <f>MIN(TYPE(SEARCH($E$2,'Event summary'!C693)),TYPE(SEARCH($E$2,'Event summary'!D693)))</f>
        <v>16</v>
      </c>
      <c r="I693" s="65" t="str">
        <f t="shared" si="12"/>
        <v/>
      </c>
      <c r="J693" s="66" t="str">
        <f>IF($H693=1,'Event summary'!C693,"")</f>
        <v/>
      </c>
      <c r="K693" s="66" t="str">
        <f>IF($H693=1,'Event summary'!D693,"")</f>
        <v/>
      </c>
    </row>
    <row r="694" spans="7:11" x14ac:dyDescent="0.2">
      <c r="G694" s="46">
        <f>'Event summary'!A694</f>
        <v>694</v>
      </c>
      <c r="H694" s="43">
        <f>MIN(TYPE(SEARCH($E$2,'Event summary'!C694)),TYPE(SEARCH($E$2,'Event summary'!D694)))</f>
        <v>16</v>
      </c>
      <c r="I694" s="65" t="str">
        <f t="shared" si="12"/>
        <v/>
      </c>
      <c r="J694" s="66" t="str">
        <f>IF($H694=1,'Event summary'!C694,"")</f>
        <v/>
      </c>
      <c r="K694" s="66" t="str">
        <f>IF($H694=1,'Event summary'!D694,"")</f>
        <v/>
      </c>
    </row>
    <row r="695" spans="7:11" x14ac:dyDescent="0.2">
      <c r="G695" s="46">
        <f>'Event summary'!A695</f>
        <v>695</v>
      </c>
      <c r="H695" s="43">
        <f>MIN(TYPE(SEARCH($E$2,'Event summary'!C695)),TYPE(SEARCH($E$2,'Event summary'!D695)))</f>
        <v>16</v>
      </c>
      <c r="I695" s="65" t="str">
        <f t="shared" si="12"/>
        <v/>
      </c>
      <c r="J695" s="66" t="str">
        <f>IF($H695=1,'Event summary'!C695,"")</f>
        <v/>
      </c>
      <c r="K695" s="66" t="str">
        <f>IF($H695=1,'Event summary'!D695,"")</f>
        <v/>
      </c>
    </row>
    <row r="696" spans="7:11" x14ac:dyDescent="0.2">
      <c r="G696" s="46">
        <f>'Event summary'!A696</f>
        <v>696</v>
      </c>
      <c r="H696" s="43">
        <f>MIN(TYPE(SEARCH($E$2,'Event summary'!C696)),TYPE(SEARCH($E$2,'Event summary'!D696)))</f>
        <v>16</v>
      </c>
      <c r="I696" s="65" t="str">
        <f t="shared" si="12"/>
        <v/>
      </c>
      <c r="J696" s="66" t="str">
        <f>IF($H696=1,'Event summary'!C696,"")</f>
        <v/>
      </c>
      <c r="K696" s="66" t="str">
        <f>IF($H696=1,'Event summary'!D696,"")</f>
        <v/>
      </c>
    </row>
    <row r="697" spans="7:11" x14ac:dyDescent="0.2">
      <c r="G697" s="46">
        <f>'Event summary'!A697</f>
        <v>697</v>
      </c>
      <c r="H697" s="43">
        <f>MIN(TYPE(SEARCH($E$2,'Event summary'!C697)),TYPE(SEARCH($E$2,'Event summary'!D697)))</f>
        <v>16</v>
      </c>
      <c r="I697" s="65" t="str">
        <f t="shared" si="12"/>
        <v/>
      </c>
      <c r="J697" s="66" t="str">
        <f>IF($H697=1,'Event summary'!C697,"")</f>
        <v/>
      </c>
      <c r="K697" s="66" t="str">
        <f>IF($H697=1,'Event summary'!D697,"")</f>
        <v/>
      </c>
    </row>
    <row r="698" spans="7:11" x14ac:dyDescent="0.2">
      <c r="G698" s="46">
        <f>'Event summary'!A698</f>
        <v>698</v>
      </c>
      <c r="H698" s="43">
        <f>MIN(TYPE(SEARCH($E$2,'Event summary'!C698)),TYPE(SEARCH($E$2,'Event summary'!D698)))</f>
        <v>16</v>
      </c>
      <c r="I698" s="65" t="str">
        <f t="shared" si="12"/>
        <v/>
      </c>
      <c r="J698" s="66" t="str">
        <f>IF($H698=1,'Event summary'!C698,"")</f>
        <v/>
      </c>
      <c r="K698" s="66" t="str">
        <f>IF($H698=1,'Event summary'!D698,"")</f>
        <v/>
      </c>
    </row>
    <row r="699" spans="7:11" x14ac:dyDescent="0.2">
      <c r="G699" s="46">
        <f>'Event summary'!A699</f>
        <v>699</v>
      </c>
      <c r="H699" s="43">
        <f>MIN(TYPE(SEARCH($E$2,'Event summary'!C699)),TYPE(SEARCH($E$2,'Event summary'!D699)))</f>
        <v>16</v>
      </c>
      <c r="I699" s="65" t="str">
        <f t="shared" si="12"/>
        <v/>
      </c>
      <c r="J699" s="66" t="str">
        <f>IF($H699=1,'Event summary'!C699,"")</f>
        <v/>
      </c>
      <c r="K699" s="66" t="str">
        <f>IF($H699=1,'Event summary'!D699,"")</f>
        <v/>
      </c>
    </row>
    <row r="700" spans="7:11" x14ac:dyDescent="0.2">
      <c r="G700" s="46">
        <f>'Event summary'!A700</f>
        <v>700</v>
      </c>
      <c r="H700" s="43">
        <f>MIN(TYPE(SEARCH($E$2,'Event summary'!C700)),TYPE(SEARCH($E$2,'Event summary'!D700)))</f>
        <v>16</v>
      </c>
      <c r="I700" s="65" t="str">
        <f t="shared" si="12"/>
        <v/>
      </c>
      <c r="J700" s="66" t="str">
        <f>IF($H700=1,'Event summary'!C700,"")</f>
        <v/>
      </c>
      <c r="K700" s="66" t="str">
        <f>IF($H700=1,'Event summary'!D700,"")</f>
        <v/>
      </c>
    </row>
    <row r="701" spans="7:11" ht="28.5" x14ac:dyDescent="0.2">
      <c r="G701" s="46">
        <f>'Event summary'!A701</f>
        <v>701</v>
      </c>
      <c r="H701" s="43">
        <f>MIN(TYPE(SEARCH($E$2,'Event summary'!C701)),TYPE(SEARCH($E$2,'Event summary'!D701)))</f>
        <v>1</v>
      </c>
      <c r="I701" s="65" t="str">
        <f t="shared" si="12"/>
        <v>שינוי</v>
      </c>
      <c r="J701" s="66" t="str">
        <f>IF($H701=1,'Event summary'!C701,"")</f>
        <v>בטיפול ברכיתרפיה במהלך החתימה השניה הוחלט על שינוי התכנית. לכן התדפיס של התכנית והתכנון לא תאמו.</v>
      </c>
      <c r="K701" s="66" t="str">
        <f>IF($H701=1,'Event summary'!D701,"")</f>
        <v>יבוצע שנוי בנוהל העבודה בברכיתרפיה. נוהל עבודה חדש יכתב, יאושר ויוטמע.</v>
      </c>
    </row>
    <row r="702" spans="7:11" x14ac:dyDescent="0.2">
      <c r="G702" s="46">
        <f>'Event summary'!A702</f>
        <v>702</v>
      </c>
      <c r="H702" s="43">
        <f>MIN(TYPE(SEARCH($E$2,'Event summary'!C702)),TYPE(SEARCH($E$2,'Event summary'!D702)))</f>
        <v>16</v>
      </c>
      <c r="I702" s="65" t="str">
        <f t="shared" si="12"/>
        <v/>
      </c>
      <c r="J702" s="66" t="str">
        <f>IF($H702=1,'Event summary'!C702,"")</f>
        <v/>
      </c>
      <c r="K702" s="66" t="str">
        <f>IF($H702=1,'Event summary'!D702,"")</f>
        <v/>
      </c>
    </row>
    <row r="703" spans="7:11" x14ac:dyDescent="0.2">
      <c r="G703" s="46">
        <f>'Event summary'!A703</f>
        <v>703</v>
      </c>
      <c r="H703" s="43">
        <f>MIN(TYPE(SEARCH($E$2,'Event summary'!C703)),TYPE(SEARCH($E$2,'Event summary'!D703)))</f>
        <v>16</v>
      </c>
      <c r="I703" s="65" t="str">
        <f t="shared" si="12"/>
        <v/>
      </c>
      <c r="J703" s="66" t="str">
        <f>IF($H703=1,'Event summary'!C703,"")</f>
        <v/>
      </c>
      <c r="K703" s="66" t="str">
        <f>IF($H703=1,'Event summary'!D703,"")</f>
        <v/>
      </c>
    </row>
    <row r="704" spans="7:11" x14ac:dyDescent="0.2">
      <c r="G704" s="46">
        <f>'Event summary'!A704</f>
        <v>704</v>
      </c>
      <c r="H704" s="43">
        <f>MIN(TYPE(SEARCH($E$2,'Event summary'!C704)),TYPE(SEARCH($E$2,'Event summary'!D704)))</f>
        <v>16</v>
      </c>
      <c r="I704" s="65" t="str">
        <f t="shared" si="12"/>
        <v/>
      </c>
      <c r="J704" s="66" t="str">
        <f>IF($H704=1,'Event summary'!C704,"")</f>
        <v/>
      </c>
      <c r="K704" s="66" t="str">
        <f>IF($H704=1,'Event summary'!D704,"")</f>
        <v/>
      </c>
    </row>
    <row r="705" spans="7:11" x14ac:dyDescent="0.2">
      <c r="G705" s="46">
        <f>'Event summary'!A705</f>
        <v>705</v>
      </c>
      <c r="H705" s="43">
        <f>MIN(TYPE(SEARCH($E$2,'Event summary'!C705)),TYPE(SEARCH($E$2,'Event summary'!D705)))</f>
        <v>16</v>
      </c>
      <c r="I705" s="65" t="str">
        <f t="shared" si="12"/>
        <v/>
      </c>
      <c r="J705" s="66" t="str">
        <f>IF($H705=1,'Event summary'!C705,"")</f>
        <v/>
      </c>
      <c r="K705" s="66" t="str">
        <f>IF($H705=1,'Event summary'!D705,"")</f>
        <v/>
      </c>
    </row>
    <row r="706" spans="7:11" ht="42.75" x14ac:dyDescent="0.2">
      <c r="G706" s="46">
        <f>'Event summary'!A706</f>
        <v>706</v>
      </c>
      <c r="H706" s="43">
        <f>MIN(TYPE(SEARCH($E$2,'Event summary'!C706)),TYPE(SEARCH($E$2,'Event summary'!D706)))</f>
        <v>1</v>
      </c>
      <c r="I706" s="65" t="str">
        <f t="shared" si="12"/>
        <v>שינוי</v>
      </c>
      <c r="J706" s="66" t="str">
        <f>IF($H706=1,'Event summary'!C706,"")</f>
        <v xml:space="preserve">מטופל המתין זמן ממושך להכנסת ונפלון. האחיות היו עמוסות עם הרדמות וספייסרים. המטופל הוזמן ל 8:30 והוכנס לאחות להכנסת ונטפלון ב 9:30. למטופל היה תור באשפוז יום ל 10:30. המטופל הועבר ב Qflow לסימולציה על מנת שרופא יבצע את הכנסת ה VF. </v>
      </c>
      <c r="K706" s="66" t="str">
        <f>IF($H706=1,'Event summary'!D706,"")</f>
        <v>להקפיד על תקשורת בין הצוותים המטפלים. לעבוד על פי הנוהל ככל הניתן. אם יש צורך לסטות מהנוהל יש לתקשר על השינויים עם הצוות הרלבנטי.</v>
      </c>
    </row>
    <row r="707" spans="7:11" x14ac:dyDescent="0.2">
      <c r="G707" s="46">
        <f>'Event summary'!A707</f>
        <v>707</v>
      </c>
      <c r="H707" s="43">
        <f>MIN(TYPE(SEARCH($E$2,'Event summary'!C707)),TYPE(SEARCH($E$2,'Event summary'!D707)))</f>
        <v>1</v>
      </c>
      <c r="I707" s="65" t="str">
        <f t="shared" si="12"/>
        <v>שינוי</v>
      </c>
      <c r="J707" s="66" t="str">
        <f>IF($H707=1,'Event summary'!C707,"")</f>
        <v>בוצע שינוי בתוכנית טיפול במהלך טיפולים ע"י רופא ללא הודעה לצוות המטפל ו- RTTQA</v>
      </c>
      <c r="K707" s="66" t="str">
        <f>IF($H707=1,'Event summary'!D707,"")</f>
        <v>להקפיד על תקשורת בין הצוותים המטפלים. יש לתקשר על השינויים עם הצוות הרלבנטי.</v>
      </c>
    </row>
    <row r="708" spans="7:11" x14ac:dyDescent="0.2">
      <c r="G708" s="46">
        <f>'Event summary'!A708</f>
        <v>708</v>
      </c>
      <c r="H708" s="43">
        <f>MIN(TYPE(SEARCH($E$2,'Event summary'!C708)),TYPE(SEARCH($E$2,'Event summary'!D708)))</f>
        <v>16</v>
      </c>
      <c r="I708" s="65" t="str">
        <f t="shared" si="12"/>
        <v/>
      </c>
      <c r="J708" s="66" t="str">
        <f>IF($H708=1,'Event summary'!C708,"")</f>
        <v/>
      </c>
      <c r="K708" s="66" t="str">
        <f>IF($H708=1,'Event summary'!D708,"")</f>
        <v/>
      </c>
    </row>
    <row r="709" spans="7:11" x14ac:dyDescent="0.2">
      <c r="G709" s="46">
        <f>'Event summary'!A709</f>
        <v>709</v>
      </c>
      <c r="H709" s="43">
        <f>MIN(TYPE(SEARCH($E$2,'Event summary'!C709)),TYPE(SEARCH($E$2,'Event summary'!D709)))</f>
        <v>16</v>
      </c>
      <c r="I709" s="65" t="str">
        <f t="shared" si="12"/>
        <v/>
      </c>
      <c r="J709" s="66" t="str">
        <f>IF($H709=1,'Event summary'!C709,"")</f>
        <v/>
      </c>
      <c r="K709" s="66" t="str">
        <f>IF($H709=1,'Event summary'!D709,"")</f>
        <v/>
      </c>
    </row>
    <row r="710" spans="7:11" x14ac:dyDescent="0.2">
      <c r="G710" s="46">
        <f>'Event summary'!A710</f>
        <v>710</v>
      </c>
      <c r="H710" s="43">
        <f>MIN(TYPE(SEARCH($E$2,'Event summary'!C710)),TYPE(SEARCH($E$2,'Event summary'!D710)))</f>
        <v>16</v>
      </c>
      <c r="I710" s="65" t="str">
        <f t="shared" si="12"/>
        <v/>
      </c>
      <c r="J710" s="66" t="str">
        <f>IF($H710=1,'Event summary'!C710,"")</f>
        <v/>
      </c>
      <c r="K710" s="66" t="str">
        <f>IF($H710=1,'Event summary'!D710,"")</f>
        <v/>
      </c>
    </row>
    <row r="711" spans="7:11" x14ac:dyDescent="0.2">
      <c r="G711" s="46">
        <f>'Event summary'!A711</f>
        <v>711</v>
      </c>
      <c r="H711" s="43">
        <f>MIN(TYPE(SEARCH($E$2,'Event summary'!C711)),TYPE(SEARCH($E$2,'Event summary'!D711)))</f>
        <v>16</v>
      </c>
      <c r="I711" s="65" t="str">
        <f t="shared" si="12"/>
        <v/>
      </c>
      <c r="J711" s="66" t="str">
        <f>IF($H711=1,'Event summary'!C711,"")</f>
        <v/>
      </c>
      <c r="K711" s="66" t="str">
        <f>IF($H711=1,'Event summary'!D711,"")</f>
        <v/>
      </c>
    </row>
    <row r="712" spans="7:11" x14ac:dyDescent="0.2">
      <c r="G712" s="46">
        <f>'Event summary'!A712</f>
        <v>712</v>
      </c>
      <c r="H712" s="43">
        <f>MIN(TYPE(SEARCH($E$2,'Event summary'!C712)),TYPE(SEARCH($E$2,'Event summary'!D712)))</f>
        <v>16</v>
      </c>
      <c r="I712" s="65" t="str">
        <f t="shared" si="12"/>
        <v/>
      </c>
      <c r="J712" s="66" t="str">
        <f>IF($H712=1,'Event summary'!C712,"")</f>
        <v/>
      </c>
      <c r="K712" s="66" t="str">
        <f>IF($H712=1,'Event summary'!D712,"")</f>
        <v/>
      </c>
    </row>
    <row r="713" spans="7:11" x14ac:dyDescent="0.2">
      <c r="G713" s="46">
        <f>'Event summary'!A713</f>
        <v>713</v>
      </c>
      <c r="H713" s="43">
        <f>MIN(TYPE(SEARCH($E$2,'Event summary'!C713)),TYPE(SEARCH($E$2,'Event summary'!D713)))</f>
        <v>16</v>
      </c>
      <c r="I713" s="65" t="str">
        <f t="shared" si="12"/>
        <v/>
      </c>
      <c r="J713" s="66" t="str">
        <f>IF($H713=1,'Event summary'!C713,"")</f>
        <v/>
      </c>
      <c r="K713" s="66" t="str">
        <f>IF($H713=1,'Event summary'!D713,"")</f>
        <v/>
      </c>
    </row>
    <row r="714" spans="7:11" x14ac:dyDescent="0.2">
      <c r="G714" s="46">
        <f>'Event summary'!A714</f>
        <v>714</v>
      </c>
      <c r="H714" s="43">
        <f>MIN(TYPE(SEARCH($E$2,'Event summary'!C714)),TYPE(SEARCH($E$2,'Event summary'!D714)))</f>
        <v>16</v>
      </c>
      <c r="I714" s="65" t="str">
        <f t="shared" si="12"/>
        <v/>
      </c>
      <c r="J714" s="66" t="str">
        <f>IF($H714=1,'Event summary'!C714,"")</f>
        <v/>
      </c>
      <c r="K714" s="66" t="str">
        <f>IF($H714=1,'Event summary'!D714,"")</f>
        <v/>
      </c>
    </row>
    <row r="715" spans="7:11" x14ac:dyDescent="0.2">
      <c r="G715" s="46">
        <f>'Event summary'!A715</f>
        <v>715</v>
      </c>
      <c r="H715" s="43">
        <f>MIN(TYPE(SEARCH($E$2,'Event summary'!C715)),TYPE(SEARCH($E$2,'Event summary'!D715)))</f>
        <v>16</v>
      </c>
      <c r="I715" s="65" t="str">
        <f t="shared" si="12"/>
        <v/>
      </c>
      <c r="J715" s="66" t="str">
        <f>IF($H715=1,'Event summary'!C715,"")</f>
        <v/>
      </c>
      <c r="K715" s="66" t="str">
        <f>IF($H715=1,'Event summary'!D715,"")</f>
        <v/>
      </c>
    </row>
    <row r="716" spans="7:11" x14ac:dyDescent="0.2">
      <c r="G716" s="46">
        <f>'Event summary'!A716</f>
        <v>716</v>
      </c>
      <c r="H716" s="43">
        <f>MIN(TYPE(SEARCH($E$2,'Event summary'!C716)),TYPE(SEARCH($E$2,'Event summary'!D716)))</f>
        <v>16</v>
      </c>
      <c r="I716" s="65" t="str">
        <f t="shared" si="12"/>
        <v/>
      </c>
      <c r="J716" s="66" t="str">
        <f>IF($H716=1,'Event summary'!C716,"")</f>
        <v/>
      </c>
      <c r="K716" s="66" t="str">
        <f>IF($H716=1,'Event summary'!D716,"")</f>
        <v/>
      </c>
    </row>
    <row r="717" spans="7:11" x14ac:dyDescent="0.2">
      <c r="G717" s="46">
        <f>'Event summary'!A717</f>
        <v>717</v>
      </c>
      <c r="H717" s="43">
        <f>MIN(TYPE(SEARCH($E$2,'Event summary'!C717)),TYPE(SEARCH($E$2,'Event summary'!D717)))</f>
        <v>16</v>
      </c>
      <c r="I717" s="65" t="str">
        <f t="shared" si="12"/>
        <v/>
      </c>
      <c r="J717" s="66" t="str">
        <f>IF($H717=1,'Event summary'!C717,"")</f>
        <v/>
      </c>
      <c r="K717" s="66" t="str">
        <f>IF($H717=1,'Event summary'!D717,"")</f>
        <v/>
      </c>
    </row>
    <row r="718" spans="7:11" ht="42.75" x14ac:dyDescent="0.2">
      <c r="G718" s="46">
        <f>'Event summary'!A718</f>
        <v>718</v>
      </c>
      <c r="H718" s="43">
        <f>MIN(TYPE(SEARCH($E$2,'Event summary'!C718)),TYPE(SEARCH($E$2,'Event summary'!D718)))</f>
        <v>1</v>
      </c>
      <c r="I718" s="65" t="str">
        <f t="shared" si="12"/>
        <v>שינוי</v>
      </c>
      <c r="J718" s="66" t="str">
        <f>IF($H718=1,'Event summary'!C718,"")</f>
        <v>מטופלת הוזמנה לסימולציה בשעה 8:30. כשהגיעה הוכנסה ל- Q-Flow של "הדרכת אחות לסימולציה". קטגוריה זו אינה שימושית והמטופלת המתינה כשעה ורבע עד ששמו לב שיש מטופלת ממתינה. יש מספר רב של משימות לאחיות ב Q-Flow.</v>
      </c>
      <c r="K718" s="66" t="str">
        <f>IF($H718=1,'Event summary'!D718,"")</f>
        <v>קיים תהליך של ייעול ושינוי של יומנים.</v>
      </c>
    </row>
    <row r="719" spans="7:11" x14ac:dyDescent="0.2">
      <c r="G719" s="46">
        <f>'Event summary'!A719</f>
        <v>719</v>
      </c>
      <c r="H719" s="43">
        <f>MIN(TYPE(SEARCH($E$2,'Event summary'!C719)),TYPE(SEARCH($E$2,'Event summary'!D719)))</f>
        <v>16</v>
      </c>
      <c r="I719" s="65" t="str">
        <f t="shared" si="12"/>
        <v/>
      </c>
      <c r="J719" s="66" t="str">
        <f>IF($H719=1,'Event summary'!C719,"")</f>
        <v/>
      </c>
      <c r="K719" s="66" t="str">
        <f>IF($H719=1,'Event summary'!D719,"")</f>
        <v/>
      </c>
    </row>
    <row r="720" spans="7:11" x14ac:dyDescent="0.2">
      <c r="G720" s="46">
        <f>'Event summary'!A720</f>
        <v>720</v>
      </c>
      <c r="H720" s="43">
        <f>MIN(TYPE(SEARCH($E$2,'Event summary'!C720)),TYPE(SEARCH($E$2,'Event summary'!D720)))</f>
        <v>16</v>
      </c>
      <c r="I720" s="65" t="str">
        <f t="shared" si="12"/>
        <v/>
      </c>
      <c r="J720" s="66" t="str">
        <f>IF($H720=1,'Event summary'!C720,"")</f>
        <v/>
      </c>
      <c r="K720" s="66" t="str">
        <f>IF($H720=1,'Event summary'!D720,"")</f>
        <v/>
      </c>
    </row>
    <row r="721" spans="7:11" x14ac:dyDescent="0.2">
      <c r="G721" s="46">
        <f>'Event summary'!A721</f>
        <v>721</v>
      </c>
      <c r="H721" s="43">
        <f>MIN(TYPE(SEARCH($E$2,'Event summary'!C721)),TYPE(SEARCH($E$2,'Event summary'!D721)))</f>
        <v>16</v>
      </c>
      <c r="I721" s="65" t="str">
        <f t="shared" si="12"/>
        <v/>
      </c>
      <c r="J721" s="66" t="str">
        <f>IF($H721=1,'Event summary'!C721,"")</f>
        <v/>
      </c>
      <c r="K721" s="66" t="str">
        <f>IF($H721=1,'Event summary'!D721,"")</f>
        <v/>
      </c>
    </row>
    <row r="722" spans="7:11" x14ac:dyDescent="0.2">
      <c r="G722" s="46">
        <f>'Event summary'!A722</f>
        <v>722</v>
      </c>
      <c r="H722" s="43">
        <f>MIN(TYPE(SEARCH($E$2,'Event summary'!C722)),TYPE(SEARCH($E$2,'Event summary'!D722)))</f>
        <v>16</v>
      </c>
      <c r="I722" s="65" t="str">
        <f t="shared" si="12"/>
        <v/>
      </c>
      <c r="J722" s="66" t="str">
        <f>IF($H722=1,'Event summary'!C722,"")</f>
        <v/>
      </c>
      <c r="K722" s="66" t="str">
        <f>IF($H722=1,'Event summary'!D722,"")</f>
        <v/>
      </c>
    </row>
    <row r="723" spans="7:11" ht="57" x14ac:dyDescent="0.2">
      <c r="G723" s="46">
        <f>'Event summary'!A723</f>
        <v>723</v>
      </c>
      <c r="H723" s="43">
        <f>MIN(TYPE(SEARCH($E$2,'Event summary'!C723)),TYPE(SEARCH($E$2,'Event summary'!D723)))</f>
        <v>1</v>
      </c>
      <c r="I723" s="65" t="str">
        <f t="shared" si="12"/>
        <v>שינוי</v>
      </c>
      <c r="J723" s="66" t="str">
        <f>IF($H723=1,'Event summary'!C723,"")</f>
        <v>תיק לא עבר ישיבת QA בעקבות סימון. הרופא תיקן אך לא עדכן את הפיזיקאי וסגר את ה- Care Path. התיק הגיע למאיץ לטיפול ללא תכנון חוזר של פיזיקאי אשר היה גורם לחוסר התאמה בין המנות לנפחים המסומנים. המקרה התגלה במאיץ כאשר לא הצליחו להעביר Align RT לפני הטיפול.</v>
      </c>
      <c r="K723" s="66" t="str">
        <f>IF($H723=1,'Event summary'!D723,"")</f>
        <v xml:space="preserve">רופא צריך לתקשר שינויים בתכנון לפיזיקאי המתכנן ול- RTTQA. להקפיד בישיבת QA לעשות Update Care Path. </v>
      </c>
    </row>
    <row r="724" spans="7:11" x14ac:dyDescent="0.2">
      <c r="G724" s="46">
        <f>'Event summary'!A724</f>
        <v>724</v>
      </c>
      <c r="H724" s="43">
        <f>MIN(TYPE(SEARCH($E$2,'Event summary'!C724)),TYPE(SEARCH($E$2,'Event summary'!D724)))</f>
        <v>16</v>
      </c>
      <c r="I724" s="65" t="str">
        <f t="shared" si="12"/>
        <v/>
      </c>
      <c r="J724" s="66" t="str">
        <f>IF($H724=1,'Event summary'!C724,"")</f>
        <v/>
      </c>
      <c r="K724" s="66" t="str">
        <f>IF($H724=1,'Event summary'!D724,"")</f>
        <v/>
      </c>
    </row>
    <row r="725" spans="7:11" x14ac:dyDescent="0.2">
      <c r="G725" s="46">
        <f>'Event summary'!A725</f>
        <v>725</v>
      </c>
      <c r="H725" s="43">
        <f>MIN(TYPE(SEARCH($E$2,'Event summary'!C725)),TYPE(SEARCH($E$2,'Event summary'!D725)))</f>
        <v>16</v>
      </c>
      <c r="I725" s="65" t="str">
        <f t="shared" si="12"/>
        <v/>
      </c>
      <c r="J725" s="66" t="str">
        <f>IF($H725=1,'Event summary'!C725,"")</f>
        <v/>
      </c>
      <c r="K725" s="66" t="str">
        <f>IF($H725=1,'Event summary'!D725,"")</f>
        <v/>
      </c>
    </row>
    <row r="726" spans="7:11" x14ac:dyDescent="0.2">
      <c r="G726" s="46">
        <f>'Event summary'!A726</f>
        <v>726</v>
      </c>
      <c r="H726" s="43">
        <f>MIN(TYPE(SEARCH($E$2,'Event summary'!C726)),TYPE(SEARCH($E$2,'Event summary'!D726)))</f>
        <v>16</v>
      </c>
      <c r="I726" s="65" t="str">
        <f t="shared" si="12"/>
        <v/>
      </c>
      <c r="J726" s="66" t="str">
        <f>IF($H726=1,'Event summary'!C726,"")</f>
        <v/>
      </c>
      <c r="K726" s="66" t="str">
        <f>IF($H726=1,'Event summary'!D726,"")</f>
        <v/>
      </c>
    </row>
    <row r="727" spans="7:11" x14ac:dyDescent="0.2">
      <c r="G727" s="46">
        <f>'Event summary'!A727</f>
        <v>727</v>
      </c>
      <c r="H727" s="43">
        <f>MIN(TYPE(SEARCH($E$2,'Event summary'!C727)),TYPE(SEARCH($E$2,'Event summary'!D727)))</f>
        <v>16</v>
      </c>
      <c r="I727" s="65" t="str">
        <f t="shared" si="12"/>
        <v/>
      </c>
      <c r="J727" s="66" t="str">
        <f>IF($H727=1,'Event summary'!C727,"")</f>
        <v/>
      </c>
      <c r="K727" s="66" t="str">
        <f>IF($H727=1,'Event summary'!D727,"")</f>
        <v/>
      </c>
    </row>
    <row r="728" spans="7:11" x14ac:dyDescent="0.2">
      <c r="G728" s="46">
        <f>'Event summary'!A728</f>
        <v>728</v>
      </c>
      <c r="H728" s="43">
        <f>MIN(TYPE(SEARCH($E$2,'Event summary'!C728)),TYPE(SEARCH($E$2,'Event summary'!D728)))</f>
        <v>16</v>
      </c>
      <c r="I728" s="65" t="str">
        <f t="shared" si="12"/>
        <v/>
      </c>
      <c r="J728" s="66" t="str">
        <f>IF($H728=1,'Event summary'!C728,"")</f>
        <v/>
      </c>
      <c r="K728" s="66" t="str">
        <f>IF($H728=1,'Event summary'!D728,"")</f>
        <v/>
      </c>
    </row>
    <row r="729" spans="7:11" x14ac:dyDescent="0.2">
      <c r="G729" s="46">
        <f>'Event summary'!A729</f>
        <v>729</v>
      </c>
      <c r="H729" s="43">
        <f>MIN(TYPE(SEARCH($E$2,'Event summary'!C729)),TYPE(SEARCH($E$2,'Event summary'!D729)))</f>
        <v>16</v>
      </c>
      <c r="I729" s="65" t="str">
        <f t="shared" si="12"/>
        <v/>
      </c>
      <c r="J729" s="66" t="str">
        <f>IF($H729=1,'Event summary'!C729,"")</f>
        <v/>
      </c>
      <c r="K729" s="66" t="str">
        <f>IF($H729=1,'Event summary'!D729,"")</f>
        <v/>
      </c>
    </row>
    <row r="730" spans="7:11" x14ac:dyDescent="0.2">
      <c r="G730" s="46">
        <f>'Event summary'!A730</f>
        <v>730</v>
      </c>
      <c r="H730" s="43">
        <f>MIN(TYPE(SEARCH($E$2,'Event summary'!C730)),TYPE(SEARCH($E$2,'Event summary'!D730)))</f>
        <v>16</v>
      </c>
      <c r="I730" s="65" t="str">
        <f t="shared" si="12"/>
        <v/>
      </c>
      <c r="J730" s="66" t="str">
        <f>IF($H730=1,'Event summary'!C730,"")</f>
        <v/>
      </c>
      <c r="K730" s="66" t="str">
        <f>IF($H730=1,'Event summary'!D730,"")</f>
        <v/>
      </c>
    </row>
    <row r="731" spans="7:11" x14ac:dyDescent="0.2">
      <c r="G731" s="46">
        <f>'Event summary'!A731</f>
        <v>731</v>
      </c>
      <c r="H731" s="43">
        <f>MIN(TYPE(SEARCH($E$2,'Event summary'!C731)),TYPE(SEARCH($E$2,'Event summary'!D731)))</f>
        <v>16</v>
      </c>
      <c r="I731" s="65" t="str">
        <f t="shared" si="12"/>
        <v/>
      </c>
      <c r="J731" s="66" t="str">
        <f>IF($H731=1,'Event summary'!C731,"")</f>
        <v/>
      </c>
      <c r="K731" s="66" t="str">
        <f>IF($H731=1,'Event summary'!D731,"")</f>
        <v/>
      </c>
    </row>
    <row r="732" spans="7:11" x14ac:dyDescent="0.2">
      <c r="G732" s="46">
        <f>'Event summary'!A732</f>
        <v>732</v>
      </c>
      <c r="H732" s="43">
        <f>MIN(TYPE(SEARCH($E$2,'Event summary'!C732)),TYPE(SEARCH($E$2,'Event summary'!D732)))</f>
        <v>16</v>
      </c>
      <c r="I732" s="65" t="str">
        <f t="shared" si="12"/>
        <v/>
      </c>
      <c r="J732" s="66" t="str">
        <f>IF($H732=1,'Event summary'!C732,"")</f>
        <v/>
      </c>
      <c r="K732" s="66" t="str">
        <f>IF($H732=1,'Event summary'!D732,"")</f>
        <v/>
      </c>
    </row>
    <row r="733" spans="7:11" x14ac:dyDescent="0.2">
      <c r="G733" s="46">
        <f>'Event summary'!A733</f>
        <v>733</v>
      </c>
      <c r="H733" s="43">
        <f>MIN(TYPE(SEARCH($E$2,'Event summary'!C733)),TYPE(SEARCH($E$2,'Event summary'!D733)))</f>
        <v>16</v>
      </c>
      <c r="I733" s="65" t="str">
        <f t="shared" si="12"/>
        <v/>
      </c>
      <c r="J733" s="66" t="str">
        <f>IF($H733=1,'Event summary'!C733,"")</f>
        <v/>
      </c>
      <c r="K733" s="66" t="str">
        <f>IF($H733=1,'Event summary'!D733,"")</f>
        <v/>
      </c>
    </row>
    <row r="734" spans="7:11" x14ac:dyDescent="0.2">
      <c r="G734" s="46">
        <f>'Event summary'!A734</f>
        <v>734</v>
      </c>
      <c r="H734" s="43">
        <f>MIN(TYPE(SEARCH($E$2,'Event summary'!C734)),TYPE(SEARCH($E$2,'Event summary'!D734)))</f>
        <v>16</v>
      </c>
      <c r="I734" s="65" t="str">
        <f t="shared" si="12"/>
        <v/>
      </c>
      <c r="J734" s="66" t="str">
        <f>IF($H734=1,'Event summary'!C734,"")</f>
        <v/>
      </c>
      <c r="K734" s="66" t="str">
        <f>IF($H734=1,'Event summary'!D734,"")</f>
        <v/>
      </c>
    </row>
    <row r="735" spans="7:11" x14ac:dyDescent="0.2">
      <c r="G735" s="46">
        <f>'Event summary'!A735</f>
        <v>735</v>
      </c>
      <c r="H735" s="43">
        <f>MIN(TYPE(SEARCH($E$2,'Event summary'!C735)),TYPE(SEARCH($E$2,'Event summary'!D735)))</f>
        <v>16</v>
      </c>
      <c r="I735" s="65" t="str">
        <f t="shared" si="12"/>
        <v/>
      </c>
      <c r="J735" s="66" t="str">
        <f>IF($H735=1,'Event summary'!C735,"")</f>
        <v/>
      </c>
      <c r="K735" s="66" t="str">
        <f>IF($H735=1,'Event summary'!D735,"")</f>
        <v/>
      </c>
    </row>
    <row r="736" spans="7:11" x14ac:dyDescent="0.2">
      <c r="G736" s="46">
        <f>'Event summary'!A736</f>
        <v>736</v>
      </c>
      <c r="H736" s="43">
        <f>MIN(TYPE(SEARCH($E$2,'Event summary'!C736)),TYPE(SEARCH($E$2,'Event summary'!D736)))</f>
        <v>16</v>
      </c>
      <c r="I736" s="65" t="str">
        <f t="shared" si="12"/>
        <v/>
      </c>
      <c r="J736" s="66" t="str">
        <f>IF($H736=1,'Event summary'!C736,"")</f>
        <v/>
      </c>
      <c r="K736" s="66" t="str">
        <f>IF($H736=1,'Event summary'!D736,"")</f>
        <v/>
      </c>
    </row>
    <row r="737" spans="7:11" ht="28.5" x14ac:dyDescent="0.2">
      <c r="G737" s="46">
        <f>'Event summary'!A737</f>
        <v>737</v>
      </c>
      <c r="H737" s="43">
        <f>MIN(TYPE(SEARCH($E$2,'Event summary'!C737)),TYPE(SEARCH($E$2,'Event summary'!D737)))</f>
        <v>1</v>
      </c>
      <c r="I737" s="65" t="str">
        <f t="shared" si="12"/>
        <v>שינוי</v>
      </c>
      <c r="J737" s="66" t="str">
        <f>IF($H737=1,'Event summary'!C737,"")</f>
        <v>יום לפני הטיפול התיק לא היה מוכן לתכנון (לא היו סימונים). המטופל היה צריך לקבל קיטרודה יומיים לפני הטיפול.</v>
      </c>
      <c r="K737" s="66" t="str">
        <f>IF($H737=1,'Event summary'!D737,"")</f>
        <v>שינוי תהליך לטיפולי פולסר</v>
      </c>
    </row>
    <row r="738" spans="7:11" x14ac:dyDescent="0.2">
      <c r="G738" s="46">
        <f>'Event summary'!A738</f>
        <v>738</v>
      </c>
      <c r="H738" s="43">
        <f>MIN(TYPE(SEARCH($E$2,'Event summary'!C738)),TYPE(SEARCH($E$2,'Event summary'!D738)))</f>
        <v>16</v>
      </c>
      <c r="I738" s="65" t="str">
        <f t="shared" si="12"/>
        <v/>
      </c>
      <c r="J738" s="66" t="str">
        <f>IF($H738=1,'Event summary'!C738,"")</f>
        <v/>
      </c>
      <c r="K738" s="66" t="str">
        <f>IF($H738=1,'Event summary'!D738,"")</f>
        <v/>
      </c>
    </row>
    <row r="739" spans="7:11" x14ac:dyDescent="0.2">
      <c r="G739" s="46">
        <f>'Event summary'!A739</f>
        <v>739</v>
      </c>
      <c r="H739" s="43">
        <f>MIN(TYPE(SEARCH($E$2,'Event summary'!C739)),TYPE(SEARCH($E$2,'Event summary'!D739)))</f>
        <v>1</v>
      </c>
      <c r="I739" s="65" t="str">
        <f t="shared" si="12"/>
        <v>שינוי</v>
      </c>
      <c r="J739" s="66" t="str">
        <f>IF($H739=1,'Event summary'!C739,"")</f>
        <v>לטיפול פולסר לא היה First day</v>
      </c>
      <c r="K739" s="66" t="str">
        <f>IF($H739=1,'Event summary'!D739,"")</f>
        <v>שינוי תהליך לטיפולי פולסר</v>
      </c>
    </row>
    <row r="740" spans="7:11" x14ac:dyDescent="0.2">
      <c r="G740" s="46">
        <f>'Event summary'!A740</f>
        <v>740</v>
      </c>
      <c r="H740" s="43">
        <f>MIN(TYPE(SEARCH($E$2,'Event summary'!C740)),TYPE(SEARCH($E$2,'Event summary'!D740)))</f>
        <v>16</v>
      </c>
      <c r="I740" s="65" t="str">
        <f t="shared" si="12"/>
        <v/>
      </c>
      <c r="J740" s="66" t="str">
        <f>IF($H740=1,'Event summary'!C740,"")</f>
        <v/>
      </c>
      <c r="K740" s="66" t="str">
        <f>IF($H740=1,'Event summary'!D740,"")</f>
        <v/>
      </c>
    </row>
    <row r="741" spans="7:11" x14ac:dyDescent="0.2">
      <c r="G741" s="46">
        <f>'Event summary'!A741</f>
        <v>741</v>
      </c>
      <c r="H741" s="43">
        <f>MIN(TYPE(SEARCH($E$2,'Event summary'!C741)),TYPE(SEARCH($E$2,'Event summary'!D741)))</f>
        <v>16</v>
      </c>
      <c r="I741" s="65" t="str">
        <f t="shared" si="12"/>
        <v/>
      </c>
      <c r="J741" s="66" t="str">
        <f>IF($H741=1,'Event summary'!C741,"")</f>
        <v/>
      </c>
      <c r="K741" s="66" t="str">
        <f>IF($H741=1,'Event summary'!D741,"")</f>
        <v/>
      </c>
    </row>
    <row r="742" spans="7:11" x14ac:dyDescent="0.2">
      <c r="G742" s="46">
        <f>'Event summary'!A742</f>
        <v>742</v>
      </c>
      <c r="H742" s="43">
        <f>MIN(TYPE(SEARCH($E$2,'Event summary'!C742)),TYPE(SEARCH($E$2,'Event summary'!D742)))</f>
        <v>16</v>
      </c>
      <c r="I742" s="65" t="str">
        <f t="shared" si="12"/>
        <v/>
      </c>
      <c r="J742" s="66" t="str">
        <f>IF($H742=1,'Event summary'!C742,"")</f>
        <v/>
      </c>
      <c r="K742" s="66" t="str">
        <f>IF($H742=1,'Event summary'!D742,"")</f>
        <v/>
      </c>
    </row>
    <row r="743" spans="7:11" x14ac:dyDescent="0.2">
      <c r="G743" s="46">
        <f>'Event summary'!A743</f>
        <v>743</v>
      </c>
      <c r="H743" s="43">
        <f>MIN(TYPE(SEARCH($E$2,'Event summary'!C743)),TYPE(SEARCH($E$2,'Event summary'!D743)))</f>
        <v>16</v>
      </c>
      <c r="I743" s="65" t="str">
        <f t="shared" si="12"/>
        <v/>
      </c>
      <c r="J743" s="66" t="str">
        <f>IF($H743=1,'Event summary'!C743,"")</f>
        <v/>
      </c>
      <c r="K743" s="66" t="str">
        <f>IF($H743=1,'Event summary'!D743,"")</f>
        <v/>
      </c>
    </row>
    <row r="744" spans="7:11" x14ac:dyDescent="0.2">
      <c r="G744" s="46">
        <f>'Event summary'!A744</f>
        <v>744</v>
      </c>
      <c r="H744" s="43">
        <f>MIN(TYPE(SEARCH($E$2,'Event summary'!C744)),TYPE(SEARCH($E$2,'Event summary'!D744)))</f>
        <v>16</v>
      </c>
      <c r="I744" s="65" t="str">
        <f t="shared" si="12"/>
        <v/>
      </c>
      <c r="J744" s="66" t="str">
        <f>IF($H744=1,'Event summary'!C744,"")</f>
        <v/>
      </c>
      <c r="K744" s="66" t="str">
        <f>IF($H744=1,'Event summary'!D744,"")</f>
        <v/>
      </c>
    </row>
    <row r="745" spans="7:11" x14ac:dyDescent="0.2">
      <c r="G745" s="46">
        <f>'Event summary'!A745</f>
        <v>745</v>
      </c>
      <c r="H745" s="43">
        <f>MIN(TYPE(SEARCH($E$2,'Event summary'!C745)),TYPE(SEARCH($E$2,'Event summary'!D745)))</f>
        <v>16</v>
      </c>
      <c r="I745" s="65" t="str">
        <f t="shared" si="12"/>
        <v/>
      </c>
      <c r="J745" s="66" t="str">
        <f>IF($H745=1,'Event summary'!C745,"")</f>
        <v/>
      </c>
      <c r="K745" s="66" t="str">
        <f>IF($H745=1,'Event summary'!D745,"")</f>
        <v/>
      </c>
    </row>
    <row r="746" spans="7:11" x14ac:dyDescent="0.2">
      <c r="G746" s="46">
        <f>'Event summary'!A746</f>
        <v>746</v>
      </c>
      <c r="H746" s="43">
        <f>MIN(TYPE(SEARCH($E$2,'Event summary'!C746)),TYPE(SEARCH($E$2,'Event summary'!D746)))</f>
        <v>16</v>
      </c>
      <c r="I746" s="65" t="str">
        <f t="shared" si="12"/>
        <v/>
      </c>
      <c r="J746" s="66" t="str">
        <f>IF($H746=1,'Event summary'!C746,"")</f>
        <v/>
      </c>
      <c r="K746" s="66" t="str">
        <f>IF($H746=1,'Event summary'!D746,"")</f>
        <v/>
      </c>
    </row>
    <row r="747" spans="7:11" x14ac:dyDescent="0.2">
      <c r="G747" s="46">
        <f>'Event summary'!A747</f>
        <v>747</v>
      </c>
      <c r="H747" s="43">
        <f>MIN(TYPE(SEARCH($E$2,'Event summary'!C747)),TYPE(SEARCH($E$2,'Event summary'!D747)))</f>
        <v>16</v>
      </c>
      <c r="I747" s="65" t="str">
        <f t="shared" ref="I747:I810" si="13">IF(H747=1,$E$2,"")</f>
        <v/>
      </c>
      <c r="J747" s="66" t="str">
        <f>IF($H747=1,'Event summary'!C747,"")</f>
        <v/>
      </c>
      <c r="K747" s="66" t="str">
        <f>IF($H747=1,'Event summary'!D747,"")</f>
        <v/>
      </c>
    </row>
    <row r="748" spans="7:11" x14ac:dyDescent="0.2">
      <c r="G748" s="46">
        <f>'Event summary'!A748</f>
        <v>748</v>
      </c>
      <c r="H748" s="43">
        <f>MIN(TYPE(SEARCH($E$2,'Event summary'!C748)),TYPE(SEARCH($E$2,'Event summary'!D748)))</f>
        <v>16</v>
      </c>
      <c r="I748" s="65" t="str">
        <f t="shared" si="13"/>
        <v/>
      </c>
      <c r="J748" s="66" t="str">
        <f>IF($H748=1,'Event summary'!C748,"")</f>
        <v/>
      </c>
      <c r="K748" s="66" t="str">
        <f>IF($H748=1,'Event summary'!D748,"")</f>
        <v/>
      </c>
    </row>
    <row r="749" spans="7:11" x14ac:dyDescent="0.2">
      <c r="G749" s="46">
        <f>'Event summary'!A749</f>
        <v>749</v>
      </c>
      <c r="H749" s="43">
        <f>MIN(TYPE(SEARCH($E$2,'Event summary'!C749)),TYPE(SEARCH($E$2,'Event summary'!D749)))</f>
        <v>16</v>
      </c>
      <c r="I749" s="65" t="str">
        <f t="shared" si="13"/>
        <v/>
      </c>
      <c r="J749" s="66" t="str">
        <f>IF($H749=1,'Event summary'!C749,"")</f>
        <v/>
      </c>
      <c r="K749" s="66" t="str">
        <f>IF($H749=1,'Event summary'!D749,"")</f>
        <v/>
      </c>
    </row>
    <row r="750" spans="7:11" x14ac:dyDescent="0.2">
      <c r="G750" s="46">
        <f>'Event summary'!A750</f>
        <v>750</v>
      </c>
      <c r="H750" s="43">
        <f>MIN(TYPE(SEARCH($E$2,'Event summary'!C750)),TYPE(SEARCH($E$2,'Event summary'!D750)))</f>
        <v>16</v>
      </c>
      <c r="I750" s="65" t="str">
        <f t="shared" si="13"/>
        <v/>
      </c>
      <c r="J750" s="66" t="str">
        <f>IF($H750=1,'Event summary'!C750,"")</f>
        <v/>
      </c>
      <c r="K750" s="66" t="str">
        <f>IF($H750=1,'Event summary'!D750,"")</f>
        <v/>
      </c>
    </row>
    <row r="751" spans="7:11" x14ac:dyDescent="0.2">
      <c r="G751" s="46">
        <f>'Event summary'!A751</f>
        <v>751</v>
      </c>
      <c r="H751" s="43">
        <f>MIN(TYPE(SEARCH($E$2,'Event summary'!C751)),TYPE(SEARCH($E$2,'Event summary'!D751)))</f>
        <v>16</v>
      </c>
      <c r="I751" s="65" t="str">
        <f t="shared" si="13"/>
        <v/>
      </c>
      <c r="J751" s="66" t="str">
        <f>IF($H751=1,'Event summary'!C751,"")</f>
        <v/>
      </c>
      <c r="K751" s="66" t="str">
        <f>IF($H751=1,'Event summary'!D751,"")</f>
        <v/>
      </c>
    </row>
    <row r="752" spans="7:11" x14ac:dyDescent="0.2">
      <c r="G752" s="46">
        <f>'Event summary'!A752</f>
        <v>752</v>
      </c>
      <c r="H752" s="43">
        <f>MIN(TYPE(SEARCH($E$2,'Event summary'!C752)),TYPE(SEARCH($E$2,'Event summary'!D752)))</f>
        <v>16</v>
      </c>
      <c r="I752" s="65" t="str">
        <f t="shared" si="13"/>
        <v/>
      </c>
      <c r="J752" s="66" t="str">
        <f>IF($H752=1,'Event summary'!C752,"")</f>
        <v/>
      </c>
      <c r="K752" s="66" t="str">
        <f>IF($H752=1,'Event summary'!D752,"")</f>
        <v/>
      </c>
    </row>
    <row r="753" spans="7:11" ht="28.5" x14ac:dyDescent="0.2">
      <c r="G753" s="46">
        <f>'Event summary'!A753</f>
        <v>753</v>
      </c>
      <c r="H753" s="43">
        <f>MIN(TYPE(SEARCH($E$2,'Event summary'!C753)),TYPE(SEARCH($E$2,'Event summary'!D753)))</f>
        <v>1</v>
      </c>
      <c r="I753" s="65" t="str">
        <f t="shared" si="13"/>
        <v>שינוי</v>
      </c>
      <c r="J753" s="66" t="str">
        <f>IF($H753=1,'Event summary'!C753,"")</f>
        <v>לאחר שינוי תכנון מ 3 פרקציות לשתי פרקציות, החתימה השניה היתה על התכנית הראשונה (3 פרקציות). נעצר בשלב ההכנה לטיפול (RTTQA).</v>
      </c>
      <c r="K753" s="66" t="str">
        <f>IF($H753=1,'Event summary'!D753,"")</f>
        <v>גם פיזיקאי בחתימה שניה וגם רופא לא הבחינו שמספר הפרקציות של התכנית אינו נכון וחתמו על תכנון שגוי. להקפיד במהלך חתימות על תכניות  על בדיקה בקורתית ותשומת לב לפרטים.</v>
      </c>
    </row>
    <row r="754" spans="7:11" x14ac:dyDescent="0.2">
      <c r="G754" s="46">
        <f>'Event summary'!A754</f>
        <v>754</v>
      </c>
      <c r="H754" s="43">
        <f>MIN(TYPE(SEARCH($E$2,'Event summary'!C754)),TYPE(SEARCH($E$2,'Event summary'!D754)))</f>
        <v>16</v>
      </c>
      <c r="I754" s="65" t="str">
        <f t="shared" si="13"/>
        <v/>
      </c>
      <c r="J754" s="66" t="str">
        <f>IF($H754=1,'Event summary'!C754,"")</f>
        <v/>
      </c>
      <c r="K754" s="66" t="str">
        <f>IF($H754=1,'Event summary'!D754,"")</f>
        <v/>
      </c>
    </row>
    <row r="755" spans="7:11" x14ac:dyDescent="0.2">
      <c r="G755" s="46">
        <f>'Event summary'!A755</f>
        <v>755</v>
      </c>
      <c r="H755" s="43">
        <f>MIN(TYPE(SEARCH($E$2,'Event summary'!C755)),TYPE(SEARCH($E$2,'Event summary'!D755)))</f>
        <v>16</v>
      </c>
      <c r="I755" s="65" t="str">
        <f t="shared" si="13"/>
        <v/>
      </c>
      <c r="J755" s="66" t="str">
        <f>IF($H755=1,'Event summary'!C755,"")</f>
        <v/>
      </c>
      <c r="K755" s="66" t="str">
        <f>IF($H755=1,'Event summary'!D755,"")</f>
        <v/>
      </c>
    </row>
    <row r="756" spans="7:11" x14ac:dyDescent="0.2">
      <c r="G756" s="46">
        <f>'Event summary'!A756</f>
        <v>756</v>
      </c>
      <c r="H756" s="43">
        <f>MIN(TYPE(SEARCH($E$2,'Event summary'!C756)),TYPE(SEARCH($E$2,'Event summary'!D756)))</f>
        <v>16</v>
      </c>
      <c r="I756" s="65" t="str">
        <f t="shared" si="13"/>
        <v/>
      </c>
      <c r="J756" s="66" t="str">
        <f>IF($H756=1,'Event summary'!C756,"")</f>
        <v/>
      </c>
      <c r="K756" s="66" t="str">
        <f>IF($H756=1,'Event summary'!D756,"")</f>
        <v/>
      </c>
    </row>
    <row r="757" spans="7:11" x14ac:dyDescent="0.2">
      <c r="G757" s="46">
        <f>'Event summary'!A757</f>
        <v>757</v>
      </c>
      <c r="H757" s="43">
        <f>MIN(TYPE(SEARCH($E$2,'Event summary'!C757)),TYPE(SEARCH($E$2,'Event summary'!D757)))</f>
        <v>16</v>
      </c>
      <c r="I757" s="65" t="str">
        <f t="shared" si="13"/>
        <v/>
      </c>
      <c r="J757" s="66" t="str">
        <f>IF($H757=1,'Event summary'!C757,"")</f>
        <v/>
      </c>
      <c r="K757" s="66" t="str">
        <f>IF($H757=1,'Event summary'!D757,"")</f>
        <v/>
      </c>
    </row>
    <row r="758" spans="7:11" x14ac:dyDescent="0.2">
      <c r="G758" s="46">
        <f>'Event summary'!A758</f>
        <v>758</v>
      </c>
      <c r="H758" s="43">
        <f>MIN(TYPE(SEARCH($E$2,'Event summary'!C758)),TYPE(SEARCH($E$2,'Event summary'!D758)))</f>
        <v>16</v>
      </c>
      <c r="I758" s="65" t="str">
        <f t="shared" si="13"/>
        <v/>
      </c>
      <c r="J758" s="66" t="str">
        <f>IF($H758=1,'Event summary'!C758,"")</f>
        <v/>
      </c>
      <c r="K758" s="66" t="str">
        <f>IF($H758=1,'Event summary'!D758,"")</f>
        <v/>
      </c>
    </row>
    <row r="759" spans="7:11" x14ac:dyDescent="0.2">
      <c r="G759" s="46">
        <f>'Event summary'!A759</f>
        <v>759</v>
      </c>
      <c r="H759" s="43">
        <f>MIN(TYPE(SEARCH($E$2,'Event summary'!C759)),TYPE(SEARCH($E$2,'Event summary'!D759)))</f>
        <v>16</v>
      </c>
      <c r="I759" s="65" t="str">
        <f t="shared" si="13"/>
        <v/>
      </c>
      <c r="J759" s="66" t="str">
        <f>IF($H759=1,'Event summary'!C759,"")</f>
        <v/>
      </c>
      <c r="K759" s="66" t="str">
        <f>IF($H759=1,'Event summary'!D759,"")</f>
        <v/>
      </c>
    </row>
    <row r="760" spans="7:11" x14ac:dyDescent="0.2">
      <c r="G760" s="46">
        <f>'Event summary'!A760</f>
        <v>760</v>
      </c>
      <c r="H760" s="43">
        <f>MIN(TYPE(SEARCH($E$2,'Event summary'!C760)),TYPE(SEARCH($E$2,'Event summary'!D760)))</f>
        <v>16</v>
      </c>
      <c r="I760" s="65" t="str">
        <f t="shared" si="13"/>
        <v/>
      </c>
      <c r="J760" s="66" t="str">
        <f>IF($H760=1,'Event summary'!C760,"")</f>
        <v/>
      </c>
      <c r="K760" s="66" t="str">
        <f>IF($H760=1,'Event summary'!D760,"")</f>
        <v/>
      </c>
    </row>
    <row r="761" spans="7:11" x14ac:dyDescent="0.2">
      <c r="G761" s="46">
        <f>'Event summary'!A761</f>
        <v>761</v>
      </c>
      <c r="H761" s="43">
        <f>MIN(TYPE(SEARCH($E$2,'Event summary'!C761)),TYPE(SEARCH($E$2,'Event summary'!D761)))</f>
        <v>16</v>
      </c>
      <c r="I761" s="65" t="str">
        <f t="shared" si="13"/>
        <v/>
      </c>
      <c r="J761" s="66" t="str">
        <f>IF($H761=1,'Event summary'!C761,"")</f>
        <v/>
      </c>
      <c r="K761" s="66" t="str">
        <f>IF($H761=1,'Event summary'!D761,"")</f>
        <v/>
      </c>
    </row>
    <row r="762" spans="7:11" ht="28.5" x14ac:dyDescent="0.2">
      <c r="G762" s="46">
        <f>'Event summary'!A762</f>
        <v>762</v>
      </c>
      <c r="H762" s="43">
        <f>MIN(TYPE(SEARCH($E$2,'Event summary'!C762)),TYPE(SEARCH($E$2,'Event summary'!D762)))</f>
        <v>1</v>
      </c>
      <c r="I762" s="65" t="str">
        <f t="shared" si="13"/>
        <v>שינוי</v>
      </c>
      <c r="J762" s="66" t="str">
        <f>IF($H762=1,'Event summary'!C762,"")</f>
        <v>מטופלת לא הגיע לסימולציה. לאחר בירור מול הבת של המטופלת, התברר שהרופאה ביטלה את הסימולציה והעבירה את המטופלת לטיפול פליאטיבי ללא הודעה לצוות המטפל.</v>
      </c>
      <c r="K762" s="66" t="str">
        <f>IF($H762=1,'Event summary'!D762,"")</f>
        <v>באחריות הרופא לתקשר שינויים לצוות המטפל (RTTQA, זימון תורים).</v>
      </c>
    </row>
    <row r="763" spans="7:11" x14ac:dyDescent="0.2">
      <c r="G763" s="46">
        <f>'Event summary'!A763</f>
        <v>763</v>
      </c>
      <c r="H763" s="43">
        <f>MIN(TYPE(SEARCH($E$2,'Event summary'!C763)),TYPE(SEARCH($E$2,'Event summary'!D763)))</f>
        <v>16</v>
      </c>
      <c r="I763" s="65" t="str">
        <f t="shared" si="13"/>
        <v/>
      </c>
      <c r="J763" s="66" t="str">
        <f>IF($H763=1,'Event summary'!C763,"")</f>
        <v/>
      </c>
      <c r="K763" s="66" t="str">
        <f>IF($H763=1,'Event summary'!D763,"")</f>
        <v/>
      </c>
    </row>
    <row r="764" spans="7:11" x14ac:dyDescent="0.2">
      <c r="G764" s="46">
        <f>'Event summary'!A764</f>
        <v>764</v>
      </c>
      <c r="H764" s="43">
        <f>MIN(TYPE(SEARCH($E$2,'Event summary'!C764)),TYPE(SEARCH($E$2,'Event summary'!D764)))</f>
        <v>16</v>
      </c>
      <c r="I764" s="65" t="str">
        <f t="shared" si="13"/>
        <v/>
      </c>
      <c r="J764" s="66" t="str">
        <f>IF($H764=1,'Event summary'!C764,"")</f>
        <v/>
      </c>
      <c r="K764" s="66" t="str">
        <f>IF($H764=1,'Event summary'!D764,"")</f>
        <v/>
      </c>
    </row>
    <row r="765" spans="7:11" x14ac:dyDescent="0.2">
      <c r="G765" s="46">
        <f>'Event summary'!A765</f>
        <v>765</v>
      </c>
      <c r="H765" s="43">
        <f>MIN(TYPE(SEARCH($E$2,'Event summary'!C765)),TYPE(SEARCH($E$2,'Event summary'!D765)))</f>
        <v>16</v>
      </c>
      <c r="I765" s="65" t="str">
        <f t="shared" si="13"/>
        <v/>
      </c>
      <c r="J765" s="66" t="str">
        <f>IF($H765=1,'Event summary'!C765,"")</f>
        <v/>
      </c>
      <c r="K765" s="66" t="str">
        <f>IF($H765=1,'Event summary'!D765,"")</f>
        <v/>
      </c>
    </row>
    <row r="766" spans="7:11" x14ac:dyDescent="0.2">
      <c r="G766" s="46">
        <f>'Event summary'!A766</f>
        <v>766</v>
      </c>
      <c r="H766" s="43">
        <f>MIN(TYPE(SEARCH($E$2,'Event summary'!C766)),TYPE(SEARCH($E$2,'Event summary'!D766)))</f>
        <v>16</v>
      </c>
      <c r="I766" s="65" t="str">
        <f t="shared" si="13"/>
        <v/>
      </c>
      <c r="J766" s="66" t="str">
        <f>IF($H766=1,'Event summary'!C766,"")</f>
        <v/>
      </c>
      <c r="K766" s="66" t="str">
        <f>IF($H766=1,'Event summary'!D766,"")</f>
        <v/>
      </c>
    </row>
    <row r="767" spans="7:11" x14ac:dyDescent="0.2">
      <c r="G767" s="46">
        <f>'Event summary'!A767</f>
        <v>767</v>
      </c>
      <c r="H767" s="43">
        <f>MIN(TYPE(SEARCH($E$2,'Event summary'!C767)),TYPE(SEARCH($E$2,'Event summary'!D767)))</f>
        <v>16</v>
      </c>
      <c r="I767" s="65" t="str">
        <f t="shared" si="13"/>
        <v/>
      </c>
      <c r="J767" s="66" t="str">
        <f>IF($H767=1,'Event summary'!C767,"")</f>
        <v/>
      </c>
      <c r="K767" s="66" t="str">
        <f>IF($H767=1,'Event summary'!D767,"")</f>
        <v/>
      </c>
    </row>
    <row r="768" spans="7:11" x14ac:dyDescent="0.2">
      <c r="G768" s="46">
        <f>'Event summary'!A768</f>
        <v>768</v>
      </c>
      <c r="H768" s="43">
        <f>MIN(TYPE(SEARCH($E$2,'Event summary'!C768)),TYPE(SEARCH($E$2,'Event summary'!D768)))</f>
        <v>16</v>
      </c>
      <c r="I768" s="65" t="str">
        <f t="shared" si="13"/>
        <v/>
      </c>
      <c r="J768" s="66" t="str">
        <f>IF($H768=1,'Event summary'!C768,"")</f>
        <v/>
      </c>
      <c r="K768" s="66" t="str">
        <f>IF($H768=1,'Event summary'!D768,"")</f>
        <v/>
      </c>
    </row>
    <row r="769" spans="7:11" ht="28.5" x14ac:dyDescent="0.2">
      <c r="G769" s="46">
        <f>'Event summary'!A769</f>
        <v>769</v>
      </c>
      <c r="H769" s="43">
        <f>MIN(TYPE(SEARCH($E$2,'Event summary'!C769)),TYPE(SEARCH($E$2,'Event summary'!D769)))</f>
        <v>1</v>
      </c>
      <c r="I769" s="65" t="str">
        <f t="shared" si="13"/>
        <v>שינוי</v>
      </c>
      <c r="J769" s="66" t="str">
        <f>IF($H769=1,'Event summary'!C769,"")</f>
        <v>תיקים נשלחים ל- RTTQA ללא PTV לאחר אישור רופא. ה PTV נחוץ לרנטגנאים במאיץ לצורך מיקום המטופלים. המקרה הזה מייצג מספר רב של מקרים עקב שינוי במסלול זרימת התיקים.</v>
      </c>
      <c r="K769" s="66" t="str">
        <f>IF($H769=1,'Event summary'!D769,"")</f>
        <v>פיזיקאי יקפיד לשלוח איבר מטרה כשהוא חותם על reviewed.</v>
      </c>
    </row>
    <row r="770" spans="7:11" x14ac:dyDescent="0.2">
      <c r="G770" s="46">
        <f>'Event summary'!A770</f>
        <v>770</v>
      </c>
      <c r="H770" s="43">
        <f>MIN(TYPE(SEARCH($E$2,'Event summary'!C770)),TYPE(SEARCH($E$2,'Event summary'!D770)))</f>
        <v>16</v>
      </c>
      <c r="I770" s="65" t="str">
        <f t="shared" si="13"/>
        <v/>
      </c>
      <c r="J770" s="66" t="str">
        <f>IF($H770=1,'Event summary'!C770,"")</f>
        <v/>
      </c>
      <c r="K770" s="66" t="str">
        <f>IF($H770=1,'Event summary'!D770,"")</f>
        <v/>
      </c>
    </row>
    <row r="771" spans="7:11" x14ac:dyDescent="0.2">
      <c r="G771" s="46">
        <f>'Event summary'!A771</f>
        <v>771</v>
      </c>
      <c r="H771" s="43">
        <f>MIN(TYPE(SEARCH($E$2,'Event summary'!C771)),TYPE(SEARCH($E$2,'Event summary'!D771)))</f>
        <v>16</v>
      </c>
      <c r="I771" s="65" t="str">
        <f t="shared" si="13"/>
        <v/>
      </c>
      <c r="J771" s="66" t="str">
        <f>IF($H771=1,'Event summary'!C771,"")</f>
        <v/>
      </c>
      <c r="K771" s="66" t="str">
        <f>IF($H771=1,'Event summary'!D771,"")</f>
        <v/>
      </c>
    </row>
    <row r="772" spans="7:11" x14ac:dyDescent="0.2">
      <c r="G772" s="46">
        <f>'Event summary'!A772</f>
        <v>772</v>
      </c>
      <c r="H772" s="43">
        <f>MIN(TYPE(SEARCH($E$2,'Event summary'!C772)),TYPE(SEARCH($E$2,'Event summary'!D772)))</f>
        <v>16</v>
      </c>
      <c r="I772" s="65" t="str">
        <f t="shared" si="13"/>
        <v/>
      </c>
      <c r="J772" s="66" t="str">
        <f>IF($H772=1,'Event summary'!C772,"")</f>
        <v/>
      </c>
      <c r="K772" s="66" t="str">
        <f>IF($H772=1,'Event summary'!D772,"")</f>
        <v/>
      </c>
    </row>
    <row r="773" spans="7:11" x14ac:dyDescent="0.2">
      <c r="G773" s="46">
        <f>'Event summary'!A773</f>
        <v>773</v>
      </c>
      <c r="H773" s="43">
        <f>MIN(TYPE(SEARCH($E$2,'Event summary'!C773)),TYPE(SEARCH($E$2,'Event summary'!D773)))</f>
        <v>16</v>
      </c>
      <c r="I773" s="65" t="str">
        <f t="shared" si="13"/>
        <v/>
      </c>
      <c r="J773" s="66" t="str">
        <f>IF($H773=1,'Event summary'!C773,"")</f>
        <v/>
      </c>
      <c r="K773" s="66" t="str">
        <f>IF($H773=1,'Event summary'!D773,"")</f>
        <v/>
      </c>
    </row>
    <row r="774" spans="7:11" ht="28.5" x14ac:dyDescent="0.2">
      <c r="G774" s="46">
        <f>'Event summary'!A774</f>
        <v>774</v>
      </c>
      <c r="H774" s="43">
        <f>MIN(TYPE(SEARCH($E$2,'Event summary'!C774)),TYPE(SEARCH($E$2,'Event summary'!D774)))</f>
        <v>1</v>
      </c>
      <c r="I774" s="65" t="str">
        <f t="shared" si="13"/>
        <v>שינוי</v>
      </c>
      <c r="J774" s="66" t="str">
        <f>IF($H774=1,'Event summary'!C774,"")</f>
        <v>תכנית SRS שונתה. המידע לא הועבר לצוות המטפל. לאחר שינוי יש לייצא מחדש את התכנית ל Exactrac.</v>
      </c>
      <c r="K774" s="66" t="str">
        <f>IF($H774=1,'Event summary'!D774,"")</f>
        <v>ייצוא מחדש: בכל שינוי תכנית SRS, יש לייצא מחדש ל- Exactrac ולעדכן את ה-RTTQA וצוות המאיץ לפני הטיפול.</v>
      </c>
    </row>
    <row r="775" spans="7:11" x14ac:dyDescent="0.2">
      <c r="G775" s="46">
        <f>'Event summary'!A775</f>
        <v>775</v>
      </c>
      <c r="H775" s="43">
        <f>MIN(TYPE(SEARCH($E$2,'Event summary'!C775)),TYPE(SEARCH($E$2,'Event summary'!D775)))</f>
        <v>16</v>
      </c>
      <c r="I775" s="65" t="str">
        <f t="shared" si="13"/>
        <v/>
      </c>
      <c r="J775" s="66" t="str">
        <f>IF($H775=1,'Event summary'!C775,"")</f>
        <v/>
      </c>
      <c r="K775" s="66" t="str">
        <f>IF($H775=1,'Event summary'!D775,"")</f>
        <v/>
      </c>
    </row>
    <row r="776" spans="7:11" x14ac:dyDescent="0.2">
      <c r="G776" s="46">
        <f>'Event summary'!A776</f>
        <v>776</v>
      </c>
      <c r="H776" s="43">
        <f>MIN(TYPE(SEARCH($E$2,'Event summary'!C776)),TYPE(SEARCH($E$2,'Event summary'!D776)))</f>
        <v>16</v>
      </c>
      <c r="I776" s="65" t="str">
        <f t="shared" si="13"/>
        <v/>
      </c>
      <c r="J776" s="66" t="str">
        <f>IF($H776=1,'Event summary'!C776,"")</f>
        <v/>
      </c>
      <c r="K776" s="66" t="str">
        <f>IF($H776=1,'Event summary'!D776,"")</f>
        <v/>
      </c>
    </row>
    <row r="777" spans="7:11" x14ac:dyDescent="0.2">
      <c r="G777" s="46">
        <f>'Event summary'!A777</f>
        <v>777</v>
      </c>
      <c r="H777" s="43">
        <f>MIN(TYPE(SEARCH($E$2,'Event summary'!C777)),TYPE(SEARCH($E$2,'Event summary'!D777)))</f>
        <v>16</v>
      </c>
      <c r="I777" s="65" t="str">
        <f t="shared" si="13"/>
        <v/>
      </c>
      <c r="J777" s="66" t="str">
        <f>IF($H777=1,'Event summary'!C777,"")</f>
        <v/>
      </c>
      <c r="K777" s="66" t="str">
        <f>IF($H777=1,'Event summary'!D777,"")</f>
        <v/>
      </c>
    </row>
    <row r="778" spans="7:11" x14ac:dyDescent="0.2">
      <c r="G778" s="46">
        <f>'Event summary'!A778</f>
        <v>778</v>
      </c>
      <c r="H778" s="43">
        <f>MIN(TYPE(SEARCH($E$2,'Event summary'!C778)),TYPE(SEARCH($E$2,'Event summary'!D778)))</f>
        <v>16</v>
      </c>
      <c r="I778" s="65" t="str">
        <f t="shared" si="13"/>
        <v/>
      </c>
      <c r="J778" s="66" t="str">
        <f>IF($H778=1,'Event summary'!C778,"")</f>
        <v/>
      </c>
      <c r="K778" s="66" t="str">
        <f>IF($H778=1,'Event summary'!D778,"")</f>
        <v/>
      </c>
    </row>
    <row r="779" spans="7:11" x14ac:dyDescent="0.2">
      <c r="G779" s="46">
        <f>'Event summary'!A779</f>
        <v>779</v>
      </c>
      <c r="H779" s="43">
        <f>MIN(TYPE(SEARCH($E$2,'Event summary'!C779)),TYPE(SEARCH($E$2,'Event summary'!D779)))</f>
        <v>16</v>
      </c>
      <c r="I779" s="65" t="str">
        <f t="shared" si="13"/>
        <v/>
      </c>
      <c r="J779" s="66" t="str">
        <f>IF($H779=1,'Event summary'!C779,"")</f>
        <v/>
      </c>
      <c r="K779" s="66" t="str">
        <f>IF($H779=1,'Event summary'!D779,"")</f>
        <v/>
      </c>
    </row>
    <row r="780" spans="7:11" x14ac:dyDescent="0.2">
      <c r="G780" s="46">
        <f>'Event summary'!A780</f>
        <v>780</v>
      </c>
      <c r="H780" s="43">
        <f>MIN(TYPE(SEARCH($E$2,'Event summary'!C780)),TYPE(SEARCH($E$2,'Event summary'!D780)))</f>
        <v>16</v>
      </c>
      <c r="I780" s="65" t="str">
        <f t="shared" si="13"/>
        <v/>
      </c>
      <c r="J780" s="66" t="str">
        <f>IF($H780=1,'Event summary'!C780,"")</f>
        <v/>
      </c>
      <c r="K780" s="66" t="str">
        <f>IF($H780=1,'Event summary'!D780,"")</f>
        <v/>
      </c>
    </row>
    <row r="781" spans="7:11" x14ac:dyDescent="0.2">
      <c r="G781" s="46">
        <f>'Event summary'!A781</f>
        <v>781</v>
      </c>
      <c r="H781" s="43">
        <f>MIN(TYPE(SEARCH($E$2,'Event summary'!C781)),TYPE(SEARCH($E$2,'Event summary'!D781)))</f>
        <v>16</v>
      </c>
      <c r="I781" s="65" t="str">
        <f t="shared" si="13"/>
        <v/>
      </c>
      <c r="J781" s="66" t="str">
        <f>IF($H781=1,'Event summary'!C781,"")</f>
        <v/>
      </c>
      <c r="K781" s="66" t="str">
        <f>IF($H781=1,'Event summary'!D781,"")</f>
        <v/>
      </c>
    </row>
    <row r="782" spans="7:11" x14ac:dyDescent="0.2">
      <c r="G782" s="46">
        <f>'Event summary'!A782</f>
        <v>782</v>
      </c>
      <c r="H782" s="43">
        <f>MIN(TYPE(SEARCH($E$2,'Event summary'!C782)),TYPE(SEARCH($E$2,'Event summary'!D782)))</f>
        <v>16</v>
      </c>
      <c r="I782" s="65" t="str">
        <f t="shared" si="13"/>
        <v/>
      </c>
      <c r="J782" s="66" t="str">
        <f>IF($H782=1,'Event summary'!C782,"")</f>
        <v/>
      </c>
      <c r="K782" s="66" t="str">
        <f>IF($H782=1,'Event summary'!D782,"")</f>
        <v/>
      </c>
    </row>
    <row r="783" spans="7:11" x14ac:dyDescent="0.2">
      <c r="G783" s="46">
        <f>'Event summary'!A783</f>
        <v>783</v>
      </c>
      <c r="H783" s="43">
        <f>MIN(TYPE(SEARCH($E$2,'Event summary'!C783)),TYPE(SEARCH($E$2,'Event summary'!D783)))</f>
        <v>16</v>
      </c>
      <c r="I783" s="65" t="str">
        <f t="shared" si="13"/>
        <v/>
      </c>
      <c r="J783" s="66" t="str">
        <f>IF($H783=1,'Event summary'!C783,"")</f>
        <v/>
      </c>
      <c r="K783" s="66" t="str">
        <f>IF($H783=1,'Event summary'!D783,"")</f>
        <v/>
      </c>
    </row>
    <row r="784" spans="7:11" x14ac:dyDescent="0.2">
      <c r="G784" s="46">
        <f>'Event summary'!A784</f>
        <v>784</v>
      </c>
      <c r="H784" s="43">
        <f>MIN(TYPE(SEARCH($E$2,'Event summary'!C784)),TYPE(SEARCH($E$2,'Event summary'!D784)))</f>
        <v>16</v>
      </c>
      <c r="I784" s="65" t="str">
        <f t="shared" si="13"/>
        <v/>
      </c>
      <c r="J784" s="66" t="str">
        <f>IF($H784=1,'Event summary'!C784,"")</f>
        <v/>
      </c>
      <c r="K784" s="66" t="str">
        <f>IF($H784=1,'Event summary'!D784,"")</f>
        <v/>
      </c>
    </row>
    <row r="785" spans="7:11" x14ac:dyDescent="0.2">
      <c r="G785" s="46">
        <f>'Event summary'!A785</f>
        <v>785</v>
      </c>
      <c r="H785" s="43">
        <f>MIN(TYPE(SEARCH($E$2,'Event summary'!C785)),TYPE(SEARCH($E$2,'Event summary'!D785)))</f>
        <v>16</v>
      </c>
      <c r="I785" s="65" t="str">
        <f t="shared" si="13"/>
        <v/>
      </c>
      <c r="J785" s="66" t="str">
        <f>IF($H785=1,'Event summary'!C785,"")</f>
        <v/>
      </c>
      <c r="K785" s="66" t="str">
        <f>IF($H785=1,'Event summary'!D785,"")</f>
        <v/>
      </c>
    </row>
    <row r="786" spans="7:11" x14ac:dyDescent="0.2">
      <c r="G786" s="46">
        <f>'Event summary'!A786</f>
        <v>786</v>
      </c>
      <c r="H786" s="43">
        <f>MIN(TYPE(SEARCH($E$2,'Event summary'!C786)),TYPE(SEARCH($E$2,'Event summary'!D786)))</f>
        <v>16</v>
      </c>
      <c r="I786" s="65" t="str">
        <f t="shared" si="13"/>
        <v/>
      </c>
      <c r="J786" s="66" t="str">
        <f>IF($H786=1,'Event summary'!C786,"")</f>
        <v/>
      </c>
      <c r="K786" s="66" t="str">
        <f>IF($H786=1,'Event summary'!D786,"")</f>
        <v/>
      </c>
    </row>
    <row r="787" spans="7:11" x14ac:dyDescent="0.2">
      <c r="G787" s="46">
        <f>'Event summary'!A787</f>
        <v>787</v>
      </c>
      <c r="H787" s="43">
        <f>MIN(TYPE(SEARCH($E$2,'Event summary'!C787)),TYPE(SEARCH($E$2,'Event summary'!D787)))</f>
        <v>16</v>
      </c>
      <c r="I787" s="65" t="str">
        <f t="shared" si="13"/>
        <v/>
      </c>
      <c r="J787" s="66" t="str">
        <f>IF($H787=1,'Event summary'!C787,"")</f>
        <v/>
      </c>
      <c r="K787" s="66" t="str">
        <f>IF($H787=1,'Event summary'!D787,"")</f>
        <v/>
      </c>
    </row>
    <row r="788" spans="7:11" x14ac:dyDescent="0.2">
      <c r="G788" s="46">
        <f>'Event summary'!A788</f>
        <v>788</v>
      </c>
      <c r="H788" s="43">
        <f>MIN(TYPE(SEARCH($E$2,'Event summary'!C788)),TYPE(SEARCH($E$2,'Event summary'!D788)))</f>
        <v>16</v>
      </c>
      <c r="I788" s="65" t="str">
        <f t="shared" si="13"/>
        <v/>
      </c>
      <c r="J788" s="66" t="str">
        <f>IF($H788=1,'Event summary'!C788,"")</f>
        <v/>
      </c>
      <c r="K788" s="66" t="str">
        <f>IF($H788=1,'Event summary'!D788,"")</f>
        <v/>
      </c>
    </row>
    <row r="789" spans="7:11" x14ac:dyDescent="0.2">
      <c r="G789" s="46">
        <f>'Event summary'!A789</f>
        <v>789</v>
      </c>
      <c r="H789" s="43">
        <f>MIN(TYPE(SEARCH($E$2,'Event summary'!C789)),TYPE(SEARCH($E$2,'Event summary'!D789)))</f>
        <v>16</v>
      </c>
      <c r="I789" s="65" t="str">
        <f t="shared" si="13"/>
        <v/>
      </c>
      <c r="J789" s="66" t="str">
        <f>IF($H789=1,'Event summary'!C789,"")</f>
        <v/>
      </c>
      <c r="K789" s="66" t="str">
        <f>IF($H789=1,'Event summary'!D789,"")</f>
        <v/>
      </c>
    </row>
    <row r="790" spans="7:11" x14ac:dyDescent="0.2">
      <c r="G790" s="46">
        <f>'Event summary'!A790</f>
        <v>790</v>
      </c>
      <c r="H790" s="43">
        <f>MIN(TYPE(SEARCH($E$2,'Event summary'!C790)),TYPE(SEARCH($E$2,'Event summary'!D790)))</f>
        <v>16</v>
      </c>
      <c r="I790" s="65" t="str">
        <f t="shared" si="13"/>
        <v/>
      </c>
      <c r="J790" s="66" t="str">
        <f>IF($H790=1,'Event summary'!C790,"")</f>
        <v/>
      </c>
      <c r="K790" s="66" t="str">
        <f>IF($H790=1,'Event summary'!D790,"")</f>
        <v/>
      </c>
    </row>
    <row r="791" spans="7:11" x14ac:dyDescent="0.2">
      <c r="G791" s="46">
        <f>'Event summary'!A791</f>
        <v>791</v>
      </c>
      <c r="H791" s="43">
        <f>MIN(TYPE(SEARCH($E$2,'Event summary'!C791)),TYPE(SEARCH($E$2,'Event summary'!D791)))</f>
        <v>16</v>
      </c>
      <c r="I791" s="65" t="str">
        <f t="shared" si="13"/>
        <v/>
      </c>
      <c r="J791" s="66" t="str">
        <f>IF($H791=1,'Event summary'!C791,"")</f>
        <v/>
      </c>
      <c r="K791" s="66" t="str">
        <f>IF($H791=1,'Event summary'!D791,"")</f>
        <v/>
      </c>
    </row>
    <row r="792" spans="7:11" x14ac:dyDescent="0.2">
      <c r="G792" s="46">
        <f>'Event summary'!A792</f>
        <v>792</v>
      </c>
      <c r="H792" s="43">
        <f>MIN(TYPE(SEARCH($E$2,'Event summary'!C792)),TYPE(SEARCH($E$2,'Event summary'!D792)))</f>
        <v>16</v>
      </c>
      <c r="I792" s="65" t="str">
        <f t="shared" si="13"/>
        <v/>
      </c>
      <c r="J792" s="66" t="str">
        <f>IF($H792=1,'Event summary'!C792,"")</f>
        <v/>
      </c>
      <c r="K792" s="66" t="str">
        <f>IF($H792=1,'Event summary'!D792,"")</f>
        <v/>
      </c>
    </row>
    <row r="793" spans="7:11" x14ac:dyDescent="0.2">
      <c r="G793" s="46">
        <f>'Event summary'!A793</f>
        <v>793</v>
      </c>
      <c r="H793" s="43">
        <f>MIN(TYPE(SEARCH($E$2,'Event summary'!C793)),TYPE(SEARCH($E$2,'Event summary'!D793)))</f>
        <v>16</v>
      </c>
      <c r="I793" s="65" t="str">
        <f t="shared" si="13"/>
        <v/>
      </c>
      <c r="J793" s="66" t="str">
        <f>IF($H793=1,'Event summary'!C793,"")</f>
        <v/>
      </c>
      <c r="K793" s="66" t="str">
        <f>IF($H793=1,'Event summary'!D793,"")</f>
        <v/>
      </c>
    </row>
    <row r="794" spans="7:11" x14ac:dyDescent="0.2">
      <c r="G794" s="46">
        <f>'Event summary'!A794</f>
        <v>794</v>
      </c>
      <c r="H794" s="43">
        <f>MIN(TYPE(SEARCH($E$2,'Event summary'!C794)),TYPE(SEARCH($E$2,'Event summary'!D794)))</f>
        <v>1</v>
      </c>
      <c r="I794" s="65" t="str">
        <f t="shared" si="13"/>
        <v>שינוי</v>
      </c>
      <c r="J794" s="66" t="str">
        <f>IF($H794=1,'Event summary'!C794,"")</f>
        <v>מטופלת נשלחה לביתה לאחר שינויים במרשם ותכנונים חוזרים.</v>
      </c>
      <c r="K794" s="66" t="str">
        <f>IF($H794=1,'Event summary'!D794,"")</f>
        <v>הכשרה של צוותים על אופן כתיבת מרשם.</v>
      </c>
    </row>
    <row r="795" spans="7:11" x14ac:dyDescent="0.2">
      <c r="G795" s="46">
        <f>'Event summary'!A795</f>
        <v>795</v>
      </c>
      <c r="H795" s="43">
        <f>MIN(TYPE(SEARCH($E$2,'Event summary'!C795)),TYPE(SEARCH($E$2,'Event summary'!D795)))</f>
        <v>16</v>
      </c>
      <c r="I795" s="65" t="str">
        <f t="shared" si="13"/>
        <v/>
      </c>
      <c r="J795" s="66" t="str">
        <f>IF($H795=1,'Event summary'!C795,"")</f>
        <v/>
      </c>
      <c r="K795" s="66" t="str">
        <f>IF($H795=1,'Event summary'!D795,"")</f>
        <v/>
      </c>
    </row>
    <row r="796" spans="7:11" x14ac:dyDescent="0.2">
      <c r="G796" s="46">
        <f>'Event summary'!A796</f>
        <v>796</v>
      </c>
      <c r="H796" s="43">
        <f>MIN(TYPE(SEARCH($E$2,'Event summary'!C796)),TYPE(SEARCH($E$2,'Event summary'!D796)))</f>
        <v>16</v>
      </c>
      <c r="I796" s="65" t="str">
        <f t="shared" si="13"/>
        <v/>
      </c>
      <c r="J796" s="66" t="str">
        <f>IF($H796=1,'Event summary'!C796,"")</f>
        <v/>
      </c>
      <c r="K796" s="66" t="str">
        <f>IF($H796=1,'Event summary'!D796,"")</f>
        <v/>
      </c>
    </row>
    <row r="797" spans="7:11" x14ac:dyDescent="0.2">
      <c r="G797" s="46">
        <f>'Event summary'!A797</f>
        <v>797</v>
      </c>
      <c r="H797" s="43">
        <f>MIN(TYPE(SEARCH($E$2,'Event summary'!C797)),TYPE(SEARCH($E$2,'Event summary'!D797)))</f>
        <v>16</v>
      </c>
      <c r="I797" s="65" t="str">
        <f t="shared" si="13"/>
        <v/>
      </c>
      <c r="J797" s="66" t="str">
        <f>IF($H797=1,'Event summary'!C797,"")</f>
        <v/>
      </c>
      <c r="K797" s="66" t="str">
        <f>IF($H797=1,'Event summary'!D797,"")</f>
        <v/>
      </c>
    </row>
    <row r="798" spans="7:11" x14ac:dyDescent="0.2">
      <c r="G798" s="46">
        <f>'Event summary'!A798</f>
        <v>798</v>
      </c>
      <c r="H798" s="43">
        <f>MIN(TYPE(SEARCH($E$2,'Event summary'!C798)),TYPE(SEARCH($E$2,'Event summary'!D798)))</f>
        <v>16</v>
      </c>
      <c r="I798" s="65" t="str">
        <f t="shared" si="13"/>
        <v/>
      </c>
      <c r="J798" s="66" t="str">
        <f>IF($H798=1,'Event summary'!C798,"")</f>
        <v/>
      </c>
      <c r="K798" s="66" t="str">
        <f>IF($H798=1,'Event summary'!D798,"")</f>
        <v/>
      </c>
    </row>
    <row r="799" spans="7:11" x14ac:dyDescent="0.2">
      <c r="G799" s="46">
        <f>'Event summary'!A799</f>
        <v>799</v>
      </c>
      <c r="H799" s="43">
        <f>MIN(TYPE(SEARCH($E$2,'Event summary'!C799)),TYPE(SEARCH($E$2,'Event summary'!D799)))</f>
        <v>16</v>
      </c>
      <c r="I799" s="65" t="str">
        <f t="shared" si="13"/>
        <v/>
      </c>
      <c r="J799" s="66" t="str">
        <f>IF($H799=1,'Event summary'!C799,"")</f>
        <v/>
      </c>
      <c r="K799" s="66" t="str">
        <f>IF($H799=1,'Event summary'!D799,"")</f>
        <v/>
      </c>
    </row>
    <row r="800" spans="7:11" x14ac:dyDescent="0.2">
      <c r="G800" s="46">
        <f>'Event summary'!A800</f>
        <v>800</v>
      </c>
      <c r="H800" s="43">
        <f>MIN(TYPE(SEARCH($E$2,'Event summary'!C800)),TYPE(SEARCH($E$2,'Event summary'!D800)))</f>
        <v>16</v>
      </c>
      <c r="I800" s="65" t="str">
        <f t="shared" si="13"/>
        <v/>
      </c>
      <c r="J800" s="66" t="str">
        <f>IF($H800=1,'Event summary'!C800,"")</f>
        <v/>
      </c>
      <c r="K800" s="66" t="str">
        <f>IF($H800=1,'Event summary'!D800,"")</f>
        <v/>
      </c>
    </row>
    <row r="801" spans="7:11" ht="28.5" x14ac:dyDescent="0.2">
      <c r="G801" s="46">
        <f>'Event summary'!A801</f>
        <v>801</v>
      </c>
      <c r="H801" s="43">
        <f>MIN(TYPE(SEARCH($E$2,'Event summary'!C801)),TYPE(SEARCH($E$2,'Event summary'!D801)))</f>
        <v>1</v>
      </c>
      <c r="I801" s="65" t="str">
        <f t="shared" si="13"/>
        <v>שינוי</v>
      </c>
      <c r="J801" s="66" t="str">
        <f>IF($H801=1,'Event summary'!C801,"")</f>
        <v>בטיפולי SRS נא לשלוח ל BrainLab את התכנית רק בשלב של RTTQA, אחרת יתכנו שינויים בתכנית ויתכנו בעיות עם שליחה קודמת.</v>
      </c>
      <c r="K801" s="66" t="str">
        <f>IF($H801=1,'Event summary'!D801,"")</f>
        <v>טיפולים ישלחו בשלב של RTTQA</v>
      </c>
    </row>
    <row r="802" spans="7:11" x14ac:dyDescent="0.2">
      <c r="G802" s="46">
        <f>'Event summary'!A802</f>
        <v>802</v>
      </c>
      <c r="H802" s="43">
        <f>MIN(TYPE(SEARCH($E$2,'Event summary'!C802)),TYPE(SEARCH($E$2,'Event summary'!D802)))</f>
        <v>16</v>
      </c>
      <c r="I802" s="65" t="str">
        <f t="shared" si="13"/>
        <v/>
      </c>
      <c r="J802" s="66" t="str">
        <f>IF($H802=1,'Event summary'!C802,"")</f>
        <v/>
      </c>
      <c r="K802" s="66" t="str">
        <f>IF($H802=1,'Event summary'!D802,"")</f>
        <v/>
      </c>
    </row>
    <row r="803" spans="7:11" x14ac:dyDescent="0.2">
      <c r="G803" s="46">
        <f>'Event summary'!A803</f>
        <v>803</v>
      </c>
      <c r="H803" s="43">
        <f>MIN(TYPE(SEARCH($E$2,'Event summary'!C803)),TYPE(SEARCH($E$2,'Event summary'!D803)))</f>
        <v>16</v>
      </c>
      <c r="I803" s="65" t="str">
        <f t="shared" si="13"/>
        <v/>
      </c>
      <c r="J803" s="66" t="str">
        <f>IF($H803=1,'Event summary'!C803,"")</f>
        <v/>
      </c>
      <c r="K803" s="66" t="str">
        <f>IF($H803=1,'Event summary'!D803,"")</f>
        <v/>
      </c>
    </row>
    <row r="804" spans="7:11" x14ac:dyDescent="0.2">
      <c r="G804" s="46">
        <f>'Event summary'!A804</f>
        <v>804</v>
      </c>
      <c r="H804" s="43">
        <f>MIN(TYPE(SEARCH($E$2,'Event summary'!C804)),TYPE(SEARCH($E$2,'Event summary'!D804)))</f>
        <v>16</v>
      </c>
      <c r="I804" s="65" t="str">
        <f t="shared" si="13"/>
        <v/>
      </c>
      <c r="J804" s="66" t="str">
        <f>IF($H804=1,'Event summary'!C804,"")</f>
        <v/>
      </c>
      <c r="K804" s="66" t="str">
        <f>IF($H804=1,'Event summary'!D804,"")</f>
        <v/>
      </c>
    </row>
    <row r="805" spans="7:11" x14ac:dyDescent="0.2">
      <c r="G805" s="46">
        <f>'Event summary'!A805</f>
        <v>805</v>
      </c>
      <c r="H805" s="43">
        <f>MIN(TYPE(SEARCH($E$2,'Event summary'!C805)),TYPE(SEARCH($E$2,'Event summary'!D805)))</f>
        <v>16</v>
      </c>
      <c r="I805" s="65" t="str">
        <f t="shared" si="13"/>
        <v/>
      </c>
      <c r="J805" s="66" t="str">
        <f>IF($H805=1,'Event summary'!C805,"")</f>
        <v/>
      </c>
      <c r="K805" s="66" t="str">
        <f>IF($H805=1,'Event summary'!D805,"")</f>
        <v/>
      </c>
    </row>
    <row r="806" spans="7:11" x14ac:dyDescent="0.2">
      <c r="G806" s="46">
        <f>'Event summary'!A806</f>
        <v>806</v>
      </c>
      <c r="H806" s="43">
        <f>MIN(TYPE(SEARCH($E$2,'Event summary'!C806)),TYPE(SEARCH($E$2,'Event summary'!D806)))</f>
        <v>16</v>
      </c>
      <c r="I806" s="65" t="str">
        <f t="shared" si="13"/>
        <v/>
      </c>
      <c r="J806" s="66" t="str">
        <f>IF($H806=1,'Event summary'!C806,"")</f>
        <v/>
      </c>
      <c r="K806" s="66" t="str">
        <f>IF($H806=1,'Event summary'!D806,"")</f>
        <v/>
      </c>
    </row>
    <row r="807" spans="7:11" x14ac:dyDescent="0.2">
      <c r="G807" s="46">
        <f>'Event summary'!A807</f>
        <v>807</v>
      </c>
      <c r="H807" s="43">
        <f>MIN(TYPE(SEARCH($E$2,'Event summary'!C807)),TYPE(SEARCH($E$2,'Event summary'!D807)))</f>
        <v>16</v>
      </c>
      <c r="I807" s="65" t="str">
        <f t="shared" si="13"/>
        <v/>
      </c>
      <c r="J807" s="66" t="str">
        <f>IF($H807=1,'Event summary'!C807,"")</f>
        <v/>
      </c>
      <c r="K807" s="66" t="str">
        <f>IF($H807=1,'Event summary'!D807,"")</f>
        <v/>
      </c>
    </row>
    <row r="808" spans="7:11" x14ac:dyDescent="0.2">
      <c r="G808" s="46">
        <f>'Event summary'!A808</f>
        <v>808</v>
      </c>
      <c r="H808" s="43">
        <f>MIN(TYPE(SEARCH($E$2,'Event summary'!C808)),TYPE(SEARCH($E$2,'Event summary'!D808)))</f>
        <v>16</v>
      </c>
      <c r="I808" s="65" t="str">
        <f t="shared" si="13"/>
        <v/>
      </c>
      <c r="J808" s="66" t="str">
        <f>IF($H808=1,'Event summary'!C808,"")</f>
        <v/>
      </c>
      <c r="K808" s="66" t="str">
        <f>IF($H808=1,'Event summary'!D808,"")</f>
        <v/>
      </c>
    </row>
    <row r="809" spans="7:11" x14ac:dyDescent="0.2">
      <c r="G809" s="46">
        <f>'Event summary'!A809</f>
        <v>809</v>
      </c>
      <c r="H809" s="43">
        <f>MIN(TYPE(SEARCH($E$2,'Event summary'!C809)),TYPE(SEARCH($E$2,'Event summary'!D809)))</f>
        <v>16</v>
      </c>
      <c r="I809" s="65" t="str">
        <f t="shared" si="13"/>
        <v/>
      </c>
      <c r="J809" s="66" t="str">
        <f>IF($H809=1,'Event summary'!C809,"")</f>
        <v/>
      </c>
      <c r="K809" s="66" t="str">
        <f>IF($H809=1,'Event summary'!D809,"")</f>
        <v/>
      </c>
    </row>
    <row r="810" spans="7:11" ht="28.5" x14ac:dyDescent="0.2">
      <c r="G810" s="46">
        <f>'Event summary'!A810</f>
        <v>810</v>
      </c>
      <c r="H810" s="43">
        <f>MIN(TYPE(SEARCH($E$2,'Event summary'!C810)),TYPE(SEARCH($E$2,'Event summary'!D810)))</f>
        <v>1</v>
      </c>
      <c r="I810" s="65" t="str">
        <f t="shared" si="13"/>
        <v>שינוי</v>
      </c>
      <c r="J810" s="66" t="str">
        <f>IF($H810=1,'Event summary'!C810,"")</f>
        <v>תיק לאחר QA עם Update Care Path על מסלול של Liver  במקום מסלול של Lung. הרופא המטפל לא היה בארץ והמקרה היה יכל ליפל בין הכיסאות.</v>
      </c>
      <c r="K810" s="66" t="str">
        <f>IF($H810=1,'Event summary'!D810,"")</f>
        <v>בודקים שינוי CP לאיחוד 2 מסלולים לאחד לאחר זימות תורים.</v>
      </c>
    </row>
    <row r="811" spans="7:11" x14ac:dyDescent="0.2">
      <c r="G811" s="46">
        <f>'Event summary'!A811</f>
        <v>811</v>
      </c>
      <c r="H811" s="43">
        <f>MIN(TYPE(SEARCH($E$2,'Event summary'!C811)),TYPE(SEARCH($E$2,'Event summary'!D811)))</f>
        <v>16</v>
      </c>
      <c r="I811" s="65" t="str">
        <f t="shared" ref="I811:I874" si="14">IF(H811=1,$E$2,"")</f>
        <v/>
      </c>
      <c r="J811" s="66" t="str">
        <f>IF($H811=1,'Event summary'!C811,"")</f>
        <v/>
      </c>
      <c r="K811" s="66" t="str">
        <f>IF($H811=1,'Event summary'!D811,"")</f>
        <v/>
      </c>
    </row>
    <row r="812" spans="7:11" x14ac:dyDescent="0.2">
      <c r="G812" s="46">
        <f>'Event summary'!A812</f>
        <v>812</v>
      </c>
      <c r="H812" s="43">
        <f>MIN(TYPE(SEARCH($E$2,'Event summary'!C812)),TYPE(SEARCH($E$2,'Event summary'!D812)))</f>
        <v>16</v>
      </c>
      <c r="I812" s="65" t="str">
        <f t="shared" si="14"/>
        <v/>
      </c>
      <c r="J812" s="66" t="str">
        <f>IF($H812=1,'Event summary'!C812,"")</f>
        <v/>
      </c>
      <c r="K812" s="66" t="str">
        <f>IF($H812=1,'Event summary'!D812,"")</f>
        <v/>
      </c>
    </row>
    <row r="813" spans="7:11" x14ac:dyDescent="0.2">
      <c r="G813" s="46">
        <f>'Event summary'!A813</f>
        <v>813</v>
      </c>
      <c r="H813" s="43">
        <f>MIN(TYPE(SEARCH($E$2,'Event summary'!C813)),TYPE(SEARCH($E$2,'Event summary'!D813)))</f>
        <v>16</v>
      </c>
      <c r="I813" s="65" t="str">
        <f t="shared" si="14"/>
        <v/>
      </c>
      <c r="J813" s="66" t="str">
        <f>IF($H813=1,'Event summary'!C813,"")</f>
        <v/>
      </c>
      <c r="K813" s="66" t="str">
        <f>IF($H813=1,'Event summary'!D813,"")</f>
        <v/>
      </c>
    </row>
    <row r="814" spans="7:11" x14ac:dyDescent="0.2">
      <c r="G814" s="46">
        <f>'Event summary'!A814</f>
        <v>814</v>
      </c>
      <c r="H814" s="43">
        <f>MIN(TYPE(SEARCH($E$2,'Event summary'!C814)),TYPE(SEARCH($E$2,'Event summary'!D814)))</f>
        <v>16</v>
      </c>
      <c r="I814" s="65" t="str">
        <f t="shared" si="14"/>
        <v/>
      </c>
      <c r="J814" s="66" t="str">
        <f>IF($H814=1,'Event summary'!C814,"")</f>
        <v/>
      </c>
      <c r="K814" s="66" t="str">
        <f>IF($H814=1,'Event summary'!D814,"")</f>
        <v/>
      </c>
    </row>
    <row r="815" spans="7:11" x14ac:dyDescent="0.2">
      <c r="G815" s="46">
        <f>'Event summary'!A815</f>
        <v>815</v>
      </c>
      <c r="H815" s="43">
        <f>MIN(TYPE(SEARCH($E$2,'Event summary'!C815)),TYPE(SEARCH($E$2,'Event summary'!D815)))</f>
        <v>16</v>
      </c>
      <c r="I815" s="65" t="str">
        <f t="shared" si="14"/>
        <v/>
      </c>
      <c r="J815" s="66" t="str">
        <f>IF($H815=1,'Event summary'!C815,"")</f>
        <v/>
      </c>
      <c r="K815" s="66" t="str">
        <f>IF($H815=1,'Event summary'!D815,"")</f>
        <v/>
      </c>
    </row>
    <row r="816" spans="7:11" x14ac:dyDescent="0.2">
      <c r="G816" s="46">
        <f>'Event summary'!A816</f>
        <v>816</v>
      </c>
      <c r="H816" s="43">
        <f>MIN(TYPE(SEARCH($E$2,'Event summary'!C816)),TYPE(SEARCH($E$2,'Event summary'!D816)))</f>
        <v>16</v>
      </c>
      <c r="I816" s="65" t="str">
        <f t="shared" si="14"/>
        <v/>
      </c>
      <c r="J816" s="66" t="str">
        <f>IF($H816=1,'Event summary'!C816,"")</f>
        <v/>
      </c>
      <c r="K816" s="66" t="str">
        <f>IF($H816=1,'Event summary'!D816,"")</f>
        <v/>
      </c>
    </row>
    <row r="817" spans="7:11" x14ac:dyDescent="0.2">
      <c r="G817" s="46">
        <f>'Event summary'!A817</f>
        <v>817</v>
      </c>
      <c r="H817" s="43">
        <f>MIN(TYPE(SEARCH($E$2,'Event summary'!C817)),TYPE(SEARCH($E$2,'Event summary'!D817)))</f>
        <v>16</v>
      </c>
      <c r="I817" s="65" t="str">
        <f t="shared" si="14"/>
        <v/>
      </c>
      <c r="J817" s="66" t="str">
        <f>IF($H817=1,'Event summary'!C817,"")</f>
        <v/>
      </c>
      <c r="K817" s="66" t="str">
        <f>IF($H817=1,'Event summary'!D817,"")</f>
        <v/>
      </c>
    </row>
    <row r="818" spans="7:11" x14ac:dyDescent="0.2">
      <c r="G818" s="46">
        <f>'Event summary'!A818</f>
        <v>818</v>
      </c>
      <c r="H818" s="43">
        <f>MIN(TYPE(SEARCH($E$2,'Event summary'!C818)),TYPE(SEARCH($E$2,'Event summary'!D818)))</f>
        <v>16</v>
      </c>
      <c r="I818" s="65" t="str">
        <f t="shared" si="14"/>
        <v/>
      </c>
      <c r="J818" s="66" t="str">
        <f>IF($H818=1,'Event summary'!C818,"")</f>
        <v/>
      </c>
      <c r="K818" s="66" t="str">
        <f>IF($H818=1,'Event summary'!D818,"")</f>
        <v/>
      </c>
    </row>
    <row r="819" spans="7:11" x14ac:dyDescent="0.2">
      <c r="G819" s="46">
        <f>'Event summary'!A819</f>
        <v>819</v>
      </c>
      <c r="H819" s="43">
        <f>MIN(TYPE(SEARCH($E$2,'Event summary'!C819)),TYPE(SEARCH($E$2,'Event summary'!D819)))</f>
        <v>16</v>
      </c>
      <c r="I819" s="65" t="str">
        <f t="shared" si="14"/>
        <v/>
      </c>
      <c r="J819" s="66" t="str">
        <f>IF($H819=1,'Event summary'!C819,"")</f>
        <v/>
      </c>
      <c r="K819" s="66" t="str">
        <f>IF($H819=1,'Event summary'!D819,"")</f>
        <v/>
      </c>
    </row>
    <row r="820" spans="7:11" x14ac:dyDescent="0.2">
      <c r="G820" s="46">
        <f>'Event summary'!A820</f>
        <v>820</v>
      </c>
      <c r="H820" s="43">
        <f>MIN(TYPE(SEARCH($E$2,'Event summary'!C820)),TYPE(SEARCH($E$2,'Event summary'!D820)))</f>
        <v>16</v>
      </c>
      <c r="I820" s="65" t="str">
        <f t="shared" si="14"/>
        <v/>
      </c>
      <c r="J820" s="66" t="str">
        <f>IF($H820=1,'Event summary'!C820,"")</f>
        <v/>
      </c>
      <c r="K820" s="66" t="str">
        <f>IF($H820=1,'Event summary'!D820,"")</f>
        <v/>
      </c>
    </row>
    <row r="821" spans="7:11" x14ac:dyDescent="0.2">
      <c r="G821" s="46">
        <f>'Event summary'!A821</f>
        <v>821</v>
      </c>
      <c r="H821" s="43">
        <f>MIN(TYPE(SEARCH($E$2,'Event summary'!C821)),TYPE(SEARCH($E$2,'Event summary'!D821)))</f>
        <v>16</v>
      </c>
      <c r="I821" s="65" t="str">
        <f t="shared" si="14"/>
        <v/>
      </c>
      <c r="J821" s="66" t="str">
        <f>IF($H821=1,'Event summary'!C821,"")</f>
        <v/>
      </c>
      <c r="K821" s="66" t="str">
        <f>IF($H821=1,'Event summary'!D821,"")</f>
        <v/>
      </c>
    </row>
    <row r="822" spans="7:11" x14ac:dyDescent="0.2">
      <c r="G822" s="46">
        <f>'Event summary'!A822</f>
        <v>822</v>
      </c>
      <c r="H822" s="43">
        <f>MIN(TYPE(SEARCH($E$2,'Event summary'!C822)),TYPE(SEARCH($E$2,'Event summary'!D822)))</f>
        <v>16</v>
      </c>
      <c r="I822" s="65" t="str">
        <f t="shared" si="14"/>
        <v/>
      </c>
      <c r="J822" s="66" t="str">
        <f>IF($H822=1,'Event summary'!C822,"")</f>
        <v/>
      </c>
      <c r="K822" s="66" t="str">
        <f>IF($H822=1,'Event summary'!D822,"")</f>
        <v/>
      </c>
    </row>
    <row r="823" spans="7:11" x14ac:dyDescent="0.2">
      <c r="G823" s="46">
        <f>'Event summary'!A823</f>
        <v>823</v>
      </c>
      <c r="H823" s="43">
        <f>MIN(TYPE(SEARCH($E$2,'Event summary'!C823)),TYPE(SEARCH($E$2,'Event summary'!D823)))</f>
        <v>16</v>
      </c>
      <c r="I823" s="65" t="str">
        <f t="shared" si="14"/>
        <v/>
      </c>
      <c r="J823" s="66" t="str">
        <f>IF($H823=1,'Event summary'!C823,"")</f>
        <v/>
      </c>
      <c r="K823" s="66" t="str">
        <f>IF($H823=1,'Event summary'!D823,"")</f>
        <v/>
      </c>
    </row>
    <row r="824" spans="7:11" x14ac:dyDescent="0.2">
      <c r="G824" s="46">
        <f>'Event summary'!A824</f>
        <v>824</v>
      </c>
      <c r="H824" s="43">
        <f>MIN(TYPE(SEARCH($E$2,'Event summary'!C824)),TYPE(SEARCH($E$2,'Event summary'!D824)))</f>
        <v>16</v>
      </c>
      <c r="I824" s="65" t="str">
        <f t="shared" si="14"/>
        <v/>
      </c>
      <c r="J824" s="66" t="str">
        <f>IF($H824=1,'Event summary'!C824,"")</f>
        <v/>
      </c>
      <c r="K824" s="66" t="str">
        <f>IF($H824=1,'Event summary'!D824,"")</f>
        <v/>
      </c>
    </row>
    <row r="825" spans="7:11" x14ac:dyDescent="0.2">
      <c r="G825" s="46">
        <f>'Event summary'!A825</f>
        <v>825</v>
      </c>
      <c r="H825" s="43">
        <f>MIN(TYPE(SEARCH($E$2,'Event summary'!C825)),TYPE(SEARCH($E$2,'Event summary'!D825)))</f>
        <v>16</v>
      </c>
      <c r="I825" s="65" t="str">
        <f t="shared" si="14"/>
        <v/>
      </c>
      <c r="J825" s="66" t="str">
        <f>IF($H825=1,'Event summary'!C825,"")</f>
        <v/>
      </c>
      <c r="K825" s="66" t="str">
        <f>IF($H825=1,'Event summary'!D825,"")</f>
        <v/>
      </c>
    </row>
    <row r="826" spans="7:11" x14ac:dyDescent="0.2">
      <c r="G826" s="46">
        <f>'Event summary'!A826</f>
        <v>826</v>
      </c>
      <c r="H826" s="43">
        <f>MIN(TYPE(SEARCH($E$2,'Event summary'!C826)),TYPE(SEARCH($E$2,'Event summary'!D826)))</f>
        <v>16</v>
      </c>
      <c r="I826" s="65" t="str">
        <f t="shared" si="14"/>
        <v/>
      </c>
      <c r="J826" s="66" t="str">
        <f>IF($H826=1,'Event summary'!C826,"")</f>
        <v/>
      </c>
      <c r="K826" s="66" t="str">
        <f>IF($H826=1,'Event summary'!D826,"")</f>
        <v/>
      </c>
    </row>
    <row r="827" spans="7:11" x14ac:dyDescent="0.2">
      <c r="G827" s="46">
        <f>'Event summary'!A827</f>
        <v>827</v>
      </c>
      <c r="H827" s="43">
        <f>MIN(TYPE(SEARCH($E$2,'Event summary'!C827)),TYPE(SEARCH($E$2,'Event summary'!D827)))</f>
        <v>16</v>
      </c>
      <c r="I827" s="65" t="str">
        <f t="shared" si="14"/>
        <v/>
      </c>
      <c r="J827" s="66" t="str">
        <f>IF($H827=1,'Event summary'!C827,"")</f>
        <v/>
      </c>
      <c r="K827" s="66" t="str">
        <f>IF($H827=1,'Event summary'!D827,"")</f>
        <v/>
      </c>
    </row>
    <row r="828" spans="7:11" x14ac:dyDescent="0.2">
      <c r="G828" s="46">
        <f>'Event summary'!A828</f>
        <v>828</v>
      </c>
      <c r="H828" s="43">
        <f>MIN(TYPE(SEARCH($E$2,'Event summary'!C828)),TYPE(SEARCH($E$2,'Event summary'!D828)))</f>
        <v>16</v>
      </c>
      <c r="I828" s="65" t="str">
        <f t="shared" si="14"/>
        <v/>
      </c>
      <c r="J828" s="66" t="str">
        <f>IF($H828=1,'Event summary'!C828,"")</f>
        <v/>
      </c>
      <c r="K828" s="66" t="str">
        <f>IF($H828=1,'Event summary'!D828,"")</f>
        <v/>
      </c>
    </row>
    <row r="829" spans="7:11" x14ac:dyDescent="0.2">
      <c r="G829" s="46">
        <f>'Event summary'!A829</f>
        <v>829</v>
      </c>
      <c r="H829" s="43">
        <f>MIN(TYPE(SEARCH($E$2,'Event summary'!C829)),TYPE(SEARCH($E$2,'Event summary'!D829)))</f>
        <v>16</v>
      </c>
      <c r="I829" s="65" t="str">
        <f t="shared" si="14"/>
        <v/>
      </c>
      <c r="J829" s="66" t="str">
        <f>IF($H829=1,'Event summary'!C829,"")</f>
        <v/>
      </c>
      <c r="K829" s="66" t="str">
        <f>IF($H829=1,'Event summary'!D829,"")</f>
        <v/>
      </c>
    </row>
    <row r="830" spans="7:11" x14ac:dyDescent="0.2">
      <c r="G830" s="46">
        <f>'Event summary'!A830</f>
        <v>830</v>
      </c>
      <c r="H830" s="43">
        <f>MIN(TYPE(SEARCH($E$2,'Event summary'!C830)),TYPE(SEARCH($E$2,'Event summary'!D830)))</f>
        <v>16</v>
      </c>
      <c r="I830" s="65" t="str">
        <f t="shared" si="14"/>
        <v/>
      </c>
      <c r="J830" s="66" t="str">
        <f>IF($H830=1,'Event summary'!C830,"")</f>
        <v/>
      </c>
      <c r="K830" s="66" t="str">
        <f>IF($H830=1,'Event summary'!D830,"")</f>
        <v/>
      </c>
    </row>
    <row r="831" spans="7:11" x14ac:dyDescent="0.2">
      <c r="G831" s="46">
        <f>'Event summary'!A831</f>
        <v>831</v>
      </c>
      <c r="H831" s="43">
        <f>MIN(TYPE(SEARCH($E$2,'Event summary'!C831)),TYPE(SEARCH($E$2,'Event summary'!D831)))</f>
        <v>16</v>
      </c>
      <c r="I831" s="65" t="str">
        <f t="shared" si="14"/>
        <v/>
      </c>
      <c r="J831" s="66" t="str">
        <f>IF($H831=1,'Event summary'!C831,"")</f>
        <v/>
      </c>
      <c r="K831" s="66" t="str">
        <f>IF($H831=1,'Event summary'!D831,"")</f>
        <v/>
      </c>
    </row>
    <row r="832" spans="7:11" x14ac:dyDescent="0.2">
      <c r="G832" s="46">
        <f>'Event summary'!A832</f>
        <v>832</v>
      </c>
      <c r="H832" s="43">
        <f>MIN(TYPE(SEARCH($E$2,'Event summary'!C832)),TYPE(SEARCH($E$2,'Event summary'!D832)))</f>
        <v>16</v>
      </c>
      <c r="I832" s="65" t="str">
        <f t="shared" si="14"/>
        <v/>
      </c>
      <c r="J832" s="66" t="str">
        <f>IF($H832=1,'Event summary'!C832,"")</f>
        <v/>
      </c>
      <c r="K832" s="66" t="str">
        <f>IF($H832=1,'Event summary'!D832,"")</f>
        <v/>
      </c>
    </row>
    <row r="833" spans="7:11" x14ac:dyDescent="0.2">
      <c r="G833" s="46">
        <f>'Event summary'!A833</f>
        <v>833</v>
      </c>
      <c r="H833" s="43">
        <f>MIN(TYPE(SEARCH($E$2,'Event summary'!C833)),TYPE(SEARCH($E$2,'Event summary'!D833)))</f>
        <v>16</v>
      </c>
      <c r="I833" s="65" t="str">
        <f t="shared" si="14"/>
        <v/>
      </c>
      <c r="J833" s="66" t="str">
        <f>IF($H833=1,'Event summary'!C833,"")</f>
        <v/>
      </c>
      <c r="K833" s="66" t="str">
        <f>IF($H833=1,'Event summary'!D833,"")</f>
        <v/>
      </c>
    </row>
    <row r="834" spans="7:11" x14ac:dyDescent="0.2">
      <c r="G834" s="46">
        <f>'Event summary'!A834</f>
        <v>834</v>
      </c>
      <c r="H834" s="43">
        <f>MIN(TYPE(SEARCH($E$2,'Event summary'!C834)),TYPE(SEARCH($E$2,'Event summary'!D834)))</f>
        <v>16</v>
      </c>
      <c r="I834" s="65" t="str">
        <f t="shared" si="14"/>
        <v/>
      </c>
      <c r="J834" s="66" t="str">
        <f>IF($H834=1,'Event summary'!C834,"")</f>
        <v/>
      </c>
      <c r="K834" s="66" t="str">
        <f>IF($H834=1,'Event summary'!D834,"")</f>
        <v/>
      </c>
    </row>
    <row r="835" spans="7:11" x14ac:dyDescent="0.2">
      <c r="G835" s="46">
        <f>'Event summary'!A835</f>
        <v>835</v>
      </c>
      <c r="H835" s="43">
        <f>MIN(TYPE(SEARCH($E$2,'Event summary'!C835)),TYPE(SEARCH($E$2,'Event summary'!D835)))</f>
        <v>16</v>
      </c>
      <c r="I835" s="65" t="str">
        <f t="shared" si="14"/>
        <v/>
      </c>
      <c r="J835" s="66" t="str">
        <f>IF($H835=1,'Event summary'!C835,"")</f>
        <v/>
      </c>
      <c r="K835" s="66" t="str">
        <f>IF($H835=1,'Event summary'!D835,"")</f>
        <v/>
      </c>
    </row>
    <row r="836" spans="7:11" x14ac:dyDescent="0.2">
      <c r="G836" s="46">
        <f>'Event summary'!A836</f>
        <v>836</v>
      </c>
      <c r="H836" s="43">
        <f>MIN(TYPE(SEARCH($E$2,'Event summary'!C836)),TYPE(SEARCH($E$2,'Event summary'!D836)))</f>
        <v>16</v>
      </c>
      <c r="I836" s="65" t="str">
        <f t="shared" si="14"/>
        <v/>
      </c>
      <c r="J836" s="66" t="str">
        <f>IF($H836=1,'Event summary'!C836,"")</f>
        <v/>
      </c>
      <c r="K836" s="66" t="str">
        <f>IF($H836=1,'Event summary'!D836,"")</f>
        <v/>
      </c>
    </row>
    <row r="837" spans="7:11" x14ac:dyDescent="0.2">
      <c r="G837" s="46">
        <f>'Event summary'!A837</f>
        <v>837</v>
      </c>
      <c r="H837" s="43">
        <f>MIN(TYPE(SEARCH($E$2,'Event summary'!C837)),TYPE(SEARCH($E$2,'Event summary'!D837)))</f>
        <v>16</v>
      </c>
      <c r="I837" s="65" t="str">
        <f t="shared" si="14"/>
        <v/>
      </c>
      <c r="J837" s="66" t="str">
        <f>IF($H837=1,'Event summary'!C837,"")</f>
        <v/>
      </c>
      <c r="K837" s="66" t="str">
        <f>IF($H837=1,'Event summary'!D837,"")</f>
        <v/>
      </c>
    </row>
    <row r="838" spans="7:11" x14ac:dyDescent="0.2">
      <c r="G838" s="46">
        <f>'Event summary'!A838</f>
        <v>838</v>
      </c>
      <c r="H838" s="43">
        <f>MIN(TYPE(SEARCH($E$2,'Event summary'!C838)),TYPE(SEARCH($E$2,'Event summary'!D838)))</f>
        <v>16</v>
      </c>
      <c r="I838" s="65" t="str">
        <f t="shared" si="14"/>
        <v/>
      </c>
      <c r="J838" s="66" t="str">
        <f>IF($H838=1,'Event summary'!C838,"")</f>
        <v/>
      </c>
      <c r="K838" s="66" t="str">
        <f>IF($H838=1,'Event summary'!D838,"")</f>
        <v/>
      </c>
    </row>
    <row r="839" spans="7:11" x14ac:dyDescent="0.2">
      <c r="G839" s="46">
        <f>'Event summary'!A839</f>
        <v>839</v>
      </c>
      <c r="H839" s="43">
        <f>MIN(TYPE(SEARCH($E$2,'Event summary'!C839)),TYPE(SEARCH($E$2,'Event summary'!D839)))</f>
        <v>16</v>
      </c>
      <c r="I839" s="65" t="str">
        <f t="shared" si="14"/>
        <v/>
      </c>
      <c r="J839" s="66" t="str">
        <f>IF($H839=1,'Event summary'!C839,"")</f>
        <v/>
      </c>
      <c r="K839" s="66" t="str">
        <f>IF($H839=1,'Event summary'!D839,"")</f>
        <v/>
      </c>
    </row>
    <row r="840" spans="7:11" x14ac:dyDescent="0.2">
      <c r="G840" s="46">
        <f>'Event summary'!A840</f>
        <v>840</v>
      </c>
      <c r="H840" s="43">
        <f>MIN(TYPE(SEARCH($E$2,'Event summary'!C840)),TYPE(SEARCH($E$2,'Event summary'!D840)))</f>
        <v>16</v>
      </c>
      <c r="I840" s="65" t="str">
        <f t="shared" si="14"/>
        <v/>
      </c>
      <c r="J840" s="66" t="str">
        <f>IF($H840=1,'Event summary'!C840,"")</f>
        <v/>
      </c>
      <c r="K840" s="66" t="str">
        <f>IF($H840=1,'Event summary'!D840,"")</f>
        <v/>
      </c>
    </row>
    <row r="841" spans="7:11" x14ac:dyDescent="0.2">
      <c r="G841" s="46">
        <f>'Event summary'!A841</f>
        <v>841</v>
      </c>
      <c r="H841" s="43">
        <f>MIN(TYPE(SEARCH($E$2,'Event summary'!C841)),TYPE(SEARCH($E$2,'Event summary'!D841)))</f>
        <v>16</v>
      </c>
      <c r="I841" s="65" t="str">
        <f t="shared" si="14"/>
        <v/>
      </c>
      <c r="J841" s="66" t="str">
        <f>IF($H841=1,'Event summary'!C841,"")</f>
        <v/>
      </c>
      <c r="K841" s="66" t="str">
        <f>IF($H841=1,'Event summary'!D841,"")</f>
        <v/>
      </c>
    </row>
    <row r="842" spans="7:11" ht="57" x14ac:dyDescent="0.2">
      <c r="G842" s="46">
        <f>'Event summary'!A842</f>
        <v>842</v>
      </c>
      <c r="H842" s="43">
        <f>MIN(TYPE(SEARCH($E$2,'Event summary'!C842)),TYPE(SEARCH($E$2,'Event summary'!D842)))</f>
        <v>1</v>
      </c>
      <c r="I842" s="65" t="str">
        <f t="shared" si="14"/>
        <v>שינוי</v>
      </c>
      <c r="J842" s="66" t="str">
        <f>IF($H842=1,'Event summary'!C842,"")</f>
        <v>מטופל עבר סימולציה ב 5/2/26 לאגן ולצלע. המטופל קיבל ב 1/3/26 טיפול לאגן בלבד. למטופל נקבעה סימולציה חוזרת עקב שינוי במוקד השני, אולם, לא היה תעוד מעודכן במערכות השונות וללא טופס סימולציה חדש. עקב כך, כמעט ונסרק לשני האזורים על פי הטופס הקודם שהיה עדין בתוקף מבחינת התאריך. הארוע נעצר על ידי רנטגנאית שהכירה את המקרה.</v>
      </c>
      <c r="K842" s="66" t="str">
        <f>IF($H842=1,'Event summary'!D842,"")</f>
        <v>להוסיף טופס סימולציה לכל סריקה חדשה</v>
      </c>
    </row>
    <row r="843" spans="7:11" x14ac:dyDescent="0.2">
      <c r="G843" s="46">
        <f>'Event summary'!A843</f>
        <v>843</v>
      </c>
      <c r="H843" s="43">
        <f>MIN(TYPE(SEARCH($E$2,'Event summary'!C843)),TYPE(SEARCH($E$2,'Event summary'!D843)))</f>
        <v>16</v>
      </c>
      <c r="I843" s="65" t="str">
        <f t="shared" si="14"/>
        <v/>
      </c>
      <c r="J843" s="66" t="str">
        <f>IF($H843=1,'Event summary'!C843,"")</f>
        <v/>
      </c>
      <c r="K843" s="66" t="str">
        <f>IF($H843=1,'Event summary'!D843,"")</f>
        <v/>
      </c>
    </row>
    <row r="844" spans="7:11" x14ac:dyDescent="0.2">
      <c r="G844" s="46">
        <f>'Event summary'!A844</f>
        <v>844</v>
      </c>
      <c r="H844" s="43">
        <f>MIN(TYPE(SEARCH($E$2,'Event summary'!C844)),TYPE(SEARCH($E$2,'Event summary'!D844)))</f>
        <v>16</v>
      </c>
      <c r="I844" s="65" t="str">
        <f t="shared" si="14"/>
        <v/>
      </c>
      <c r="J844" s="66" t="str">
        <f>IF($H844=1,'Event summary'!C844,"")</f>
        <v/>
      </c>
      <c r="K844" s="66" t="str">
        <f>IF($H844=1,'Event summary'!D844,"")</f>
        <v/>
      </c>
    </row>
    <row r="845" spans="7:11" x14ac:dyDescent="0.2">
      <c r="G845" s="46">
        <f>'Event summary'!A845</f>
        <v>845</v>
      </c>
      <c r="H845" s="43">
        <f>MIN(TYPE(SEARCH($E$2,'Event summary'!C845)),TYPE(SEARCH($E$2,'Event summary'!D845)))</f>
        <v>16</v>
      </c>
      <c r="I845" s="65" t="str">
        <f t="shared" si="14"/>
        <v/>
      </c>
      <c r="J845" s="66" t="str">
        <f>IF($H845=1,'Event summary'!C845,"")</f>
        <v/>
      </c>
      <c r="K845" s="66" t="str">
        <f>IF($H845=1,'Event summary'!D845,"")</f>
        <v/>
      </c>
    </row>
    <row r="846" spans="7:11" x14ac:dyDescent="0.2">
      <c r="G846" s="46">
        <f>'Event summary'!A846</f>
        <v>846</v>
      </c>
      <c r="H846" s="43">
        <f>MIN(TYPE(SEARCH($E$2,'Event summary'!C846)),TYPE(SEARCH($E$2,'Event summary'!D846)))</f>
        <v>16</v>
      </c>
      <c r="I846" s="65" t="str">
        <f t="shared" si="14"/>
        <v/>
      </c>
      <c r="J846" s="66" t="str">
        <f>IF($H846=1,'Event summary'!C846,"")</f>
        <v/>
      </c>
      <c r="K846" s="66" t="str">
        <f>IF($H846=1,'Event summary'!D846,"")</f>
        <v/>
      </c>
    </row>
    <row r="847" spans="7:11" x14ac:dyDescent="0.2">
      <c r="G847" s="46">
        <f>'Event summary'!A847</f>
        <v>847</v>
      </c>
      <c r="H847" s="43">
        <f>MIN(TYPE(SEARCH($E$2,'Event summary'!C847)),TYPE(SEARCH($E$2,'Event summary'!D847)))</f>
        <v>16</v>
      </c>
      <c r="I847" s="65" t="str">
        <f t="shared" si="14"/>
        <v/>
      </c>
      <c r="J847" s="66" t="str">
        <f>IF($H847=1,'Event summary'!C847,"")</f>
        <v/>
      </c>
      <c r="K847" s="66" t="str">
        <f>IF($H847=1,'Event summary'!D847,"")</f>
        <v/>
      </c>
    </row>
    <row r="848" spans="7:11" x14ac:dyDescent="0.2">
      <c r="G848" s="46">
        <f>'Event summary'!A848</f>
        <v>848</v>
      </c>
      <c r="H848" s="43">
        <f>MIN(TYPE(SEARCH($E$2,'Event summary'!C848)),TYPE(SEARCH($E$2,'Event summary'!D848)))</f>
        <v>16</v>
      </c>
      <c r="I848" s="65" t="str">
        <f t="shared" si="14"/>
        <v/>
      </c>
      <c r="J848" s="66" t="str">
        <f>IF($H848=1,'Event summary'!C848,"")</f>
        <v/>
      </c>
      <c r="K848" s="66" t="str">
        <f>IF($H848=1,'Event summary'!D848,"")</f>
        <v/>
      </c>
    </row>
    <row r="849" spans="7:11" x14ac:dyDescent="0.2">
      <c r="G849" s="46">
        <f>'Event summary'!A849</f>
        <v>849</v>
      </c>
      <c r="H849" s="43">
        <f>MIN(TYPE(SEARCH($E$2,'Event summary'!C849)),TYPE(SEARCH($E$2,'Event summary'!D849)))</f>
        <v>16</v>
      </c>
      <c r="I849" s="65" t="str">
        <f t="shared" si="14"/>
        <v/>
      </c>
      <c r="J849" s="66" t="str">
        <f>IF($H849=1,'Event summary'!C849,"")</f>
        <v/>
      </c>
      <c r="K849" s="66" t="str">
        <f>IF($H849=1,'Event summary'!D849,"")</f>
        <v/>
      </c>
    </row>
    <row r="850" spans="7:11" ht="28.5" x14ac:dyDescent="0.2">
      <c r="G850" s="46">
        <f>'Event summary'!A850</f>
        <v>850</v>
      </c>
      <c r="H850" s="43">
        <f>MIN(TYPE(SEARCH($E$2,'Event summary'!C850)),TYPE(SEARCH($E$2,'Event summary'!D850)))</f>
        <v>1</v>
      </c>
      <c r="I850" s="65" t="str">
        <f t="shared" si="14"/>
        <v>שינוי</v>
      </c>
      <c r="J850" s="66" t="str">
        <f>IF($H850=1,'Event summary'!C850,"")</f>
        <v>בטיפול 3 מתוך 5 הוחלט ע"י רופא לשנות את התכנון ל- VMAT. התכנית שונתה אך לא אושרה לטיפול. הרנטגנאים במאיץ וב QA לא ידעו על השינוי.</v>
      </c>
      <c r="K850" s="66" t="str">
        <f>IF($H850=1,'Event summary'!D850,"")</f>
        <v>במהלך שינויים בתכנון הפיזיקאי המתכנן יידע את RTTQA וכן את זימון תורים אם קיים שינוי במועד הטיפול.</v>
      </c>
    </row>
    <row r="851" spans="7:11" ht="42.75" x14ac:dyDescent="0.2">
      <c r="G851" s="46">
        <f>'Event summary'!A851</f>
        <v>851</v>
      </c>
      <c r="H851" s="43">
        <f>MIN(TYPE(SEARCH($E$2,'Event summary'!C851)),TYPE(SEARCH($E$2,'Event summary'!D851)))</f>
        <v>1</v>
      </c>
      <c r="I851" s="65" t="str">
        <f t="shared" si="14"/>
        <v>שינוי</v>
      </c>
      <c r="J851" s="66" t="str">
        <f>IF($H851=1,'Event summary'!C851,"")</f>
        <v>בטיפול שני PULSAR בוצעה סריקת CBCT למטופלת ואז נודע לצוות המטפל שהטיפול האימונולוגי שנדחה לחמישה ימים לאחר הטיפול במקום יומיים לפי הפרוטוקול. המטופלת הורדה מהשולחן והטיפול נדחה. הרופא המטפל לא ידע על דחית הטיפול האימונולוגי.</v>
      </c>
      <c r="K851" s="66" t="str">
        <f>IF($H851=1,'Event summary'!D851,"")</f>
        <v>על צוות הרופאים לידע את המטופלים שלהם שאם יש שינוי בטיפול האימונולוגי יש להודיע על כך לרופא הקרינה על מנת שנוכל לשנות את מועד הטיפול.</v>
      </c>
    </row>
    <row r="852" spans="7:11" x14ac:dyDescent="0.2">
      <c r="G852" s="46">
        <f>'Event summary'!A852</f>
        <v>852</v>
      </c>
      <c r="H852" s="43">
        <f>MIN(TYPE(SEARCH($E$2,'Event summary'!C852)),TYPE(SEARCH($E$2,'Event summary'!D852)))</f>
        <v>16</v>
      </c>
      <c r="I852" s="65" t="str">
        <f t="shared" si="14"/>
        <v/>
      </c>
      <c r="J852" s="66" t="str">
        <f>IF($H852=1,'Event summary'!C852,"")</f>
        <v/>
      </c>
      <c r="K852" s="66" t="str">
        <f>IF($H852=1,'Event summary'!D852,"")</f>
        <v/>
      </c>
    </row>
    <row r="853" spans="7:11" x14ac:dyDescent="0.2">
      <c r="G853" s="46">
        <f>'Event summary'!A853</f>
        <v>853</v>
      </c>
      <c r="H853" s="43">
        <f>MIN(TYPE(SEARCH($E$2,'Event summary'!C853)),TYPE(SEARCH($E$2,'Event summary'!D853)))</f>
        <v>16</v>
      </c>
      <c r="I853" s="65" t="str">
        <f t="shared" si="14"/>
        <v/>
      </c>
      <c r="J853" s="66" t="str">
        <f>IF($H853=1,'Event summary'!C853,"")</f>
        <v/>
      </c>
      <c r="K853" s="66" t="str">
        <f>IF($H853=1,'Event summary'!D853,"")</f>
        <v/>
      </c>
    </row>
    <row r="854" spans="7:11" x14ac:dyDescent="0.2">
      <c r="G854" s="46">
        <f>'Event summary'!A854</f>
        <v>854</v>
      </c>
      <c r="H854" s="43">
        <f>MIN(TYPE(SEARCH($E$2,'Event summary'!C854)),TYPE(SEARCH($E$2,'Event summary'!D854)))</f>
        <v>16</v>
      </c>
      <c r="I854" s="65" t="str">
        <f t="shared" si="14"/>
        <v/>
      </c>
      <c r="J854" s="66" t="str">
        <f>IF($H854=1,'Event summary'!C854,"")</f>
        <v/>
      </c>
      <c r="K854" s="66" t="str">
        <f>IF($H854=1,'Event summary'!D854,"")</f>
        <v/>
      </c>
    </row>
    <row r="855" spans="7:11" x14ac:dyDescent="0.2">
      <c r="G855" s="46">
        <f>'Event summary'!A855</f>
        <v>855</v>
      </c>
      <c r="H855" s="43">
        <f>MIN(TYPE(SEARCH($E$2,'Event summary'!C855)),TYPE(SEARCH($E$2,'Event summary'!D855)))</f>
        <v>16</v>
      </c>
      <c r="I855" s="65" t="str">
        <f t="shared" si="14"/>
        <v/>
      </c>
      <c r="J855" s="66" t="str">
        <f>IF($H855=1,'Event summary'!C855,"")</f>
        <v/>
      </c>
      <c r="K855" s="66" t="str">
        <f>IF($H855=1,'Event summary'!D855,"")</f>
        <v/>
      </c>
    </row>
    <row r="856" spans="7:11" ht="28.5" x14ac:dyDescent="0.2">
      <c r="G856" s="46">
        <f>'Event summary'!A856</f>
        <v>856</v>
      </c>
      <c r="H856" s="43">
        <f>MIN(TYPE(SEARCH($E$2,'Event summary'!C856)),TYPE(SEARCH($E$2,'Event summary'!D856)))</f>
        <v>1</v>
      </c>
      <c r="I856" s="65" t="str">
        <f t="shared" si="14"/>
        <v>שינוי</v>
      </c>
      <c r="J856" s="66" t="str">
        <f>IF($H856=1,'Event summary'!C856,"")</f>
        <v>מטופלת הגיע לסימולציה עם טופס לשד ימין + בלוטות. בקבלה בקמליון כתוב שד שמאל. המטופלת עברה ניתוח בשני הצדדים.</v>
      </c>
      <c r="K856" s="66" t="str">
        <f>IF($H856=1,'Event summary'!D856,"")</f>
        <v xml:space="preserve">באחריות הרופא המטפל להקפיד על רישום נכון של צד הטיפול. תבחן אפשרות של שינויים בתהליך של בקרת התיקים (QA) תוך התמקדות על ההיבטים הקליניים של המקרים בישיבה. </v>
      </c>
    </row>
    <row r="857" spans="7:11" x14ac:dyDescent="0.2">
      <c r="G857" s="46">
        <f>'Event summary'!A857</f>
        <v>857</v>
      </c>
      <c r="H857" s="43">
        <f>MIN(TYPE(SEARCH($E$2,'Event summary'!C857)),TYPE(SEARCH($E$2,'Event summary'!D857)))</f>
        <v>16</v>
      </c>
      <c r="I857" s="65" t="str">
        <f t="shared" si="14"/>
        <v/>
      </c>
      <c r="J857" s="66" t="str">
        <f>IF($H857=1,'Event summary'!C857,"")</f>
        <v/>
      </c>
      <c r="K857" s="66" t="str">
        <f>IF($H857=1,'Event summary'!D857,"")</f>
        <v/>
      </c>
    </row>
    <row r="858" spans="7:11" x14ac:dyDescent="0.2">
      <c r="G858" s="46">
        <f>'Event summary'!A858</f>
        <v>858</v>
      </c>
      <c r="H858" s="43">
        <f>MIN(TYPE(SEARCH($E$2,'Event summary'!C858)),TYPE(SEARCH($E$2,'Event summary'!D858)))</f>
        <v>16</v>
      </c>
      <c r="I858" s="65" t="str">
        <f t="shared" si="14"/>
        <v/>
      </c>
      <c r="J858" s="66" t="str">
        <f>IF($H858=1,'Event summary'!C858,"")</f>
        <v/>
      </c>
      <c r="K858" s="66" t="str">
        <f>IF($H858=1,'Event summary'!D858,"")</f>
        <v/>
      </c>
    </row>
    <row r="859" spans="7:11" x14ac:dyDescent="0.2">
      <c r="G859" s="46">
        <f>'Event summary'!A859</f>
        <v>859</v>
      </c>
      <c r="H859" s="43">
        <f>MIN(TYPE(SEARCH($E$2,'Event summary'!C859)),TYPE(SEARCH($E$2,'Event summary'!D859)))</f>
        <v>16</v>
      </c>
      <c r="I859" s="65" t="str">
        <f t="shared" si="14"/>
        <v/>
      </c>
      <c r="J859" s="66" t="str">
        <f>IF($H859=1,'Event summary'!C859,"")</f>
        <v/>
      </c>
      <c r="K859" s="66" t="str">
        <f>IF($H859=1,'Event summary'!D859,"")</f>
        <v/>
      </c>
    </row>
    <row r="860" spans="7:11" x14ac:dyDescent="0.2">
      <c r="G860" s="46">
        <f>'Event summary'!A860</f>
        <v>860</v>
      </c>
      <c r="H860" s="43">
        <f>MIN(TYPE(SEARCH($E$2,'Event summary'!C860)),TYPE(SEARCH($E$2,'Event summary'!D860)))</f>
        <v>16</v>
      </c>
      <c r="I860" s="65" t="str">
        <f t="shared" si="14"/>
        <v/>
      </c>
      <c r="J860" s="66" t="str">
        <f>IF($H860=1,'Event summary'!C860,"")</f>
        <v/>
      </c>
      <c r="K860" s="66" t="str">
        <f>IF($H860=1,'Event summary'!D860,"")</f>
        <v/>
      </c>
    </row>
    <row r="861" spans="7:11" x14ac:dyDescent="0.2">
      <c r="G861" s="46">
        <f>'Event summary'!A861</f>
        <v>861</v>
      </c>
      <c r="H861" s="43">
        <f>MIN(TYPE(SEARCH($E$2,'Event summary'!C861)),TYPE(SEARCH($E$2,'Event summary'!D861)))</f>
        <v>16</v>
      </c>
      <c r="I861" s="65" t="str">
        <f t="shared" si="14"/>
        <v/>
      </c>
      <c r="J861" s="66" t="str">
        <f>IF($H861=1,'Event summary'!C861,"")</f>
        <v/>
      </c>
      <c r="K861" s="66" t="str">
        <f>IF($H861=1,'Event summary'!D861,"")</f>
        <v/>
      </c>
    </row>
    <row r="862" spans="7:11" x14ac:dyDescent="0.2">
      <c r="G862" s="46">
        <f>'Event summary'!A862</f>
        <v>862</v>
      </c>
      <c r="H862" s="43">
        <f>MIN(TYPE(SEARCH($E$2,'Event summary'!C862)),TYPE(SEARCH($E$2,'Event summary'!D862)))</f>
        <v>16</v>
      </c>
      <c r="I862" s="65" t="str">
        <f t="shared" si="14"/>
        <v/>
      </c>
      <c r="J862" s="66" t="str">
        <f>IF($H862=1,'Event summary'!C862,"")</f>
        <v/>
      </c>
      <c r="K862" s="66" t="str">
        <f>IF($H862=1,'Event summary'!D862,"")</f>
        <v/>
      </c>
    </row>
    <row r="863" spans="7:11" x14ac:dyDescent="0.2">
      <c r="G863" s="46">
        <f>'Event summary'!A863</f>
        <v>863</v>
      </c>
      <c r="H863" s="43">
        <f>MIN(TYPE(SEARCH($E$2,'Event summary'!C863)),TYPE(SEARCH($E$2,'Event summary'!D863)))</f>
        <v>16</v>
      </c>
      <c r="I863" s="65" t="str">
        <f t="shared" si="14"/>
        <v/>
      </c>
      <c r="J863" s="66" t="str">
        <f>IF($H863=1,'Event summary'!C863,"")</f>
        <v/>
      </c>
      <c r="K863" s="66" t="str">
        <f>IF($H863=1,'Event summary'!D863,"")</f>
        <v/>
      </c>
    </row>
    <row r="864" spans="7:11" ht="28.5" x14ac:dyDescent="0.2">
      <c r="G864" s="46">
        <f>'Event summary'!A864</f>
        <v>864</v>
      </c>
      <c r="H864" s="43">
        <f>MIN(TYPE(SEARCH($E$2,'Event summary'!C864)),TYPE(SEARCH($E$2,'Event summary'!D864)))</f>
        <v>1</v>
      </c>
      <c r="I864" s="65" t="str">
        <f t="shared" si="14"/>
        <v>שינוי</v>
      </c>
      <c r="J864" s="66" t="str">
        <f>IF($H864=1,'Event summary'!C864,"")</f>
        <v>מטופלת לאיליום שמאל. במכתב קבלה ובקמליון כתוב איליום ימין. סימולציה, סימון ותכנון נעשו לאיליום שמאל.</v>
      </c>
      <c r="K864" s="66" t="str">
        <f>IF($H864=1,'Event summary'!D864,"")</f>
        <v xml:space="preserve">באחריות הרופא המטפל להקפיד על רישום נכון של צד הטיפול. תבחן אפשרות של שינויים בתהליך של בקרת התיקים (QA) תוך התמקדות על ההיבטים הקליניים של המקרים בישיבה. </v>
      </c>
    </row>
    <row r="865" spans="7:11" x14ac:dyDescent="0.2">
      <c r="G865" s="46">
        <f>'Event summary'!A865</f>
        <v>865</v>
      </c>
      <c r="H865" s="43">
        <f>MIN(TYPE(SEARCH($E$2,'Event summary'!C865)),TYPE(SEARCH($E$2,'Event summary'!D865)))</f>
        <v>16</v>
      </c>
      <c r="I865" s="65" t="str">
        <f t="shared" si="14"/>
        <v/>
      </c>
      <c r="J865" s="66" t="str">
        <f>IF($H865=1,'Event summary'!C865,"")</f>
        <v/>
      </c>
      <c r="K865" s="66" t="str">
        <f>IF($H865=1,'Event summary'!D865,"")</f>
        <v/>
      </c>
    </row>
    <row r="866" spans="7:11" x14ac:dyDescent="0.2">
      <c r="G866" s="46">
        <f>'Event summary'!A866</f>
        <v>866</v>
      </c>
      <c r="H866" s="43">
        <f>MIN(TYPE(SEARCH($E$2,'Event summary'!C866)),TYPE(SEARCH($E$2,'Event summary'!D866)))</f>
        <v>16</v>
      </c>
      <c r="I866" s="65" t="str">
        <f t="shared" si="14"/>
        <v/>
      </c>
      <c r="J866" s="66" t="str">
        <f>IF($H866=1,'Event summary'!C866,"")</f>
        <v/>
      </c>
      <c r="K866" s="66" t="str">
        <f>IF($H866=1,'Event summary'!D866,"")</f>
        <v/>
      </c>
    </row>
    <row r="867" spans="7:11" ht="28.5" x14ac:dyDescent="0.2">
      <c r="G867" s="46">
        <f>'Event summary'!A867</f>
        <v>867</v>
      </c>
      <c r="H867" s="43">
        <f>MIN(TYPE(SEARCH($E$2,'Event summary'!C867)),TYPE(SEARCH($E$2,'Event summary'!D867)))</f>
        <v>1</v>
      </c>
      <c r="I867" s="65" t="str">
        <f t="shared" si="14"/>
        <v>שינוי</v>
      </c>
      <c r="J867" s="66" t="str">
        <f>IF($H867=1,'Event summary'!C867,"")</f>
        <v>במהלך סיכום טיפול הבחנתי שבקמליון רשום גידול בטן. בפועל בתכנון ובטיפול קיבלה עמוד שדרה ובטן + S1+ Lt Ilium</v>
      </c>
      <c r="K867" s="66" t="str">
        <f>IF($H867=1,'Event summary'!D867,"")</f>
        <v>יש להקפיד על רישום מדויק של מוקדי הטיפול. אם יש שינויים יש להקפיד לעדכן את הקמליון. </v>
      </c>
    </row>
    <row r="868" spans="7:11" x14ac:dyDescent="0.2">
      <c r="G868" s="46">
        <f>'Event summary'!A868</f>
        <v>868</v>
      </c>
      <c r="H868" s="43">
        <f>MIN(TYPE(SEARCH($E$2,'Event summary'!C868)),TYPE(SEARCH($E$2,'Event summary'!D868)))</f>
        <v>16</v>
      </c>
      <c r="I868" s="65" t="str">
        <f t="shared" si="14"/>
        <v/>
      </c>
      <c r="J868" s="66" t="str">
        <f>IF($H868=1,'Event summary'!C868,"")</f>
        <v/>
      </c>
      <c r="K868" s="66" t="str">
        <f>IF($H868=1,'Event summary'!D868,"")</f>
        <v/>
      </c>
    </row>
    <row r="869" spans="7:11" x14ac:dyDescent="0.2">
      <c r="G869" s="46">
        <f>'Event summary'!A869</f>
        <v>869</v>
      </c>
      <c r="H869" s="43">
        <f>MIN(TYPE(SEARCH($E$2,'Event summary'!C869)),TYPE(SEARCH($E$2,'Event summary'!D869)))</f>
        <v>16</v>
      </c>
      <c r="I869" s="65" t="str">
        <f t="shared" si="14"/>
        <v/>
      </c>
      <c r="J869" s="66" t="str">
        <f>IF($H869=1,'Event summary'!C869,"")</f>
        <v/>
      </c>
      <c r="K869" s="66" t="str">
        <f>IF($H869=1,'Event summary'!D869,"")</f>
        <v/>
      </c>
    </row>
    <row r="870" spans="7:11" x14ac:dyDescent="0.2">
      <c r="G870" s="46">
        <f>'Event summary'!A870</f>
        <v>870</v>
      </c>
      <c r="H870" s="43">
        <f>MIN(TYPE(SEARCH($E$2,'Event summary'!C870)),TYPE(SEARCH($E$2,'Event summary'!D870)))</f>
        <v>16</v>
      </c>
      <c r="I870" s="65" t="str">
        <f t="shared" si="14"/>
        <v/>
      </c>
      <c r="J870" s="66" t="str">
        <f>IF($H870=1,'Event summary'!C870,"")</f>
        <v/>
      </c>
      <c r="K870" s="66" t="str">
        <f>IF($H870=1,'Event summary'!D870,"")</f>
        <v/>
      </c>
    </row>
    <row r="871" spans="7:11" x14ac:dyDescent="0.2">
      <c r="G871" s="46">
        <f>'Event summary'!A871</f>
        <v>871</v>
      </c>
      <c r="H871" s="43">
        <f>MIN(TYPE(SEARCH($E$2,'Event summary'!C871)),TYPE(SEARCH($E$2,'Event summary'!D871)))</f>
        <v>16</v>
      </c>
      <c r="I871" s="65" t="str">
        <f t="shared" si="14"/>
        <v/>
      </c>
      <c r="J871" s="66" t="str">
        <f>IF($H871=1,'Event summary'!C871,"")</f>
        <v/>
      </c>
      <c r="K871" s="66" t="str">
        <f>IF($H871=1,'Event summary'!D871,"")</f>
        <v/>
      </c>
    </row>
    <row r="872" spans="7:11" x14ac:dyDescent="0.2">
      <c r="G872" s="46">
        <f>'Event summary'!A872</f>
        <v>872</v>
      </c>
      <c r="H872" s="43">
        <f>MIN(TYPE(SEARCH($E$2,'Event summary'!C872)),TYPE(SEARCH($E$2,'Event summary'!D872)))</f>
        <v>16</v>
      </c>
      <c r="I872" s="65" t="str">
        <f t="shared" si="14"/>
        <v/>
      </c>
      <c r="J872" s="66" t="str">
        <f>IF($H872=1,'Event summary'!C872,"")</f>
        <v/>
      </c>
      <c r="K872" s="66" t="str">
        <f>IF($H872=1,'Event summary'!D872,"")</f>
        <v/>
      </c>
    </row>
    <row r="873" spans="7:11" x14ac:dyDescent="0.2">
      <c r="G873" s="46">
        <f>'Event summary'!A873</f>
        <v>873</v>
      </c>
      <c r="H873" s="43">
        <f>MIN(TYPE(SEARCH($E$2,'Event summary'!C873)),TYPE(SEARCH($E$2,'Event summary'!D873)))</f>
        <v>16</v>
      </c>
      <c r="I873" s="65" t="str">
        <f t="shared" si="14"/>
        <v/>
      </c>
      <c r="J873" s="66" t="str">
        <f>IF($H873=1,'Event summary'!C873,"")</f>
        <v/>
      </c>
      <c r="K873" s="66" t="str">
        <f>IF($H873=1,'Event summary'!D873,"")</f>
        <v/>
      </c>
    </row>
    <row r="874" spans="7:11" x14ac:dyDescent="0.2">
      <c r="G874" s="46">
        <f>'Event summary'!A874</f>
        <v>874</v>
      </c>
      <c r="H874" s="43">
        <f>MIN(TYPE(SEARCH($E$2,'Event summary'!C874)),TYPE(SEARCH($E$2,'Event summary'!D874)))</f>
        <v>16</v>
      </c>
      <c r="I874" s="65" t="str">
        <f t="shared" si="14"/>
        <v/>
      </c>
      <c r="J874" s="66" t="str">
        <f>IF($H874=1,'Event summary'!C874,"")</f>
        <v/>
      </c>
      <c r="K874" s="66" t="str">
        <f>IF($H874=1,'Event summary'!D874,"")</f>
        <v/>
      </c>
    </row>
    <row r="875" spans="7:11" x14ac:dyDescent="0.2">
      <c r="G875" s="46">
        <f>'Event summary'!A875</f>
        <v>875</v>
      </c>
      <c r="H875" s="43">
        <f>MIN(TYPE(SEARCH($E$2,'Event summary'!C875)),TYPE(SEARCH($E$2,'Event summary'!D875)))</f>
        <v>16</v>
      </c>
      <c r="I875" s="65" t="str">
        <f t="shared" ref="I875:I938" si="15">IF(H875=1,$E$2,"")</f>
        <v/>
      </c>
      <c r="J875" s="66" t="str">
        <f>IF($H875=1,'Event summary'!C875,"")</f>
        <v/>
      </c>
      <c r="K875" s="66" t="str">
        <f>IF($H875=1,'Event summary'!D875,"")</f>
        <v/>
      </c>
    </row>
    <row r="876" spans="7:11" x14ac:dyDescent="0.2">
      <c r="G876" s="46">
        <f>'Event summary'!A876</f>
        <v>876</v>
      </c>
      <c r="H876" s="43">
        <f>MIN(TYPE(SEARCH($E$2,'Event summary'!C876)),TYPE(SEARCH($E$2,'Event summary'!D876)))</f>
        <v>16</v>
      </c>
      <c r="I876" s="65" t="str">
        <f t="shared" si="15"/>
        <v/>
      </c>
      <c r="J876" s="66" t="str">
        <f>IF($H876=1,'Event summary'!C876,"")</f>
        <v/>
      </c>
      <c r="K876" s="66" t="str">
        <f>IF($H876=1,'Event summary'!D876,"")</f>
        <v/>
      </c>
    </row>
    <row r="877" spans="7:11" x14ac:dyDescent="0.2">
      <c r="G877" s="46">
        <f>'Event summary'!A877</f>
        <v>877</v>
      </c>
      <c r="H877" s="43">
        <f>MIN(TYPE(SEARCH($E$2,'Event summary'!C877)),TYPE(SEARCH($E$2,'Event summary'!D877)))</f>
        <v>16</v>
      </c>
      <c r="I877" s="65" t="str">
        <f t="shared" si="15"/>
        <v/>
      </c>
      <c r="J877" s="66" t="str">
        <f>IF($H877=1,'Event summary'!C877,"")</f>
        <v/>
      </c>
      <c r="K877" s="66" t="str">
        <f>IF($H877=1,'Event summary'!D877,"")</f>
        <v/>
      </c>
    </row>
    <row r="878" spans="7:11" x14ac:dyDescent="0.2">
      <c r="G878" s="46">
        <f>'Event summary'!A878</f>
        <v>878</v>
      </c>
      <c r="H878" s="43">
        <f>MIN(TYPE(SEARCH($E$2,'Event summary'!C878)),TYPE(SEARCH($E$2,'Event summary'!D878)))</f>
        <v>16</v>
      </c>
      <c r="I878" s="65" t="str">
        <f t="shared" si="15"/>
        <v/>
      </c>
      <c r="J878" s="66" t="str">
        <f>IF($H878=1,'Event summary'!C878,"")</f>
        <v/>
      </c>
      <c r="K878" s="66" t="str">
        <f>IF($H878=1,'Event summary'!D878,"")</f>
        <v/>
      </c>
    </row>
    <row r="879" spans="7:11" x14ac:dyDescent="0.2">
      <c r="G879" s="46">
        <f>'Event summary'!A879</f>
        <v>879</v>
      </c>
      <c r="H879" s="43">
        <f>MIN(TYPE(SEARCH($E$2,'Event summary'!C879)),TYPE(SEARCH($E$2,'Event summary'!D879)))</f>
        <v>16</v>
      </c>
      <c r="I879" s="65" t="str">
        <f t="shared" si="15"/>
        <v/>
      </c>
      <c r="J879" s="66" t="str">
        <f>IF($H879=1,'Event summary'!C879,"")</f>
        <v/>
      </c>
      <c r="K879" s="66" t="str">
        <f>IF($H879=1,'Event summary'!D879,"")</f>
        <v/>
      </c>
    </row>
    <row r="880" spans="7:11" x14ac:dyDescent="0.2">
      <c r="G880" s="46">
        <f>'Event summary'!A880</f>
        <v>880</v>
      </c>
      <c r="H880" s="43">
        <f>MIN(TYPE(SEARCH($E$2,'Event summary'!C880)),TYPE(SEARCH($E$2,'Event summary'!D880)))</f>
        <v>16</v>
      </c>
      <c r="I880" s="65" t="str">
        <f t="shared" si="15"/>
        <v/>
      </c>
      <c r="J880" s="66" t="str">
        <f>IF($H880=1,'Event summary'!C880,"")</f>
        <v/>
      </c>
      <c r="K880" s="66" t="str">
        <f>IF($H880=1,'Event summary'!D880,"")</f>
        <v/>
      </c>
    </row>
    <row r="881" spans="7:11" x14ac:dyDescent="0.2">
      <c r="G881" s="46">
        <f>'Event summary'!A881</f>
        <v>881</v>
      </c>
      <c r="H881" s="43">
        <f>MIN(TYPE(SEARCH($E$2,'Event summary'!C881)),TYPE(SEARCH($E$2,'Event summary'!D881)))</f>
        <v>16</v>
      </c>
      <c r="I881" s="65" t="str">
        <f t="shared" si="15"/>
        <v/>
      </c>
      <c r="J881" s="66" t="str">
        <f>IF($H881=1,'Event summary'!C881,"")</f>
        <v/>
      </c>
      <c r="K881" s="66" t="str">
        <f>IF($H881=1,'Event summary'!D881,"")</f>
        <v/>
      </c>
    </row>
    <row r="882" spans="7:11" x14ac:dyDescent="0.2">
      <c r="G882" s="46">
        <f>'Event summary'!A882</f>
        <v>882</v>
      </c>
      <c r="H882" s="43">
        <f>MIN(TYPE(SEARCH($E$2,'Event summary'!C882)),TYPE(SEARCH($E$2,'Event summary'!D882)))</f>
        <v>16</v>
      </c>
      <c r="I882" s="65" t="str">
        <f t="shared" si="15"/>
        <v/>
      </c>
      <c r="J882" s="66" t="str">
        <f>IF($H882=1,'Event summary'!C882,"")</f>
        <v/>
      </c>
      <c r="K882" s="66" t="str">
        <f>IF($H882=1,'Event summary'!D882,"")</f>
        <v/>
      </c>
    </row>
    <row r="883" spans="7:11" x14ac:dyDescent="0.2">
      <c r="G883" s="46">
        <f>'Event summary'!A883</f>
        <v>883</v>
      </c>
      <c r="H883" s="43">
        <f>MIN(TYPE(SEARCH($E$2,'Event summary'!C883)),TYPE(SEARCH($E$2,'Event summary'!D883)))</f>
        <v>16</v>
      </c>
      <c r="I883" s="65" t="str">
        <f t="shared" si="15"/>
        <v/>
      </c>
      <c r="J883" s="66" t="str">
        <f>IF($H883=1,'Event summary'!C883,"")</f>
        <v/>
      </c>
      <c r="K883" s="66" t="str">
        <f>IF($H883=1,'Event summary'!D883,"")</f>
        <v/>
      </c>
    </row>
    <row r="884" spans="7:11" x14ac:dyDescent="0.2">
      <c r="G884" s="46">
        <f>'Event summary'!A884</f>
        <v>884</v>
      </c>
      <c r="H884" s="43">
        <f>MIN(TYPE(SEARCH($E$2,'Event summary'!C884)),TYPE(SEARCH($E$2,'Event summary'!D884)))</f>
        <v>16</v>
      </c>
      <c r="I884" s="65" t="str">
        <f t="shared" si="15"/>
        <v/>
      </c>
      <c r="J884" s="66" t="str">
        <f>IF($H884=1,'Event summary'!C884,"")</f>
        <v/>
      </c>
      <c r="K884" s="66" t="str">
        <f>IF($H884=1,'Event summary'!D884,"")</f>
        <v/>
      </c>
    </row>
    <row r="885" spans="7:11" x14ac:dyDescent="0.2">
      <c r="G885" s="46">
        <f>'Event summary'!A885</f>
        <v>885</v>
      </c>
      <c r="H885" s="43">
        <f>MIN(TYPE(SEARCH($E$2,'Event summary'!C885)),TYPE(SEARCH($E$2,'Event summary'!D885)))</f>
        <v>16</v>
      </c>
      <c r="I885" s="65" t="str">
        <f t="shared" si="15"/>
        <v/>
      </c>
      <c r="J885" s="66" t="str">
        <f>IF($H885=1,'Event summary'!C885,"")</f>
        <v/>
      </c>
      <c r="K885" s="66" t="str">
        <f>IF($H885=1,'Event summary'!D885,"")</f>
        <v/>
      </c>
    </row>
    <row r="886" spans="7:11" x14ac:dyDescent="0.2">
      <c r="G886" s="46">
        <f>'Event summary'!A886</f>
        <v>886</v>
      </c>
      <c r="H886" s="43">
        <f>MIN(TYPE(SEARCH($E$2,'Event summary'!C886)),TYPE(SEARCH($E$2,'Event summary'!D886)))</f>
        <v>16</v>
      </c>
      <c r="I886" s="65" t="str">
        <f t="shared" si="15"/>
        <v/>
      </c>
      <c r="J886" s="66" t="str">
        <f>IF($H886=1,'Event summary'!C886,"")</f>
        <v/>
      </c>
      <c r="K886" s="66" t="str">
        <f>IF($H886=1,'Event summary'!D886,"")</f>
        <v/>
      </c>
    </row>
    <row r="887" spans="7:11" x14ac:dyDescent="0.2">
      <c r="G887" s="46">
        <f>'Event summary'!A887</f>
        <v>887</v>
      </c>
      <c r="H887" s="43">
        <f>MIN(TYPE(SEARCH($E$2,'Event summary'!C887)),TYPE(SEARCH($E$2,'Event summary'!D887)))</f>
        <v>16</v>
      </c>
      <c r="I887" s="65" t="str">
        <f t="shared" si="15"/>
        <v/>
      </c>
      <c r="J887" s="66" t="str">
        <f>IF($H887=1,'Event summary'!C887,"")</f>
        <v/>
      </c>
      <c r="K887" s="66" t="str">
        <f>IF($H887=1,'Event summary'!D887,"")</f>
        <v/>
      </c>
    </row>
    <row r="888" spans="7:11" x14ac:dyDescent="0.2">
      <c r="G888" s="46">
        <f>'Event summary'!A888</f>
        <v>888</v>
      </c>
      <c r="H888" s="43">
        <f>MIN(TYPE(SEARCH($E$2,'Event summary'!C888)),TYPE(SEARCH($E$2,'Event summary'!D888)))</f>
        <v>16</v>
      </c>
      <c r="I888" s="65" t="str">
        <f t="shared" si="15"/>
        <v/>
      </c>
      <c r="J888" s="66" t="str">
        <f>IF($H888=1,'Event summary'!C888,"")</f>
        <v/>
      </c>
      <c r="K888" s="66" t="str">
        <f>IF($H888=1,'Event summary'!D888,"")</f>
        <v/>
      </c>
    </row>
    <row r="889" spans="7:11" x14ac:dyDescent="0.2">
      <c r="G889" s="46">
        <f>'Event summary'!A889</f>
        <v>889</v>
      </c>
      <c r="H889" s="43">
        <f>MIN(TYPE(SEARCH($E$2,'Event summary'!C889)),TYPE(SEARCH($E$2,'Event summary'!D889)))</f>
        <v>16</v>
      </c>
      <c r="I889" s="65" t="str">
        <f t="shared" si="15"/>
        <v/>
      </c>
      <c r="J889" s="66" t="str">
        <f>IF($H889=1,'Event summary'!C889,"")</f>
        <v/>
      </c>
      <c r="K889" s="66" t="str">
        <f>IF($H889=1,'Event summary'!D889,"")</f>
        <v/>
      </c>
    </row>
    <row r="890" spans="7:11" x14ac:dyDescent="0.2">
      <c r="G890" s="46">
        <f>'Event summary'!A890</f>
        <v>890</v>
      </c>
      <c r="H890" s="43">
        <f>MIN(TYPE(SEARCH($E$2,'Event summary'!C890)),TYPE(SEARCH($E$2,'Event summary'!D890)))</f>
        <v>16</v>
      </c>
      <c r="I890" s="65" t="str">
        <f t="shared" si="15"/>
        <v/>
      </c>
      <c r="J890" s="66" t="str">
        <f>IF($H890=1,'Event summary'!C890,"")</f>
        <v/>
      </c>
      <c r="K890" s="66" t="str">
        <f>IF($H890=1,'Event summary'!D890,"")</f>
        <v/>
      </c>
    </row>
    <row r="891" spans="7:11" x14ac:dyDescent="0.2">
      <c r="G891" s="46">
        <f>'Event summary'!A891</f>
        <v>891</v>
      </c>
      <c r="H891" s="43">
        <f>MIN(TYPE(SEARCH($E$2,'Event summary'!C891)),TYPE(SEARCH($E$2,'Event summary'!D891)))</f>
        <v>16</v>
      </c>
      <c r="I891" s="65" t="str">
        <f t="shared" si="15"/>
        <v/>
      </c>
      <c r="J891" s="66" t="str">
        <f>IF($H891=1,'Event summary'!C891,"")</f>
        <v/>
      </c>
      <c r="K891" s="66" t="str">
        <f>IF($H891=1,'Event summary'!D891,"")</f>
        <v/>
      </c>
    </row>
    <row r="892" spans="7:11" x14ac:dyDescent="0.2">
      <c r="G892" s="46">
        <f>'Event summary'!A892</f>
        <v>892</v>
      </c>
      <c r="H892" s="43">
        <f>MIN(TYPE(SEARCH($E$2,'Event summary'!C892)),TYPE(SEARCH($E$2,'Event summary'!D892)))</f>
        <v>16</v>
      </c>
      <c r="I892" s="65" t="str">
        <f t="shared" si="15"/>
        <v/>
      </c>
      <c r="J892" s="66" t="str">
        <f>IF($H892=1,'Event summary'!C892,"")</f>
        <v/>
      </c>
      <c r="K892" s="66" t="str">
        <f>IF($H892=1,'Event summary'!D892,"")</f>
        <v/>
      </c>
    </row>
    <row r="893" spans="7:11" x14ac:dyDescent="0.2">
      <c r="G893" s="46">
        <f>'Event summary'!A893</f>
        <v>893</v>
      </c>
      <c r="H893" s="43">
        <f>MIN(TYPE(SEARCH($E$2,'Event summary'!C893)),TYPE(SEARCH($E$2,'Event summary'!D893)))</f>
        <v>16</v>
      </c>
      <c r="I893" s="65" t="str">
        <f t="shared" si="15"/>
        <v/>
      </c>
      <c r="J893" s="66" t="str">
        <f>IF($H893=1,'Event summary'!C893,"")</f>
        <v/>
      </c>
      <c r="K893" s="66" t="str">
        <f>IF($H893=1,'Event summary'!D893,"")</f>
        <v/>
      </c>
    </row>
    <row r="894" spans="7:11" x14ac:dyDescent="0.2">
      <c r="G894" s="46">
        <f>'Event summary'!A894</f>
        <v>894</v>
      </c>
      <c r="H894" s="43">
        <f>MIN(TYPE(SEARCH($E$2,'Event summary'!C894)),TYPE(SEARCH($E$2,'Event summary'!D894)))</f>
        <v>16</v>
      </c>
      <c r="I894" s="65" t="str">
        <f t="shared" si="15"/>
        <v/>
      </c>
      <c r="J894" s="66" t="str">
        <f>IF($H894=1,'Event summary'!C894,"")</f>
        <v/>
      </c>
      <c r="K894" s="66" t="str">
        <f>IF($H894=1,'Event summary'!D894,"")</f>
        <v/>
      </c>
    </row>
    <row r="895" spans="7:11" x14ac:dyDescent="0.2">
      <c r="G895" s="46">
        <f>'Event summary'!A895</f>
        <v>895</v>
      </c>
      <c r="H895" s="43">
        <f>MIN(TYPE(SEARCH($E$2,'Event summary'!C895)),TYPE(SEARCH($E$2,'Event summary'!D895)))</f>
        <v>16</v>
      </c>
      <c r="I895" s="65" t="str">
        <f t="shared" si="15"/>
        <v/>
      </c>
      <c r="J895" s="66" t="str">
        <f>IF($H895=1,'Event summary'!C895,"")</f>
        <v/>
      </c>
      <c r="K895" s="66" t="str">
        <f>IF($H895=1,'Event summary'!D895,"")</f>
        <v/>
      </c>
    </row>
    <row r="896" spans="7:11" x14ac:dyDescent="0.2">
      <c r="G896" s="46">
        <f>'Event summary'!A896</f>
        <v>896</v>
      </c>
      <c r="H896" s="43">
        <f>MIN(TYPE(SEARCH($E$2,'Event summary'!C896)),TYPE(SEARCH($E$2,'Event summary'!D896)))</f>
        <v>16</v>
      </c>
      <c r="I896" s="65" t="str">
        <f t="shared" si="15"/>
        <v/>
      </c>
      <c r="J896" s="66" t="str">
        <f>IF($H896=1,'Event summary'!C896,"")</f>
        <v/>
      </c>
      <c r="K896" s="66" t="str">
        <f>IF($H896=1,'Event summary'!D896,"")</f>
        <v/>
      </c>
    </row>
    <row r="897" spans="7:11" x14ac:dyDescent="0.2">
      <c r="G897" s="46">
        <f>'Event summary'!A897</f>
        <v>897</v>
      </c>
      <c r="H897" s="43">
        <f>MIN(TYPE(SEARCH($E$2,'Event summary'!C897)),TYPE(SEARCH($E$2,'Event summary'!D897)))</f>
        <v>16</v>
      </c>
      <c r="I897" s="65" t="str">
        <f t="shared" si="15"/>
        <v/>
      </c>
      <c r="J897" s="66" t="str">
        <f>IF($H897=1,'Event summary'!C897,"")</f>
        <v/>
      </c>
      <c r="K897" s="66" t="str">
        <f>IF($H897=1,'Event summary'!D897,"")</f>
        <v/>
      </c>
    </row>
    <row r="898" spans="7:11" x14ac:dyDescent="0.2">
      <c r="G898" s="46">
        <f>'Event summary'!A898</f>
        <v>898</v>
      </c>
      <c r="H898" s="43">
        <f>MIN(TYPE(SEARCH($E$2,'Event summary'!C898)),TYPE(SEARCH($E$2,'Event summary'!D898)))</f>
        <v>16</v>
      </c>
      <c r="I898" s="65" t="str">
        <f t="shared" si="15"/>
        <v/>
      </c>
      <c r="J898" s="66" t="str">
        <f>IF($H898=1,'Event summary'!C898,"")</f>
        <v/>
      </c>
      <c r="K898" s="66" t="str">
        <f>IF($H898=1,'Event summary'!D898,"")</f>
        <v/>
      </c>
    </row>
    <row r="899" spans="7:11" x14ac:dyDescent="0.2">
      <c r="G899" s="46">
        <f>'Event summary'!A899</f>
        <v>899</v>
      </c>
      <c r="H899" s="43">
        <f>MIN(TYPE(SEARCH($E$2,'Event summary'!C899)),TYPE(SEARCH($E$2,'Event summary'!D899)))</f>
        <v>16</v>
      </c>
      <c r="I899" s="65" t="str">
        <f t="shared" si="15"/>
        <v/>
      </c>
      <c r="J899" s="66" t="str">
        <f>IF($H899=1,'Event summary'!C899,"")</f>
        <v/>
      </c>
      <c r="K899" s="66" t="str">
        <f>IF($H899=1,'Event summary'!D899,"")</f>
        <v/>
      </c>
    </row>
    <row r="900" spans="7:11" x14ac:dyDescent="0.2">
      <c r="G900" s="46">
        <f>'Event summary'!A900</f>
        <v>900</v>
      </c>
      <c r="H900" s="43">
        <f>MIN(TYPE(SEARCH($E$2,'Event summary'!C900)),TYPE(SEARCH($E$2,'Event summary'!D900)))</f>
        <v>16</v>
      </c>
      <c r="I900" s="65" t="str">
        <f t="shared" si="15"/>
        <v/>
      </c>
      <c r="J900" s="66" t="str">
        <f>IF($H900=1,'Event summary'!C900,"")</f>
        <v/>
      </c>
      <c r="K900" s="66" t="str">
        <f>IF($H900=1,'Event summary'!D900,"")</f>
        <v/>
      </c>
    </row>
    <row r="901" spans="7:11" x14ac:dyDescent="0.2">
      <c r="G901" s="46">
        <f>'Event summary'!A901</f>
        <v>901</v>
      </c>
      <c r="H901" s="43">
        <f>MIN(TYPE(SEARCH($E$2,'Event summary'!C901)),TYPE(SEARCH($E$2,'Event summary'!D901)))</f>
        <v>16</v>
      </c>
      <c r="I901" s="65" t="str">
        <f t="shared" si="15"/>
        <v/>
      </c>
      <c r="J901" s="66" t="str">
        <f>IF($H901=1,'Event summary'!C901,"")</f>
        <v/>
      </c>
      <c r="K901" s="66" t="str">
        <f>IF($H901=1,'Event summary'!D901,"")</f>
        <v/>
      </c>
    </row>
    <row r="902" spans="7:11" x14ac:dyDescent="0.2">
      <c r="G902" s="46">
        <f>'Event summary'!A902</f>
        <v>902</v>
      </c>
      <c r="H902" s="43">
        <f>MIN(TYPE(SEARCH($E$2,'Event summary'!C902)),TYPE(SEARCH($E$2,'Event summary'!D902)))</f>
        <v>16</v>
      </c>
      <c r="I902" s="65" t="str">
        <f t="shared" si="15"/>
        <v/>
      </c>
      <c r="J902" s="66" t="str">
        <f>IF($H902=1,'Event summary'!C902,"")</f>
        <v/>
      </c>
      <c r="K902" s="66" t="str">
        <f>IF($H902=1,'Event summary'!D902,"")</f>
        <v/>
      </c>
    </row>
    <row r="903" spans="7:11" x14ac:dyDescent="0.2">
      <c r="G903" s="46">
        <f>'Event summary'!A903</f>
        <v>903</v>
      </c>
      <c r="H903" s="43">
        <f>MIN(TYPE(SEARCH($E$2,'Event summary'!C903)),TYPE(SEARCH($E$2,'Event summary'!D903)))</f>
        <v>16</v>
      </c>
      <c r="I903" s="65" t="str">
        <f t="shared" si="15"/>
        <v/>
      </c>
      <c r="J903" s="66" t="str">
        <f>IF($H903=1,'Event summary'!C903,"")</f>
        <v/>
      </c>
      <c r="K903" s="66" t="str">
        <f>IF($H903=1,'Event summary'!D903,"")</f>
        <v/>
      </c>
    </row>
    <row r="904" spans="7:11" x14ac:dyDescent="0.2">
      <c r="G904" s="46">
        <f>'Event summary'!A904</f>
        <v>904</v>
      </c>
      <c r="H904" s="43">
        <f>MIN(TYPE(SEARCH($E$2,'Event summary'!C904)),TYPE(SEARCH($E$2,'Event summary'!D904)))</f>
        <v>16</v>
      </c>
      <c r="I904" s="65" t="str">
        <f t="shared" si="15"/>
        <v/>
      </c>
      <c r="J904" s="66" t="str">
        <f>IF($H904=1,'Event summary'!C904,"")</f>
        <v/>
      </c>
      <c r="K904" s="66" t="str">
        <f>IF($H904=1,'Event summary'!D904,"")</f>
        <v/>
      </c>
    </row>
    <row r="905" spans="7:11" x14ac:dyDescent="0.2">
      <c r="G905" s="46">
        <f>'Event summary'!A905</f>
        <v>905</v>
      </c>
      <c r="H905" s="43">
        <f>MIN(TYPE(SEARCH($E$2,'Event summary'!C905)),TYPE(SEARCH($E$2,'Event summary'!D905)))</f>
        <v>16</v>
      </c>
      <c r="I905" s="65" t="str">
        <f t="shared" si="15"/>
        <v/>
      </c>
      <c r="J905" s="66" t="str">
        <f>IF($H905=1,'Event summary'!C905,"")</f>
        <v/>
      </c>
      <c r="K905" s="66" t="str">
        <f>IF($H905=1,'Event summary'!D905,"")</f>
        <v/>
      </c>
    </row>
    <row r="906" spans="7:11" x14ac:dyDescent="0.2">
      <c r="G906" s="46">
        <f>'Event summary'!A906</f>
        <v>906</v>
      </c>
      <c r="H906" s="43">
        <f>MIN(TYPE(SEARCH($E$2,'Event summary'!C906)),TYPE(SEARCH($E$2,'Event summary'!D906)))</f>
        <v>16</v>
      </c>
      <c r="I906" s="65" t="str">
        <f t="shared" si="15"/>
        <v/>
      </c>
      <c r="J906" s="66" t="str">
        <f>IF($H906=1,'Event summary'!C906,"")</f>
        <v/>
      </c>
      <c r="K906" s="66" t="str">
        <f>IF($H906=1,'Event summary'!D906,"")</f>
        <v/>
      </c>
    </row>
    <row r="907" spans="7:11" x14ac:dyDescent="0.2">
      <c r="G907" s="46">
        <f>'Event summary'!A907</f>
        <v>907</v>
      </c>
      <c r="H907" s="43">
        <f>MIN(TYPE(SEARCH($E$2,'Event summary'!C907)),TYPE(SEARCH($E$2,'Event summary'!D907)))</f>
        <v>16</v>
      </c>
      <c r="I907" s="65" t="str">
        <f t="shared" si="15"/>
        <v/>
      </c>
      <c r="J907" s="66" t="str">
        <f>IF($H907=1,'Event summary'!C907,"")</f>
        <v/>
      </c>
      <c r="K907" s="66" t="str">
        <f>IF($H907=1,'Event summary'!D907,"")</f>
        <v/>
      </c>
    </row>
    <row r="908" spans="7:11" x14ac:dyDescent="0.2">
      <c r="G908" s="46">
        <f>'Event summary'!A908</f>
        <v>908</v>
      </c>
      <c r="H908" s="43">
        <f>MIN(TYPE(SEARCH($E$2,'Event summary'!C908)),TYPE(SEARCH($E$2,'Event summary'!D908)))</f>
        <v>16</v>
      </c>
      <c r="I908" s="65" t="str">
        <f t="shared" si="15"/>
        <v/>
      </c>
      <c r="J908" s="66" t="str">
        <f>IF($H908=1,'Event summary'!C908,"")</f>
        <v/>
      </c>
      <c r="K908" s="66" t="str">
        <f>IF($H908=1,'Event summary'!D908,"")</f>
        <v/>
      </c>
    </row>
    <row r="909" spans="7:11" x14ac:dyDescent="0.2">
      <c r="G909" s="46">
        <f>'Event summary'!A909</f>
        <v>909</v>
      </c>
      <c r="H909" s="43">
        <f>MIN(TYPE(SEARCH($E$2,'Event summary'!C909)),TYPE(SEARCH($E$2,'Event summary'!D909)))</f>
        <v>16</v>
      </c>
      <c r="I909" s="65" t="str">
        <f t="shared" si="15"/>
        <v/>
      </c>
      <c r="J909" s="66" t="str">
        <f>IF($H909=1,'Event summary'!C909,"")</f>
        <v/>
      </c>
      <c r="K909" s="66" t="str">
        <f>IF($H909=1,'Event summary'!D909,"")</f>
        <v/>
      </c>
    </row>
    <row r="910" spans="7:11" x14ac:dyDescent="0.2">
      <c r="G910" s="46">
        <f>'Event summary'!A910</f>
        <v>910</v>
      </c>
      <c r="H910" s="43">
        <f>MIN(TYPE(SEARCH($E$2,'Event summary'!C910)),TYPE(SEARCH($E$2,'Event summary'!D910)))</f>
        <v>16</v>
      </c>
      <c r="I910" s="65" t="str">
        <f t="shared" si="15"/>
        <v/>
      </c>
      <c r="J910" s="66" t="str">
        <f>IF($H910=1,'Event summary'!C910,"")</f>
        <v/>
      </c>
      <c r="K910" s="66" t="str">
        <f>IF($H910=1,'Event summary'!D910,"")</f>
        <v/>
      </c>
    </row>
    <row r="911" spans="7:11" x14ac:dyDescent="0.2">
      <c r="G911" s="46">
        <f>'Event summary'!A911</f>
        <v>911</v>
      </c>
      <c r="H911" s="43">
        <f>MIN(TYPE(SEARCH($E$2,'Event summary'!C911)),TYPE(SEARCH($E$2,'Event summary'!D911)))</f>
        <v>16</v>
      </c>
      <c r="I911" s="65" t="str">
        <f t="shared" si="15"/>
        <v/>
      </c>
      <c r="J911" s="66" t="str">
        <f>IF($H911=1,'Event summary'!C911,"")</f>
        <v/>
      </c>
      <c r="K911" s="66" t="str">
        <f>IF($H911=1,'Event summary'!D911,"")</f>
        <v/>
      </c>
    </row>
    <row r="912" spans="7:11" x14ac:dyDescent="0.2">
      <c r="G912" s="46">
        <f>'Event summary'!A912</f>
        <v>912</v>
      </c>
      <c r="H912" s="43">
        <f>MIN(TYPE(SEARCH($E$2,'Event summary'!C912)),TYPE(SEARCH($E$2,'Event summary'!D912)))</f>
        <v>16</v>
      </c>
      <c r="I912" s="65" t="str">
        <f t="shared" si="15"/>
        <v/>
      </c>
      <c r="J912" s="66" t="str">
        <f>IF($H912=1,'Event summary'!C912,"")</f>
        <v/>
      </c>
      <c r="K912" s="66" t="str">
        <f>IF($H912=1,'Event summary'!D912,"")</f>
        <v/>
      </c>
    </row>
    <row r="913" spans="7:11" x14ac:dyDescent="0.2">
      <c r="G913" s="46">
        <f>'Event summary'!A913</f>
        <v>913</v>
      </c>
      <c r="H913" s="43">
        <f>MIN(TYPE(SEARCH($E$2,'Event summary'!C913)),TYPE(SEARCH($E$2,'Event summary'!D913)))</f>
        <v>16</v>
      </c>
      <c r="I913" s="65" t="str">
        <f t="shared" si="15"/>
        <v/>
      </c>
      <c r="J913" s="66" t="str">
        <f>IF($H913=1,'Event summary'!C913,"")</f>
        <v/>
      </c>
      <c r="K913" s="66" t="str">
        <f>IF($H913=1,'Event summary'!D913,"")</f>
        <v/>
      </c>
    </row>
    <row r="914" spans="7:11" x14ac:dyDescent="0.2">
      <c r="G914" s="46">
        <f>'Event summary'!A914</f>
        <v>914</v>
      </c>
      <c r="H914" s="43">
        <f>MIN(TYPE(SEARCH($E$2,'Event summary'!C914)),TYPE(SEARCH($E$2,'Event summary'!D914)))</f>
        <v>16</v>
      </c>
      <c r="I914" s="65" t="str">
        <f t="shared" si="15"/>
        <v/>
      </c>
      <c r="J914" s="66" t="str">
        <f>IF($H914=1,'Event summary'!C914,"")</f>
        <v/>
      </c>
      <c r="K914" s="66" t="str">
        <f>IF($H914=1,'Event summary'!D914,"")</f>
        <v/>
      </c>
    </row>
    <row r="915" spans="7:11" x14ac:dyDescent="0.2">
      <c r="G915" s="46">
        <f>'Event summary'!A915</f>
        <v>915</v>
      </c>
      <c r="H915" s="43">
        <f>MIN(TYPE(SEARCH($E$2,'Event summary'!C915)),TYPE(SEARCH($E$2,'Event summary'!D915)))</f>
        <v>16</v>
      </c>
      <c r="I915" s="65" t="str">
        <f t="shared" si="15"/>
        <v/>
      </c>
      <c r="J915" s="66" t="str">
        <f>IF($H915=1,'Event summary'!C915,"")</f>
        <v/>
      </c>
      <c r="K915" s="66" t="str">
        <f>IF($H915=1,'Event summary'!D915,"")</f>
        <v/>
      </c>
    </row>
    <row r="916" spans="7:11" x14ac:dyDescent="0.2">
      <c r="G916" s="46">
        <f>'Event summary'!A916</f>
        <v>916</v>
      </c>
      <c r="H916" s="43">
        <f>MIN(TYPE(SEARCH($E$2,'Event summary'!C916)),TYPE(SEARCH($E$2,'Event summary'!D916)))</f>
        <v>16</v>
      </c>
      <c r="I916" s="65" t="str">
        <f t="shared" si="15"/>
        <v/>
      </c>
      <c r="J916" s="66" t="str">
        <f>IF($H916=1,'Event summary'!C916,"")</f>
        <v/>
      </c>
      <c r="K916" s="66" t="str">
        <f>IF($H916=1,'Event summary'!D916,"")</f>
        <v/>
      </c>
    </row>
    <row r="917" spans="7:11" x14ac:dyDescent="0.2">
      <c r="G917" s="46">
        <f>'Event summary'!A917</f>
        <v>917</v>
      </c>
      <c r="H917" s="43">
        <f>MIN(TYPE(SEARCH($E$2,'Event summary'!C917)),TYPE(SEARCH($E$2,'Event summary'!D917)))</f>
        <v>16</v>
      </c>
      <c r="I917" s="65" t="str">
        <f t="shared" si="15"/>
        <v/>
      </c>
      <c r="J917" s="66" t="str">
        <f>IF($H917=1,'Event summary'!C917,"")</f>
        <v/>
      </c>
      <c r="K917" s="66" t="str">
        <f>IF($H917=1,'Event summary'!D917,"")</f>
        <v/>
      </c>
    </row>
    <row r="918" spans="7:11" x14ac:dyDescent="0.2">
      <c r="G918" s="46">
        <f>'Event summary'!A918</f>
        <v>918</v>
      </c>
      <c r="H918" s="43">
        <f>MIN(TYPE(SEARCH($E$2,'Event summary'!C918)),TYPE(SEARCH($E$2,'Event summary'!D918)))</f>
        <v>16</v>
      </c>
      <c r="I918" s="65" t="str">
        <f t="shared" si="15"/>
        <v/>
      </c>
      <c r="J918" s="66" t="str">
        <f>IF($H918=1,'Event summary'!C918,"")</f>
        <v/>
      </c>
      <c r="K918" s="66" t="str">
        <f>IF($H918=1,'Event summary'!D918,"")</f>
        <v/>
      </c>
    </row>
    <row r="919" spans="7:11" x14ac:dyDescent="0.2">
      <c r="G919" s="46">
        <f>'Event summary'!A919</f>
        <v>919</v>
      </c>
      <c r="H919" s="43">
        <f>MIN(TYPE(SEARCH($E$2,'Event summary'!C919)),TYPE(SEARCH($E$2,'Event summary'!D919)))</f>
        <v>16</v>
      </c>
      <c r="I919" s="65" t="str">
        <f t="shared" si="15"/>
        <v/>
      </c>
      <c r="J919" s="66" t="str">
        <f>IF($H919=1,'Event summary'!C919,"")</f>
        <v/>
      </c>
      <c r="K919" s="66" t="str">
        <f>IF($H919=1,'Event summary'!D919,"")</f>
        <v/>
      </c>
    </row>
    <row r="920" spans="7:11" x14ac:dyDescent="0.2">
      <c r="G920" s="46">
        <f>'Event summary'!A920</f>
        <v>920</v>
      </c>
      <c r="H920" s="43">
        <f>MIN(TYPE(SEARCH($E$2,'Event summary'!C920)),TYPE(SEARCH($E$2,'Event summary'!D920)))</f>
        <v>16</v>
      </c>
      <c r="I920" s="65" t="str">
        <f t="shared" si="15"/>
        <v/>
      </c>
      <c r="J920" s="66" t="str">
        <f>IF($H920=1,'Event summary'!C920,"")</f>
        <v/>
      </c>
      <c r="K920" s="66" t="str">
        <f>IF($H920=1,'Event summary'!D920,"")</f>
        <v/>
      </c>
    </row>
    <row r="921" spans="7:11" x14ac:dyDescent="0.2">
      <c r="G921" s="46">
        <f>'Event summary'!A921</f>
        <v>921</v>
      </c>
      <c r="H921" s="43">
        <f>MIN(TYPE(SEARCH($E$2,'Event summary'!C921)),TYPE(SEARCH($E$2,'Event summary'!D921)))</f>
        <v>16</v>
      </c>
      <c r="I921" s="65" t="str">
        <f t="shared" si="15"/>
        <v/>
      </c>
      <c r="J921" s="66" t="str">
        <f>IF($H921=1,'Event summary'!C921,"")</f>
        <v/>
      </c>
      <c r="K921" s="66" t="str">
        <f>IF($H921=1,'Event summary'!D921,"")</f>
        <v/>
      </c>
    </row>
    <row r="922" spans="7:11" x14ac:dyDescent="0.2">
      <c r="G922" s="46">
        <f>'Event summary'!A922</f>
        <v>922</v>
      </c>
      <c r="H922" s="43">
        <f>MIN(TYPE(SEARCH($E$2,'Event summary'!C922)),TYPE(SEARCH($E$2,'Event summary'!D922)))</f>
        <v>16</v>
      </c>
      <c r="I922" s="65" t="str">
        <f t="shared" si="15"/>
        <v/>
      </c>
      <c r="J922" s="66" t="str">
        <f>IF($H922=1,'Event summary'!C922,"")</f>
        <v/>
      </c>
      <c r="K922" s="66" t="str">
        <f>IF($H922=1,'Event summary'!D922,"")</f>
        <v/>
      </c>
    </row>
    <row r="923" spans="7:11" x14ac:dyDescent="0.2">
      <c r="G923" s="46">
        <f>'Event summary'!A923</f>
        <v>923</v>
      </c>
      <c r="H923" s="43">
        <f>MIN(TYPE(SEARCH($E$2,'Event summary'!C923)),TYPE(SEARCH($E$2,'Event summary'!D923)))</f>
        <v>16</v>
      </c>
      <c r="I923" s="65" t="str">
        <f t="shared" si="15"/>
        <v/>
      </c>
      <c r="J923" s="66" t="str">
        <f>IF($H923=1,'Event summary'!C923,"")</f>
        <v/>
      </c>
      <c r="K923" s="66" t="str">
        <f>IF($H923=1,'Event summary'!D923,"")</f>
        <v/>
      </c>
    </row>
    <row r="924" spans="7:11" x14ac:dyDescent="0.2">
      <c r="G924" s="46">
        <f>'Event summary'!A924</f>
        <v>924</v>
      </c>
      <c r="H924" s="43">
        <f>MIN(TYPE(SEARCH($E$2,'Event summary'!C924)),TYPE(SEARCH($E$2,'Event summary'!D924)))</f>
        <v>16</v>
      </c>
      <c r="I924" s="65" t="str">
        <f t="shared" si="15"/>
        <v/>
      </c>
      <c r="J924" s="66" t="str">
        <f>IF($H924=1,'Event summary'!C924,"")</f>
        <v/>
      </c>
      <c r="K924" s="66" t="str">
        <f>IF($H924=1,'Event summary'!D924,"")</f>
        <v/>
      </c>
    </row>
    <row r="925" spans="7:11" x14ac:dyDescent="0.2">
      <c r="G925" s="46">
        <f>'Event summary'!A925</f>
        <v>925</v>
      </c>
      <c r="H925" s="43">
        <f>MIN(TYPE(SEARCH($E$2,'Event summary'!C925)),TYPE(SEARCH($E$2,'Event summary'!D925)))</f>
        <v>16</v>
      </c>
      <c r="I925" s="65" t="str">
        <f t="shared" si="15"/>
        <v/>
      </c>
      <c r="J925" s="66" t="str">
        <f>IF($H925=1,'Event summary'!C925,"")</f>
        <v/>
      </c>
      <c r="K925" s="66" t="str">
        <f>IF($H925=1,'Event summary'!D925,"")</f>
        <v/>
      </c>
    </row>
    <row r="926" spans="7:11" x14ac:dyDescent="0.2">
      <c r="G926" s="46">
        <f>'Event summary'!A926</f>
        <v>926</v>
      </c>
      <c r="H926" s="43">
        <f>MIN(TYPE(SEARCH($E$2,'Event summary'!C926)),TYPE(SEARCH($E$2,'Event summary'!D926)))</f>
        <v>16</v>
      </c>
      <c r="I926" s="65" t="str">
        <f t="shared" si="15"/>
        <v/>
      </c>
      <c r="J926" s="66" t="str">
        <f>IF($H926=1,'Event summary'!C926,"")</f>
        <v/>
      </c>
      <c r="K926" s="66" t="str">
        <f>IF($H926=1,'Event summary'!D926,"")</f>
        <v/>
      </c>
    </row>
    <row r="927" spans="7:11" x14ac:dyDescent="0.2">
      <c r="G927" s="46">
        <f>'Event summary'!A927</f>
        <v>927</v>
      </c>
      <c r="H927" s="43">
        <f>MIN(TYPE(SEARCH($E$2,'Event summary'!C927)),TYPE(SEARCH($E$2,'Event summary'!D927)))</f>
        <v>16</v>
      </c>
      <c r="I927" s="65" t="str">
        <f t="shared" si="15"/>
        <v/>
      </c>
      <c r="J927" s="66" t="str">
        <f>IF($H927=1,'Event summary'!C927,"")</f>
        <v/>
      </c>
      <c r="K927" s="66" t="str">
        <f>IF($H927=1,'Event summary'!D927,"")</f>
        <v/>
      </c>
    </row>
    <row r="928" spans="7:11" x14ac:dyDescent="0.2">
      <c r="G928" s="46">
        <f>'Event summary'!A928</f>
        <v>928</v>
      </c>
      <c r="H928" s="43">
        <f>MIN(TYPE(SEARCH($E$2,'Event summary'!C928)),TYPE(SEARCH($E$2,'Event summary'!D928)))</f>
        <v>16</v>
      </c>
      <c r="I928" s="65" t="str">
        <f t="shared" si="15"/>
        <v/>
      </c>
      <c r="J928" s="66" t="str">
        <f>IF($H928=1,'Event summary'!C928,"")</f>
        <v/>
      </c>
      <c r="K928" s="66" t="str">
        <f>IF($H928=1,'Event summary'!D928,"")</f>
        <v/>
      </c>
    </row>
    <row r="929" spans="7:11" x14ac:dyDescent="0.2">
      <c r="G929" s="46">
        <f>'Event summary'!A929</f>
        <v>929</v>
      </c>
      <c r="H929" s="43">
        <f>MIN(TYPE(SEARCH($E$2,'Event summary'!C929)),TYPE(SEARCH($E$2,'Event summary'!D929)))</f>
        <v>16</v>
      </c>
      <c r="I929" s="65" t="str">
        <f t="shared" si="15"/>
        <v/>
      </c>
      <c r="J929" s="66" t="str">
        <f>IF($H929=1,'Event summary'!C929,"")</f>
        <v/>
      </c>
      <c r="K929" s="66" t="str">
        <f>IF($H929=1,'Event summary'!D929,"")</f>
        <v/>
      </c>
    </row>
    <row r="930" spans="7:11" x14ac:dyDescent="0.2">
      <c r="G930" s="46">
        <f>'Event summary'!A930</f>
        <v>930</v>
      </c>
      <c r="H930" s="43">
        <f>MIN(TYPE(SEARCH($E$2,'Event summary'!C930)),TYPE(SEARCH($E$2,'Event summary'!D930)))</f>
        <v>16</v>
      </c>
      <c r="I930" s="65" t="str">
        <f t="shared" si="15"/>
        <v/>
      </c>
      <c r="J930" s="66" t="str">
        <f>IF($H930=1,'Event summary'!C930,"")</f>
        <v/>
      </c>
      <c r="K930" s="66" t="str">
        <f>IF($H930=1,'Event summary'!D930,"")</f>
        <v/>
      </c>
    </row>
    <row r="931" spans="7:11" x14ac:dyDescent="0.2">
      <c r="G931" s="46">
        <f>'Event summary'!A931</f>
        <v>931</v>
      </c>
      <c r="H931" s="43">
        <f>MIN(TYPE(SEARCH($E$2,'Event summary'!C931)),TYPE(SEARCH($E$2,'Event summary'!D931)))</f>
        <v>16</v>
      </c>
      <c r="I931" s="65" t="str">
        <f t="shared" si="15"/>
        <v/>
      </c>
      <c r="J931" s="66" t="str">
        <f>IF($H931=1,'Event summary'!C931,"")</f>
        <v/>
      </c>
      <c r="K931" s="66" t="str">
        <f>IF($H931=1,'Event summary'!D931,"")</f>
        <v/>
      </c>
    </row>
    <row r="932" spans="7:11" x14ac:dyDescent="0.2">
      <c r="G932" s="46">
        <f>'Event summary'!A932</f>
        <v>932</v>
      </c>
      <c r="H932" s="43">
        <f>MIN(TYPE(SEARCH($E$2,'Event summary'!C932)),TYPE(SEARCH($E$2,'Event summary'!D932)))</f>
        <v>16</v>
      </c>
      <c r="I932" s="65" t="str">
        <f t="shared" si="15"/>
        <v/>
      </c>
      <c r="J932" s="66" t="str">
        <f>IF($H932=1,'Event summary'!C932,"")</f>
        <v/>
      </c>
      <c r="K932" s="66" t="str">
        <f>IF($H932=1,'Event summary'!D932,"")</f>
        <v/>
      </c>
    </row>
    <row r="933" spans="7:11" x14ac:dyDescent="0.2">
      <c r="G933" s="46">
        <f>'Event summary'!A933</f>
        <v>933</v>
      </c>
      <c r="H933" s="43">
        <f>MIN(TYPE(SEARCH($E$2,'Event summary'!C933)),TYPE(SEARCH($E$2,'Event summary'!D933)))</f>
        <v>16</v>
      </c>
      <c r="I933" s="65" t="str">
        <f t="shared" si="15"/>
        <v/>
      </c>
      <c r="J933" s="66" t="str">
        <f>IF($H933=1,'Event summary'!C933,"")</f>
        <v/>
      </c>
      <c r="K933" s="66" t="str">
        <f>IF($H933=1,'Event summary'!D933,"")</f>
        <v/>
      </c>
    </row>
    <row r="934" spans="7:11" x14ac:dyDescent="0.2">
      <c r="G934" s="46">
        <f>'Event summary'!A934</f>
        <v>934</v>
      </c>
      <c r="H934" s="43">
        <f>MIN(TYPE(SEARCH($E$2,'Event summary'!C934)),TYPE(SEARCH($E$2,'Event summary'!D934)))</f>
        <v>16</v>
      </c>
      <c r="I934" s="65" t="str">
        <f t="shared" si="15"/>
        <v/>
      </c>
      <c r="J934" s="66" t="str">
        <f>IF($H934=1,'Event summary'!C934,"")</f>
        <v/>
      </c>
      <c r="K934" s="66" t="str">
        <f>IF($H934=1,'Event summary'!D934,"")</f>
        <v/>
      </c>
    </row>
    <row r="935" spans="7:11" x14ac:dyDescent="0.2">
      <c r="G935" s="46">
        <f>'Event summary'!A935</f>
        <v>935</v>
      </c>
      <c r="H935" s="43">
        <f>MIN(TYPE(SEARCH($E$2,'Event summary'!C935)),TYPE(SEARCH($E$2,'Event summary'!D935)))</f>
        <v>16</v>
      </c>
      <c r="I935" s="65" t="str">
        <f t="shared" si="15"/>
        <v/>
      </c>
      <c r="J935" s="66" t="str">
        <f>IF($H935=1,'Event summary'!C935,"")</f>
        <v/>
      </c>
      <c r="K935" s="66" t="str">
        <f>IF($H935=1,'Event summary'!D935,"")</f>
        <v/>
      </c>
    </row>
    <row r="936" spans="7:11" x14ac:dyDescent="0.2">
      <c r="G936" s="46">
        <f>'Event summary'!A936</f>
        <v>936</v>
      </c>
      <c r="H936" s="43">
        <f>MIN(TYPE(SEARCH($E$2,'Event summary'!C936)),TYPE(SEARCH($E$2,'Event summary'!D936)))</f>
        <v>16</v>
      </c>
      <c r="I936" s="65" t="str">
        <f t="shared" si="15"/>
        <v/>
      </c>
      <c r="J936" s="66" t="str">
        <f>IF($H936=1,'Event summary'!C936,"")</f>
        <v/>
      </c>
      <c r="K936" s="66" t="str">
        <f>IF($H936=1,'Event summary'!D936,"")</f>
        <v/>
      </c>
    </row>
    <row r="937" spans="7:11" x14ac:dyDescent="0.2">
      <c r="G937" s="46">
        <f>'Event summary'!A937</f>
        <v>937</v>
      </c>
      <c r="H937" s="43">
        <f>MIN(TYPE(SEARCH($E$2,'Event summary'!C937)),TYPE(SEARCH($E$2,'Event summary'!D937)))</f>
        <v>16</v>
      </c>
      <c r="I937" s="65" t="str">
        <f t="shared" si="15"/>
        <v/>
      </c>
      <c r="J937" s="66" t="str">
        <f>IF($H937=1,'Event summary'!C937,"")</f>
        <v/>
      </c>
      <c r="K937" s="66" t="str">
        <f>IF($H937=1,'Event summary'!D937,"")</f>
        <v/>
      </c>
    </row>
    <row r="938" spans="7:11" x14ac:dyDescent="0.2">
      <c r="G938" s="46">
        <f>'Event summary'!A938</f>
        <v>938</v>
      </c>
      <c r="H938" s="43">
        <f>MIN(TYPE(SEARCH($E$2,'Event summary'!C938)),TYPE(SEARCH($E$2,'Event summary'!D938)))</f>
        <v>16</v>
      </c>
      <c r="I938" s="65" t="str">
        <f t="shared" si="15"/>
        <v/>
      </c>
      <c r="J938" s="66" t="str">
        <f>IF($H938=1,'Event summary'!C938,"")</f>
        <v/>
      </c>
      <c r="K938" s="66" t="str">
        <f>IF($H938=1,'Event summary'!D938,"")</f>
        <v/>
      </c>
    </row>
    <row r="939" spans="7:11" x14ac:dyDescent="0.2">
      <c r="G939" s="46">
        <f>'Event summary'!A939</f>
        <v>939</v>
      </c>
      <c r="H939" s="43">
        <f>MIN(TYPE(SEARCH($E$2,'Event summary'!C939)),TYPE(SEARCH($E$2,'Event summary'!D939)))</f>
        <v>16</v>
      </c>
      <c r="I939" s="65" t="str">
        <f t="shared" ref="I939:I1002" si="16">IF(H939=1,$E$2,"")</f>
        <v/>
      </c>
      <c r="J939" s="66" t="str">
        <f>IF($H939=1,'Event summary'!C939,"")</f>
        <v/>
      </c>
      <c r="K939" s="66" t="str">
        <f>IF($H939=1,'Event summary'!D939,"")</f>
        <v/>
      </c>
    </row>
    <row r="940" spans="7:11" x14ac:dyDescent="0.2">
      <c r="G940" s="46">
        <f>'Event summary'!A940</f>
        <v>940</v>
      </c>
      <c r="H940" s="43">
        <f>MIN(TYPE(SEARCH($E$2,'Event summary'!C940)),TYPE(SEARCH($E$2,'Event summary'!D940)))</f>
        <v>16</v>
      </c>
      <c r="I940" s="65" t="str">
        <f t="shared" si="16"/>
        <v/>
      </c>
      <c r="J940" s="66" t="str">
        <f>IF($H940=1,'Event summary'!C940,"")</f>
        <v/>
      </c>
      <c r="K940" s="66" t="str">
        <f>IF($H940=1,'Event summary'!D940,"")</f>
        <v/>
      </c>
    </row>
    <row r="941" spans="7:11" x14ac:dyDescent="0.2">
      <c r="G941" s="46">
        <f>'Event summary'!A941</f>
        <v>941</v>
      </c>
      <c r="H941" s="43">
        <f>MIN(TYPE(SEARCH($E$2,'Event summary'!C941)),TYPE(SEARCH($E$2,'Event summary'!D941)))</f>
        <v>16</v>
      </c>
      <c r="I941" s="65" t="str">
        <f t="shared" si="16"/>
        <v/>
      </c>
      <c r="J941" s="66" t="str">
        <f>IF($H941=1,'Event summary'!C941,"")</f>
        <v/>
      </c>
      <c r="K941" s="66" t="str">
        <f>IF($H941=1,'Event summary'!D941,"")</f>
        <v/>
      </c>
    </row>
    <row r="942" spans="7:11" x14ac:dyDescent="0.2">
      <c r="G942" s="46">
        <f>'Event summary'!A942</f>
        <v>942</v>
      </c>
      <c r="H942" s="43">
        <f>MIN(TYPE(SEARCH($E$2,'Event summary'!C942)),TYPE(SEARCH($E$2,'Event summary'!D942)))</f>
        <v>16</v>
      </c>
      <c r="I942" s="65" t="str">
        <f t="shared" si="16"/>
        <v/>
      </c>
      <c r="J942" s="66" t="str">
        <f>IF($H942=1,'Event summary'!C942,"")</f>
        <v/>
      </c>
      <c r="K942" s="66" t="str">
        <f>IF($H942=1,'Event summary'!D942,"")</f>
        <v/>
      </c>
    </row>
    <row r="943" spans="7:11" x14ac:dyDescent="0.2">
      <c r="G943" s="46">
        <f>'Event summary'!A943</f>
        <v>943</v>
      </c>
      <c r="H943" s="43">
        <f>MIN(TYPE(SEARCH($E$2,'Event summary'!C943)),TYPE(SEARCH($E$2,'Event summary'!D943)))</f>
        <v>16</v>
      </c>
      <c r="I943" s="65" t="str">
        <f t="shared" si="16"/>
        <v/>
      </c>
      <c r="J943" s="66" t="str">
        <f>IF($H943=1,'Event summary'!C943,"")</f>
        <v/>
      </c>
      <c r="K943" s="66" t="str">
        <f>IF($H943=1,'Event summary'!D943,"")</f>
        <v/>
      </c>
    </row>
    <row r="944" spans="7:11" x14ac:dyDescent="0.2">
      <c r="G944" s="46">
        <f>'Event summary'!A944</f>
        <v>944</v>
      </c>
      <c r="H944" s="43">
        <f>MIN(TYPE(SEARCH($E$2,'Event summary'!C944)),TYPE(SEARCH($E$2,'Event summary'!D944)))</f>
        <v>16</v>
      </c>
      <c r="I944" s="65" t="str">
        <f t="shared" si="16"/>
        <v/>
      </c>
      <c r="J944" s="66" t="str">
        <f>IF($H944=1,'Event summary'!C944,"")</f>
        <v/>
      </c>
      <c r="K944" s="66" t="str">
        <f>IF($H944=1,'Event summary'!D944,"")</f>
        <v/>
      </c>
    </row>
    <row r="945" spans="7:11" x14ac:dyDescent="0.2">
      <c r="G945" s="46">
        <f>'Event summary'!A945</f>
        <v>945</v>
      </c>
      <c r="H945" s="43">
        <f>MIN(TYPE(SEARCH($E$2,'Event summary'!C945)),TYPE(SEARCH($E$2,'Event summary'!D945)))</f>
        <v>16</v>
      </c>
      <c r="I945" s="65" t="str">
        <f t="shared" si="16"/>
        <v/>
      </c>
      <c r="J945" s="66" t="str">
        <f>IF($H945=1,'Event summary'!C945,"")</f>
        <v/>
      </c>
      <c r="K945" s="66" t="str">
        <f>IF($H945=1,'Event summary'!D945,"")</f>
        <v/>
      </c>
    </row>
    <row r="946" spans="7:11" x14ac:dyDescent="0.2">
      <c r="G946" s="46">
        <f>'Event summary'!A946</f>
        <v>946</v>
      </c>
      <c r="H946" s="43">
        <f>MIN(TYPE(SEARCH($E$2,'Event summary'!C946)),TYPE(SEARCH($E$2,'Event summary'!D946)))</f>
        <v>16</v>
      </c>
      <c r="I946" s="65" t="str">
        <f t="shared" si="16"/>
        <v/>
      </c>
      <c r="J946" s="66" t="str">
        <f>IF($H946=1,'Event summary'!C946,"")</f>
        <v/>
      </c>
      <c r="K946" s="66" t="str">
        <f>IF($H946=1,'Event summary'!D946,"")</f>
        <v/>
      </c>
    </row>
    <row r="947" spans="7:11" x14ac:dyDescent="0.2">
      <c r="G947" s="46">
        <f>'Event summary'!A947</f>
        <v>947</v>
      </c>
      <c r="H947" s="43">
        <f>MIN(TYPE(SEARCH($E$2,'Event summary'!C947)),TYPE(SEARCH($E$2,'Event summary'!D947)))</f>
        <v>16</v>
      </c>
      <c r="I947" s="65" t="str">
        <f t="shared" si="16"/>
        <v/>
      </c>
      <c r="J947" s="66" t="str">
        <f>IF($H947=1,'Event summary'!C947,"")</f>
        <v/>
      </c>
      <c r="K947" s="66" t="str">
        <f>IF($H947=1,'Event summary'!D947,"")</f>
        <v/>
      </c>
    </row>
    <row r="948" spans="7:11" x14ac:dyDescent="0.2">
      <c r="G948" s="46">
        <f>'Event summary'!A948</f>
        <v>948</v>
      </c>
      <c r="H948" s="43">
        <f>MIN(TYPE(SEARCH($E$2,'Event summary'!C948)),TYPE(SEARCH($E$2,'Event summary'!D948)))</f>
        <v>16</v>
      </c>
      <c r="I948" s="65" t="str">
        <f t="shared" si="16"/>
        <v/>
      </c>
      <c r="J948" s="66" t="str">
        <f>IF($H948=1,'Event summary'!C948,"")</f>
        <v/>
      </c>
      <c r="K948" s="66" t="str">
        <f>IF($H948=1,'Event summary'!D948,"")</f>
        <v/>
      </c>
    </row>
    <row r="949" spans="7:11" x14ac:dyDescent="0.2">
      <c r="G949" s="46">
        <f>'Event summary'!A949</f>
        <v>949</v>
      </c>
      <c r="H949" s="43">
        <f>MIN(TYPE(SEARCH($E$2,'Event summary'!C949)),TYPE(SEARCH($E$2,'Event summary'!D949)))</f>
        <v>16</v>
      </c>
      <c r="I949" s="65" t="str">
        <f t="shared" si="16"/>
        <v/>
      </c>
      <c r="J949" s="66" t="str">
        <f>IF($H949=1,'Event summary'!C949,"")</f>
        <v/>
      </c>
      <c r="K949" s="66" t="str">
        <f>IF($H949=1,'Event summary'!D949,"")</f>
        <v/>
      </c>
    </row>
    <row r="950" spans="7:11" x14ac:dyDescent="0.2">
      <c r="G950" s="46">
        <f>'Event summary'!A950</f>
        <v>950</v>
      </c>
      <c r="H950" s="43">
        <f>MIN(TYPE(SEARCH($E$2,'Event summary'!C950)),TYPE(SEARCH($E$2,'Event summary'!D950)))</f>
        <v>16</v>
      </c>
      <c r="I950" s="65" t="str">
        <f t="shared" si="16"/>
        <v/>
      </c>
      <c r="J950" s="66" t="str">
        <f>IF($H950=1,'Event summary'!C950,"")</f>
        <v/>
      </c>
      <c r="K950" s="66" t="str">
        <f>IF($H950=1,'Event summary'!D950,"")</f>
        <v/>
      </c>
    </row>
    <row r="951" spans="7:11" x14ac:dyDescent="0.2">
      <c r="G951" s="46">
        <f>'Event summary'!A951</f>
        <v>951</v>
      </c>
      <c r="H951" s="43">
        <f>MIN(TYPE(SEARCH($E$2,'Event summary'!C951)),TYPE(SEARCH($E$2,'Event summary'!D951)))</f>
        <v>16</v>
      </c>
      <c r="I951" s="65" t="str">
        <f t="shared" si="16"/>
        <v/>
      </c>
      <c r="J951" s="66" t="str">
        <f>IF($H951=1,'Event summary'!C951,"")</f>
        <v/>
      </c>
      <c r="K951" s="66" t="str">
        <f>IF($H951=1,'Event summary'!D951,"")</f>
        <v/>
      </c>
    </row>
    <row r="952" spans="7:11" x14ac:dyDescent="0.2">
      <c r="G952" s="46">
        <f>'Event summary'!A952</f>
        <v>952</v>
      </c>
      <c r="H952" s="43">
        <f>MIN(TYPE(SEARCH($E$2,'Event summary'!C952)),TYPE(SEARCH($E$2,'Event summary'!D952)))</f>
        <v>16</v>
      </c>
      <c r="I952" s="65" t="str">
        <f t="shared" si="16"/>
        <v/>
      </c>
      <c r="J952" s="66" t="str">
        <f>IF($H952=1,'Event summary'!C952,"")</f>
        <v/>
      </c>
      <c r="K952" s="66" t="str">
        <f>IF($H952=1,'Event summary'!D952,"")</f>
        <v/>
      </c>
    </row>
    <row r="953" spans="7:11" x14ac:dyDescent="0.2">
      <c r="G953" s="46">
        <f>'Event summary'!A953</f>
        <v>953</v>
      </c>
      <c r="H953" s="43">
        <f>MIN(TYPE(SEARCH($E$2,'Event summary'!C953)),TYPE(SEARCH($E$2,'Event summary'!D953)))</f>
        <v>16</v>
      </c>
      <c r="I953" s="65" t="str">
        <f t="shared" si="16"/>
        <v/>
      </c>
      <c r="J953" s="66" t="str">
        <f>IF($H953=1,'Event summary'!C953,"")</f>
        <v/>
      </c>
      <c r="K953" s="66" t="str">
        <f>IF($H953=1,'Event summary'!D953,"")</f>
        <v/>
      </c>
    </row>
    <row r="954" spans="7:11" x14ac:dyDescent="0.2">
      <c r="G954" s="46">
        <f>'Event summary'!A954</f>
        <v>954</v>
      </c>
      <c r="H954" s="43">
        <f>MIN(TYPE(SEARCH($E$2,'Event summary'!C954)),TYPE(SEARCH($E$2,'Event summary'!D954)))</f>
        <v>16</v>
      </c>
      <c r="I954" s="65" t="str">
        <f t="shared" si="16"/>
        <v/>
      </c>
      <c r="J954" s="66" t="str">
        <f>IF($H954=1,'Event summary'!C954,"")</f>
        <v/>
      </c>
      <c r="K954" s="66" t="str">
        <f>IF($H954=1,'Event summary'!D954,"")</f>
        <v/>
      </c>
    </row>
    <row r="955" spans="7:11" x14ac:dyDescent="0.2">
      <c r="G955" s="46">
        <f>'Event summary'!A955</f>
        <v>955</v>
      </c>
      <c r="H955" s="43">
        <f>MIN(TYPE(SEARCH($E$2,'Event summary'!C955)),TYPE(SEARCH($E$2,'Event summary'!D955)))</f>
        <v>16</v>
      </c>
      <c r="I955" s="65" t="str">
        <f t="shared" si="16"/>
        <v/>
      </c>
      <c r="J955" s="66" t="str">
        <f>IF($H955=1,'Event summary'!C955,"")</f>
        <v/>
      </c>
      <c r="K955" s="66" t="str">
        <f>IF($H955=1,'Event summary'!D955,"")</f>
        <v/>
      </c>
    </row>
    <row r="956" spans="7:11" x14ac:dyDescent="0.2">
      <c r="G956" s="46">
        <f>'Event summary'!A956</f>
        <v>956</v>
      </c>
      <c r="H956" s="43">
        <f>MIN(TYPE(SEARCH($E$2,'Event summary'!C956)),TYPE(SEARCH($E$2,'Event summary'!D956)))</f>
        <v>16</v>
      </c>
      <c r="I956" s="65" t="str">
        <f t="shared" si="16"/>
        <v/>
      </c>
      <c r="J956" s="66" t="str">
        <f>IF($H956=1,'Event summary'!C956,"")</f>
        <v/>
      </c>
      <c r="K956" s="66" t="str">
        <f>IF($H956=1,'Event summary'!D956,"")</f>
        <v/>
      </c>
    </row>
    <row r="957" spans="7:11" x14ac:dyDescent="0.2">
      <c r="G957" s="46">
        <f>'Event summary'!A957</f>
        <v>957</v>
      </c>
      <c r="H957" s="43">
        <f>MIN(TYPE(SEARCH($E$2,'Event summary'!C957)),TYPE(SEARCH($E$2,'Event summary'!D957)))</f>
        <v>16</v>
      </c>
      <c r="I957" s="65" t="str">
        <f t="shared" si="16"/>
        <v/>
      </c>
      <c r="J957" s="66" t="str">
        <f>IF($H957=1,'Event summary'!C957,"")</f>
        <v/>
      </c>
      <c r="K957" s="66" t="str">
        <f>IF($H957=1,'Event summary'!D957,"")</f>
        <v/>
      </c>
    </row>
    <row r="958" spans="7:11" x14ac:dyDescent="0.2">
      <c r="G958" s="46">
        <f>'Event summary'!A958</f>
        <v>958</v>
      </c>
      <c r="H958" s="43">
        <f>MIN(TYPE(SEARCH($E$2,'Event summary'!C958)),TYPE(SEARCH($E$2,'Event summary'!D958)))</f>
        <v>16</v>
      </c>
      <c r="I958" s="65" t="str">
        <f t="shared" si="16"/>
        <v/>
      </c>
      <c r="J958" s="66" t="str">
        <f>IF($H958=1,'Event summary'!C958,"")</f>
        <v/>
      </c>
      <c r="K958" s="66" t="str">
        <f>IF($H958=1,'Event summary'!D958,"")</f>
        <v/>
      </c>
    </row>
    <row r="959" spans="7:11" x14ac:dyDescent="0.2">
      <c r="G959" s="46">
        <f>'Event summary'!A959</f>
        <v>959</v>
      </c>
      <c r="H959" s="43">
        <f>MIN(TYPE(SEARCH($E$2,'Event summary'!C959)),TYPE(SEARCH($E$2,'Event summary'!D959)))</f>
        <v>16</v>
      </c>
      <c r="I959" s="65" t="str">
        <f t="shared" si="16"/>
        <v/>
      </c>
      <c r="J959" s="66" t="str">
        <f>IF($H959=1,'Event summary'!C959,"")</f>
        <v/>
      </c>
      <c r="K959" s="66" t="str">
        <f>IF($H959=1,'Event summary'!D959,"")</f>
        <v/>
      </c>
    </row>
    <row r="960" spans="7:11" x14ac:dyDescent="0.2">
      <c r="G960" s="46">
        <f>'Event summary'!A960</f>
        <v>960</v>
      </c>
      <c r="H960" s="43">
        <f>MIN(TYPE(SEARCH($E$2,'Event summary'!C960)),TYPE(SEARCH($E$2,'Event summary'!D960)))</f>
        <v>16</v>
      </c>
      <c r="I960" s="65" t="str">
        <f t="shared" si="16"/>
        <v/>
      </c>
      <c r="J960" s="66" t="str">
        <f>IF($H960=1,'Event summary'!C960,"")</f>
        <v/>
      </c>
      <c r="K960" s="66" t="str">
        <f>IF($H960=1,'Event summary'!D960,"")</f>
        <v/>
      </c>
    </row>
    <row r="961" spans="7:11" x14ac:dyDescent="0.2">
      <c r="G961" s="46">
        <f>'Event summary'!A961</f>
        <v>961</v>
      </c>
      <c r="H961" s="43">
        <f>MIN(TYPE(SEARCH($E$2,'Event summary'!C961)),TYPE(SEARCH($E$2,'Event summary'!D961)))</f>
        <v>16</v>
      </c>
      <c r="I961" s="65" t="str">
        <f t="shared" si="16"/>
        <v/>
      </c>
      <c r="J961" s="66" t="str">
        <f>IF($H961=1,'Event summary'!C961,"")</f>
        <v/>
      </c>
      <c r="K961" s="66" t="str">
        <f>IF($H961=1,'Event summary'!D961,"")</f>
        <v/>
      </c>
    </row>
    <row r="962" spans="7:11" x14ac:dyDescent="0.2">
      <c r="G962" s="46">
        <f>'Event summary'!A962</f>
        <v>962</v>
      </c>
      <c r="H962" s="43">
        <f>MIN(TYPE(SEARCH($E$2,'Event summary'!C962)),TYPE(SEARCH($E$2,'Event summary'!D962)))</f>
        <v>16</v>
      </c>
      <c r="I962" s="65" t="str">
        <f t="shared" si="16"/>
        <v/>
      </c>
      <c r="J962" s="66" t="str">
        <f>IF($H962=1,'Event summary'!C962,"")</f>
        <v/>
      </c>
      <c r="K962" s="66" t="str">
        <f>IF($H962=1,'Event summary'!D962,"")</f>
        <v/>
      </c>
    </row>
    <row r="963" spans="7:11" x14ac:dyDescent="0.2">
      <c r="G963" s="46">
        <f>'Event summary'!A963</f>
        <v>963</v>
      </c>
      <c r="H963" s="43">
        <f>MIN(TYPE(SEARCH($E$2,'Event summary'!C963)),TYPE(SEARCH($E$2,'Event summary'!D963)))</f>
        <v>16</v>
      </c>
      <c r="I963" s="65" t="str">
        <f t="shared" si="16"/>
        <v/>
      </c>
      <c r="J963" s="66" t="str">
        <f>IF($H963=1,'Event summary'!C963,"")</f>
        <v/>
      </c>
      <c r="K963" s="66" t="str">
        <f>IF($H963=1,'Event summary'!D963,"")</f>
        <v/>
      </c>
    </row>
    <row r="964" spans="7:11" x14ac:dyDescent="0.2">
      <c r="G964" s="46">
        <f>'Event summary'!A964</f>
        <v>964</v>
      </c>
      <c r="H964" s="43">
        <f>MIN(TYPE(SEARCH($E$2,'Event summary'!C964)),TYPE(SEARCH($E$2,'Event summary'!D964)))</f>
        <v>16</v>
      </c>
      <c r="I964" s="65" t="str">
        <f t="shared" si="16"/>
        <v/>
      </c>
      <c r="J964" s="66" t="str">
        <f>IF($H964=1,'Event summary'!C964,"")</f>
        <v/>
      </c>
      <c r="K964" s="66" t="str">
        <f>IF($H964=1,'Event summary'!D964,"")</f>
        <v/>
      </c>
    </row>
    <row r="965" spans="7:11" x14ac:dyDescent="0.2">
      <c r="G965" s="46">
        <f>'Event summary'!A965</f>
        <v>965</v>
      </c>
      <c r="H965" s="43">
        <f>MIN(TYPE(SEARCH($E$2,'Event summary'!C965)),TYPE(SEARCH($E$2,'Event summary'!D965)))</f>
        <v>16</v>
      </c>
      <c r="I965" s="65" t="str">
        <f t="shared" si="16"/>
        <v/>
      </c>
      <c r="J965" s="66" t="str">
        <f>IF($H965=1,'Event summary'!C965,"")</f>
        <v/>
      </c>
      <c r="K965" s="66" t="str">
        <f>IF($H965=1,'Event summary'!D965,"")</f>
        <v/>
      </c>
    </row>
    <row r="966" spans="7:11" x14ac:dyDescent="0.2">
      <c r="G966" s="46">
        <f>'Event summary'!A966</f>
        <v>966</v>
      </c>
      <c r="H966" s="43">
        <f>MIN(TYPE(SEARCH($E$2,'Event summary'!C966)),TYPE(SEARCH($E$2,'Event summary'!D966)))</f>
        <v>16</v>
      </c>
      <c r="I966" s="65" t="str">
        <f t="shared" si="16"/>
        <v/>
      </c>
      <c r="J966" s="66" t="str">
        <f>IF($H966=1,'Event summary'!C966,"")</f>
        <v/>
      </c>
      <c r="K966" s="66" t="str">
        <f>IF($H966=1,'Event summary'!D966,"")</f>
        <v/>
      </c>
    </row>
    <row r="967" spans="7:11" x14ac:dyDescent="0.2">
      <c r="G967" s="46">
        <f>'Event summary'!A967</f>
        <v>967</v>
      </c>
      <c r="H967" s="43">
        <f>MIN(TYPE(SEARCH($E$2,'Event summary'!C967)),TYPE(SEARCH($E$2,'Event summary'!D967)))</f>
        <v>16</v>
      </c>
      <c r="I967" s="65" t="str">
        <f t="shared" si="16"/>
        <v/>
      </c>
      <c r="J967" s="66" t="str">
        <f>IF($H967=1,'Event summary'!C967,"")</f>
        <v/>
      </c>
      <c r="K967" s="66" t="str">
        <f>IF($H967=1,'Event summary'!D967,"")</f>
        <v/>
      </c>
    </row>
    <row r="968" spans="7:11" x14ac:dyDescent="0.2">
      <c r="G968" s="46">
        <f>'Event summary'!A968</f>
        <v>968</v>
      </c>
      <c r="H968" s="43">
        <f>MIN(TYPE(SEARCH($E$2,'Event summary'!C968)),TYPE(SEARCH($E$2,'Event summary'!D968)))</f>
        <v>16</v>
      </c>
      <c r="I968" s="65" t="str">
        <f t="shared" si="16"/>
        <v/>
      </c>
      <c r="J968" s="66" t="str">
        <f>IF($H968=1,'Event summary'!C968,"")</f>
        <v/>
      </c>
      <c r="K968" s="66" t="str">
        <f>IF($H968=1,'Event summary'!D968,"")</f>
        <v/>
      </c>
    </row>
    <row r="969" spans="7:11" x14ac:dyDescent="0.2">
      <c r="G969" s="46">
        <f>'Event summary'!A969</f>
        <v>969</v>
      </c>
      <c r="H969" s="43">
        <f>MIN(TYPE(SEARCH($E$2,'Event summary'!C969)),TYPE(SEARCH($E$2,'Event summary'!D969)))</f>
        <v>16</v>
      </c>
      <c r="I969" s="65" t="str">
        <f t="shared" si="16"/>
        <v/>
      </c>
      <c r="J969" s="66" t="str">
        <f>IF($H969=1,'Event summary'!C969,"")</f>
        <v/>
      </c>
      <c r="K969" s="66" t="str">
        <f>IF($H969=1,'Event summary'!D969,"")</f>
        <v/>
      </c>
    </row>
    <row r="970" spans="7:11" x14ac:dyDescent="0.2">
      <c r="G970" s="46">
        <f>'Event summary'!A970</f>
        <v>970</v>
      </c>
      <c r="H970" s="43">
        <f>MIN(TYPE(SEARCH($E$2,'Event summary'!C970)),TYPE(SEARCH($E$2,'Event summary'!D970)))</f>
        <v>16</v>
      </c>
      <c r="I970" s="65" t="str">
        <f t="shared" si="16"/>
        <v/>
      </c>
      <c r="J970" s="66" t="str">
        <f>IF($H970=1,'Event summary'!C970,"")</f>
        <v/>
      </c>
      <c r="K970" s="66" t="str">
        <f>IF($H970=1,'Event summary'!D970,"")</f>
        <v/>
      </c>
    </row>
    <row r="971" spans="7:11" x14ac:dyDescent="0.2">
      <c r="G971" s="46">
        <f>'Event summary'!A971</f>
        <v>971</v>
      </c>
      <c r="H971" s="43">
        <f>MIN(TYPE(SEARCH($E$2,'Event summary'!C971)),TYPE(SEARCH($E$2,'Event summary'!D971)))</f>
        <v>16</v>
      </c>
      <c r="I971" s="65" t="str">
        <f t="shared" si="16"/>
        <v/>
      </c>
      <c r="J971" s="66" t="str">
        <f>IF($H971=1,'Event summary'!C971,"")</f>
        <v/>
      </c>
      <c r="K971" s="66" t="str">
        <f>IF($H971=1,'Event summary'!D971,"")</f>
        <v/>
      </c>
    </row>
    <row r="972" spans="7:11" x14ac:dyDescent="0.2">
      <c r="G972" s="46">
        <f>'Event summary'!A972</f>
        <v>972</v>
      </c>
      <c r="H972" s="43">
        <f>MIN(TYPE(SEARCH($E$2,'Event summary'!C972)),TYPE(SEARCH($E$2,'Event summary'!D972)))</f>
        <v>16</v>
      </c>
      <c r="I972" s="65" t="str">
        <f t="shared" si="16"/>
        <v/>
      </c>
      <c r="J972" s="66" t="str">
        <f>IF($H972=1,'Event summary'!C972,"")</f>
        <v/>
      </c>
      <c r="K972" s="66" t="str">
        <f>IF($H972=1,'Event summary'!D972,"")</f>
        <v/>
      </c>
    </row>
    <row r="973" spans="7:11" x14ac:dyDescent="0.2">
      <c r="G973" s="46">
        <f>'Event summary'!A973</f>
        <v>973</v>
      </c>
      <c r="H973" s="43">
        <f>MIN(TYPE(SEARCH($E$2,'Event summary'!C973)),TYPE(SEARCH($E$2,'Event summary'!D973)))</f>
        <v>16</v>
      </c>
      <c r="I973" s="65" t="str">
        <f t="shared" si="16"/>
        <v/>
      </c>
      <c r="J973" s="66" t="str">
        <f>IF($H973=1,'Event summary'!C973,"")</f>
        <v/>
      </c>
      <c r="K973" s="66" t="str">
        <f>IF($H973=1,'Event summary'!D973,"")</f>
        <v/>
      </c>
    </row>
    <row r="974" spans="7:11" x14ac:dyDescent="0.2">
      <c r="G974" s="46">
        <f>'Event summary'!A974</f>
        <v>974</v>
      </c>
      <c r="H974" s="43">
        <f>MIN(TYPE(SEARCH($E$2,'Event summary'!C974)),TYPE(SEARCH($E$2,'Event summary'!D974)))</f>
        <v>16</v>
      </c>
      <c r="I974" s="65" t="str">
        <f t="shared" si="16"/>
        <v/>
      </c>
      <c r="J974" s="66" t="str">
        <f>IF($H974=1,'Event summary'!C974,"")</f>
        <v/>
      </c>
      <c r="K974" s="66" t="str">
        <f>IF($H974=1,'Event summary'!D974,"")</f>
        <v/>
      </c>
    </row>
    <row r="975" spans="7:11" x14ac:dyDescent="0.2">
      <c r="G975" s="46">
        <f>'Event summary'!A975</f>
        <v>975</v>
      </c>
      <c r="H975" s="43">
        <f>MIN(TYPE(SEARCH($E$2,'Event summary'!C975)),TYPE(SEARCH($E$2,'Event summary'!D975)))</f>
        <v>16</v>
      </c>
      <c r="I975" s="65" t="str">
        <f t="shared" si="16"/>
        <v/>
      </c>
      <c r="J975" s="66" t="str">
        <f>IF($H975=1,'Event summary'!C975,"")</f>
        <v/>
      </c>
      <c r="K975" s="66" t="str">
        <f>IF($H975=1,'Event summary'!D975,"")</f>
        <v/>
      </c>
    </row>
    <row r="976" spans="7:11" x14ac:dyDescent="0.2">
      <c r="G976" s="46">
        <f>'Event summary'!A976</f>
        <v>976</v>
      </c>
      <c r="H976" s="43">
        <f>MIN(TYPE(SEARCH($E$2,'Event summary'!C976)),TYPE(SEARCH($E$2,'Event summary'!D976)))</f>
        <v>16</v>
      </c>
      <c r="I976" s="65" t="str">
        <f t="shared" si="16"/>
        <v/>
      </c>
      <c r="J976" s="66" t="str">
        <f>IF($H976=1,'Event summary'!C976,"")</f>
        <v/>
      </c>
      <c r="K976" s="66" t="str">
        <f>IF($H976=1,'Event summary'!D976,"")</f>
        <v/>
      </c>
    </row>
    <row r="977" spans="7:11" x14ac:dyDescent="0.2">
      <c r="G977" s="46">
        <f>'Event summary'!A977</f>
        <v>977</v>
      </c>
      <c r="H977" s="43">
        <f>MIN(TYPE(SEARCH($E$2,'Event summary'!C977)),TYPE(SEARCH($E$2,'Event summary'!D977)))</f>
        <v>16</v>
      </c>
      <c r="I977" s="65" t="str">
        <f t="shared" si="16"/>
        <v/>
      </c>
      <c r="J977" s="66" t="str">
        <f>IF($H977=1,'Event summary'!C977,"")</f>
        <v/>
      </c>
      <c r="K977" s="66" t="str">
        <f>IF($H977=1,'Event summary'!D977,"")</f>
        <v/>
      </c>
    </row>
    <row r="978" spans="7:11" x14ac:dyDescent="0.2">
      <c r="G978" s="46">
        <f>'Event summary'!A978</f>
        <v>978</v>
      </c>
      <c r="H978" s="43">
        <f>MIN(TYPE(SEARCH($E$2,'Event summary'!C978)),TYPE(SEARCH($E$2,'Event summary'!D978)))</f>
        <v>16</v>
      </c>
      <c r="I978" s="65" t="str">
        <f t="shared" si="16"/>
        <v/>
      </c>
      <c r="J978" s="66" t="str">
        <f>IF($H978=1,'Event summary'!C978,"")</f>
        <v/>
      </c>
      <c r="K978" s="66" t="str">
        <f>IF($H978=1,'Event summary'!D978,"")</f>
        <v/>
      </c>
    </row>
    <row r="979" spans="7:11" x14ac:dyDescent="0.2">
      <c r="G979" s="46">
        <f>'Event summary'!A979</f>
        <v>979</v>
      </c>
      <c r="H979" s="43">
        <f>MIN(TYPE(SEARCH($E$2,'Event summary'!C979)),TYPE(SEARCH($E$2,'Event summary'!D979)))</f>
        <v>16</v>
      </c>
      <c r="I979" s="65" t="str">
        <f t="shared" si="16"/>
        <v/>
      </c>
      <c r="J979" s="66" t="str">
        <f>IF($H979=1,'Event summary'!C979,"")</f>
        <v/>
      </c>
      <c r="K979" s="66" t="str">
        <f>IF($H979=1,'Event summary'!D979,"")</f>
        <v/>
      </c>
    </row>
    <row r="980" spans="7:11" x14ac:dyDescent="0.2">
      <c r="G980" s="46">
        <f>'Event summary'!A980</f>
        <v>980</v>
      </c>
      <c r="H980" s="43">
        <f>MIN(TYPE(SEARCH($E$2,'Event summary'!C980)),TYPE(SEARCH($E$2,'Event summary'!D980)))</f>
        <v>16</v>
      </c>
      <c r="I980" s="65" t="str">
        <f t="shared" si="16"/>
        <v/>
      </c>
      <c r="J980" s="66" t="str">
        <f>IF($H980=1,'Event summary'!C980,"")</f>
        <v/>
      </c>
      <c r="K980" s="66" t="str">
        <f>IF($H980=1,'Event summary'!D980,"")</f>
        <v/>
      </c>
    </row>
    <row r="981" spans="7:11" x14ac:dyDescent="0.2">
      <c r="G981" s="46">
        <f>'Event summary'!A981</f>
        <v>981</v>
      </c>
      <c r="H981" s="43">
        <f>MIN(TYPE(SEARCH($E$2,'Event summary'!C981)),TYPE(SEARCH($E$2,'Event summary'!D981)))</f>
        <v>16</v>
      </c>
      <c r="I981" s="65" t="str">
        <f t="shared" si="16"/>
        <v/>
      </c>
      <c r="J981" s="66" t="str">
        <f>IF($H981=1,'Event summary'!C981,"")</f>
        <v/>
      </c>
      <c r="K981" s="66" t="str">
        <f>IF($H981=1,'Event summary'!D981,"")</f>
        <v/>
      </c>
    </row>
    <row r="982" spans="7:11" x14ac:dyDescent="0.2">
      <c r="G982" s="46">
        <f>'Event summary'!A982</f>
        <v>982</v>
      </c>
      <c r="H982" s="43">
        <f>MIN(TYPE(SEARCH($E$2,'Event summary'!C982)),TYPE(SEARCH($E$2,'Event summary'!D982)))</f>
        <v>16</v>
      </c>
      <c r="I982" s="65" t="str">
        <f t="shared" si="16"/>
        <v/>
      </c>
      <c r="J982" s="66" t="str">
        <f>IF($H982=1,'Event summary'!C982,"")</f>
        <v/>
      </c>
      <c r="K982" s="66" t="str">
        <f>IF($H982=1,'Event summary'!D982,"")</f>
        <v/>
      </c>
    </row>
    <row r="983" spans="7:11" x14ac:dyDescent="0.2">
      <c r="G983" s="46">
        <f>'Event summary'!A983</f>
        <v>983</v>
      </c>
      <c r="H983" s="43">
        <f>MIN(TYPE(SEARCH($E$2,'Event summary'!C983)),TYPE(SEARCH($E$2,'Event summary'!D983)))</f>
        <v>16</v>
      </c>
      <c r="I983" s="65" t="str">
        <f t="shared" si="16"/>
        <v/>
      </c>
      <c r="J983" s="66" t="str">
        <f>IF($H983=1,'Event summary'!C983,"")</f>
        <v/>
      </c>
      <c r="K983" s="66" t="str">
        <f>IF($H983=1,'Event summary'!D983,"")</f>
        <v/>
      </c>
    </row>
    <row r="984" spans="7:11" x14ac:dyDescent="0.2">
      <c r="G984" s="46">
        <f>'Event summary'!A984</f>
        <v>984</v>
      </c>
      <c r="H984" s="43">
        <f>MIN(TYPE(SEARCH($E$2,'Event summary'!C984)),TYPE(SEARCH($E$2,'Event summary'!D984)))</f>
        <v>16</v>
      </c>
      <c r="I984" s="65" t="str">
        <f t="shared" si="16"/>
        <v/>
      </c>
      <c r="J984" s="66" t="str">
        <f>IF($H984=1,'Event summary'!C984,"")</f>
        <v/>
      </c>
      <c r="K984" s="66" t="str">
        <f>IF($H984=1,'Event summary'!D984,"")</f>
        <v/>
      </c>
    </row>
    <row r="985" spans="7:11" x14ac:dyDescent="0.2">
      <c r="G985" s="46">
        <f>'Event summary'!A985</f>
        <v>985</v>
      </c>
      <c r="H985" s="43">
        <f>MIN(TYPE(SEARCH($E$2,'Event summary'!C985)),TYPE(SEARCH($E$2,'Event summary'!D985)))</f>
        <v>16</v>
      </c>
      <c r="I985" s="65" t="str">
        <f t="shared" si="16"/>
        <v/>
      </c>
      <c r="J985" s="66" t="str">
        <f>IF($H985=1,'Event summary'!C985,"")</f>
        <v/>
      </c>
      <c r="K985" s="66" t="str">
        <f>IF($H985=1,'Event summary'!D985,"")</f>
        <v/>
      </c>
    </row>
    <row r="986" spans="7:11" x14ac:dyDescent="0.2">
      <c r="G986" s="46">
        <f>'Event summary'!A986</f>
        <v>986</v>
      </c>
      <c r="H986" s="43">
        <f>MIN(TYPE(SEARCH($E$2,'Event summary'!C986)),TYPE(SEARCH($E$2,'Event summary'!D986)))</f>
        <v>16</v>
      </c>
      <c r="I986" s="65" t="str">
        <f t="shared" si="16"/>
        <v/>
      </c>
      <c r="J986" s="66" t="str">
        <f>IF($H986=1,'Event summary'!C986,"")</f>
        <v/>
      </c>
      <c r="K986" s="66" t="str">
        <f>IF($H986=1,'Event summary'!D986,"")</f>
        <v/>
      </c>
    </row>
    <row r="987" spans="7:11" x14ac:dyDescent="0.2">
      <c r="G987" s="46">
        <f>'Event summary'!A987</f>
        <v>987</v>
      </c>
      <c r="H987" s="43">
        <f>MIN(TYPE(SEARCH($E$2,'Event summary'!C987)),TYPE(SEARCH($E$2,'Event summary'!D987)))</f>
        <v>16</v>
      </c>
      <c r="I987" s="65" t="str">
        <f t="shared" si="16"/>
        <v/>
      </c>
      <c r="J987" s="66" t="str">
        <f>IF($H987=1,'Event summary'!C987,"")</f>
        <v/>
      </c>
      <c r="K987" s="66" t="str">
        <f>IF($H987=1,'Event summary'!D987,"")</f>
        <v/>
      </c>
    </row>
    <row r="988" spans="7:11" x14ac:dyDescent="0.2">
      <c r="G988" s="46">
        <f>'Event summary'!A988</f>
        <v>988</v>
      </c>
      <c r="H988" s="43">
        <f>MIN(TYPE(SEARCH($E$2,'Event summary'!C988)),TYPE(SEARCH($E$2,'Event summary'!D988)))</f>
        <v>16</v>
      </c>
      <c r="I988" s="65" t="str">
        <f t="shared" si="16"/>
        <v/>
      </c>
      <c r="J988" s="66" t="str">
        <f>IF($H988=1,'Event summary'!C988,"")</f>
        <v/>
      </c>
      <c r="K988" s="66" t="str">
        <f>IF($H988=1,'Event summary'!D988,"")</f>
        <v/>
      </c>
    </row>
    <row r="989" spans="7:11" x14ac:dyDescent="0.2">
      <c r="G989" s="46">
        <f>'Event summary'!A989</f>
        <v>989</v>
      </c>
      <c r="H989" s="43">
        <f>MIN(TYPE(SEARCH($E$2,'Event summary'!C989)),TYPE(SEARCH($E$2,'Event summary'!D989)))</f>
        <v>16</v>
      </c>
      <c r="I989" s="65" t="str">
        <f t="shared" si="16"/>
        <v/>
      </c>
      <c r="J989" s="66" t="str">
        <f>IF($H989=1,'Event summary'!C989,"")</f>
        <v/>
      </c>
      <c r="K989" s="66" t="str">
        <f>IF($H989=1,'Event summary'!D989,"")</f>
        <v/>
      </c>
    </row>
    <row r="990" spans="7:11" x14ac:dyDescent="0.2">
      <c r="G990" s="46">
        <f>'Event summary'!A990</f>
        <v>990</v>
      </c>
      <c r="H990" s="43">
        <f>MIN(TYPE(SEARCH($E$2,'Event summary'!C990)),TYPE(SEARCH($E$2,'Event summary'!D990)))</f>
        <v>16</v>
      </c>
      <c r="I990" s="65" t="str">
        <f t="shared" si="16"/>
        <v/>
      </c>
      <c r="J990" s="66" t="str">
        <f>IF($H990=1,'Event summary'!C990,"")</f>
        <v/>
      </c>
      <c r="K990" s="66" t="str">
        <f>IF($H990=1,'Event summary'!D990,"")</f>
        <v/>
      </c>
    </row>
    <row r="991" spans="7:11" x14ac:dyDescent="0.2">
      <c r="G991" s="46">
        <f>'Event summary'!A991</f>
        <v>991</v>
      </c>
      <c r="H991" s="43">
        <f>MIN(TYPE(SEARCH($E$2,'Event summary'!C991)),TYPE(SEARCH($E$2,'Event summary'!D991)))</f>
        <v>16</v>
      </c>
      <c r="I991" s="65" t="str">
        <f t="shared" si="16"/>
        <v/>
      </c>
      <c r="J991" s="66" t="str">
        <f>IF($H991=1,'Event summary'!C991,"")</f>
        <v/>
      </c>
      <c r="K991" s="66" t="str">
        <f>IF($H991=1,'Event summary'!D991,"")</f>
        <v/>
      </c>
    </row>
    <row r="992" spans="7:11" x14ac:dyDescent="0.2">
      <c r="G992" s="46">
        <f>'Event summary'!A992</f>
        <v>992</v>
      </c>
      <c r="H992" s="43">
        <f>MIN(TYPE(SEARCH($E$2,'Event summary'!C992)),TYPE(SEARCH($E$2,'Event summary'!D992)))</f>
        <v>16</v>
      </c>
      <c r="I992" s="65" t="str">
        <f t="shared" si="16"/>
        <v/>
      </c>
      <c r="J992" s="66" t="str">
        <f>IF($H992=1,'Event summary'!C992,"")</f>
        <v/>
      </c>
      <c r="K992" s="66" t="str">
        <f>IF($H992=1,'Event summary'!D992,"")</f>
        <v/>
      </c>
    </row>
    <row r="993" spans="7:11" x14ac:dyDescent="0.2">
      <c r="G993" s="46">
        <f>'Event summary'!A993</f>
        <v>993</v>
      </c>
      <c r="H993" s="43">
        <f>MIN(TYPE(SEARCH($E$2,'Event summary'!C993)),TYPE(SEARCH($E$2,'Event summary'!D993)))</f>
        <v>16</v>
      </c>
      <c r="I993" s="65" t="str">
        <f t="shared" si="16"/>
        <v/>
      </c>
      <c r="J993" s="66" t="str">
        <f>IF($H993=1,'Event summary'!C993,"")</f>
        <v/>
      </c>
      <c r="K993" s="66" t="str">
        <f>IF($H993=1,'Event summary'!D993,"")</f>
        <v/>
      </c>
    </row>
    <row r="994" spans="7:11" x14ac:dyDescent="0.2">
      <c r="G994" s="46">
        <f>'Event summary'!A994</f>
        <v>994</v>
      </c>
      <c r="H994" s="43">
        <f>MIN(TYPE(SEARCH($E$2,'Event summary'!C994)),TYPE(SEARCH($E$2,'Event summary'!D994)))</f>
        <v>16</v>
      </c>
      <c r="I994" s="65" t="str">
        <f t="shared" si="16"/>
        <v/>
      </c>
      <c r="J994" s="66" t="str">
        <f>IF($H994=1,'Event summary'!C994,"")</f>
        <v/>
      </c>
      <c r="K994" s="66" t="str">
        <f>IF($H994=1,'Event summary'!D994,"")</f>
        <v/>
      </c>
    </row>
    <row r="995" spans="7:11" x14ac:dyDescent="0.2">
      <c r="G995" s="46">
        <f>'Event summary'!A995</f>
        <v>995</v>
      </c>
      <c r="H995" s="43">
        <f>MIN(TYPE(SEARCH($E$2,'Event summary'!C995)),TYPE(SEARCH($E$2,'Event summary'!D995)))</f>
        <v>16</v>
      </c>
      <c r="I995" s="65" t="str">
        <f t="shared" si="16"/>
        <v/>
      </c>
      <c r="J995" s="66" t="str">
        <f>IF($H995=1,'Event summary'!C995,"")</f>
        <v/>
      </c>
      <c r="K995" s="66" t="str">
        <f>IF($H995=1,'Event summary'!D995,"")</f>
        <v/>
      </c>
    </row>
    <row r="996" spans="7:11" x14ac:dyDescent="0.2">
      <c r="G996" s="46">
        <f>'Event summary'!A996</f>
        <v>996</v>
      </c>
      <c r="H996" s="43">
        <f>MIN(TYPE(SEARCH($E$2,'Event summary'!C996)),TYPE(SEARCH($E$2,'Event summary'!D996)))</f>
        <v>16</v>
      </c>
      <c r="I996" s="65" t="str">
        <f t="shared" si="16"/>
        <v/>
      </c>
      <c r="J996" s="66" t="str">
        <f>IF($H996=1,'Event summary'!C996,"")</f>
        <v/>
      </c>
      <c r="K996" s="66" t="str">
        <f>IF($H996=1,'Event summary'!D996,"")</f>
        <v/>
      </c>
    </row>
    <row r="997" spans="7:11" x14ac:dyDescent="0.2">
      <c r="G997" s="46">
        <f>'Event summary'!A997</f>
        <v>997</v>
      </c>
      <c r="H997" s="43">
        <f>MIN(TYPE(SEARCH($E$2,'Event summary'!C997)),TYPE(SEARCH($E$2,'Event summary'!D997)))</f>
        <v>16</v>
      </c>
      <c r="I997" s="65" t="str">
        <f t="shared" si="16"/>
        <v/>
      </c>
      <c r="J997" s="66" t="str">
        <f>IF($H997=1,'Event summary'!C997,"")</f>
        <v/>
      </c>
      <c r="K997" s="66" t="str">
        <f>IF($H997=1,'Event summary'!D997,"")</f>
        <v/>
      </c>
    </row>
    <row r="998" spans="7:11" x14ac:dyDescent="0.2">
      <c r="G998" s="46">
        <f>'Event summary'!A998</f>
        <v>998</v>
      </c>
      <c r="H998" s="43">
        <f>MIN(TYPE(SEARCH($E$2,'Event summary'!C998)),TYPE(SEARCH($E$2,'Event summary'!D998)))</f>
        <v>16</v>
      </c>
      <c r="I998" s="65" t="str">
        <f t="shared" si="16"/>
        <v/>
      </c>
      <c r="J998" s="66" t="str">
        <f>IF($H998=1,'Event summary'!C998,"")</f>
        <v/>
      </c>
      <c r="K998" s="66" t="str">
        <f>IF($H998=1,'Event summary'!D998,"")</f>
        <v/>
      </c>
    </row>
    <row r="999" spans="7:11" x14ac:dyDescent="0.2">
      <c r="G999" s="46">
        <f>'Event summary'!A999</f>
        <v>999</v>
      </c>
      <c r="H999" s="43">
        <f>MIN(TYPE(SEARCH($E$2,'Event summary'!C999)),TYPE(SEARCH($E$2,'Event summary'!D999)))</f>
        <v>16</v>
      </c>
      <c r="I999" s="65" t="str">
        <f t="shared" si="16"/>
        <v/>
      </c>
      <c r="J999" s="66" t="str">
        <f>IF($H999=1,'Event summary'!C999,"")</f>
        <v/>
      </c>
      <c r="K999" s="66" t="str">
        <f>IF($H999=1,'Event summary'!D999,"")</f>
        <v/>
      </c>
    </row>
    <row r="1000" spans="7:11" x14ac:dyDescent="0.2">
      <c r="G1000" s="46">
        <f>'Event summary'!A1000</f>
        <v>1000</v>
      </c>
      <c r="H1000" s="43">
        <f>MIN(TYPE(SEARCH($E$2,'Event summary'!C1000)),TYPE(SEARCH($E$2,'Event summary'!D1000)))</f>
        <v>16</v>
      </c>
      <c r="I1000" s="65" t="str">
        <f t="shared" si="16"/>
        <v/>
      </c>
      <c r="J1000" s="66" t="str">
        <f>IF($H1000=1,'Event summary'!C1000,"")</f>
        <v/>
      </c>
      <c r="K1000" s="66" t="str">
        <f>IF($H1000=1,'Event summary'!D1000,"")</f>
        <v/>
      </c>
    </row>
    <row r="1001" spans="7:11" x14ac:dyDescent="0.2">
      <c r="G1001" s="46">
        <f>'Event summary'!A1001</f>
        <v>1001</v>
      </c>
      <c r="H1001" s="43">
        <f>MIN(TYPE(SEARCH($E$2,'Event summary'!C1001)),TYPE(SEARCH($E$2,'Event summary'!D1001)))</f>
        <v>16</v>
      </c>
      <c r="I1001" s="65" t="str">
        <f t="shared" si="16"/>
        <v/>
      </c>
      <c r="J1001" s="66" t="str">
        <f>IF($H1001=1,'Event summary'!C1001,"")</f>
        <v/>
      </c>
      <c r="K1001" s="66" t="str">
        <f>IF($H1001=1,'Event summary'!D1001,"")</f>
        <v/>
      </c>
    </row>
    <row r="1002" spans="7:11" x14ac:dyDescent="0.2">
      <c r="G1002" s="46">
        <f>'Event summary'!A1002</f>
        <v>1002</v>
      </c>
      <c r="H1002" s="43">
        <f>MIN(TYPE(SEARCH($E$2,'Event summary'!C1002)),TYPE(SEARCH($E$2,'Event summary'!D1002)))</f>
        <v>16</v>
      </c>
      <c r="I1002" s="65" t="str">
        <f t="shared" si="16"/>
        <v/>
      </c>
      <c r="J1002" s="66" t="str">
        <f>IF($H1002=1,'Event summary'!C1002,"")</f>
        <v/>
      </c>
      <c r="K1002" s="66" t="str">
        <f>IF($H1002=1,'Event summary'!D1002,"")</f>
        <v/>
      </c>
    </row>
    <row r="1003" spans="7:11" x14ac:dyDescent="0.2">
      <c r="G1003" s="46">
        <f>'Event summary'!A1003</f>
        <v>1003</v>
      </c>
      <c r="H1003" s="43">
        <f>MIN(TYPE(SEARCH($E$2,'Event summary'!C1003)),TYPE(SEARCH($E$2,'Event summary'!D1003)))</f>
        <v>16</v>
      </c>
      <c r="I1003" s="65" t="str">
        <f t="shared" ref="I1003:I1066" si="17">IF(H1003=1,$E$2,"")</f>
        <v/>
      </c>
      <c r="J1003" s="66" t="str">
        <f>IF($H1003=1,'Event summary'!C1003,"")</f>
        <v/>
      </c>
      <c r="K1003" s="66" t="str">
        <f>IF($H1003=1,'Event summary'!D1003,"")</f>
        <v/>
      </c>
    </row>
    <row r="1004" spans="7:11" x14ac:dyDescent="0.2">
      <c r="G1004" s="46">
        <f>'Event summary'!A1004</f>
        <v>1004</v>
      </c>
      <c r="H1004" s="43">
        <f>MIN(TYPE(SEARCH($E$2,'Event summary'!C1004)),TYPE(SEARCH($E$2,'Event summary'!D1004)))</f>
        <v>16</v>
      </c>
      <c r="I1004" s="65" t="str">
        <f t="shared" si="17"/>
        <v/>
      </c>
      <c r="J1004" s="66" t="str">
        <f>IF($H1004=1,'Event summary'!C1004,"")</f>
        <v/>
      </c>
      <c r="K1004" s="66" t="str">
        <f>IF($H1004=1,'Event summary'!D1004,"")</f>
        <v/>
      </c>
    </row>
    <row r="1005" spans="7:11" x14ac:dyDescent="0.2">
      <c r="G1005" s="46">
        <f>'Event summary'!A1005</f>
        <v>1005</v>
      </c>
      <c r="H1005" s="43">
        <f>MIN(TYPE(SEARCH($E$2,'Event summary'!C1005)),TYPE(SEARCH($E$2,'Event summary'!D1005)))</f>
        <v>16</v>
      </c>
      <c r="I1005" s="65" t="str">
        <f t="shared" si="17"/>
        <v/>
      </c>
      <c r="J1005" s="66" t="str">
        <f>IF($H1005=1,'Event summary'!C1005,"")</f>
        <v/>
      </c>
      <c r="K1005" s="66" t="str">
        <f>IF($H1005=1,'Event summary'!D1005,"")</f>
        <v/>
      </c>
    </row>
    <row r="1006" spans="7:11" x14ac:dyDescent="0.2">
      <c r="G1006" s="46">
        <f>'Event summary'!A1006</f>
        <v>1006</v>
      </c>
      <c r="H1006" s="43">
        <f>MIN(TYPE(SEARCH($E$2,'Event summary'!C1006)),TYPE(SEARCH($E$2,'Event summary'!D1006)))</f>
        <v>16</v>
      </c>
      <c r="I1006" s="65" t="str">
        <f t="shared" si="17"/>
        <v/>
      </c>
      <c r="J1006" s="66" t="str">
        <f>IF($H1006=1,'Event summary'!C1006,"")</f>
        <v/>
      </c>
      <c r="K1006" s="66" t="str">
        <f>IF($H1006=1,'Event summary'!D1006,"")</f>
        <v/>
      </c>
    </row>
    <row r="1007" spans="7:11" x14ac:dyDescent="0.2">
      <c r="G1007" s="46">
        <f>'Event summary'!A1007</f>
        <v>1007</v>
      </c>
      <c r="H1007" s="43">
        <f>MIN(TYPE(SEARCH($E$2,'Event summary'!C1007)),TYPE(SEARCH($E$2,'Event summary'!D1007)))</f>
        <v>16</v>
      </c>
      <c r="I1007" s="65" t="str">
        <f t="shared" si="17"/>
        <v/>
      </c>
      <c r="J1007" s="66" t="str">
        <f>IF($H1007=1,'Event summary'!C1007,"")</f>
        <v/>
      </c>
      <c r="K1007" s="66" t="str">
        <f>IF($H1007=1,'Event summary'!D1007,"")</f>
        <v/>
      </c>
    </row>
    <row r="1008" spans="7:11" x14ac:dyDescent="0.2">
      <c r="G1008" s="46">
        <f>'Event summary'!A1008</f>
        <v>1008</v>
      </c>
      <c r="H1008" s="43">
        <f>MIN(TYPE(SEARCH($E$2,'Event summary'!C1008)),TYPE(SEARCH($E$2,'Event summary'!D1008)))</f>
        <v>16</v>
      </c>
      <c r="I1008" s="65" t="str">
        <f t="shared" si="17"/>
        <v/>
      </c>
      <c r="J1008" s="66" t="str">
        <f>IF($H1008=1,'Event summary'!C1008,"")</f>
        <v/>
      </c>
      <c r="K1008" s="66" t="str">
        <f>IF($H1008=1,'Event summary'!D1008,"")</f>
        <v/>
      </c>
    </row>
    <row r="1009" spans="7:11" x14ac:dyDescent="0.2">
      <c r="G1009" s="46">
        <f>'Event summary'!A1009</f>
        <v>1009</v>
      </c>
      <c r="H1009" s="43">
        <f>MIN(TYPE(SEARCH($E$2,'Event summary'!C1009)),TYPE(SEARCH($E$2,'Event summary'!D1009)))</f>
        <v>16</v>
      </c>
      <c r="I1009" s="65" t="str">
        <f t="shared" si="17"/>
        <v/>
      </c>
      <c r="J1009" s="66" t="str">
        <f>IF($H1009=1,'Event summary'!C1009,"")</f>
        <v/>
      </c>
      <c r="K1009" s="66" t="str">
        <f>IF($H1009=1,'Event summary'!D1009,"")</f>
        <v/>
      </c>
    </row>
    <row r="1010" spans="7:11" x14ac:dyDescent="0.2">
      <c r="G1010" s="46">
        <f>'Event summary'!A1010</f>
        <v>1010</v>
      </c>
      <c r="H1010" s="43">
        <f>MIN(TYPE(SEARCH($E$2,'Event summary'!C1010)),TYPE(SEARCH($E$2,'Event summary'!D1010)))</f>
        <v>16</v>
      </c>
      <c r="I1010" s="65" t="str">
        <f t="shared" si="17"/>
        <v/>
      </c>
      <c r="J1010" s="66" t="str">
        <f>IF($H1010=1,'Event summary'!C1010,"")</f>
        <v/>
      </c>
      <c r="K1010" s="66" t="str">
        <f>IF($H1010=1,'Event summary'!D1010,"")</f>
        <v/>
      </c>
    </row>
    <row r="1011" spans="7:11" x14ac:dyDescent="0.2">
      <c r="G1011" s="46">
        <f>'Event summary'!A1011</f>
        <v>1011</v>
      </c>
      <c r="H1011" s="43">
        <f>MIN(TYPE(SEARCH($E$2,'Event summary'!C1011)),TYPE(SEARCH($E$2,'Event summary'!D1011)))</f>
        <v>16</v>
      </c>
      <c r="I1011" s="65" t="str">
        <f t="shared" si="17"/>
        <v/>
      </c>
      <c r="J1011" s="66" t="str">
        <f>IF($H1011=1,'Event summary'!C1011,"")</f>
        <v/>
      </c>
      <c r="K1011" s="66" t="str">
        <f>IF($H1011=1,'Event summary'!D1011,"")</f>
        <v/>
      </c>
    </row>
    <row r="1012" spans="7:11" x14ac:dyDescent="0.2">
      <c r="G1012" s="46">
        <f>'Event summary'!A1012</f>
        <v>1012</v>
      </c>
      <c r="H1012" s="43">
        <f>MIN(TYPE(SEARCH($E$2,'Event summary'!C1012)),TYPE(SEARCH($E$2,'Event summary'!D1012)))</f>
        <v>16</v>
      </c>
      <c r="I1012" s="65" t="str">
        <f t="shared" si="17"/>
        <v/>
      </c>
      <c r="J1012" s="66" t="str">
        <f>IF($H1012=1,'Event summary'!C1012,"")</f>
        <v/>
      </c>
      <c r="K1012" s="66" t="str">
        <f>IF($H1012=1,'Event summary'!D1012,"")</f>
        <v/>
      </c>
    </row>
    <row r="1013" spans="7:11" x14ac:dyDescent="0.2">
      <c r="G1013" s="46">
        <f>'Event summary'!A1013</f>
        <v>1013</v>
      </c>
      <c r="H1013" s="43">
        <f>MIN(TYPE(SEARCH($E$2,'Event summary'!C1013)),TYPE(SEARCH($E$2,'Event summary'!D1013)))</f>
        <v>16</v>
      </c>
      <c r="I1013" s="65" t="str">
        <f t="shared" si="17"/>
        <v/>
      </c>
      <c r="J1013" s="66" t="str">
        <f>IF($H1013=1,'Event summary'!C1013,"")</f>
        <v/>
      </c>
      <c r="K1013" s="66" t="str">
        <f>IF($H1013=1,'Event summary'!D1013,"")</f>
        <v/>
      </c>
    </row>
    <row r="1014" spans="7:11" x14ac:dyDescent="0.2">
      <c r="G1014" s="46">
        <f>'Event summary'!A1014</f>
        <v>1014</v>
      </c>
      <c r="H1014" s="43">
        <f>MIN(TYPE(SEARCH($E$2,'Event summary'!C1014)),TYPE(SEARCH($E$2,'Event summary'!D1014)))</f>
        <v>16</v>
      </c>
      <c r="I1014" s="65" t="str">
        <f t="shared" si="17"/>
        <v/>
      </c>
      <c r="J1014" s="66" t="str">
        <f>IF($H1014=1,'Event summary'!C1014,"")</f>
        <v/>
      </c>
      <c r="K1014" s="66" t="str">
        <f>IF($H1014=1,'Event summary'!D1014,"")</f>
        <v/>
      </c>
    </row>
    <row r="1015" spans="7:11" x14ac:dyDescent="0.2">
      <c r="G1015" s="46">
        <f>'Event summary'!A1015</f>
        <v>1015</v>
      </c>
      <c r="H1015" s="43">
        <f>MIN(TYPE(SEARCH($E$2,'Event summary'!C1015)),TYPE(SEARCH($E$2,'Event summary'!D1015)))</f>
        <v>16</v>
      </c>
      <c r="I1015" s="65" t="str">
        <f t="shared" si="17"/>
        <v/>
      </c>
      <c r="J1015" s="66" t="str">
        <f>IF($H1015=1,'Event summary'!C1015,"")</f>
        <v/>
      </c>
      <c r="K1015" s="66" t="str">
        <f>IF($H1015=1,'Event summary'!D1015,"")</f>
        <v/>
      </c>
    </row>
    <row r="1016" spans="7:11" x14ac:dyDescent="0.2">
      <c r="G1016" s="46">
        <f>'Event summary'!A1016</f>
        <v>1016</v>
      </c>
      <c r="H1016" s="43">
        <f>MIN(TYPE(SEARCH($E$2,'Event summary'!C1016)),TYPE(SEARCH($E$2,'Event summary'!D1016)))</f>
        <v>16</v>
      </c>
      <c r="I1016" s="65" t="str">
        <f t="shared" si="17"/>
        <v/>
      </c>
      <c r="J1016" s="66" t="str">
        <f>IF($H1016=1,'Event summary'!C1016,"")</f>
        <v/>
      </c>
      <c r="K1016" s="66" t="str">
        <f>IF($H1016=1,'Event summary'!D1016,"")</f>
        <v/>
      </c>
    </row>
    <row r="1017" spans="7:11" x14ac:dyDescent="0.2">
      <c r="G1017" s="46">
        <f>'Event summary'!A1017</f>
        <v>1017</v>
      </c>
      <c r="H1017" s="43">
        <f>MIN(TYPE(SEARCH($E$2,'Event summary'!C1017)),TYPE(SEARCH($E$2,'Event summary'!D1017)))</f>
        <v>16</v>
      </c>
      <c r="I1017" s="65" t="str">
        <f t="shared" si="17"/>
        <v/>
      </c>
      <c r="J1017" s="66" t="str">
        <f>IF($H1017=1,'Event summary'!C1017,"")</f>
        <v/>
      </c>
      <c r="K1017" s="66" t="str">
        <f>IF($H1017=1,'Event summary'!D1017,"")</f>
        <v/>
      </c>
    </row>
    <row r="1018" spans="7:11" x14ac:dyDescent="0.2">
      <c r="G1018" s="46">
        <f>'Event summary'!A1018</f>
        <v>1018</v>
      </c>
      <c r="H1018" s="43">
        <f>MIN(TYPE(SEARCH($E$2,'Event summary'!C1018)),TYPE(SEARCH($E$2,'Event summary'!D1018)))</f>
        <v>16</v>
      </c>
      <c r="I1018" s="65" t="str">
        <f t="shared" si="17"/>
        <v/>
      </c>
      <c r="J1018" s="66" t="str">
        <f>IF($H1018=1,'Event summary'!C1018,"")</f>
        <v/>
      </c>
      <c r="K1018" s="66" t="str">
        <f>IF($H1018=1,'Event summary'!D1018,"")</f>
        <v/>
      </c>
    </row>
    <row r="1019" spans="7:11" x14ac:dyDescent="0.2">
      <c r="G1019" s="46">
        <f>'Event summary'!A1019</f>
        <v>1019</v>
      </c>
      <c r="H1019" s="43">
        <f>MIN(TYPE(SEARCH($E$2,'Event summary'!C1019)),TYPE(SEARCH($E$2,'Event summary'!D1019)))</f>
        <v>16</v>
      </c>
      <c r="I1019" s="65" t="str">
        <f t="shared" si="17"/>
        <v/>
      </c>
      <c r="J1019" s="66" t="str">
        <f>IF($H1019=1,'Event summary'!C1019,"")</f>
        <v/>
      </c>
      <c r="K1019" s="66" t="str">
        <f>IF($H1019=1,'Event summary'!D1019,"")</f>
        <v/>
      </c>
    </row>
    <row r="1020" spans="7:11" x14ac:dyDescent="0.2">
      <c r="G1020" s="46">
        <f>'Event summary'!A1020</f>
        <v>1020</v>
      </c>
      <c r="H1020" s="43">
        <f>MIN(TYPE(SEARCH($E$2,'Event summary'!C1020)),TYPE(SEARCH($E$2,'Event summary'!D1020)))</f>
        <v>16</v>
      </c>
      <c r="I1020" s="65" t="str">
        <f t="shared" si="17"/>
        <v/>
      </c>
      <c r="J1020" s="66" t="str">
        <f>IF($H1020=1,'Event summary'!C1020,"")</f>
        <v/>
      </c>
      <c r="K1020" s="66" t="str">
        <f>IF($H1020=1,'Event summary'!D1020,"")</f>
        <v/>
      </c>
    </row>
    <row r="1021" spans="7:11" x14ac:dyDescent="0.2">
      <c r="G1021" s="46">
        <f>'Event summary'!A1021</f>
        <v>1021</v>
      </c>
      <c r="H1021" s="43">
        <f>MIN(TYPE(SEARCH($E$2,'Event summary'!C1021)),TYPE(SEARCH($E$2,'Event summary'!D1021)))</f>
        <v>16</v>
      </c>
      <c r="I1021" s="65" t="str">
        <f t="shared" si="17"/>
        <v/>
      </c>
      <c r="J1021" s="66" t="str">
        <f>IF($H1021=1,'Event summary'!C1021,"")</f>
        <v/>
      </c>
      <c r="K1021" s="66" t="str">
        <f>IF($H1021=1,'Event summary'!D1021,"")</f>
        <v/>
      </c>
    </row>
    <row r="1022" spans="7:11" x14ac:dyDescent="0.2">
      <c r="G1022" s="46">
        <f>'Event summary'!A1022</f>
        <v>1022</v>
      </c>
      <c r="H1022" s="43">
        <f>MIN(TYPE(SEARCH($E$2,'Event summary'!C1022)),TYPE(SEARCH($E$2,'Event summary'!D1022)))</f>
        <v>16</v>
      </c>
      <c r="I1022" s="65" t="str">
        <f t="shared" si="17"/>
        <v/>
      </c>
      <c r="J1022" s="66" t="str">
        <f>IF($H1022=1,'Event summary'!C1022,"")</f>
        <v/>
      </c>
      <c r="K1022" s="66" t="str">
        <f>IF($H1022=1,'Event summary'!D1022,"")</f>
        <v/>
      </c>
    </row>
    <row r="1023" spans="7:11" x14ac:dyDescent="0.2">
      <c r="G1023" s="46">
        <f>'Event summary'!A1023</f>
        <v>1023</v>
      </c>
      <c r="H1023" s="43">
        <f>MIN(TYPE(SEARCH($E$2,'Event summary'!C1023)),TYPE(SEARCH($E$2,'Event summary'!D1023)))</f>
        <v>16</v>
      </c>
      <c r="I1023" s="65" t="str">
        <f t="shared" si="17"/>
        <v/>
      </c>
      <c r="J1023" s="66" t="str">
        <f>IF($H1023=1,'Event summary'!C1023,"")</f>
        <v/>
      </c>
      <c r="K1023" s="66" t="str">
        <f>IF($H1023=1,'Event summary'!D1023,"")</f>
        <v/>
      </c>
    </row>
    <row r="1024" spans="7:11" x14ac:dyDescent="0.2">
      <c r="G1024" s="46">
        <f>'Event summary'!A1024</f>
        <v>1024</v>
      </c>
      <c r="H1024" s="43">
        <f>MIN(TYPE(SEARCH($E$2,'Event summary'!C1024)),TYPE(SEARCH($E$2,'Event summary'!D1024)))</f>
        <v>16</v>
      </c>
      <c r="I1024" s="65" t="str">
        <f t="shared" si="17"/>
        <v/>
      </c>
      <c r="J1024" s="66" t="str">
        <f>IF($H1024=1,'Event summary'!C1024,"")</f>
        <v/>
      </c>
      <c r="K1024" s="66" t="str">
        <f>IF($H1024=1,'Event summary'!D1024,"")</f>
        <v/>
      </c>
    </row>
    <row r="1025" spans="7:11" x14ac:dyDescent="0.2">
      <c r="G1025" s="46">
        <f>'Event summary'!A1025</f>
        <v>1025</v>
      </c>
      <c r="H1025" s="43">
        <f>MIN(TYPE(SEARCH($E$2,'Event summary'!C1025)),TYPE(SEARCH($E$2,'Event summary'!D1025)))</f>
        <v>16</v>
      </c>
      <c r="I1025" s="65" t="str">
        <f t="shared" si="17"/>
        <v/>
      </c>
      <c r="J1025" s="66" t="str">
        <f>IF($H1025=1,'Event summary'!C1025,"")</f>
        <v/>
      </c>
      <c r="K1025" s="66" t="str">
        <f>IF($H1025=1,'Event summary'!D1025,"")</f>
        <v/>
      </c>
    </row>
    <row r="1026" spans="7:11" x14ac:dyDescent="0.2">
      <c r="G1026" s="46">
        <f>'Event summary'!A1026</f>
        <v>1026</v>
      </c>
      <c r="H1026" s="43">
        <f>MIN(TYPE(SEARCH($E$2,'Event summary'!C1026)),TYPE(SEARCH($E$2,'Event summary'!D1026)))</f>
        <v>16</v>
      </c>
      <c r="I1026" s="65" t="str">
        <f t="shared" si="17"/>
        <v/>
      </c>
      <c r="J1026" s="66" t="str">
        <f>IF($H1026=1,'Event summary'!C1026,"")</f>
        <v/>
      </c>
      <c r="K1026" s="66" t="str">
        <f>IF($H1026=1,'Event summary'!D1026,"")</f>
        <v/>
      </c>
    </row>
    <row r="1027" spans="7:11" x14ac:dyDescent="0.2">
      <c r="G1027" s="46">
        <f>'Event summary'!A1027</f>
        <v>1027</v>
      </c>
      <c r="H1027" s="43">
        <f>MIN(TYPE(SEARCH($E$2,'Event summary'!C1027)),TYPE(SEARCH($E$2,'Event summary'!D1027)))</f>
        <v>16</v>
      </c>
      <c r="I1027" s="65" t="str">
        <f t="shared" si="17"/>
        <v/>
      </c>
      <c r="J1027" s="66" t="str">
        <f>IF($H1027=1,'Event summary'!C1027,"")</f>
        <v/>
      </c>
      <c r="K1027" s="66" t="str">
        <f>IF($H1027=1,'Event summary'!D1027,"")</f>
        <v/>
      </c>
    </row>
    <row r="1028" spans="7:11" x14ac:dyDescent="0.2">
      <c r="G1028" s="46">
        <f>'Event summary'!A1028</f>
        <v>1028</v>
      </c>
      <c r="H1028" s="43">
        <f>MIN(TYPE(SEARCH($E$2,'Event summary'!C1028)),TYPE(SEARCH($E$2,'Event summary'!D1028)))</f>
        <v>16</v>
      </c>
      <c r="I1028" s="65" t="str">
        <f t="shared" si="17"/>
        <v/>
      </c>
      <c r="J1028" s="66" t="str">
        <f>IF($H1028=1,'Event summary'!C1028,"")</f>
        <v/>
      </c>
      <c r="K1028" s="66" t="str">
        <f>IF($H1028=1,'Event summary'!D1028,"")</f>
        <v/>
      </c>
    </row>
    <row r="1029" spans="7:11" x14ac:dyDescent="0.2">
      <c r="G1029" s="46">
        <f>'Event summary'!A1029</f>
        <v>1029</v>
      </c>
      <c r="H1029" s="43">
        <f>MIN(TYPE(SEARCH($E$2,'Event summary'!C1029)),TYPE(SEARCH($E$2,'Event summary'!D1029)))</f>
        <v>16</v>
      </c>
      <c r="I1029" s="65" t="str">
        <f t="shared" si="17"/>
        <v/>
      </c>
      <c r="J1029" s="66" t="str">
        <f>IF($H1029=1,'Event summary'!C1029,"")</f>
        <v/>
      </c>
      <c r="K1029" s="66" t="str">
        <f>IF($H1029=1,'Event summary'!D1029,"")</f>
        <v/>
      </c>
    </row>
    <row r="1030" spans="7:11" x14ac:dyDescent="0.2">
      <c r="G1030" s="46">
        <f>'Event summary'!A1030</f>
        <v>1030</v>
      </c>
      <c r="H1030" s="43">
        <f>MIN(TYPE(SEARCH($E$2,'Event summary'!C1030)),TYPE(SEARCH($E$2,'Event summary'!D1030)))</f>
        <v>16</v>
      </c>
      <c r="I1030" s="65" t="str">
        <f t="shared" si="17"/>
        <v/>
      </c>
      <c r="J1030" s="66" t="str">
        <f>IF($H1030=1,'Event summary'!C1030,"")</f>
        <v/>
      </c>
      <c r="K1030" s="66" t="str">
        <f>IF($H1030=1,'Event summary'!D1030,"")</f>
        <v/>
      </c>
    </row>
    <row r="1031" spans="7:11" x14ac:dyDescent="0.2">
      <c r="G1031" s="46">
        <f>'Event summary'!A1031</f>
        <v>1031</v>
      </c>
      <c r="H1031" s="43">
        <f>MIN(TYPE(SEARCH($E$2,'Event summary'!C1031)),TYPE(SEARCH($E$2,'Event summary'!D1031)))</f>
        <v>16</v>
      </c>
      <c r="I1031" s="65" t="str">
        <f t="shared" si="17"/>
        <v/>
      </c>
      <c r="J1031" s="66" t="str">
        <f>IF($H1031=1,'Event summary'!C1031,"")</f>
        <v/>
      </c>
      <c r="K1031" s="66" t="str">
        <f>IF($H1031=1,'Event summary'!D1031,"")</f>
        <v/>
      </c>
    </row>
    <row r="1032" spans="7:11" x14ac:dyDescent="0.2">
      <c r="G1032" s="46">
        <f>'Event summary'!A1032</f>
        <v>1032</v>
      </c>
      <c r="H1032" s="43">
        <f>MIN(TYPE(SEARCH($E$2,'Event summary'!C1032)),TYPE(SEARCH($E$2,'Event summary'!D1032)))</f>
        <v>16</v>
      </c>
      <c r="I1032" s="65" t="str">
        <f t="shared" si="17"/>
        <v/>
      </c>
      <c r="J1032" s="66" t="str">
        <f>IF($H1032=1,'Event summary'!C1032,"")</f>
        <v/>
      </c>
      <c r="K1032" s="66" t="str">
        <f>IF($H1032=1,'Event summary'!D1032,"")</f>
        <v/>
      </c>
    </row>
    <row r="1033" spans="7:11" x14ac:dyDescent="0.2">
      <c r="G1033" s="46">
        <f>'Event summary'!A1033</f>
        <v>1033</v>
      </c>
      <c r="H1033" s="43">
        <f>MIN(TYPE(SEARCH($E$2,'Event summary'!C1033)),TYPE(SEARCH($E$2,'Event summary'!D1033)))</f>
        <v>16</v>
      </c>
      <c r="I1033" s="65" t="str">
        <f t="shared" si="17"/>
        <v/>
      </c>
      <c r="J1033" s="66" t="str">
        <f>IF($H1033=1,'Event summary'!C1033,"")</f>
        <v/>
      </c>
      <c r="K1033" s="66" t="str">
        <f>IF($H1033=1,'Event summary'!D1033,"")</f>
        <v/>
      </c>
    </row>
    <row r="1034" spans="7:11" x14ac:dyDescent="0.2">
      <c r="G1034" s="46">
        <f>'Event summary'!A1034</f>
        <v>1034</v>
      </c>
      <c r="H1034" s="43">
        <f>MIN(TYPE(SEARCH($E$2,'Event summary'!C1034)),TYPE(SEARCH($E$2,'Event summary'!D1034)))</f>
        <v>16</v>
      </c>
      <c r="I1034" s="65" t="str">
        <f t="shared" si="17"/>
        <v/>
      </c>
      <c r="J1034" s="66" t="str">
        <f>IF($H1034=1,'Event summary'!C1034,"")</f>
        <v/>
      </c>
      <c r="K1034" s="66" t="str">
        <f>IF($H1034=1,'Event summary'!D1034,"")</f>
        <v/>
      </c>
    </row>
    <row r="1035" spans="7:11" x14ac:dyDescent="0.2">
      <c r="G1035" s="46">
        <f>'Event summary'!A1035</f>
        <v>1035</v>
      </c>
      <c r="H1035" s="43">
        <f>MIN(TYPE(SEARCH($E$2,'Event summary'!C1035)),TYPE(SEARCH($E$2,'Event summary'!D1035)))</f>
        <v>16</v>
      </c>
      <c r="I1035" s="65" t="str">
        <f t="shared" si="17"/>
        <v/>
      </c>
      <c r="J1035" s="66" t="str">
        <f>IF($H1035=1,'Event summary'!C1035,"")</f>
        <v/>
      </c>
      <c r="K1035" s="66" t="str">
        <f>IF($H1035=1,'Event summary'!D1035,"")</f>
        <v/>
      </c>
    </row>
    <row r="1036" spans="7:11" x14ac:dyDescent="0.2">
      <c r="G1036" s="46">
        <f>'Event summary'!A1036</f>
        <v>1036</v>
      </c>
      <c r="H1036" s="43">
        <f>MIN(TYPE(SEARCH($E$2,'Event summary'!C1036)),TYPE(SEARCH($E$2,'Event summary'!D1036)))</f>
        <v>16</v>
      </c>
      <c r="I1036" s="65" t="str">
        <f t="shared" si="17"/>
        <v/>
      </c>
      <c r="J1036" s="66" t="str">
        <f>IF($H1036=1,'Event summary'!C1036,"")</f>
        <v/>
      </c>
      <c r="K1036" s="66" t="str">
        <f>IF($H1036=1,'Event summary'!D1036,"")</f>
        <v/>
      </c>
    </row>
    <row r="1037" spans="7:11" x14ac:dyDescent="0.2">
      <c r="G1037" s="46">
        <f>'Event summary'!A1037</f>
        <v>1037</v>
      </c>
      <c r="H1037" s="43">
        <f>MIN(TYPE(SEARCH($E$2,'Event summary'!C1037)),TYPE(SEARCH($E$2,'Event summary'!D1037)))</f>
        <v>16</v>
      </c>
      <c r="I1037" s="65" t="str">
        <f t="shared" si="17"/>
        <v/>
      </c>
      <c r="J1037" s="66" t="str">
        <f>IF($H1037=1,'Event summary'!C1037,"")</f>
        <v/>
      </c>
      <c r="K1037" s="66" t="str">
        <f>IF($H1037=1,'Event summary'!D1037,"")</f>
        <v/>
      </c>
    </row>
    <row r="1038" spans="7:11" x14ac:dyDescent="0.2">
      <c r="G1038" s="46">
        <f>'Event summary'!A1038</f>
        <v>1038</v>
      </c>
      <c r="H1038" s="43">
        <f>MIN(TYPE(SEARCH($E$2,'Event summary'!C1038)),TYPE(SEARCH($E$2,'Event summary'!D1038)))</f>
        <v>16</v>
      </c>
      <c r="I1038" s="65" t="str">
        <f t="shared" si="17"/>
        <v/>
      </c>
      <c r="J1038" s="66" t="str">
        <f>IF($H1038=1,'Event summary'!C1038,"")</f>
        <v/>
      </c>
      <c r="K1038" s="66" t="str">
        <f>IF($H1038=1,'Event summary'!D1038,"")</f>
        <v/>
      </c>
    </row>
    <row r="1039" spans="7:11" x14ac:dyDescent="0.2">
      <c r="G1039" s="46">
        <f>'Event summary'!A1039</f>
        <v>1039</v>
      </c>
      <c r="H1039" s="43">
        <f>MIN(TYPE(SEARCH($E$2,'Event summary'!C1039)),TYPE(SEARCH($E$2,'Event summary'!D1039)))</f>
        <v>16</v>
      </c>
      <c r="I1039" s="65" t="str">
        <f t="shared" si="17"/>
        <v/>
      </c>
      <c r="J1039" s="66" t="str">
        <f>IF($H1039=1,'Event summary'!C1039,"")</f>
        <v/>
      </c>
      <c r="K1039" s="66" t="str">
        <f>IF($H1039=1,'Event summary'!D1039,"")</f>
        <v/>
      </c>
    </row>
    <row r="1040" spans="7:11" x14ac:dyDescent="0.2">
      <c r="G1040" s="46">
        <f>'Event summary'!A1040</f>
        <v>1040</v>
      </c>
      <c r="H1040" s="43">
        <f>MIN(TYPE(SEARCH($E$2,'Event summary'!C1040)),TYPE(SEARCH($E$2,'Event summary'!D1040)))</f>
        <v>16</v>
      </c>
      <c r="I1040" s="65" t="str">
        <f t="shared" si="17"/>
        <v/>
      </c>
      <c r="J1040" s="66" t="str">
        <f>IF($H1040=1,'Event summary'!C1040,"")</f>
        <v/>
      </c>
      <c r="K1040" s="66" t="str">
        <f>IF($H1040=1,'Event summary'!D1040,"")</f>
        <v/>
      </c>
    </row>
    <row r="1041" spans="7:11" x14ac:dyDescent="0.2">
      <c r="G1041" s="46">
        <f>'Event summary'!A1041</f>
        <v>1041</v>
      </c>
      <c r="H1041" s="43">
        <f>MIN(TYPE(SEARCH($E$2,'Event summary'!C1041)),TYPE(SEARCH($E$2,'Event summary'!D1041)))</f>
        <v>16</v>
      </c>
      <c r="I1041" s="65" t="str">
        <f t="shared" si="17"/>
        <v/>
      </c>
      <c r="J1041" s="66" t="str">
        <f>IF($H1041=1,'Event summary'!C1041,"")</f>
        <v/>
      </c>
      <c r="K1041" s="66" t="str">
        <f>IF($H1041=1,'Event summary'!D1041,"")</f>
        <v/>
      </c>
    </row>
    <row r="1042" spans="7:11" x14ac:dyDescent="0.2">
      <c r="G1042" s="46">
        <f>'Event summary'!A1042</f>
        <v>1042</v>
      </c>
      <c r="H1042" s="43">
        <f>MIN(TYPE(SEARCH($E$2,'Event summary'!C1042)),TYPE(SEARCH($E$2,'Event summary'!D1042)))</f>
        <v>16</v>
      </c>
      <c r="I1042" s="65" t="str">
        <f t="shared" si="17"/>
        <v/>
      </c>
      <c r="J1042" s="66" t="str">
        <f>IF($H1042=1,'Event summary'!C1042,"")</f>
        <v/>
      </c>
      <c r="K1042" s="66" t="str">
        <f>IF($H1042=1,'Event summary'!D1042,"")</f>
        <v/>
      </c>
    </row>
    <row r="1043" spans="7:11" x14ac:dyDescent="0.2">
      <c r="G1043" s="46">
        <f>'Event summary'!A1043</f>
        <v>1043</v>
      </c>
      <c r="H1043" s="43">
        <f>MIN(TYPE(SEARCH($E$2,'Event summary'!C1043)),TYPE(SEARCH($E$2,'Event summary'!D1043)))</f>
        <v>16</v>
      </c>
      <c r="I1043" s="65" t="str">
        <f t="shared" si="17"/>
        <v/>
      </c>
      <c r="J1043" s="66" t="str">
        <f>IF($H1043=1,'Event summary'!C1043,"")</f>
        <v/>
      </c>
      <c r="K1043" s="66" t="str">
        <f>IF($H1043=1,'Event summary'!D1043,"")</f>
        <v/>
      </c>
    </row>
    <row r="1044" spans="7:11" x14ac:dyDescent="0.2">
      <c r="G1044" s="46">
        <f>'Event summary'!A1044</f>
        <v>1044</v>
      </c>
      <c r="H1044" s="43">
        <f>MIN(TYPE(SEARCH($E$2,'Event summary'!C1044)),TYPE(SEARCH($E$2,'Event summary'!D1044)))</f>
        <v>16</v>
      </c>
      <c r="I1044" s="65" t="str">
        <f t="shared" si="17"/>
        <v/>
      </c>
      <c r="J1044" s="66" t="str">
        <f>IF($H1044=1,'Event summary'!C1044,"")</f>
        <v/>
      </c>
      <c r="K1044" s="66" t="str">
        <f>IF($H1044=1,'Event summary'!D1044,"")</f>
        <v/>
      </c>
    </row>
    <row r="1045" spans="7:11" x14ac:dyDescent="0.2">
      <c r="G1045" s="46">
        <f>'Event summary'!A1045</f>
        <v>1045</v>
      </c>
      <c r="H1045" s="43">
        <f>MIN(TYPE(SEARCH($E$2,'Event summary'!C1045)),TYPE(SEARCH($E$2,'Event summary'!D1045)))</f>
        <v>16</v>
      </c>
      <c r="I1045" s="65" t="str">
        <f t="shared" si="17"/>
        <v/>
      </c>
      <c r="J1045" s="66" t="str">
        <f>IF($H1045=1,'Event summary'!C1045,"")</f>
        <v/>
      </c>
      <c r="K1045" s="66" t="str">
        <f>IF($H1045=1,'Event summary'!D1045,"")</f>
        <v/>
      </c>
    </row>
    <row r="1046" spans="7:11" x14ac:dyDescent="0.2">
      <c r="G1046" s="46">
        <f>'Event summary'!A1046</f>
        <v>1046</v>
      </c>
      <c r="H1046" s="43">
        <f>MIN(TYPE(SEARCH($E$2,'Event summary'!C1046)),TYPE(SEARCH($E$2,'Event summary'!D1046)))</f>
        <v>16</v>
      </c>
      <c r="I1046" s="65" t="str">
        <f t="shared" si="17"/>
        <v/>
      </c>
      <c r="J1046" s="66" t="str">
        <f>IF($H1046=1,'Event summary'!C1046,"")</f>
        <v/>
      </c>
      <c r="K1046" s="66" t="str">
        <f>IF($H1046=1,'Event summary'!D1046,"")</f>
        <v/>
      </c>
    </row>
    <row r="1047" spans="7:11" x14ac:dyDescent="0.2">
      <c r="G1047" s="46">
        <f>'Event summary'!A1047</f>
        <v>1047</v>
      </c>
      <c r="H1047" s="43">
        <f>MIN(TYPE(SEARCH($E$2,'Event summary'!C1047)),TYPE(SEARCH($E$2,'Event summary'!D1047)))</f>
        <v>16</v>
      </c>
      <c r="I1047" s="65" t="str">
        <f t="shared" si="17"/>
        <v/>
      </c>
      <c r="J1047" s="66" t="str">
        <f>IF($H1047=1,'Event summary'!C1047,"")</f>
        <v/>
      </c>
      <c r="K1047" s="66" t="str">
        <f>IF($H1047=1,'Event summary'!D1047,"")</f>
        <v/>
      </c>
    </row>
    <row r="1048" spans="7:11" x14ac:dyDescent="0.2">
      <c r="G1048" s="46">
        <f>'Event summary'!A1048</f>
        <v>1048</v>
      </c>
      <c r="H1048" s="43">
        <f>MIN(TYPE(SEARCH($E$2,'Event summary'!C1048)),TYPE(SEARCH($E$2,'Event summary'!D1048)))</f>
        <v>16</v>
      </c>
      <c r="I1048" s="65" t="str">
        <f t="shared" si="17"/>
        <v/>
      </c>
      <c r="J1048" s="66" t="str">
        <f>IF($H1048=1,'Event summary'!C1048,"")</f>
        <v/>
      </c>
      <c r="K1048" s="66" t="str">
        <f>IF($H1048=1,'Event summary'!D1048,"")</f>
        <v/>
      </c>
    </row>
    <row r="1049" spans="7:11" x14ac:dyDescent="0.2">
      <c r="G1049" s="46">
        <f>'Event summary'!A1049</f>
        <v>1049</v>
      </c>
      <c r="H1049" s="43">
        <f>MIN(TYPE(SEARCH($E$2,'Event summary'!C1049)),TYPE(SEARCH($E$2,'Event summary'!D1049)))</f>
        <v>16</v>
      </c>
      <c r="I1049" s="65" t="str">
        <f t="shared" si="17"/>
        <v/>
      </c>
      <c r="J1049" s="66" t="str">
        <f>IF($H1049=1,'Event summary'!C1049,"")</f>
        <v/>
      </c>
      <c r="K1049" s="66" t="str">
        <f>IF($H1049=1,'Event summary'!D1049,"")</f>
        <v/>
      </c>
    </row>
    <row r="1050" spans="7:11" x14ac:dyDescent="0.2">
      <c r="G1050" s="46">
        <f>'Event summary'!A1050</f>
        <v>1050</v>
      </c>
      <c r="H1050" s="43">
        <f>MIN(TYPE(SEARCH($E$2,'Event summary'!C1050)),TYPE(SEARCH($E$2,'Event summary'!D1050)))</f>
        <v>16</v>
      </c>
      <c r="I1050" s="65" t="str">
        <f t="shared" si="17"/>
        <v/>
      </c>
      <c r="J1050" s="66" t="str">
        <f>IF($H1050=1,'Event summary'!C1050,"")</f>
        <v/>
      </c>
      <c r="K1050" s="66" t="str">
        <f>IF($H1050=1,'Event summary'!D1050,"")</f>
        <v/>
      </c>
    </row>
    <row r="1051" spans="7:11" x14ac:dyDescent="0.2">
      <c r="G1051" s="46">
        <f>'Event summary'!A1051</f>
        <v>1051</v>
      </c>
      <c r="H1051" s="43">
        <f>MIN(TYPE(SEARCH($E$2,'Event summary'!C1051)),TYPE(SEARCH($E$2,'Event summary'!D1051)))</f>
        <v>16</v>
      </c>
      <c r="I1051" s="65" t="str">
        <f t="shared" si="17"/>
        <v/>
      </c>
      <c r="J1051" s="66" t="str">
        <f>IF($H1051=1,'Event summary'!C1051,"")</f>
        <v/>
      </c>
      <c r="K1051" s="66" t="str">
        <f>IF($H1051=1,'Event summary'!D1051,"")</f>
        <v/>
      </c>
    </row>
    <row r="1052" spans="7:11" x14ac:dyDescent="0.2">
      <c r="G1052" s="46">
        <f>'Event summary'!A1052</f>
        <v>1052</v>
      </c>
      <c r="H1052" s="43">
        <f>MIN(TYPE(SEARCH($E$2,'Event summary'!C1052)),TYPE(SEARCH($E$2,'Event summary'!D1052)))</f>
        <v>16</v>
      </c>
      <c r="I1052" s="65" t="str">
        <f t="shared" si="17"/>
        <v/>
      </c>
      <c r="J1052" s="66" t="str">
        <f>IF($H1052=1,'Event summary'!C1052,"")</f>
        <v/>
      </c>
      <c r="K1052" s="66" t="str">
        <f>IF($H1052=1,'Event summary'!D1052,"")</f>
        <v/>
      </c>
    </row>
    <row r="1053" spans="7:11" x14ac:dyDescent="0.2">
      <c r="G1053" s="46">
        <f>'Event summary'!A1053</f>
        <v>1053</v>
      </c>
      <c r="H1053" s="43">
        <f>MIN(TYPE(SEARCH($E$2,'Event summary'!C1053)),TYPE(SEARCH($E$2,'Event summary'!D1053)))</f>
        <v>16</v>
      </c>
      <c r="I1053" s="65" t="str">
        <f t="shared" si="17"/>
        <v/>
      </c>
      <c r="J1053" s="66" t="str">
        <f>IF($H1053=1,'Event summary'!C1053,"")</f>
        <v/>
      </c>
      <c r="K1053" s="66" t="str">
        <f>IF($H1053=1,'Event summary'!D1053,"")</f>
        <v/>
      </c>
    </row>
    <row r="1054" spans="7:11" x14ac:dyDescent="0.2">
      <c r="G1054" s="46">
        <f>'Event summary'!A1054</f>
        <v>1054</v>
      </c>
      <c r="H1054" s="43">
        <f>MIN(TYPE(SEARCH($E$2,'Event summary'!C1054)),TYPE(SEARCH($E$2,'Event summary'!D1054)))</f>
        <v>16</v>
      </c>
      <c r="I1054" s="65" t="str">
        <f t="shared" si="17"/>
        <v/>
      </c>
      <c r="J1054" s="66" t="str">
        <f>IF($H1054=1,'Event summary'!C1054,"")</f>
        <v/>
      </c>
      <c r="K1054" s="66" t="str">
        <f>IF($H1054=1,'Event summary'!D1054,"")</f>
        <v/>
      </c>
    </row>
    <row r="1055" spans="7:11" x14ac:dyDescent="0.2">
      <c r="G1055" s="46">
        <f>'Event summary'!A1055</f>
        <v>1055</v>
      </c>
      <c r="H1055" s="43">
        <f>MIN(TYPE(SEARCH($E$2,'Event summary'!C1055)),TYPE(SEARCH($E$2,'Event summary'!D1055)))</f>
        <v>16</v>
      </c>
      <c r="I1055" s="65" t="str">
        <f t="shared" si="17"/>
        <v/>
      </c>
      <c r="J1055" s="66" t="str">
        <f>IF($H1055=1,'Event summary'!C1055,"")</f>
        <v/>
      </c>
      <c r="K1055" s="66" t="str">
        <f>IF($H1055=1,'Event summary'!D1055,"")</f>
        <v/>
      </c>
    </row>
    <row r="1056" spans="7:11" x14ac:dyDescent="0.2">
      <c r="G1056" s="46">
        <f>'Event summary'!A1056</f>
        <v>1056</v>
      </c>
      <c r="H1056" s="43">
        <f>MIN(TYPE(SEARCH($E$2,'Event summary'!C1056)),TYPE(SEARCH($E$2,'Event summary'!D1056)))</f>
        <v>16</v>
      </c>
      <c r="I1056" s="65" t="str">
        <f t="shared" si="17"/>
        <v/>
      </c>
      <c r="J1056" s="66" t="str">
        <f>IF($H1056=1,'Event summary'!C1056,"")</f>
        <v/>
      </c>
      <c r="K1056" s="66" t="str">
        <f>IF($H1056=1,'Event summary'!D1056,"")</f>
        <v/>
      </c>
    </row>
    <row r="1057" spans="7:11" x14ac:dyDescent="0.2">
      <c r="G1057" s="46">
        <f>'Event summary'!A1057</f>
        <v>1057</v>
      </c>
      <c r="H1057" s="43">
        <f>MIN(TYPE(SEARCH($E$2,'Event summary'!C1057)),TYPE(SEARCH($E$2,'Event summary'!D1057)))</f>
        <v>16</v>
      </c>
      <c r="I1057" s="65" t="str">
        <f t="shared" si="17"/>
        <v/>
      </c>
      <c r="J1057" s="66" t="str">
        <f>IF($H1057=1,'Event summary'!C1057,"")</f>
        <v/>
      </c>
      <c r="K1057" s="66" t="str">
        <f>IF($H1057=1,'Event summary'!D1057,"")</f>
        <v/>
      </c>
    </row>
    <row r="1058" spans="7:11" x14ac:dyDescent="0.2">
      <c r="G1058" s="46">
        <f>'Event summary'!A1058</f>
        <v>1058</v>
      </c>
      <c r="H1058" s="43">
        <f>MIN(TYPE(SEARCH($E$2,'Event summary'!C1058)),TYPE(SEARCH($E$2,'Event summary'!D1058)))</f>
        <v>16</v>
      </c>
      <c r="I1058" s="65" t="str">
        <f t="shared" si="17"/>
        <v/>
      </c>
      <c r="J1058" s="66" t="str">
        <f>IF($H1058=1,'Event summary'!C1058,"")</f>
        <v/>
      </c>
      <c r="K1058" s="66" t="str">
        <f>IF($H1058=1,'Event summary'!D1058,"")</f>
        <v/>
      </c>
    </row>
    <row r="1059" spans="7:11" x14ac:dyDescent="0.2">
      <c r="G1059" s="46">
        <f>'Event summary'!A1059</f>
        <v>1059</v>
      </c>
      <c r="H1059" s="43">
        <f>MIN(TYPE(SEARCH($E$2,'Event summary'!C1059)),TYPE(SEARCH($E$2,'Event summary'!D1059)))</f>
        <v>16</v>
      </c>
      <c r="I1059" s="65" t="str">
        <f t="shared" si="17"/>
        <v/>
      </c>
      <c r="J1059" s="66" t="str">
        <f>IF($H1059=1,'Event summary'!C1059,"")</f>
        <v/>
      </c>
      <c r="K1059" s="66" t="str">
        <f>IF($H1059=1,'Event summary'!D1059,"")</f>
        <v/>
      </c>
    </row>
    <row r="1060" spans="7:11" x14ac:dyDescent="0.2">
      <c r="G1060" s="46">
        <f>'Event summary'!A1060</f>
        <v>1060</v>
      </c>
      <c r="H1060" s="43">
        <f>MIN(TYPE(SEARCH($E$2,'Event summary'!C1060)),TYPE(SEARCH($E$2,'Event summary'!D1060)))</f>
        <v>16</v>
      </c>
      <c r="I1060" s="65" t="str">
        <f t="shared" si="17"/>
        <v/>
      </c>
      <c r="J1060" s="66" t="str">
        <f>IF($H1060=1,'Event summary'!C1060,"")</f>
        <v/>
      </c>
      <c r="K1060" s="66" t="str">
        <f>IF($H1060=1,'Event summary'!D1060,"")</f>
        <v/>
      </c>
    </row>
    <row r="1061" spans="7:11" x14ac:dyDescent="0.2">
      <c r="G1061" s="46">
        <f>'Event summary'!A1061</f>
        <v>1061</v>
      </c>
      <c r="H1061" s="43">
        <f>MIN(TYPE(SEARCH($E$2,'Event summary'!C1061)),TYPE(SEARCH($E$2,'Event summary'!D1061)))</f>
        <v>16</v>
      </c>
      <c r="I1061" s="65" t="str">
        <f t="shared" si="17"/>
        <v/>
      </c>
      <c r="J1061" s="66" t="str">
        <f>IF($H1061=1,'Event summary'!C1061,"")</f>
        <v/>
      </c>
      <c r="K1061" s="66" t="str">
        <f>IF($H1061=1,'Event summary'!D1061,"")</f>
        <v/>
      </c>
    </row>
    <row r="1062" spans="7:11" x14ac:dyDescent="0.2">
      <c r="G1062" s="46">
        <f>'Event summary'!A1062</f>
        <v>1062</v>
      </c>
      <c r="H1062" s="43">
        <f>MIN(TYPE(SEARCH($E$2,'Event summary'!C1062)),TYPE(SEARCH($E$2,'Event summary'!D1062)))</f>
        <v>16</v>
      </c>
      <c r="I1062" s="65" t="str">
        <f t="shared" si="17"/>
        <v/>
      </c>
      <c r="J1062" s="66" t="str">
        <f>IF($H1062=1,'Event summary'!C1062,"")</f>
        <v/>
      </c>
      <c r="K1062" s="66" t="str">
        <f>IF($H1062=1,'Event summary'!D1062,"")</f>
        <v/>
      </c>
    </row>
    <row r="1063" spans="7:11" x14ac:dyDescent="0.2">
      <c r="G1063" s="46">
        <f>'Event summary'!A1063</f>
        <v>1063</v>
      </c>
      <c r="H1063" s="43">
        <f>MIN(TYPE(SEARCH($E$2,'Event summary'!C1063)),TYPE(SEARCH($E$2,'Event summary'!D1063)))</f>
        <v>16</v>
      </c>
      <c r="I1063" s="65" t="str">
        <f t="shared" si="17"/>
        <v/>
      </c>
      <c r="J1063" s="66" t="str">
        <f>IF($H1063=1,'Event summary'!C1063,"")</f>
        <v/>
      </c>
      <c r="K1063" s="66" t="str">
        <f>IF($H1063=1,'Event summary'!D1063,"")</f>
        <v/>
      </c>
    </row>
    <row r="1064" spans="7:11" x14ac:dyDescent="0.2">
      <c r="G1064" s="46">
        <f>'Event summary'!A1064</f>
        <v>1064</v>
      </c>
      <c r="H1064" s="43">
        <f>MIN(TYPE(SEARCH($E$2,'Event summary'!C1064)),TYPE(SEARCH($E$2,'Event summary'!D1064)))</f>
        <v>16</v>
      </c>
      <c r="I1064" s="65" t="str">
        <f t="shared" si="17"/>
        <v/>
      </c>
      <c r="J1064" s="66" t="str">
        <f>IF($H1064=1,'Event summary'!C1064,"")</f>
        <v/>
      </c>
      <c r="K1064" s="66" t="str">
        <f>IF($H1064=1,'Event summary'!D1064,"")</f>
        <v/>
      </c>
    </row>
    <row r="1065" spans="7:11" x14ac:dyDescent="0.2">
      <c r="G1065" s="46">
        <f>'Event summary'!A1065</f>
        <v>1065</v>
      </c>
      <c r="H1065" s="43">
        <f>MIN(TYPE(SEARCH($E$2,'Event summary'!C1065)),TYPE(SEARCH($E$2,'Event summary'!D1065)))</f>
        <v>16</v>
      </c>
      <c r="I1065" s="65" t="str">
        <f t="shared" si="17"/>
        <v/>
      </c>
      <c r="J1065" s="66" t="str">
        <f>IF($H1065=1,'Event summary'!C1065,"")</f>
        <v/>
      </c>
      <c r="K1065" s="66" t="str">
        <f>IF($H1065=1,'Event summary'!D1065,"")</f>
        <v/>
      </c>
    </row>
    <row r="1066" spans="7:11" x14ac:dyDescent="0.2">
      <c r="G1066" s="46">
        <f>'Event summary'!A1066</f>
        <v>1066</v>
      </c>
      <c r="H1066" s="43">
        <f>MIN(TYPE(SEARCH($E$2,'Event summary'!C1066)),TYPE(SEARCH($E$2,'Event summary'!D1066)))</f>
        <v>16</v>
      </c>
      <c r="I1066" s="65" t="str">
        <f t="shared" si="17"/>
        <v/>
      </c>
      <c r="J1066" s="66" t="str">
        <f>IF($H1066=1,'Event summary'!C1066,"")</f>
        <v/>
      </c>
      <c r="K1066" s="66" t="str">
        <f>IF($H1066=1,'Event summary'!D1066,"")</f>
        <v/>
      </c>
    </row>
    <row r="1067" spans="7:11" x14ac:dyDescent="0.2">
      <c r="G1067" s="46">
        <f>'Event summary'!A1067</f>
        <v>1067</v>
      </c>
      <c r="H1067" s="43">
        <f>MIN(TYPE(SEARCH($E$2,'Event summary'!C1067)),TYPE(SEARCH($E$2,'Event summary'!D1067)))</f>
        <v>16</v>
      </c>
      <c r="I1067" s="65" t="str">
        <f t="shared" ref="I1067:I1130" si="18">IF(H1067=1,$E$2,"")</f>
        <v/>
      </c>
      <c r="J1067" s="66" t="str">
        <f>IF($H1067=1,'Event summary'!C1067,"")</f>
        <v/>
      </c>
      <c r="K1067" s="66" t="str">
        <f>IF($H1067=1,'Event summary'!D1067,"")</f>
        <v/>
      </c>
    </row>
    <row r="1068" spans="7:11" x14ac:dyDescent="0.2">
      <c r="G1068" s="46">
        <f>'Event summary'!A1068</f>
        <v>1068</v>
      </c>
      <c r="H1068" s="43">
        <f>MIN(TYPE(SEARCH($E$2,'Event summary'!C1068)),TYPE(SEARCH($E$2,'Event summary'!D1068)))</f>
        <v>16</v>
      </c>
      <c r="I1068" s="65" t="str">
        <f t="shared" si="18"/>
        <v/>
      </c>
      <c r="J1068" s="66" t="str">
        <f>IF($H1068=1,'Event summary'!C1068,"")</f>
        <v/>
      </c>
      <c r="K1068" s="66" t="str">
        <f>IF($H1068=1,'Event summary'!D1068,"")</f>
        <v/>
      </c>
    </row>
    <row r="1069" spans="7:11" x14ac:dyDescent="0.2">
      <c r="G1069" s="46">
        <f>'Event summary'!A1069</f>
        <v>1069</v>
      </c>
      <c r="H1069" s="43">
        <f>MIN(TYPE(SEARCH($E$2,'Event summary'!C1069)),TYPE(SEARCH($E$2,'Event summary'!D1069)))</f>
        <v>16</v>
      </c>
      <c r="I1069" s="65" t="str">
        <f t="shared" si="18"/>
        <v/>
      </c>
      <c r="J1069" s="66" t="str">
        <f>IF($H1069=1,'Event summary'!C1069,"")</f>
        <v/>
      </c>
      <c r="K1069" s="66" t="str">
        <f>IF($H1069=1,'Event summary'!D1069,"")</f>
        <v/>
      </c>
    </row>
    <row r="1070" spans="7:11" x14ac:dyDescent="0.2">
      <c r="G1070" s="46">
        <f>'Event summary'!A1070</f>
        <v>1070</v>
      </c>
      <c r="H1070" s="43">
        <f>MIN(TYPE(SEARCH($E$2,'Event summary'!C1070)),TYPE(SEARCH($E$2,'Event summary'!D1070)))</f>
        <v>16</v>
      </c>
      <c r="I1070" s="65" t="str">
        <f t="shared" si="18"/>
        <v/>
      </c>
      <c r="J1070" s="66" t="str">
        <f>IF($H1070=1,'Event summary'!C1070,"")</f>
        <v/>
      </c>
      <c r="K1070" s="66" t="str">
        <f>IF($H1070=1,'Event summary'!D1070,"")</f>
        <v/>
      </c>
    </row>
    <row r="1071" spans="7:11" x14ac:dyDescent="0.2">
      <c r="G1071" s="46">
        <f>'Event summary'!A1071</f>
        <v>1071</v>
      </c>
      <c r="H1071" s="43">
        <f>MIN(TYPE(SEARCH($E$2,'Event summary'!C1071)),TYPE(SEARCH($E$2,'Event summary'!D1071)))</f>
        <v>16</v>
      </c>
      <c r="I1071" s="65" t="str">
        <f t="shared" si="18"/>
        <v/>
      </c>
      <c r="J1071" s="66" t="str">
        <f>IF($H1071=1,'Event summary'!C1071,"")</f>
        <v/>
      </c>
      <c r="K1071" s="66" t="str">
        <f>IF($H1071=1,'Event summary'!D1071,"")</f>
        <v/>
      </c>
    </row>
    <row r="1072" spans="7:11" x14ac:dyDescent="0.2">
      <c r="G1072" s="46">
        <f>'Event summary'!A1072</f>
        <v>1072</v>
      </c>
      <c r="H1072" s="43">
        <f>MIN(TYPE(SEARCH($E$2,'Event summary'!C1072)),TYPE(SEARCH($E$2,'Event summary'!D1072)))</f>
        <v>16</v>
      </c>
      <c r="I1072" s="65" t="str">
        <f t="shared" si="18"/>
        <v/>
      </c>
      <c r="J1072" s="66" t="str">
        <f>IF($H1072=1,'Event summary'!C1072,"")</f>
        <v/>
      </c>
      <c r="K1072" s="66" t="str">
        <f>IF($H1072=1,'Event summary'!D1072,"")</f>
        <v/>
      </c>
    </row>
    <row r="1073" spans="7:11" x14ac:dyDescent="0.2">
      <c r="G1073" s="46">
        <f>'Event summary'!A1073</f>
        <v>1073</v>
      </c>
      <c r="H1073" s="43">
        <f>MIN(TYPE(SEARCH($E$2,'Event summary'!C1073)),TYPE(SEARCH($E$2,'Event summary'!D1073)))</f>
        <v>16</v>
      </c>
      <c r="I1073" s="65" t="str">
        <f t="shared" si="18"/>
        <v/>
      </c>
      <c r="J1073" s="66" t="str">
        <f>IF($H1073=1,'Event summary'!C1073,"")</f>
        <v/>
      </c>
      <c r="K1073" s="66" t="str">
        <f>IF($H1073=1,'Event summary'!D1073,"")</f>
        <v/>
      </c>
    </row>
    <row r="1074" spans="7:11" x14ac:dyDescent="0.2">
      <c r="G1074" s="46">
        <f>'Event summary'!A1074</f>
        <v>1074</v>
      </c>
      <c r="H1074" s="43">
        <f>MIN(TYPE(SEARCH($E$2,'Event summary'!C1074)),TYPE(SEARCH($E$2,'Event summary'!D1074)))</f>
        <v>16</v>
      </c>
      <c r="I1074" s="65" t="str">
        <f t="shared" si="18"/>
        <v/>
      </c>
      <c r="J1074" s="66" t="str">
        <f>IF($H1074=1,'Event summary'!C1074,"")</f>
        <v/>
      </c>
      <c r="K1074" s="66" t="str">
        <f>IF($H1074=1,'Event summary'!D1074,"")</f>
        <v/>
      </c>
    </row>
    <row r="1075" spans="7:11" x14ac:dyDescent="0.2">
      <c r="G1075" s="46">
        <f>'Event summary'!A1075</f>
        <v>1075</v>
      </c>
      <c r="H1075" s="43">
        <f>MIN(TYPE(SEARCH($E$2,'Event summary'!C1075)),TYPE(SEARCH($E$2,'Event summary'!D1075)))</f>
        <v>16</v>
      </c>
      <c r="I1075" s="65" t="str">
        <f t="shared" si="18"/>
        <v/>
      </c>
      <c r="J1075" s="66" t="str">
        <f>IF($H1075=1,'Event summary'!C1075,"")</f>
        <v/>
      </c>
      <c r="K1075" s="66" t="str">
        <f>IF($H1075=1,'Event summary'!D1075,"")</f>
        <v/>
      </c>
    </row>
    <row r="1076" spans="7:11" x14ac:dyDescent="0.2">
      <c r="G1076" s="46">
        <f>'Event summary'!A1076</f>
        <v>1076</v>
      </c>
      <c r="H1076" s="43">
        <f>MIN(TYPE(SEARCH($E$2,'Event summary'!C1076)),TYPE(SEARCH($E$2,'Event summary'!D1076)))</f>
        <v>16</v>
      </c>
      <c r="I1076" s="65" t="str">
        <f t="shared" si="18"/>
        <v/>
      </c>
      <c r="J1076" s="66" t="str">
        <f>IF($H1076=1,'Event summary'!C1076,"")</f>
        <v/>
      </c>
      <c r="K1076" s="66" t="str">
        <f>IF($H1076=1,'Event summary'!D1076,"")</f>
        <v/>
      </c>
    </row>
    <row r="1077" spans="7:11" x14ac:dyDescent="0.2">
      <c r="G1077" s="46">
        <f>'Event summary'!A1077</f>
        <v>1077</v>
      </c>
      <c r="H1077" s="43">
        <f>MIN(TYPE(SEARCH($E$2,'Event summary'!C1077)),TYPE(SEARCH($E$2,'Event summary'!D1077)))</f>
        <v>16</v>
      </c>
      <c r="I1077" s="65" t="str">
        <f t="shared" si="18"/>
        <v/>
      </c>
      <c r="J1077" s="66" t="str">
        <f>IF($H1077=1,'Event summary'!C1077,"")</f>
        <v/>
      </c>
      <c r="K1077" s="66" t="str">
        <f>IF($H1077=1,'Event summary'!D1077,"")</f>
        <v/>
      </c>
    </row>
    <row r="1078" spans="7:11" x14ac:dyDescent="0.2">
      <c r="G1078" s="46">
        <f>'Event summary'!A1078</f>
        <v>1078</v>
      </c>
      <c r="H1078" s="43">
        <f>MIN(TYPE(SEARCH($E$2,'Event summary'!C1078)),TYPE(SEARCH($E$2,'Event summary'!D1078)))</f>
        <v>16</v>
      </c>
      <c r="I1078" s="65" t="str">
        <f t="shared" si="18"/>
        <v/>
      </c>
      <c r="J1078" s="66" t="str">
        <f>IF($H1078=1,'Event summary'!C1078,"")</f>
        <v/>
      </c>
      <c r="K1078" s="66" t="str">
        <f>IF($H1078=1,'Event summary'!D1078,"")</f>
        <v/>
      </c>
    </row>
    <row r="1079" spans="7:11" x14ac:dyDescent="0.2">
      <c r="G1079" s="46">
        <f>'Event summary'!A1079</f>
        <v>1079</v>
      </c>
      <c r="H1079" s="43">
        <f>MIN(TYPE(SEARCH($E$2,'Event summary'!C1079)),TYPE(SEARCH($E$2,'Event summary'!D1079)))</f>
        <v>16</v>
      </c>
      <c r="I1079" s="65" t="str">
        <f t="shared" si="18"/>
        <v/>
      </c>
      <c r="J1079" s="66" t="str">
        <f>IF($H1079=1,'Event summary'!C1079,"")</f>
        <v/>
      </c>
      <c r="K1079" s="66" t="str">
        <f>IF($H1079=1,'Event summary'!D1079,"")</f>
        <v/>
      </c>
    </row>
    <row r="1080" spans="7:11" x14ac:dyDescent="0.2">
      <c r="G1080" s="46">
        <f>'Event summary'!A1080</f>
        <v>1080</v>
      </c>
      <c r="H1080" s="43">
        <f>MIN(TYPE(SEARCH($E$2,'Event summary'!C1080)),TYPE(SEARCH($E$2,'Event summary'!D1080)))</f>
        <v>16</v>
      </c>
      <c r="I1080" s="65" t="str">
        <f t="shared" si="18"/>
        <v/>
      </c>
      <c r="J1080" s="66" t="str">
        <f>IF($H1080=1,'Event summary'!C1080,"")</f>
        <v/>
      </c>
      <c r="K1080" s="66" t="str">
        <f>IF($H1080=1,'Event summary'!D1080,"")</f>
        <v/>
      </c>
    </row>
    <row r="1081" spans="7:11" x14ac:dyDescent="0.2">
      <c r="G1081" s="46">
        <f>'Event summary'!A1081</f>
        <v>1081</v>
      </c>
      <c r="H1081" s="43">
        <f>MIN(TYPE(SEARCH($E$2,'Event summary'!C1081)),TYPE(SEARCH($E$2,'Event summary'!D1081)))</f>
        <v>16</v>
      </c>
      <c r="I1081" s="65" t="str">
        <f t="shared" si="18"/>
        <v/>
      </c>
      <c r="J1081" s="66" t="str">
        <f>IF($H1081=1,'Event summary'!C1081,"")</f>
        <v/>
      </c>
      <c r="K1081" s="66" t="str">
        <f>IF($H1081=1,'Event summary'!D1081,"")</f>
        <v/>
      </c>
    </row>
    <row r="1082" spans="7:11" x14ac:dyDescent="0.2">
      <c r="G1082" s="46">
        <f>'Event summary'!A1082</f>
        <v>1082</v>
      </c>
      <c r="H1082" s="43">
        <f>MIN(TYPE(SEARCH($E$2,'Event summary'!C1082)),TYPE(SEARCH($E$2,'Event summary'!D1082)))</f>
        <v>16</v>
      </c>
      <c r="I1082" s="65" t="str">
        <f t="shared" si="18"/>
        <v/>
      </c>
      <c r="J1082" s="66" t="str">
        <f>IF($H1082=1,'Event summary'!C1082,"")</f>
        <v/>
      </c>
      <c r="K1082" s="66" t="str">
        <f>IF($H1082=1,'Event summary'!D1082,"")</f>
        <v/>
      </c>
    </row>
    <row r="1083" spans="7:11" x14ac:dyDescent="0.2">
      <c r="G1083" s="46">
        <f>'Event summary'!A1083</f>
        <v>1083</v>
      </c>
      <c r="H1083" s="43">
        <f>MIN(TYPE(SEARCH($E$2,'Event summary'!C1083)),TYPE(SEARCH($E$2,'Event summary'!D1083)))</f>
        <v>16</v>
      </c>
      <c r="I1083" s="65" t="str">
        <f t="shared" si="18"/>
        <v/>
      </c>
      <c r="J1083" s="66" t="str">
        <f>IF($H1083=1,'Event summary'!C1083,"")</f>
        <v/>
      </c>
      <c r="K1083" s="66" t="str">
        <f>IF($H1083=1,'Event summary'!D1083,"")</f>
        <v/>
      </c>
    </row>
    <row r="1084" spans="7:11" x14ac:dyDescent="0.2">
      <c r="G1084" s="46">
        <f>'Event summary'!A1084</f>
        <v>1084</v>
      </c>
      <c r="H1084" s="43">
        <f>MIN(TYPE(SEARCH($E$2,'Event summary'!C1084)),TYPE(SEARCH($E$2,'Event summary'!D1084)))</f>
        <v>16</v>
      </c>
      <c r="I1084" s="65" t="str">
        <f t="shared" si="18"/>
        <v/>
      </c>
      <c r="J1084" s="66" t="str">
        <f>IF($H1084=1,'Event summary'!C1084,"")</f>
        <v/>
      </c>
      <c r="K1084" s="66" t="str">
        <f>IF($H1084=1,'Event summary'!D1084,"")</f>
        <v/>
      </c>
    </row>
    <row r="1085" spans="7:11" x14ac:dyDescent="0.2">
      <c r="G1085" s="46">
        <f>'Event summary'!A1085</f>
        <v>1085</v>
      </c>
      <c r="H1085" s="43">
        <f>MIN(TYPE(SEARCH($E$2,'Event summary'!C1085)),TYPE(SEARCH($E$2,'Event summary'!D1085)))</f>
        <v>16</v>
      </c>
      <c r="I1085" s="65" t="str">
        <f t="shared" si="18"/>
        <v/>
      </c>
      <c r="J1085" s="66" t="str">
        <f>IF($H1085=1,'Event summary'!C1085,"")</f>
        <v/>
      </c>
      <c r="K1085" s="66" t="str">
        <f>IF($H1085=1,'Event summary'!D1085,"")</f>
        <v/>
      </c>
    </row>
    <row r="1086" spans="7:11" x14ac:dyDescent="0.2">
      <c r="G1086" s="46">
        <f>'Event summary'!A1086</f>
        <v>1086</v>
      </c>
      <c r="H1086" s="43">
        <f>MIN(TYPE(SEARCH($E$2,'Event summary'!C1086)),TYPE(SEARCH($E$2,'Event summary'!D1086)))</f>
        <v>16</v>
      </c>
      <c r="I1086" s="65" t="str">
        <f t="shared" si="18"/>
        <v/>
      </c>
      <c r="J1086" s="66" t="str">
        <f>IF($H1086=1,'Event summary'!C1086,"")</f>
        <v/>
      </c>
      <c r="K1086" s="66" t="str">
        <f>IF($H1086=1,'Event summary'!D1086,"")</f>
        <v/>
      </c>
    </row>
    <row r="1087" spans="7:11" x14ac:dyDescent="0.2">
      <c r="G1087" s="46">
        <f>'Event summary'!A1087</f>
        <v>1087</v>
      </c>
      <c r="H1087" s="43">
        <f>MIN(TYPE(SEARCH($E$2,'Event summary'!C1087)),TYPE(SEARCH($E$2,'Event summary'!D1087)))</f>
        <v>16</v>
      </c>
      <c r="I1087" s="65" t="str">
        <f t="shared" si="18"/>
        <v/>
      </c>
      <c r="J1087" s="66" t="str">
        <f>IF($H1087=1,'Event summary'!C1087,"")</f>
        <v/>
      </c>
      <c r="K1087" s="66" t="str">
        <f>IF($H1087=1,'Event summary'!D1087,"")</f>
        <v/>
      </c>
    </row>
    <row r="1088" spans="7:11" x14ac:dyDescent="0.2">
      <c r="G1088" s="46">
        <f>'Event summary'!A1088</f>
        <v>1088</v>
      </c>
      <c r="H1088" s="43">
        <f>MIN(TYPE(SEARCH($E$2,'Event summary'!C1088)),TYPE(SEARCH($E$2,'Event summary'!D1088)))</f>
        <v>16</v>
      </c>
      <c r="I1088" s="65" t="str">
        <f t="shared" si="18"/>
        <v/>
      </c>
      <c r="J1088" s="66" t="str">
        <f>IF($H1088=1,'Event summary'!C1088,"")</f>
        <v/>
      </c>
      <c r="K1088" s="66" t="str">
        <f>IF($H1088=1,'Event summary'!D1088,"")</f>
        <v/>
      </c>
    </row>
    <row r="1089" spans="7:11" x14ac:dyDescent="0.2">
      <c r="G1089" s="46">
        <f>'Event summary'!A1089</f>
        <v>1089</v>
      </c>
      <c r="H1089" s="43">
        <f>MIN(TYPE(SEARCH($E$2,'Event summary'!C1089)),TYPE(SEARCH($E$2,'Event summary'!D1089)))</f>
        <v>16</v>
      </c>
      <c r="I1089" s="65" t="str">
        <f t="shared" si="18"/>
        <v/>
      </c>
      <c r="J1089" s="66" t="str">
        <f>IF($H1089=1,'Event summary'!C1089,"")</f>
        <v/>
      </c>
      <c r="K1089" s="66" t="str">
        <f>IF($H1089=1,'Event summary'!D1089,"")</f>
        <v/>
      </c>
    </row>
    <row r="1090" spans="7:11" x14ac:dyDescent="0.2">
      <c r="G1090" s="46">
        <f>'Event summary'!A1090</f>
        <v>1090</v>
      </c>
      <c r="H1090" s="43">
        <f>MIN(TYPE(SEARCH($E$2,'Event summary'!C1090)),TYPE(SEARCH($E$2,'Event summary'!D1090)))</f>
        <v>16</v>
      </c>
      <c r="I1090" s="65" t="str">
        <f t="shared" si="18"/>
        <v/>
      </c>
      <c r="J1090" s="66" t="str">
        <f>IF($H1090=1,'Event summary'!C1090,"")</f>
        <v/>
      </c>
      <c r="K1090" s="66" t="str">
        <f>IF($H1090=1,'Event summary'!D1090,"")</f>
        <v/>
      </c>
    </row>
    <row r="1091" spans="7:11" x14ac:dyDescent="0.2">
      <c r="G1091" s="46">
        <f>'Event summary'!A1091</f>
        <v>1091</v>
      </c>
      <c r="H1091" s="43">
        <f>MIN(TYPE(SEARCH($E$2,'Event summary'!C1091)),TYPE(SEARCH($E$2,'Event summary'!D1091)))</f>
        <v>16</v>
      </c>
      <c r="I1091" s="65" t="str">
        <f t="shared" si="18"/>
        <v/>
      </c>
      <c r="J1091" s="66" t="str">
        <f>IF($H1091=1,'Event summary'!C1091,"")</f>
        <v/>
      </c>
      <c r="K1091" s="66" t="str">
        <f>IF($H1091=1,'Event summary'!D1091,"")</f>
        <v/>
      </c>
    </row>
    <row r="1092" spans="7:11" x14ac:dyDescent="0.2">
      <c r="G1092" s="46">
        <f>'Event summary'!A1092</f>
        <v>1092</v>
      </c>
      <c r="H1092" s="43">
        <f>MIN(TYPE(SEARCH($E$2,'Event summary'!C1092)),TYPE(SEARCH($E$2,'Event summary'!D1092)))</f>
        <v>16</v>
      </c>
      <c r="I1092" s="65" t="str">
        <f t="shared" si="18"/>
        <v/>
      </c>
      <c r="J1092" s="66" t="str">
        <f>IF($H1092=1,'Event summary'!C1092,"")</f>
        <v/>
      </c>
      <c r="K1092" s="66" t="str">
        <f>IF($H1092=1,'Event summary'!D1092,"")</f>
        <v/>
      </c>
    </row>
    <row r="1093" spans="7:11" x14ac:dyDescent="0.2">
      <c r="G1093" s="46">
        <f>'Event summary'!A1093</f>
        <v>1093</v>
      </c>
      <c r="H1093" s="43">
        <f>MIN(TYPE(SEARCH($E$2,'Event summary'!C1093)),TYPE(SEARCH($E$2,'Event summary'!D1093)))</f>
        <v>16</v>
      </c>
      <c r="I1093" s="65" t="str">
        <f t="shared" si="18"/>
        <v/>
      </c>
      <c r="J1093" s="66" t="str">
        <f>IF($H1093=1,'Event summary'!C1093,"")</f>
        <v/>
      </c>
      <c r="K1093" s="66" t="str">
        <f>IF($H1093=1,'Event summary'!D1093,"")</f>
        <v/>
      </c>
    </row>
    <row r="1094" spans="7:11" x14ac:dyDescent="0.2">
      <c r="G1094" s="46">
        <f>'Event summary'!A1094</f>
        <v>1094</v>
      </c>
      <c r="H1094" s="43">
        <f>MIN(TYPE(SEARCH($E$2,'Event summary'!C1094)),TYPE(SEARCH($E$2,'Event summary'!D1094)))</f>
        <v>16</v>
      </c>
      <c r="I1094" s="65" t="str">
        <f t="shared" si="18"/>
        <v/>
      </c>
      <c r="J1094" s="66" t="str">
        <f>IF($H1094=1,'Event summary'!C1094,"")</f>
        <v/>
      </c>
      <c r="K1094" s="66" t="str">
        <f>IF($H1094=1,'Event summary'!D1094,"")</f>
        <v/>
      </c>
    </row>
    <row r="1095" spans="7:11" x14ac:dyDescent="0.2">
      <c r="G1095" s="46">
        <f>'Event summary'!A1095</f>
        <v>1095</v>
      </c>
      <c r="H1095" s="43">
        <f>MIN(TYPE(SEARCH($E$2,'Event summary'!C1095)),TYPE(SEARCH($E$2,'Event summary'!D1095)))</f>
        <v>16</v>
      </c>
      <c r="I1095" s="65" t="str">
        <f t="shared" si="18"/>
        <v/>
      </c>
      <c r="J1095" s="66" t="str">
        <f>IF($H1095=1,'Event summary'!C1095,"")</f>
        <v/>
      </c>
      <c r="K1095" s="66" t="str">
        <f>IF($H1095=1,'Event summary'!D1095,"")</f>
        <v/>
      </c>
    </row>
    <row r="1096" spans="7:11" x14ac:dyDescent="0.2">
      <c r="G1096" s="46">
        <f>'Event summary'!A1096</f>
        <v>1096</v>
      </c>
      <c r="H1096" s="43">
        <f>MIN(TYPE(SEARCH($E$2,'Event summary'!C1096)),TYPE(SEARCH($E$2,'Event summary'!D1096)))</f>
        <v>16</v>
      </c>
      <c r="I1096" s="65" t="str">
        <f t="shared" si="18"/>
        <v/>
      </c>
      <c r="J1096" s="66" t="str">
        <f>IF($H1096=1,'Event summary'!C1096,"")</f>
        <v/>
      </c>
      <c r="K1096" s="66" t="str">
        <f>IF($H1096=1,'Event summary'!D1096,"")</f>
        <v/>
      </c>
    </row>
    <row r="1097" spans="7:11" x14ac:dyDescent="0.2">
      <c r="G1097" s="46">
        <f>'Event summary'!A1097</f>
        <v>1097</v>
      </c>
      <c r="H1097" s="43">
        <f>MIN(TYPE(SEARCH($E$2,'Event summary'!C1097)),TYPE(SEARCH($E$2,'Event summary'!D1097)))</f>
        <v>16</v>
      </c>
      <c r="I1097" s="65" t="str">
        <f t="shared" si="18"/>
        <v/>
      </c>
      <c r="J1097" s="66" t="str">
        <f>IF($H1097=1,'Event summary'!C1097,"")</f>
        <v/>
      </c>
      <c r="K1097" s="66" t="str">
        <f>IF($H1097=1,'Event summary'!D1097,"")</f>
        <v/>
      </c>
    </row>
    <row r="1098" spans="7:11" x14ac:dyDescent="0.2">
      <c r="G1098" s="46">
        <f>'Event summary'!A1098</f>
        <v>1098</v>
      </c>
      <c r="H1098" s="43">
        <f>MIN(TYPE(SEARCH($E$2,'Event summary'!C1098)),TYPE(SEARCH($E$2,'Event summary'!D1098)))</f>
        <v>16</v>
      </c>
      <c r="I1098" s="65" t="str">
        <f t="shared" si="18"/>
        <v/>
      </c>
      <c r="J1098" s="66" t="str">
        <f>IF($H1098=1,'Event summary'!C1098,"")</f>
        <v/>
      </c>
      <c r="K1098" s="66" t="str">
        <f>IF($H1098=1,'Event summary'!D1098,"")</f>
        <v/>
      </c>
    </row>
    <row r="1099" spans="7:11" x14ac:dyDescent="0.2">
      <c r="G1099" s="46">
        <f>'Event summary'!A1099</f>
        <v>1099</v>
      </c>
      <c r="H1099" s="43">
        <f>MIN(TYPE(SEARCH($E$2,'Event summary'!C1099)),TYPE(SEARCH($E$2,'Event summary'!D1099)))</f>
        <v>16</v>
      </c>
      <c r="I1099" s="65" t="str">
        <f t="shared" si="18"/>
        <v/>
      </c>
      <c r="J1099" s="66" t="str">
        <f>IF($H1099=1,'Event summary'!C1099,"")</f>
        <v/>
      </c>
      <c r="K1099" s="66" t="str">
        <f>IF($H1099=1,'Event summary'!D1099,"")</f>
        <v/>
      </c>
    </row>
    <row r="1100" spans="7:11" x14ac:dyDescent="0.2">
      <c r="G1100" s="46">
        <f>'Event summary'!A1100</f>
        <v>1100</v>
      </c>
      <c r="H1100" s="43">
        <f>MIN(TYPE(SEARCH($E$2,'Event summary'!C1100)),TYPE(SEARCH($E$2,'Event summary'!D1100)))</f>
        <v>16</v>
      </c>
      <c r="I1100" s="65" t="str">
        <f t="shared" si="18"/>
        <v/>
      </c>
      <c r="J1100" s="66" t="str">
        <f>IF($H1100=1,'Event summary'!C1100,"")</f>
        <v/>
      </c>
      <c r="K1100" s="66" t="str">
        <f>IF($H1100=1,'Event summary'!D1100,"")</f>
        <v/>
      </c>
    </row>
    <row r="1101" spans="7:11" x14ac:dyDescent="0.2">
      <c r="G1101" s="46">
        <f>'Event summary'!A1101</f>
        <v>1101</v>
      </c>
      <c r="H1101" s="43">
        <f>MIN(TYPE(SEARCH($E$2,'Event summary'!C1101)),TYPE(SEARCH($E$2,'Event summary'!D1101)))</f>
        <v>16</v>
      </c>
      <c r="I1101" s="65" t="str">
        <f t="shared" si="18"/>
        <v/>
      </c>
      <c r="J1101" s="66" t="str">
        <f>IF($H1101=1,'Event summary'!C1101,"")</f>
        <v/>
      </c>
      <c r="K1101" s="66" t="str">
        <f>IF($H1101=1,'Event summary'!D1101,"")</f>
        <v/>
      </c>
    </row>
    <row r="1102" spans="7:11" x14ac:dyDescent="0.2">
      <c r="G1102" s="46">
        <f>'Event summary'!A1102</f>
        <v>1102</v>
      </c>
      <c r="H1102" s="43">
        <f>MIN(TYPE(SEARCH($E$2,'Event summary'!C1102)),TYPE(SEARCH($E$2,'Event summary'!D1102)))</f>
        <v>16</v>
      </c>
      <c r="I1102" s="65" t="str">
        <f t="shared" si="18"/>
        <v/>
      </c>
      <c r="J1102" s="66" t="str">
        <f>IF($H1102=1,'Event summary'!C1102,"")</f>
        <v/>
      </c>
      <c r="K1102" s="66" t="str">
        <f>IF($H1102=1,'Event summary'!D1102,"")</f>
        <v/>
      </c>
    </row>
    <row r="1103" spans="7:11" x14ac:dyDescent="0.2">
      <c r="G1103" s="46">
        <f>'Event summary'!A1103</f>
        <v>1103</v>
      </c>
      <c r="H1103" s="43">
        <f>MIN(TYPE(SEARCH($E$2,'Event summary'!C1103)),TYPE(SEARCH($E$2,'Event summary'!D1103)))</f>
        <v>16</v>
      </c>
      <c r="I1103" s="65" t="str">
        <f t="shared" si="18"/>
        <v/>
      </c>
      <c r="J1103" s="66" t="str">
        <f>IF($H1103=1,'Event summary'!C1103,"")</f>
        <v/>
      </c>
      <c r="K1103" s="66" t="str">
        <f>IF($H1103=1,'Event summary'!D1103,"")</f>
        <v/>
      </c>
    </row>
    <row r="1104" spans="7:11" x14ac:dyDescent="0.2">
      <c r="G1104" s="46">
        <f>'Event summary'!A1104</f>
        <v>1104</v>
      </c>
      <c r="H1104" s="43">
        <f>MIN(TYPE(SEARCH($E$2,'Event summary'!C1104)),TYPE(SEARCH($E$2,'Event summary'!D1104)))</f>
        <v>16</v>
      </c>
      <c r="I1104" s="65" t="str">
        <f t="shared" si="18"/>
        <v/>
      </c>
      <c r="J1104" s="66" t="str">
        <f>IF($H1104=1,'Event summary'!C1104,"")</f>
        <v/>
      </c>
      <c r="K1104" s="66" t="str">
        <f>IF($H1104=1,'Event summary'!D1104,"")</f>
        <v/>
      </c>
    </row>
    <row r="1105" spans="7:11" x14ac:dyDescent="0.2">
      <c r="G1105" s="46">
        <f>'Event summary'!A1105</f>
        <v>1105</v>
      </c>
      <c r="H1105" s="43">
        <f>MIN(TYPE(SEARCH($E$2,'Event summary'!C1105)),TYPE(SEARCH($E$2,'Event summary'!D1105)))</f>
        <v>16</v>
      </c>
      <c r="I1105" s="65" t="str">
        <f t="shared" si="18"/>
        <v/>
      </c>
      <c r="J1105" s="66" t="str">
        <f>IF($H1105=1,'Event summary'!C1105,"")</f>
        <v/>
      </c>
      <c r="K1105" s="66" t="str">
        <f>IF($H1105=1,'Event summary'!D1105,"")</f>
        <v/>
      </c>
    </row>
    <row r="1106" spans="7:11" x14ac:dyDescent="0.2">
      <c r="G1106" s="46">
        <f>'Event summary'!A1106</f>
        <v>1106</v>
      </c>
      <c r="H1106" s="43">
        <f>MIN(TYPE(SEARCH($E$2,'Event summary'!C1106)),TYPE(SEARCH($E$2,'Event summary'!D1106)))</f>
        <v>16</v>
      </c>
      <c r="I1106" s="65" t="str">
        <f t="shared" si="18"/>
        <v/>
      </c>
      <c r="J1106" s="66" t="str">
        <f>IF($H1106=1,'Event summary'!C1106,"")</f>
        <v/>
      </c>
      <c r="K1106" s="66" t="str">
        <f>IF($H1106=1,'Event summary'!D1106,"")</f>
        <v/>
      </c>
    </row>
    <row r="1107" spans="7:11" x14ac:dyDescent="0.2">
      <c r="G1107" s="46">
        <f>'Event summary'!A1107</f>
        <v>1107</v>
      </c>
      <c r="H1107" s="43">
        <f>MIN(TYPE(SEARCH($E$2,'Event summary'!C1107)),TYPE(SEARCH($E$2,'Event summary'!D1107)))</f>
        <v>16</v>
      </c>
      <c r="I1107" s="65" t="str">
        <f t="shared" si="18"/>
        <v/>
      </c>
      <c r="J1107" s="66" t="str">
        <f>IF($H1107=1,'Event summary'!C1107,"")</f>
        <v/>
      </c>
      <c r="K1107" s="66" t="str">
        <f>IF($H1107=1,'Event summary'!D1107,"")</f>
        <v/>
      </c>
    </row>
    <row r="1108" spans="7:11" x14ac:dyDescent="0.2">
      <c r="G1108" s="46">
        <f>'Event summary'!A1108</f>
        <v>1108</v>
      </c>
      <c r="H1108" s="43">
        <f>MIN(TYPE(SEARCH($E$2,'Event summary'!C1108)),TYPE(SEARCH($E$2,'Event summary'!D1108)))</f>
        <v>16</v>
      </c>
      <c r="I1108" s="65" t="str">
        <f t="shared" si="18"/>
        <v/>
      </c>
      <c r="J1108" s="66" t="str">
        <f>IF($H1108=1,'Event summary'!C1108,"")</f>
        <v/>
      </c>
      <c r="K1108" s="66" t="str">
        <f>IF($H1108=1,'Event summary'!D1108,"")</f>
        <v/>
      </c>
    </row>
    <row r="1109" spans="7:11" x14ac:dyDescent="0.2">
      <c r="G1109" s="46">
        <f>'Event summary'!A1109</f>
        <v>1109</v>
      </c>
      <c r="H1109" s="43">
        <f>MIN(TYPE(SEARCH($E$2,'Event summary'!C1109)),TYPE(SEARCH($E$2,'Event summary'!D1109)))</f>
        <v>16</v>
      </c>
      <c r="I1109" s="65" t="str">
        <f t="shared" si="18"/>
        <v/>
      </c>
      <c r="J1109" s="66" t="str">
        <f>IF($H1109=1,'Event summary'!C1109,"")</f>
        <v/>
      </c>
      <c r="K1109" s="66" t="str">
        <f>IF($H1109=1,'Event summary'!D1109,"")</f>
        <v/>
      </c>
    </row>
    <row r="1110" spans="7:11" x14ac:dyDescent="0.2">
      <c r="G1110" s="46">
        <f>'Event summary'!A1110</f>
        <v>1110</v>
      </c>
      <c r="H1110" s="43">
        <f>MIN(TYPE(SEARCH($E$2,'Event summary'!C1110)),TYPE(SEARCH($E$2,'Event summary'!D1110)))</f>
        <v>16</v>
      </c>
      <c r="I1110" s="65" t="str">
        <f t="shared" si="18"/>
        <v/>
      </c>
      <c r="J1110" s="66" t="str">
        <f>IF($H1110=1,'Event summary'!C1110,"")</f>
        <v/>
      </c>
      <c r="K1110" s="66" t="str">
        <f>IF($H1110=1,'Event summary'!D1110,"")</f>
        <v/>
      </c>
    </row>
    <row r="1111" spans="7:11" x14ac:dyDescent="0.2">
      <c r="G1111" s="46">
        <f>'Event summary'!A1111</f>
        <v>1111</v>
      </c>
      <c r="H1111" s="43">
        <f>MIN(TYPE(SEARCH($E$2,'Event summary'!C1111)),TYPE(SEARCH($E$2,'Event summary'!D1111)))</f>
        <v>16</v>
      </c>
      <c r="I1111" s="65" t="str">
        <f t="shared" si="18"/>
        <v/>
      </c>
      <c r="J1111" s="66" t="str">
        <f>IF($H1111=1,'Event summary'!C1111,"")</f>
        <v/>
      </c>
      <c r="K1111" s="66" t="str">
        <f>IF($H1111=1,'Event summary'!D1111,"")</f>
        <v/>
      </c>
    </row>
    <row r="1112" spans="7:11" x14ac:dyDescent="0.2">
      <c r="G1112" s="46">
        <f>'Event summary'!A1112</f>
        <v>1112</v>
      </c>
      <c r="H1112" s="43">
        <f>MIN(TYPE(SEARCH($E$2,'Event summary'!C1112)),TYPE(SEARCH($E$2,'Event summary'!D1112)))</f>
        <v>16</v>
      </c>
      <c r="I1112" s="65" t="str">
        <f t="shared" si="18"/>
        <v/>
      </c>
      <c r="J1112" s="66" t="str">
        <f>IF($H1112=1,'Event summary'!C1112,"")</f>
        <v/>
      </c>
      <c r="K1112" s="66" t="str">
        <f>IF($H1112=1,'Event summary'!D1112,"")</f>
        <v/>
      </c>
    </row>
    <row r="1113" spans="7:11" x14ac:dyDescent="0.2">
      <c r="G1113" s="46">
        <f>'Event summary'!A1113</f>
        <v>1113</v>
      </c>
      <c r="H1113" s="43">
        <f>MIN(TYPE(SEARCH($E$2,'Event summary'!C1113)),TYPE(SEARCH($E$2,'Event summary'!D1113)))</f>
        <v>16</v>
      </c>
      <c r="I1113" s="65" t="str">
        <f t="shared" si="18"/>
        <v/>
      </c>
      <c r="J1113" s="66" t="str">
        <f>IF($H1113=1,'Event summary'!C1113,"")</f>
        <v/>
      </c>
      <c r="K1113" s="66" t="str">
        <f>IF($H1113=1,'Event summary'!D1113,"")</f>
        <v/>
      </c>
    </row>
    <row r="1114" spans="7:11" x14ac:dyDescent="0.2">
      <c r="G1114" s="46">
        <f>'Event summary'!A1114</f>
        <v>1114</v>
      </c>
      <c r="H1114" s="43">
        <f>MIN(TYPE(SEARCH($E$2,'Event summary'!C1114)),TYPE(SEARCH($E$2,'Event summary'!D1114)))</f>
        <v>16</v>
      </c>
      <c r="I1114" s="65" t="str">
        <f t="shared" si="18"/>
        <v/>
      </c>
      <c r="J1114" s="66" t="str">
        <f>IF($H1114=1,'Event summary'!C1114,"")</f>
        <v/>
      </c>
      <c r="K1114" s="66" t="str">
        <f>IF($H1114=1,'Event summary'!D1114,"")</f>
        <v/>
      </c>
    </row>
    <row r="1115" spans="7:11" x14ac:dyDescent="0.2">
      <c r="G1115" s="46">
        <f>'Event summary'!A1115</f>
        <v>1115</v>
      </c>
      <c r="H1115" s="43">
        <f>MIN(TYPE(SEARCH($E$2,'Event summary'!C1115)),TYPE(SEARCH($E$2,'Event summary'!D1115)))</f>
        <v>16</v>
      </c>
      <c r="I1115" s="65" t="str">
        <f t="shared" si="18"/>
        <v/>
      </c>
      <c r="J1115" s="66" t="str">
        <f>IF($H1115=1,'Event summary'!C1115,"")</f>
        <v/>
      </c>
      <c r="K1115" s="66" t="str">
        <f>IF($H1115=1,'Event summary'!D1115,"")</f>
        <v/>
      </c>
    </row>
    <row r="1116" spans="7:11" x14ac:dyDescent="0.2">
      <c r="G1116" s="46">
        <f>'Event summary'!A1116</f>
        <v>1116</v>
      </c>
      <c r="H1116" s="43">
        <f>MIN(TYPE(SEARCH($E$2,'Event summary'!C1116)),TYPE(SEARCH($E$2,'Event summary'!D1116)))</f>
        <v>16</v>
      </c>
      <c r="I1116" s="65" t="str">
        <f t="shared" si="18"/>
        <v/>
      </c>
      <c r="J1116" s="66" t="str">
        <f>IF($H1116=1,'Event summary'!C1116,"")</f>
        <v/>
      </c>
      <c r="K1116" s="66" t="str">
        <f>IF($H1116=1,'Event summary'!D1116,"")</f>
        <v/>
      </c>
    </row>
    <row r="1117" spans="7:11" x14ac:dyDescent="0.2">
      <c r="G1117" s="46">
        <f>'Event summary'!A1117</f>
        <v>1117</v>
      </c>
      <c r="H1117" s="43">
        <f>MIN(TYPE(SEARCH($E$2,'Event summary'!C1117)),TYPE(SEARCH($E$2,'Event summary'!D1117)))</f>
        <v>16</v>
      </c>
      <c r="I1117" s="65" t="str">
        <f t="shared" si="18"/>
        <v/>
      </c>
      <c r="J1117" s="66" t="str">
        <f>IF($H1117=1,'Event summary'!C1117,"")</f>
        <v/>
      </c>
      <c r="K1117" s="66" t="str">
        <f>IF($H1117=1,'Event summary'!D1117,"")</f>
        <v/>
      </c>
    </row>
    <row r="1118" spans="7:11" x14ac:dyDescent="0.2">
      <c r="G1118" s="46">
        <f>'Event summary'!A1118</f>
        <v>1118</v>
      </c>
      <c r="H1118" s="43">
        <f>MIN(TYPE(SEARCH($E$2,'Event summary'!C1118)),TYPE(SEARCH($E$2,'Event summary'!D1118)))</f>
        <v>16</v>
      </c>
      <c r="I1118" s="65" t="str">
        <f t="shared" si="18"/>
        <v/>
      </c>
      <c r="J1118" s="66" t="str">
        <f>IF($H1118=1,'Event summary'!C1118,"")</f>
        <v/>
      </c>
      <c r="K1118" s="66" t="str">
        <f>IF($H1118=1,'Event summary'!D1118,"")</f>
        <v/>
      </c>
    </row>
    <row r="1119" spans="7:11" x14ac:dyDescent="0.2">
      <c r="G1119" s="46">
        <f>'Event summary'!A1119</f>
        <v>1119</v>
      </c>
      <c r="H1119" s="43">
        <f>MIN(TYPE(SEARCH($E$2,'Event summary'!C1119)),TYPE(SEARCH($E$2,'Event summary'!D1119)))</f>
        <v>16</v>
      </c>
      <c r="I1119" s="65" t="str">
        <f t="shared" si="18"/>
        <v/>
      </c>
      <c r="J1119" s="66" t="str">
        <f>IF($H1119=1,'Event summary'!C1119,"")</f>
        <v/>
      </c>
      <c r="K1119" s="66" t="str">
        <f>IF($H1119=1,'Event summary'!D1119,"")</f>
        <v/>
      </c>
    </row>
    <row r="1120" spans="7:11" x14ac:dyDescent="0.2">
      <c r="G1120" s="46">
        <f>'Event summary'!A1120</f>
        <v>1120</v>
      </c>
      <c r="H1120" s="43">
        <f>MIN(TYPE(SEARCH($E$2,'Event summary'!C1120)),TYPE(SEARCH($E$2,'Event summary'!D1120)))</f>
        <v>16</v>
      </c>
      <c r="I1120" s="65" t="str">
        <f t="shared" si="18"/>
        <v/>
      </c>
      <c r="J1120" s="66" t="str">
        <f>IF($H1120=1,'Event summary'!C1120,"")</f>
        <v/>
      </c>
      <c r="K1120" s="66" t="str">
        <f>IF($H1120=1,'Event summary'!D1120,"")</f>
        <v/>
      </c>
    </row>
    <row r="1121" spans="7:11" x14ac:dyDescent="0.2">
      <c r="G1121" s="46">
        <f>'Event summary'!A1121</f>
        <v>1121</v>
      </c>
      <c r="H1121" s="43">
        <f>MIN(TYPE(SEARCH($E$2,'Event summary'!C1121)),TYPE(SEARCH($E$2,'Event summary'!D1121)))</f>
        <v>16</v>
      </c>
      <c r="I1121" s="65" t="str">
        <f t="shared" si="18"/>
        <v/>
      </c>
      <c r="J1121" s="66" t="str">
        <f>IF($H1121=1,'Event summary'!C1121,"")</f>
        <v/>
      </c>
      <c r="K1121" s="66" t="str">
        <f>IF($H1121=1,'Event summary'!D1121,"")</f>
        <v/>
      </c>
    </row>
    <row r="1122" spans="7:11" x14ac:dyDescent="0.2">
      <c r="G1122" s="46">
        <f>'Event summary'!A1122</f>
        <v>1122</v>
      </c>
      <c r="H1122" s="43">
        <f>MIN(TYPE(SEARCH($E$2,'Event summary'!C1122)),TYPE(SEARCH($E$2,'Event summary'!D1122)))</f>
        <v>16</v>
      </c>
      <c r="I1122" s="65" t="str">
        <f t="shared" si="18"/>
        <v/>
      </c>
      <c r="J1122" s="66" t="str">
        <f>IF($H1122=1,'Event summary'!C1122,"")</f>
        <v/>
      </c>
      <c r="K1122" s="66" t="str">
        <f>IF($H1122=1,'Event summary'!D1122,"")</f>
        <v/>
      </c>
    </row>
    <row r="1123" spans="7:11" x14ac:dyDescent="0.2">
      <c r="G1123" s="46">
        <f>'Event summary'!A1123</f>
        <v>1123</v>
      </c>
      <c r="H1123" s="43">
        <f>MIN(TYPE(SEARCH($E$2,'Event summary'!C1123)),TYPE(SEARCH($E$2,'Event summary'!D1123)))</f>
        <v>16</v>
      </c>
      <c r="I1123" s="65" t="str">
        <f t="shared" si="18"/>
        <v/>
      </c>
      <c r="J1123" s="66" t="str">
        <f>IF($H1123=1,'Event summary'!C1123,"")</f>
        <v/>
      </c>
      <c r="K1123" s="66" t="str">
        <f>IF($H1123=1,'Event summary'!D1123,"")</f>
        <v/>
      </c>
    </row>
    <row r="1124" spans="7:11" x14ac:dyDescent="0.2">
      <c r="G1124" s="46">
        <f>'Event summary'!A1124</f>
        <v>1124</v>
      </c>
      <c r="H1124" s="43">
        <f>MIN(TYPE(SEARCH($E$2,'Event summary'!C1124)),TYPE(SEARCH($E$2,'Event summary'!D1124)))</f>
        <v>16</v>
      </c>
      <c r="I1124" s="65" t="str">
        <f t="shared" si="18"/>
        <v/>
      </c>
      <c r="J1124" s="66" t="str">
        <f>IF($H1124=1,'Event summary'!C1124,"")</f>
        <v/>
      </c>
      <c r="K1124" s="66" t="str">
        <f>IF($H1124=1,'Event summary'!D1124,"")</f>
        <v/>
      </c>
    </row>
    <row r="1125" spans="7:11" x14ac:dyDescent="0.2">
      <c r="G1125" s="46">
        <f>'Event summary'!A1125</f>
        <v>1125</v>
      </c>
      <c r="H1125" s="43">
        <f>MIN(TYPE(SEARCH($E$2,'Event summary'!C1125)),TYPE(SEARCH($E$2,'Event summary'!D1125)))</f>
        <v>16</v>
      </c>
      <c r="I1125" s="65" t="str">
        <f t="shared" si="18"/>
        <v/>
      </c>
      <c r="J1125" s="66" t="str">
        <f>IF($H1125=1,'Event summary'!C1125,"")</f>
        <v/>
      </c>
      <c r="K1125" s="66" t="str">
        <f>IF($H1125=1,'Event summary'!D1125,"")</f>
        <v/>
      </c>
    </row>
    <row r="1126" spans="7:11" x14ac:dyDescent="0.2">
      <c r="G1126" s="46">
        <f>'Event summary'!A1126</f>
        <v>1126</v>
      </c>
      <c r="H1126" s="43">
        <f>MIN(TYPE(SEARCH($E$2,'Event summary'!C1126)),TYPE(SEARCH($E$2,'Event summary'!D1126)))</f>
        <v>16</v>
      </c>
      <c r="I1126" s="65" t="str">
        <f t="shared" si="18"/>
        <v/>
      </c>
      <c r="J1126" s="66" t="str">
        <f>IF($H1126=1,'Event summary'!C1126,"")</f>
        <v/>
      </c>
      <c r="K1126" s="66" t="str">
        <f>IF($H1126=1,'Event summary'!D1126,"")</f>
        <v/>
      </c>
    </row>
    <row r="1127" spans="7:11" x14ac:dyDescent="0.2">
      <c r="G1127" s="46">
        <f>'Event summary'!A1127</f>
        <v>1127</v>
      </c>
      <c r="H1127" s="43">
        <f>MIN(TYPE(SEARCH($E$2,'Event summary'!C1127)),TYPE(SEARCH($E$2,'Event summary'!D1127)))</f>
        <v>16</v>
      </c>
      <c r="I1127" s="65" t="str">
        <f t="shared" si="18"/>
        <v/>
      </c>
      <c r="J1127" s="66" t="str">
        <f>IF($H1127=1,'Event summary'!C1127,"")</f>
        <v/>
      </c>
      <c r="K1127" s="66" t="str">
        <f>IF($H1127=1,'Event summary'!D1127,"")</f>
        <v/>
      </c>
    </row>
    <row r="1128" spans="7:11" x14ac:dyDescent="0.2">
      <c r="G1128" s="46">
        <f>'Event summary'!A1128</f>
        <v>1128</v>
      </c>
      <c r="H1128" s="43">
        <f>MIN(TYPE(SEARCH($E$2,'Event summary'!C1128)),TYPE(SEARCH($E$2,'Event summary'!D1128)))</f>
        <v>16</v>
      </c>
      <c r="I1128" s="65" t="str">
        <f t="shared" si="18"/>
        <v/>
      </c>
      <c r="J1128" s="66" t="str">
        <f>IF($H1128=1,'Event summary'!C1128,"")</f>
        <v/>
      </c>
      <c r="K1128" s="66" t="str">
        <f>IF($H1128=1,'Event summary'!D1128,"")</f>
        <v/>
      </c>
    </row>
    <row r="1129" spans="7:11" x14ac:dyDescent="0.2">
      <c r="G1129" s="46">
        <f>'Event summary'!A1129</f>
        <v>1129</v>
      </c>
      <c r="H1129" s="43">
        <f>MIN(TYPE(SEARCH($E$2,'Event summary'!C1129)),TYPE(SEARCH($E$2,'Event summary'!D1129)))</f>
        <v>16</v>
      </c>
      <c r="I1129" s="65" t="str">
        <f t="shared" si="18"/>
        <v/>
      </c>
      <c r="J1129" s="66" t="str">
        <f>IF($H1129=1,'Event summary'!C1129,"")</f>
        <v/>
      </c>
      <c r="K1129" s="66" t="str">
        <f>IF($H1129=1,'Event summary'!D1129,"")</f>
        <v/>
      </c>
    </row>
    <row r="1130" spans="7:11" x14ac:dyDescent="0.2">
      <c r="G1130" s="46">
        <f>'Event summary'!A1130</f>
        <v>1130</v>
      </c>
      <c r="H1130" s="43">
        <f>MIN(TYPE(SEARCH($E$2,'Event summary'!C1130)),TYPE(SEARCH($E$2,'Event summary'!D1130)))</f>
        <v>16</v>
      </c>
      <c r="I1130" s="65" t="str">
        <f t="shared" si="18"/>
        <v/>
      </c>
      <c r="J1130" s="66" t="str">
        <f>IF($H1130=1,'Event summary'!C1130,"")</f>
        <v/>
      </c>
      <c r="K1130" s="66" t="str">
        <f>IF($H1130=1,'Event summary'!D1130,"")</f>
        <v/>
      </c>
    </row>
    <row r="1131" spans="7:11" x14ac:dyDescent="0.2">
      <c r="G1131" s="46">
        <f>'Event summary'!A1131</f>
        <v>1131</v>
      </c>
      <c r="H1131" s="43">
        <f>MIN(TYPE(SEARCH($E$2,'Event summary'!C1131)),TYPE(SEARCH($E$2,'Event summary'!D1131)))</f>
        <v>16</v>
      </c>
      <c r="I1131" s="65" t="str">
        <f t="shared" ref="I1131:I1194" si="19">IF(H1131=1,$E$2,"")</f>
        <v/>
      </c>
      <c r="J1131" s="66" t="str">
        <f>IF($H1131=1,'Event summary'!C1131,"")</f>
        <v/>
      </c>
      <c r="K1131" s="66" t="str">
        <f>IF($H1131=1,'Event summary'!D1131,"")</f>
        <v/>
      </c>
    </row>
    <row r="1132" spans="7:11" x14ac:dyDescent="0.2">
      <c r="G1132" s="46">
        <f>'Event summary'!A1132</f>
        <v>1132</v>
      </c>
      <c r="H1132" s="43">
        <f>MIN(TYPE(SEARCH($E$2,'Event summary'!C1132)),TYPE(SEARCH($E$2,'Event summary'!D1132)))</f>
        <v>16</v>
      </c>
      <c r="I1132" s="65" t="str">
        <f t="shared" si="19"/>
        <v/>
      </c>
      <c r="J1132" s="66" t="str">
        <f>IF($H1132=1,'Event summary'!C1132,"")</f>
        <v/>
      </c>
      <c r="K1132" s="66" t="str">
        <f>IF($H1132=1,'Event summary'!D1132,"")</f>
        <v/>
      </c>
    </row>
    <row r="1133" spans="7:11" x14ac:dyDescent="0.2">
      <c r="G1133" s="46">
        <f>'Event summary'!A1133</f>
        <v>1133</v>
      </c>
      <c r="H1133" s="43">
        <f>MIN(TYPE(SEARCH($E$2,'Event summary'!C1133)),TYPE(SEARCH($E$2,'Event summary'!D1133)))</f>
        <v>16</v>
      </c>
      <c r="I1133" s="65" t="str">
        <f t="shared" si="19"/>
        <v/>
      </c>
      <c r="J1133" s="66" t="str">
        <f>IF($H1133=1,'Event summary'!C1133,"")</f>
        <v/>
      </c>
      <c r="K1133" s="66" t="str">
        <f>IF($H1133=1,'Event summary'!D1133,"")</f>
        <v/>
      </c>
    </row>
    <row r="1134" spans="7:11" x14ac:dyDescent="0.2">
      <c r="G1134" s="46">
        <f>'Event summary'!A1134</f>
        <v>1134</v>
      </c>
      <c r="H1134" s="43">
        <f>MIN(TYPE(SEARCH($E$2,'Event summary'!C1134)),TYPE(SEARCH($E$2,'Event summary'!D1134)))</f>
        <v>16</v>
      </c>
      <c r="I1134" s="65" t="str">
        <f t="shared" si="19"/>
        <v/>
      </c>
      <c r="J1134" s="66" t="str">
        <f>IF($H1134=1,'Event summary'!C1134,"")</f>
        <v/>
      </c>
      <c r="K1134" s="66" t="str">
        <f>IF($H1134=1,'Event summary'!D1134,"")</f>
        <v/>
      </c>
    </row>
    <row r="1135" spans="7:11" x14ac:dyDescent="0.2">
      <c r="G1135" s="46">
        <f>'Event summary'!A1135</f>
        <v>1135</v>
      </c>
      <c r="H1135" s="43">
        <f>MIN(TYPE(SEARCH($E$2,'Event summary'!C1135)),TYPE(SEARCH($E$2,'Event summary'!D1135)))</f>
        <v>16</v>
      </c>
      <c r="I1135" s="65" t="str">
        <f t="shared" si="19"/>
        <v/>
      </c>
      <c r="J1135" s="66" t="str">
        <f>IF($H1135=1,'Event summary'!C1135,"")</f>
        <v/>
      </c>
      <c r="K1135" s="66" t="str">
        <f>IF($H1135=1,'Event summary'!D1135,"")</f>
        <v/>
      </c>
    </row>
    <row r="1136" spans="7:11" x14ac:dyDescent="0.2">
      <c r="G1136" s="46">
        <f>'Event summary'!A1136</f>
        <v>1136</v>
      </c>
      <c r="H1136" s="43">
        <f>MIN(TYPE(SEARCH($E$2,'Event summary'!C1136)),TYPE(SEARCH($E$2,'Event summary'!D1136)))</f>
        <v>16</v>
      </c>
      <c r="I1136" s="65" t="str">
        <f t="shared" si="19"/>
        <v/>
      </c>
      <c r="J1136" s="66" t="str">
        <f>IF($H1136=1,'Event summary'!C1136,"")</f>
        <v/>
      </c>
      <c r="K1136" s="66" t="str">
        <f>IF($H1136=1,'Event summary'!D1136,"")</f>
        <v/>
      </c>
    </row>
    <row r="1137" spans="7:11" x14ac:dyDescent="0.2">
      <c r="G1137" s="46">
        <f>'Event summary'!A1137</f>
        <v>1137</v>
      </c>
      <c r="H1137" s="43">
        <f>MIN(TYPE(SEARCH($E$2,'Event summary'!C1137)),TYPE(SEARCH($E$2,'Event summary'!D1137)))</f>
        <v>16</v>
      </c>
      <c r="I1137" s="65" t="str">
        <f t="shared" si="19"/>
        <v/>
      </c>
      <c r="J1137" s="66" t="str">
        <f>IF($H1137=1,'Event summary'!C1137,"")</f>
        <v/>
      </c>
      <c r="K1137" s="66" t="str">
        <f>IF($H1137=1,'Event summary'!D1137,"")</f>
        <v/>
      </c>
    </row>
    <row r="1138" spans="7:11" x14ac:dyDescent="0.2">
      <c r="G1138" s="46">
        <f>'Event summary'!A1138</f>
        <v>1138</v>
      </c>
      <c r="H1138" s="43">
        <f>MIN(TYPE(SEARCH($E$2,'Event summary'!C1138)),TYPE(SEARCH($E$2,'Event summary'!D1138)))</f>
        <v>16</v>
      </c>
      <c r="I1138" s="65" t="str">
        <f t="shared" si="19"/>
        <v/>
      </c>
      <c r="J1138" s="66" t="str">
        <f>IF($H1138=1,'Event summary'!C1138,"")</f>
        <v/>
      </c>
      <c r="K1138" s="66" t="str">
        <f>IF($H1138=1,'Event summary'!D1138,"")</f>
        <v/>
      </c>
    </row>
    <row r="1139" spans="7:11" x14ac:dyDescent="0.2">
      <c r="G1139" s="46">
        <f>'Event summary'!A1139</f>
        <v>1139</v>
      </c>
      <c r="H1139" s="43">
        <f>MIN(TYPE(SEARCH($E$2,'Event summary'!C1139)),TYPE(SEARCH($E$2,'Event summary'!D1139)))</f>
        <v>16</v>
      </c>
      <c r="I1139" s="65" t="str">
        <f t="shared" si="19"/>
        <v/>
      </c>
      <c r="J1139" s="66" t="str">
        <f>IF($H1139=1,'Event summary'!C1139,"")</f>
        <v/>
      </c>
      <c r="K1139" s="66" t="str">
        <f>IF($H1139=1,'Event summary'!D1139,"")</f>
        <v/>
      </c>
    </row>
    <row r="1140" spans="7:11" x14ac:dyDescent="0.2">
      <c r="G1140" s="46">
        <f>'Event summary'!A1140</f>
        <v>1140</v>
      </c>
      <c r="H1140" s="43">
        <f>MIN(TYPE(SEARCH($E$2,'Event summary'!C1140)),TYPE(SEARCH($E$2,'Event summary'!D1140)))</f>
        <v>16</v>
      </c>
      <c r="I1140" s="65" t="str">
        <f t="shared" si="19"/>
        <v/>
      </c>
      <c r="J1140" s="66" t="str">
        <f>IF($H1140=1,'Event summary'!C1140,"")</f>
        <v/>
      </c>
      <c r="K1140" s="66" t="str">
        <f>IF($H1140=1,'Event summary'!D1140,"")</f>
        <v/>
      </c>
    </row>
    <row r="1141" spans="7:11" x14ac:dyDescent="0.2">
      <c r="G1141" s="46">
        <f>'Event summary'!A1141</f>
        <v>1141</v>
      </c>
      <c r="H1141" s="43">
        <f>MIN(TYPE(SEARCH($E$2,'Event summary'!C1141)),TYPE(SEARCH($E$2,'Event summary'!D1141)))</f>
        <v>16</v>
      </c>
      <c r="I1141" s="65" t="str">
        <f t="shared" si="19"/>
        <v/>
      </c>
      <c r="J1141" s="66" t="str">
        <f>IF($H1141=1,'Event summary'!C1141,"")</f>
        <v/>
      </c>
      <c r="K1141" s="66" t="str">
        <f>IF($H1141=1,'Event summary'!D1141,"")</f>
        <v/>
      </c>
    </row>
    <row r="1142" spans="7:11" x14ac:dyDescent="0.2">
      <c r="G1142" s="46">
        <f>'Event summary'!A1142</f>
        <v>1142</v>
      </c>
      <c r="H1142" s="43">
        <f>MIN(TYPE(SEARCH($E$2,'Event summary'!C1142)),TYPE(SEARCH($E$2,'Event summary'!D1142)))</f>
        <v>16</v>
      </c>
      <c r="I1142" s="65" t="str">
        <f t="shared" si="19"/>
        <v/>
      </c>
      <c r="J1142" s="66" t="str">
        <f>IF($H1142=1,'Event summary'!C1142,"")</f>
        <v/>
      </c>
      <c r="K1142" s="66" t="str">
        <f>IF($H1142=1,'Event summary'!D1142,"")</f>
        <v/>
      </c>
    </row>
    <row r="1143" spans="7:11" x14ac:dyDescent="0.2">
      <c r="G1143" s="46">
        <f>'Event summary'!A1143</f>
        <v>1143</v>
      </c>
      <c r="H1143" s="43">
        <f>MIN(TYPE(SEARCH($E$2,'Event summary'!C1143)),TYPE(SEARCH($E$2,'Event summary'!D1143)))</f>
        <v>16</v>
      </c>
      <c r="I1143" s="65" t="str">
        <f t="shared" si="19"/>
        <v/>
      </c>
      <c r="J1143" s="66" t="str">
        <f>IF($H1143=1,'Event summary'!C1143,"")</f>
        <v/>
      </c>
      <c r="K1143" s="66" t="str">
        <f>IF($H1143=1,'Event summary'!D1143,"")</f>
        <v/>
      </c>
    </row>
    <row r="1144" spans="7:11" x14ac:dyDescent="0.2">
      <c r="G1144" s="46">
        <f>'Event summary'!A1144</f>
        <v>1144</v>
      </c>
      <c r="H1144" s="43">
        <f>MIN(TYPE(SEARCH($E$2,'Event summary'!C1144)),TYPE(SEARCH($E$2,'Event summary'!D1144)))</f>
        <v>16</v>
      </c>
      <c r="I1144" s="65" t="str">
        <f t="shared" si="19"/>
        <v/>
      </c>
      <c r="J1144" s="66" t="str">
        <f>IF($H1144=1,'Event summary'!C1144,"")</f>
        <v/>
      </c>
      <c r="K1144" s="66" t="str">
        <f>IF($H1144=1,'Event summary'!D1144,"")</f>
        <v/>
      </c>
    </row>
    <row r="1145" spans="7:11" x14ac:dyDescent="0.2">
      <c r="G1145" s="46">
        <f>'Event summary'!A1145</f>
        <v>1145</v>
      </c>
      <c r="H1145" s="43">
        <f>MIN(TYPE(SEARCH($E$2,'Event summary'!C1145)),TYPE(SEARCH($E$2,'Event summary'!D1145)))</f>
        <v>16</v>
      </c>
      <c r="I1145" s="65" t="str">
        <f t="shared" si="19"/>
        <v/>
      </c>
      <c r="J1145" s="66" t="str">
        <f>IF($H1145=1,'Event summary'!C1145,"")</f>
        <v/>
      </c>
      <c r="K1145" s="66" t="str">
        <f>IF($H1145=1,'Event summary'!D1145,"")</f>
        <v/>
      </c>
    </row>
    <row r="1146" spans="7:11" x14ac:dyDescent="0.2">
      <c r="G1146" s="46">
        <f>'Event summary'!A1146</f>
        <v>1146</v>
      </c>
      <c r="H1146" s="43">
        <f>MIN(TYPE(SEARCH($E$2,'Event summary'!C1146)),TYPE(SEARCH($E$2,'Event summary'!D1146)))</f>
        <v>16</v>
      </c>
      <c r="I1146" s="65" t="str">
        <f t="shared" si="19"/>
        <v/>
      </c>
      <c r="J1146" s="66" t="str">
        <f>IF($H1146=1,'Event summary'!C1146,"")</f>
        <v/>
      </c>
      <c r="K1146" s="66" t="str">
        <f>IF($H1146=1,'Event summary'!D1146,"")</f>
        <v/>
      </c>
    </row>
    <row r="1147" spans="7:11" x14ac:dyDescent="0.2">
      <c r="G1147" s="46">
        <f>'Event summary'!A1147</f>
        <v>1147</v>
      </c>
      <c r="H1147" s="43">
        <f>MIN(TYPE(SEARCH($E$2,'Event summary'!C1147)),TYPE(SEARCH($E$2,'Event summary'!D1147)))</f>
        <v>16</v>
      </c>
      <c r="I1147" s="65" t="str">
        <f t="shared" si="19"/>
        <v/>
      </c>
      <c r="J1147" s="66" t="str">
        <f>IF($H1147=1,'Event summary'!C1147,"")</f>
        <v/>
      </c>
      <c r="K1147" s="66" t="str">
        <f>IF($H1147=1,'Event summary'!D1147,"")</f>
        <v/>
      </c>
    </row>
    <row r="1148" spans="7:11" x14ac:dyDescent="0.2">
      <c r="G1148" s="46">
        <f>'Event summary'!A1148</f>
        <v>1148</v>
      </c>
      <c r="H1148" s="43">
        <f>MIN(TYPE(SEARCH($E$2,'Event summary'!C1148)),TYPE(SEARCH($E$2,'Event summary'!D1148)))</f>
        <v>16</v>
      </c>
      <c r="I1148" s="65" t="str">
        <f t="shared" si="19"/>
        <v/>
      </c>
      <c r="J1148" s="66" t="str">
        <f>IF($H1148=1,'Event summary'!C1148,"")</f>
        <v/>
      </c>
      <c r="K1148" s="66" t="str">
        <f>IF($H1148=1,'Event summary'!D1148,"")</f>
        <v/>
      </c>
    </row>
    <row r="1149" spans="7:11" x14ac:dyDescent="0.2">
      <c r="G1149" s="46">
        <f>'Event summary'!A1149</f>
        <v>1149</v>
      </c>
      <c r="H1149" s="43">
        <f>MIN(TYPE(SEARCH($E$2,'Event summary'!C1149)),TYPE(SEARCH($E$2,'Event summary'!D1149)))</f>
        <v>16</v>
      </c>
      <c r="I1149" s="65" t="str">
        <f t="shared" si="19"/>
        <v/>
      </c>
      <c r="J1149" s="66" t="str">
        <f>IF($H1149=1,'Event summary'!C1149,"")</f>
        <v/>
      </c>
      <c r="K1149" s="66" t="str">
        <f>IF($H1149=1,'Event summary'!D1149,"")</f>
        <v/>
      </c>
    </row>
    <row r="1150" spans="7:11" x14ac:dyDescent="0.2">
      <c r="G1150" s="46">
        <f>'Event summary'!A1150</f>
        <v>1150</v>
      </c>
      <c r="H1150" s="43">
        <f>MIN(TYPE(SEARCH($E$2,'Event summary'!C1150)),TYPE(SEARCH($E$2,'Event summary'!D1150)))</f>
        <v>16</v>
      </c>
      <c r="I1150" s="65" t="str">
        <f t="shared" si="19"/>
        <v/>
      </c>
      <c r="J1150" s="66" t="str">
        <f>IF($H1150=1,'Event summary'!C1150,"")</f>
        <v/>
      </c>
      <c r="K1150" s="66" t="str">
        <f>IF($H1150=1,'Event summary'!D1150,"")</f>
        <v/>
      </c>
    </row>
    <row r="1151" spans="7:11" x14ac:dyDescent="0.2">
      <c r="G1151" s="46">
        <f>'Event summary'!A1151</f>
        <v>1151</v>
      </c>
      <c r="H1151" s="43">
        <f>MIN(TYPE(SEARCH($E$2,'Event summary'!C1151)),TYPE(SEARCH($E$2,'Event summary'!D1151)))</f>
        <v>16</v>
      </c>
      <c r="I1151" s="65" t="str">
        <f t="shared" si="19"/>
        <v/>
      </c>
      <c r="J1151" s="66" t="str">
        <f>IF($H1151=1,'Event summary'!C1151,"")</f>
        <v/>
      </c>
      <c r="K1151" s="66" t="str">
        <f>IF($H1151=1,'Event summary'!D1151,"")</f>
        <v/>
      </c>
    </row>
    <row r="1152" spans="7:11" x14ac:dyDescent="0.2">
      <c r="G1152" s="46">
        <f>'Event summary'!A1152</f>
        <v>1152</v>
      </c>
      <c r="H1152" s="43">
        <f>MIN(TYPE(SEARCH($E$2,'Event summary'!C1152)),TYPE(SEARCH($E$2,'Event summary'!D1152)))</f>
        <v>16</v>
      </c>
      <c r="I1152" s="65" t="str">
        <f t="shared" si="19"/>
        <v/>
      </c>
      <c r="J1152" s="66" t="str">
        <f>IF($H1152=1,'Event summary'!C1152,"")</f>
        <v/>
      </c>
      <c r="K1152" s="66" t="str">
        <f>IF($H1152=1,'Event summary'!D1152,"")</f>
        <v/>
      </c>
    </row>
    <row r="1153" spans="7:11" x14ac:dyDescent="0.2">
      <c r="G1153" s="46">
        <f>'Event summary'!A1153</f>
        <v>1153</v>
      </c>
      <c r="H1153" s="43">
        <f>MIN(TYPE(SEARCH($E$2,'Event summary'!C1153)),TYPE(SEARCH($E$2,'Event summary'!D1153)))</f>
        <v>16</v>
      </c>
      <c r="I1153" s="65" t="str">
        <f t="shared" si="19"/>
        <v/>
      </c>
      <c r="J1153" s="66" t="str">
        <f>IF($H1153=1,'Event summary'!C1153,"")</f>
        <v/>
      </c>
      <c r="K1153" s="66" t="str">
        <f>IF($H1153=1,'Event summary'!D1153,"")</f>
        <v/>
      </c>
    </row>
    <row r="1154" spans="7:11" x14ac:dyDescent="0.2">
      <c r="G1154" s="46">
        <f>'Event summary'!A1154</f>
        <v>1154</v>
      </c>
      <c r="H1154" s="43">
        <f>MIN(TYPE(SEARCH($E$2,'Event summary'!C1154)),TYPE(SEARCH($E$2,'Event summary'!D1154)))</f>
        <v>16</v>
      </c>
      <c r="I1154" s="65" t="str">
        <f t="shared" si="19"/>
        <v/>
      </c>
      <c r="J1154" s="66" t="str">
        <f>IF($H1154=1,'Event summary'!C1154,"")</f>
        <v/>
      </c>
      <c r="K1154" s="66" t="str">
        <f>IF($H1154=1,'Event summary'!D1154,"")</f>
        <v/>
      </c>
    </row>
    <row r="1155" spans="7:11" x14ac:dyDescent="0.2">
      <c r="G1155" s="46">
        <f>'Event summary'!A1155</f>
        <v>1155</v>
      </c>
      <c r="H1155" s="43">
        <f>MIN(TYPE(SEARCH($E$2,'Event summary'!C1155)),TYPE(SEARCH($E$2,'Event summary'!D1155)))</f>
        <v>16</v>
      </c>
      <c r="I1155" s="65" t="str">
        <f t="shared" si="19"/>
        <v/>
      </c>
      <c r="J1155" s="66" t="str">
        <f>IF($H1155=1,'Event summary'!C1155,"")</f>
        <v/>
      </c>
      <c r="K1155" s="66" t="str">
        <f>IF($H1155=1,'Event summary'!D1155,"")</f>
        <v/>
      </c>
    </row>
    <row r="1156" spans="7:11" x14ac:dyDescent="0.2">
      <c r="G1156" s="46">
        <f>'Event summary'!A1156</f>
        <v>1156</v>
      </c>
      <c r="H1156" s="43">
        <f>MIN(TYPE(SEARCH($E$2,'Event summary'!C1156)),TYPE(SEARCH($E$2,'Event summary'!D1156)))</f>
        <v>16</v>
      </c>
      <c r="I1156" s="65" t="str">
        <f t="shared" si="19"/>
        <v/>
      </c>
      <c r="J1156" s="66" t="str">
        <f>IF($H1156=1,'Event summary'!C1156,"")</f>
        <v/>
      </c>
      <c r="K1156" s="66" t="str">
        <f>IF($H1156=1,'Event summary'!D1156,"")</f>
        <v/>
      </c>
    </row>
    <row r="1157" spans="7:11" x14ac:dyDescent="0.2">
      <c r="G1157" s="46">
        <f>'Event summary'!A1157</f>
        <v>1157</v>
      </c>
      <c r="H1157" s="43">
        <f>MIN(TYPE(SEARCH($E$2,'Event summary'!C1157)),TYPE(SEARCH($E$2,'Event summary'!D1157)))</f>
        <v>16</v>
      </c>
      <c r="I1157" s="65" t="str">
        <f t="shared" si="19"/>
        <v/>
      </c>
      <c r="J1157" s="66" t="str">
        <f>IF($H1157=1,'Event summary'!C1157,"")</f>
        <v/>
      </c>
      <c r="K1157" s="66" t="str">
        <f>IF($H1157=1,'Event summary'!D1157,"")</f>
        <v/>
      </c>
    </row>
    <row r="1158" spans="7:11" x14ac:dyDescent="0.2">
      <c r="G1158" s="46">
        <f>'Event summary'!A1158</f>
        <v>1158</v>
      </c>
      <c r="H1158" s="43">
        <f>MIN(TYPE(SEARCH($E$2,'Event summary'!C1158)),TYPE(SEARCH($E$2,'Event summary'!D1158)))</f>
        <v>16</v>
      </c>
      <c r="I1158" s="65" t="str">
        <f t="shared" si="19"/>
        <v/>
      </c>
      <c r="J1158" s="66" t="str">
        <f>IF($H1158=1,'Event summary'!C1158,"")</f>
        <v/>
      </c>
      <c r="K1158" s="66" t="str">
        <f>IF($H1158=1,'Event summary'!D1158,"")</f>
        <v/>
      </c>
    </row>
    <row r="1159" spans="7:11" x14ac:dyDescent="0.2">
      <c r="G1159" s="46">
        <f>'Event summary'!A1159</f>
        <v>1159</v>
      </c>
      <c r="H1159" s="43">
        <f>MIN(TYPE(SEARCH($E$2,'Event summary'!C1159)),TYPE(SEARCH($E$2,'Event summary'!D1159)))</f>
        <v>16</v>
      </c>
      <c r="I1159" s="65" t="str">
        <f t="shared" si="19"/>
        <v/>
      </c>
      <c r="J1159" s="66" t="str">
        <f>IF($H1159=1,'Event summary'!C1159,"")</f>
        <v/>
      </c>
      <c r="K1159" s="66" t="str">
        <f>IF($H1159=1,'Event summary'!D1159,"")</f>
        <v/>
      </c>
    </row>
    <row r="1160" spans="7:11" x14ac:dyDescent="0.2">
      <c r="G1160" s="46">
        <f>'Event summary'!A1160</f>
        <v>1160</v>
      </c>
      <c r="H1160" s="43">
        <f>MIN(TYPE(SEARCH($E$2,'Event summary'!C1160)),TYPE(SEARCH($E$2,'Event summary'!D1160)))</f>
        <v>16</v>
      </c>
      <c r="I1160" s="65" t="str">
        <f t="shared" si="19"/>
        <v/>
      </c>
      <c r="J1160" s="66" t="str">
        <f>IF($H1160=1,'Event summary'!C1160,"")</f>
        <v/>
      </c>
      <c r="K1160" s="66" t="str">
        <f>IF($H1160=1,'Event summary'!D1160,"")</f>
        <v/>
      </c>
    </row>
    <row r="1161" spans="7:11" x14ac:dyDescent="0.2">
      <c r="G1161" s="46">
        <f>'Event summary'!A1161</f>
        <v>1161</v>
      </c>
      <c r="H1161" s="43">
        <f>MIN(TYPE(SEARCH($E$2,'Event summary'!C1161)),TYPE(SEARCH($E$2,'Event summary'!D1161)))</f>
        <v>16</v>
      </c>
      <c r="I1161" s="65" t="str">
        <f t="shared" si="19"/>
        <v/>
      </c>
      <c r="J1161" s="66" t="str">
        <f>IF($H1161=1,'Event summary'!C1161,"")</f>
        <v/>
      </c>
      <c r="K1161" s="66" t="str">
        <f>IF($H1161=1,'Event summary'!D1161,"")</f>
        <v/>
      </c>
    </row>
    <row r="1162" spans="7:11" x14ac:dyDescent="0.2">
      <c r="G1162" s="46">
        <f>'Event summary'!A1162</f>
        <v>1162</v>
      </c>
      <c r="H1162" s="43">
        <f>MIN(TYPE(SEARCH($E$2,'Event summary'!C1162)),TYPE(SEARCH($E$2,'Event summary'!D1162)))</f>
        <v>16</v>
      </c>
      <c r="I1162" s="65" t="str">
        <f t="shared" si="19"/>
        <v/>
      </c>
      <c r="J1162" s="66" t="str">
        <f>IF($H1162=1,'Event summary'!C1162,"")</f>
        <v/>
      </c>
      <c r="K1162" s="66" t="str">
        <f>IF($H1162=1,'Event summary'!D1162,"")</f>
        <v/>
      </c>
    </row>
    <row r="1163" spans="7:11" x14ac:dyDescent="0.2">
      <c r="G1163" s="46">
        <f>'Event summary'!A1163</f>
        <v>1163</v>
      </c>
      <c r="H1163" s="43">
        <f>MIN(TYPE(SEARCH($E$2,'Event summary'!C1163)),TYPE(SEARCH($E$2,'Event summary'!D1163)))</f>
        <v>16</v>
      </c>
      <c r="I1163" s="65" t="str">
        <f t="shared" si="19"/>
        <v/>
      </c>
      <c r="J1163" s="66" t="str">
        <f>IF($H1163=1,'Event summary'!C1163,"")</f>
        <v/>
      </c>
      <c r="K1163" s="66" t="str">
        <f>IF($H1163=1,'Event summary'!D1163,"")</f>
        <v/>
      </c>
    </row>
    <row r="1164" spans="7:11" x14ac:dyDescent="0.2">
      <c r="G1164" s="46">
        <f>'Event summary'!A1164</f>
        <v>1164</v>
      </c>
      <c r="H1164" s="43">
        <f>MIN(TYPE(SEARCH($E$2,'Event summary'!C1164)),TYPE(SEARCH($E$2,'Event summary'!D1164)))</f>
        <v>16</v>
      </c>
      <c r="I1164" s="65" t="str">
        <f t="shared" si="19"/>
        <v/>
      </c>
      <c r="J1164" s="66" t="str">
        <f>IF($H1164=1,'Event summary'!C1164,"")</f>
        <v/>
      </c>
      <c r="K1164" s="66" t="str">
        <f>IF($H1164=1,'Event summary'!D1164,"")</f>
        <v/>
      </c>
    </row>
    <row r="1165" spans="7:11" x14ac:dyDescent="0.2">
      <c r="G1165" s="46">
        <f>'Event summary'!A1165</f>
        <v>1165</v>
      </c>
      <c r="H1165" s="43">
        <f>MIN(TYPE(SEARCH($E$2,'Event summary'!C1165)),TYPE(SEARCH($E$2,'Event summary'!D1165)))</f>
        <v>16</v>
      </c>
      <c r="I1165" s="65" t="str">
        <f t="shared" si="19"/>
        <v/>
      </c>
      <c r="J1165" s="66" t="str">
        <f>IF($H1165=1,'Event summary'!C1165,"")</f>
        <v/>
      </c>
      <c r="K1165" s="66" t="str">
        <f>IF($H1165=1,'Event summary'!D1165,"")</f>
        <v/>
      </c>
    </row>
    <row r="1166" spans="7:11" x14ac:dyDescent="0.2">
      <c r="G1166" s="46">
        <f>'Event summary'!A1166</f>
        <v>1166</v>
      </c>
      <c r="H1166" s="43">
        <f>MIN(TYPE(SEARCH($E$2,'Event summary'!C1166)),TYPE(SEARCH($E$2,'Event summary'!D1166)))</f>
        <v>16</v>
      </c>
      <c r="I1166" s="65" t="str">
        <f t="shared" si="19"/>
        <v/>
      </c>
      <c r="J1166" s="66" t="str">
        <f>IF($H1166=1,'Event summary'!C1166,"")</f>
        <v/>
      </c>
      <c r="K1166" s="66" t="str">
        <f>IF($H1166=1,'Event summary'!D1166,"")</f>
        <v/>
      </c>
    </row>
    <row r="1167" spans="7:11" x14ac:dyDescent="0.2">
      <c r="G1167" s="46">
        <f>'Event summary'!A1167</f>
        <v>1167</v>
      </c>
      <c r="H1167" s="43">
        <f>MIN(TYPE(SEARCH($E$2,'Event summary'!C1167)),TYPE(SEARCH($E$2,'Event summary'!D1167)))</f>
        <v>16</v>
      </c>
      <c r="I1167" s="65" t="str">
        <f t="shared" si="19"/>
        <v/>
      </c>
      <c r="J1167" s="66" t="str">
        <f>IF($H1167=1,'Event summary'!C1167,"")</f>
        <v/>
      </c>
      <c r="K1167" s="66" t="str">
        <f>IF($H1167=1,'Event summary'!D1167,"")</f>
        <v/>
      </c>
    </row>
    <row r="1168" spans="7:11" x14ac:dyDescent="0.2">
      <c r="G1168" s="46">
        <f>'Event summary'!A1168</f>
        <v>1168</v>
      </c>
      <c r="H1168" s="43">
        <f>MIN(TYPE(SEARCH($E$2,'Event summary'!C1168)),TYPE(SEARCH($E$2,'Event summary'!D1168)))</f>
        <v>16</v>
      </c>
      <c r="I1168" s="65" t="str">
        <f t="shared" si="19"/>
        <v/>
      </c>
      <c r="J1168" s="66" t="str">
        <f>IF($H1168=1,'Event summary'!C1168,"")</f>
        <v/>
      </c>
      <c r="K1168" s="66" t="str">
        <f>IF($H1168=1,'Event summary'!D1168,"")</f>
        <v/>
      </c>
    </row>
    <row r="1169" spans="7:11" x14ac:dyDescent="0.2">
      <c r="G1169" s="46">
        <f>'Event summary'!A1169</f>
        <v>1169</v>
      </c>
      <c r="H1169" s="43">
        <f>MIN(TYPE(SEARCH($E$2,'Event summary'!C1169)),TYPE(SEARCH($E$2,'Event summary'!D1169)))</f>
        <v>16</v>
      </c>
      <c r="I1169" s="65" t="str">
        <f t="shared" si="19"/>
        <v/>
      </c>
      <c r="J1169" s="66" t="str">
        <f>IF($H1169=1,'Event summary'!C1169,"")</f>
        <v/>
      </c>
      <c r="K1169" s="66" t="str">
        <f>IF($H1169=1,'Event summary'!D1169,"")</f>
        <v/>
      </c>
    </row>
    <row r="1170" spans="7:11" x14ac:dyDescent="0.2">
      <c r="G1170" s="46">
        <f>'Event summary'!A1170</f>
        <v>1170</v>
      </c>
      <c r="H1170" s="43">
        <f>MIN(TYPE(SEARCH($E$2,'Event summary'!C1170)),TYPE(SEARCH($E$2,'Event summary'!D1170)))</f>
        <v>16</v>
      </c>
      <c r="I1170" s="65" t="str">
        <f t="shared" si="19"/>
        <v/>
      </c>
      <c r="J1170" s="66" t="str">
        <f>IF($H1170=1,'Event summary'!C1170,"")</f>
        <v/>
      </c>
      <c r="K1170" s="66" t="str">
        <f>IF($H1170=1,'Event summary'!D1170,"")</f>
        <v/>
      </c>
    </row>
    <row r="1171" spans="7:11" x14ac:dyDescent="0.2">
      <c r="G1171" s="46">
        <f>'Event summary'!A1171</f>
        <v>1171</v>
      </c>
      <c r="H1171" s="43">
        <f>MIN(TYPE(SEARCH($E$2,'Event summary'!C1171)),TYPE(SEARCH($E$2,'Event summary'!D1171)))</f>
        <v>16</v>
      </c>
      <c r="I1171" s="65" t="str">
        <f t="shared" si="19"/>
        <v/>
      </c>
      <c r="J1171" s="66" t="str">
        <f>IF($H1171=1,'Event summary'!C1171,"")</f>
        <v/>
      </c>
      <c r="K1171" s="66" t="str">
        <f>IF($H1171=1,'Event summary'!D1171,"")</f>
        <v/>
      </c>
    </row>
    <row r="1172" spans="7:11" x14ac:dyDescent="0.2">
      <c r="G1172" s="46">
        <f>'Event summary'!A1172</f>
        <v>1172</v>
      </c>
      <c r="H1172" s="43">
        <f>MIN(TYPE(SEARCH($E$2,'Event summary'!C1172)),TYPE(SEARCH($E$2,'Event summary'!D1172)))</f>
        <v>16</v>
      </c>
      <c r="I1172" s="65" t="str">
        <f t="shared" si="19"/>
        <v/>
      </c>
      <c r="J1172" s="66" t="str">
        <f>IF($H1172=1,'Event summary'!C1172,"")</f>
        <v/>
      </c>
      <c r="K1172" s="66" t="str">
        <f>IF($H1172=1,'Event summary'!D1172,"")</f>
        <v/>
      </c>
    </row>
    <row r="1173" spans="7:11" x14ac:dyDescent="0.2">
      <c r="G1173" s="46">
        <f>'Event summary'!A1173</f>
        <v>1173</v>
      </c>
      <c r="H1173" s="43">
        <f>MIN(TYPE(SEARCH($E$2,'Event summary'!C1173)),TYPE(SEARCH($E$2,'Event summary'!D1173)))</f>
        <v>16</v>
      </c>
      <c r="I1173" s="65" t="str">
        <f t="shared" si="19"/>
        <v/>
      </c>
      <c r="J1173" s="66" t="str">
        <f>IF($H1173=1,'Event summary'!C1173,"")</f>
        <v/>
      </c>
      <c r="K1173" s="66" t="str">
        <f>IF($H1173=1,'Event summary'!D1173,"")</f>
        <v/>
      </c>
    </row>
    <row r="1174" spans="7:11" x14ac:dyDescent="0.2">
      <c r="G1174" s="46">
        <f>'Event summary'!A1174</f>
        <v>1174</v>
      </c>
      <c r="H1174" s="43">
        <f>MIN(TYPE(SEARCH($E$2,'Event summary'!C1174)),TYPE(SEARCH($E$2,'Event summary'!D1174)))</f>
        <v>16</v>
      </c>
      <c r="I1174" s="65" t="str">
        <f t="shared" si="19"/>
        <v/>
      </c>
      <c r="J1174" s="66" t="str">
        <f>IF($H1174=1,'Event summary'!C1174,"")</f>
        <v/>
      </c>
      <c r="K1174" s="66" t="str">
        <f>IF($H1174=1,'Event summary'!D1174,"")</f>
        <v/>
      </c>
    </row>
    <row r="1175" spans="7:11" x14ac:dyDescent="0.2">
      <c r="G1175" s="46">
        <f>'Event summary'!A1175</f>
        <v>1175</v>
      </c>
      <c r="H1175" s="43">
        <f>MIN(TYPE(SEARCH($E$2,'Event summary'!C1175)),TYPE(SEARCH($E$2,'Event summary'!D1175)))</f>
        <v>16</v>
      </c>
      <c r="I1175" s="65" t="str">
        <f t="shared" si="19"/>
        <v/>
      </c>
      <c r="J1175" s="66" t="str">
        <f>IF($H1175=1,'Event summary'!C1175,"")</f>
        <v/>
      </c>
      <c r="K1175" s="66" t="str">
        <f>IF($H1175=1,'Event summary'!D1175,"")</f>
        <v/>
      </c>
    </row>
    <row r="1176" spans="7:11" x14ac:dyDescent="0.2">
      <c r="G1176" s="46">
        <f>'Event summary'!A1176</f>
        <v>1176</v>
      </c>
      <c r="H1176" s="43">
        <f>MIN(TYPE(SEARCH($E$2,'Event summary'!C1176)),TYPE(SEARCH($E$2,'Event summary'!D1176)))</f>
        <v>16</v>
      </c>
      <c r="I1176" s="65" t="str">
        <f t="shared" si="19"/>
        <v/>
      </c>
      <c r="J1176" s="66" t="str">
        <f>IF($H1176=1,'Event summary'!C1176,"")</f>
        <v/>
      </c>
      <c r="K1176" s="66" t="str">
        <f>IF($H1176=1,'Event summary'!D1176,"")</f>
        <v/>
      </c>
    </row>
    <row r="1177" spans="7:11" x14ac:dyDescent="0.2">
      <c r="G1177" s="46">
        <f>'Event summary'!A1177</f>
        <v>1177</v>
      </c>
      <c r="H1177" s="43">
        <f>MIN(TYPE(SEARCH($E$2,'Event summary'!C1177)),TYPE(SEARCH($E$2,'Event summary'!D1177)))</f>
        <v>16</v>
      </c>
      <c r="I1177" s="65" t="str">
        <f t="shared" si="19"/>
        <v/>
      </c>
      <c r="J1177" s="66" t="str">
        <f>IF($H1177=1,'Event summary'!C1177,"")</f>
        <v/>
      </c>
      <c r="K1177" s="66" t="str">
        <f>IF($H1177=1,'Event summary'!D1177,"")</f>
        <v/>
      </c>
    </row>
    <row r="1178" spans="7:11" x14ac:dyDescent="0.2">
      <c r="G1178" s="46">
        <f>'Event summary'!A1178</f>
        <v>1178</v>
      </c>
      <c r="H1178" s="43">
        <f>MIN(TYPE(SEARCH($E$2,'Event summary'!C1178)),TYPE(SEARCH($E$2,'Event summary'!D1178)))</f>
        <v>16</v>
      </c>
      <c r="I1178" s="65" t="str">
        <f t="shared" si="19"/>
        <v/>
      </c>
      <c r="J1178" s="66" t="str">
        <f>IF($H1178=1,'Event summary'!C1178,"")</f>
        <v/>
      </c>
      <c r="K1178" s="66" t="str">
        <f>IF($H1178=1,'Event summary'!D1178,"")</f>
        <v/>
      </c>
    </row>
    <row r="1179" spans="7:11" x14ac:dyDescent="0.2">
      <c r="G1179" s="46">
        <f>'Event summary'!A1179</f>
        <v>1179</v>
      </c>
      <c r="H1179" s="43">
        <f>MIN(TYPE(SEARCH($E$2,'Event summary'!C1179)),TYPE(SEARCH($E$2,'Event summary'!D1179)))</f>
        <v>16</v>
      </c>
      <c r="I1179" s="65" t="str">
        <f t="shared" si="19"/>
        <v/>
      </c>
      <c r="J1179" s="66" t="str">
        <f>IF($H1179=1,'Event summary'!C1179,"")</f>
        <v/>
      </c>
      <c r="K1179" s="66" t="str">
        <f>IF($H1179=1,'Event summary'!D1179,"")</f>
        <v/>
      </c>
    </row>
    <row r="1180" spans="7:11" x14ac:dyDescent="0.2">
      <c r="G1180" s="46">
        <f>'Event summary'!A1180</f>
        <v>1180</v>
      </c>
      <c r="H1180" s="43">
        <f>MIN(TYPE(SEARCH($E$2,'Event summary'!C1180)),TYPE(SEARCH($E$2,'Event summary'!D1180)))</f>
        <v>16</v>
      </c>
      <c r="I1180" s="65" t="str">
        <f t="shared" si="19"/>
        <v/>
      </c>
      <c r="J1180" s="66" t="str">
        <f>IF($H1180=1,'Event summary'!C1180,"")</f>
        <v/>
      </c>
      <c r="K1180" s="66" t="str">
        <f>IF($H1180=1,'Event summary'!D1180,"")</f>
        <v/>
      </c>
    </row>
    <row r="1181" spans="7:11" x14ac:dyDescent="0.2">
      <c r="G1181" s="46">
        <f>'Event summary'!A1181</f>
        <v>1181</v>
      </c>
      <c r="H1181" s="43">
        <f>MIN(TYPE(SEARCH($E$2,'Event summary'!C1181)),TYPE(SEARCH($E$2,'Event summary'!D1181)))</f>
        <v>16</v>
      </c>
      <c r="I1181" s="65" t="str">
        <f t="shared" si="19"/>
        <v/>
      </c>
      <c r="J1181" s="66" t="str">
        <f>IF($H1181=1,'Event summary'!C1181,"")</f>
        <v/>
      </c>
      <c r="K1181" s="66" t="str">
        <f>IF($H1181=1,'Event summary'!D1181,"")</f>
        <v/>
      </c>
    </row>
    <row r="1182" spans="7:11" x14ac:dyDescent="0.2">
      <c r="G1182" s="46">
        <f>'Event summary'!A1182</f>
        <v>1182</v>
      </c>
      <c r="H1182" s="43">
        <f>MIN(TYPE(SEARCH($E$2,'Event summary'!C1182)),TYPE(SEARCH($E$2,'Event summary'!D1182)))</f>
        <v>16</v>
      </c>
      <c r="I1182" s="65" t="str">
        <f t="shared" si="19"/>
        <v/>
      </c>
      <c r="J1182" s="66" t="str">
        <f>IF($H1182=1,'Event summary'!C1182,"")</f>
        <v/>
      </c>
      <c r="K1182" s="66" t="str">
        <f>IF($H1182=1,'Event summary'!D1182,"")</f>
        <v/>
      </c>
    </row>
    <row r="1183" spans="7:11" x14ac:dyDescent="0.2">
      <c r="G1183" s="46">
        <f>'Event summary'!A1183</f>
        <v>1183</v>
      </c>
      <c r="H1183" s="43">
        <f>MIN(TYPE(SEARCH($E$2,'Event summary'!C1183)),TYPE(SEARCH($E$2,'Event summary'!D1183)))</f>
        <v>16</v>
      </c>
      <c r="I1183" s="65" t="str">
        <f t="shared" si="19"/>
        <v/>
      </c>
      <c r="J1183" s="66" t="str">
        <f>IF($H1183=1,'Event summary'!C1183,"")</f>
        <v/>
      </c>
      <c r="K1183" s="66" t="str">
        <f>IF($H1183=1,'Event summary'!D1183,"")</f>
        <v/>
      </c>
    </row>
    <row r="1184" spans="7:11" x14ac:dyDescent="0.2">
      <c r="G1184" s="46">
        <f>'Event summary'!A1184</f>
        <v>1184</v>
      </c>
      <c r="H1184" s="43">
        <f>MIN(TYPE(SEARCH($E$2,'Event summary'!C1184)),TYPE(SEARCH($E$2,'Event summary'!D1184)))</f>
        <v>16</v>
      </c>
      <c r="I1184" s="65" t="str">
        <f t="shared" si="19"/>
        <v/>
      </c>
      <c r="J1184" s="66" t="str">
        <f>IF($H1184=1,'Event summary'!C1184,"")</f>
        <v/>
      </c>
      <c r="K1184" s="66" t="str">
        <f>IF($H1184=1,'Event summary'!D1184,"")</f>
        <v/>
      </c>
    </row>
    <row r="1185" spans="7:11" x14ac:dyDescent="0.2">
      <c r="G1185" s="46">
        <f>'Event summary'!A1185</f>
        <v>1185</v>
      </c>
      <c r="H1185" s="43">
        <f>MIN(TYPE(SEARCH($E$2,'Event summary'!C1185)),TYPE(SEARCH($E$2,'Event summary'!D1185)))</f>
        <v>16</v>
      </c>
      <c r="I1185" s="65" t="str">
        <f t="shared" si="19"/>
        <v/>
      </c>
      <c r="J1185" s="66" t="str">
        <f>IF($H1185=1,'Event summary'!C1185,"")</f>
        <v/>
      </c>
      <c r="K1185" s="66" t="str">
        <f>IF($H1185=1,'Event summary'!D1185,"")</f>
        <v/>
      </c>
    </row>
    <row r="1186" spans="7:11" x14ac:dyDescent="0.2">
      <c r="G1186" s="46">
        <f>'Event summary'!A1186</f>
        <v>1186</v>
      </c>
      <c r="H1186" s="43">
        <f>MIN(TYPE(SEARCH($E$2,'Event summary'!C1186)),TYPE(SEARCH($E$2,'Event summary'!D1186)))</f>
        <v>16</v>
      </c>
      <c r="I1186" s="65" t="str">
        <f t="shared" si="19"/>
        <v/>
      </c>
      <c r="J1186" s="66" t="str">
        <f>IF($H1186=1,'Event summary'!C1186,"")</f>
        <v/>
      </c>
      <c r="K1186" s="66" t="str">
        <f>IF($H1186=1,'Event summary'!D1186,"")</f>
        <v/>
      </c>
    </row>
    <row r="1187" spans="7:11" x14ac:dyDescent="0.2">
      <c r="G1187" s="46">
        <f>'Event summary'!A1187</f>
        <v>1187</v>
      </c>
      <c r="H1187" s="43">
        <f>MIN(TYPE(SEARCH($E$2,'Event summary'!C1187)),TYPE(SEARCH($E$2,'Event summary'!D1187)))</f>
        <v>16</v>
      </c>
      <c r="I1187" s="65" t="str">
        <f t="shared" si="19"/>
        <v/>
      </c>
      <c r="J1187" s="66" t="str">
        <f>IF($H1187=1,'Event summary'!C1187,"")</f>
        <v/>
      </c>
      <c r="K1187" s="66" t="str">
        <f>IF($H1187=1,'Event summary'!D1187,"")</f>
        <v/>
      </c>
    </row>
    <row r="1188" spans="7:11" x14ac:dyDescent="0.2">
      <c r="G1188" s="46">
        <f>'Event summary'!A1188</f>
        <v>0</v>
      </c>
      <c r="H1188" s="43">
        <f>MIN(TYPE(SEARCH($E$2,'Event summary'!C1188)),TYPE(SEARCH($E$2,'Event summary'!D1188)))</f>
        <v>16</v>
      </c>
      <c r="I1188" s="65" t="str">
        <f t="shared" si="19"/>
        <v/>
      </c>
      <c r="J1188" s="66" t="str">
        <f>IF($H1188=1,'Event summary'!C1188,"")</f>
        <v/>
      </c>
      <c r="K1188" s="66" t="str">
        <f>IF($H1188=1,'Event summary'!D1188,"")</f>
        <v/>
      </c>
    </row>
    <row r="1189" spans="7:11" x14ac:dyDescent="0.2">
      <c r="G1189" s="46">
        <f>'Event summary'!A1189</f>
        <v>0</v>
      </c>
      <c r="H1189" s="43">
        <f>MIN(TYPE(SEARCH($E$2,'Event summary'!C1189)),TYPE(SEARCH($E$2,'Event summary'!D1189)))</f>
        <v>16</v>
      </c>
      <c r="I1189" s="65" t="str">
        <f t="shared" si="19"/>
        <v/>
      </c>
      <c r="J1189" s="66" t="str">
        <f>IF($H1189=1,'Event summary'!C1189,"")</f>
        <v/>
      </c>
      <c r="K1189" s="66" t="str">
        <f>IF($H1189=1,'Event summary'!D1189,"")</f>
        <v/>
      </c>
    </row>
    <row r="1190" spans="7:11" x14ac:dyDescent="0.2">
      <c r="G1190" s="46">
        <f>'Event summary'!A1190</f>
        <v>0</v>
      </c>
      <c r="H1190" s="43">
        <f>MIN(TYPE(SEARCH($E$2,'Event summary'!C1190)),TYPE(SEARCH($E$2,'Event summary'!D1190)))</f>
        <v>16</v>
      </c>
      <c r="I1190" s="65" t="str">
        <f t="shared" si="19"/>
        <v/>
      </c>
      <c r="J1190" s="66" t="str">
        <f>IF($H1190=1,'Event summary'!C1190,"")</f>
        <v/>
      </c>
      <c r="K1190" s="66" t="str">
        <f>IF($H1190=1,'Event summary'!D1190,"")</f>
        <v/>
      </c>
    </row>
    <row r="1191" spans="7:11" x14ac:dyDescent="0.2">
      <c r="G1191" s="46">
        <f>'Event summary'!A1191</f>
        <v>0</v>
      </c>
      <c r="H1191" s="43">
        <f>MIN(TYPE(SEARCH($E$2,'Event summary'!C1191)),TYPE(SEARCH($E$2,'Event summary'!D1191)))</f>
        <v>16</v>
      </c>
      <c r="I1191" s="65" t="str">
        <f t="shared" si="19"/>
        <v/>
      </c>
      <c r="J1191" s="66" t="str">
        <f>IF($H1191=1,'Event summary'!C1191,"")</f>
        <v/>
      </c>
      <c r="K1191" s="66" t="str">
        <f>IF($H1191=1,'Event summary'!D1191,"")</f>
        <v/>
      </c>
    </row>
    <row r="1192" spans="7:11" x14ac:dyDescent="0.2">
      <c r="G1192" s="46">
        <f>'Event summary'!A1192</f>
        <v>0</v>
      </c>
      <c r="H1192" s="43">
        <f>MIN(TYPE(SEARCH($E$2,'Event summary'!C1192)),TYPE(SEARCH($E$2,'Event summary'!D1192)))</f>
        <v>16</v>
      </c>
      <c r="I1192" s="65" t="str">
        <f t="shared" si="19"/>
        <v/>
      </c>
      <c r="J1192" s="66" t="str">
        <f>IF($H1192=1,'Event summary'!C1192,"")</f>
        <v/>
      </c>
      <c r="K1192" s="66" t="str">
        <f>IF($H1192=1,'Event summary'!D1192,"")</f>
        <v/>
      </c>
    </row>
    <row r="1193" spans="7:11" x14ac:dyDescent="0.2">
      <c r="G1193" s="46">
        <f>'Event summary'!A1193</f>
        <v>0</v>
      </c>
      <c r="H1193" s="43">
        <f>MIN(TYPE(SEARCH($E$2,'Event summary'!C1193)),TYPE(SEARCH($E$2,'Event summary'!D1193)))</f>
        <v>16</v>
      </c>
      <c r="I1193" s="65" t="str">
        <f t="shared" si="19"/>
        <v/>
      </c>
      <c r="J1193" s="66" t="str">
        <f>IF($H1193=1,'Event summary'!C1193,"")</f>
        <v/>
      </c>
      <c r="K1193" s="66" t="str">
        <f>IF($H1193=1,'Event summary'!D1193,"")</f>
        <v/>
      </c>
    </row>
    <row r="1194" spans="7:11" x14ac:dyDescent="0.2">
      <c r="G1194" s="46">
        <f>'Event summary'!A1194</f>
        <v>0</v>
      </c>
      <c r="H1194" s="43">
        <f>MIN(TYPE(SEARCH($E$2,'Event summary'!C1194)),TYPE(SEARCH($E$2,'Event summary'!D1194)))</f>
        <v>16</v>
      </c>
      <c r="I1194" s="65" t="str">
        <f t="shared" si="19"/>
        <v/>
      </c>
      <c r="J1194" s="66" t="str">
        <f>IF($H1194=1,'Event summary'!C1194,"")</f>
        <v/>
      </c>
      <c r="K1194" s="66" t="str">
        <f>IF($H1194=1,'Event summary'!D1194,"")</f>
        <v/>
      </c>
    </row>
    <row r="1195" spans="7:11" x14ac:dyDescent="0.2">
      <c r="G1195" s="46">
        <f>'Event summary'!A1195</f>
        <v>0</v>
      </c>
      <c r="H1195" s="43">
        <f>MIN(TYPE(SEARCH($E$2,'Event summary'!C1195)),TYPE(SEARCH($E$2,'Event summary'!D1195)))</f>
        <v>16</v>
      </c>
      <c r="I1195" s="65" t="str">
        <f t="shared" ref="I1195:I1258" si="20">IF(H1195=1,$E$2,"")</f>
        <v/>
      </c>
      <c r="J1195" s="66" t="str">
        <f>IF($H1195=1,'Event summary'!C1195,"")</f>
        <v/>
      </c>
      <c r="K1195" s="66" t="str">
        <f>IF($H1195=1,'Event summary'!D1195,"")</f>
        <v/>
      </c>
    </row>
    <row r="1196" spans="7:11" x14ac:dyDescent="0.2">
      <c r="G1196" s="46">
        <f>'Event summary'!A1196</f>
        <v>0</v>
      </c>
      <c r="H1196" s="43">
        <f>MIN(TYPE(SEARCH($E$2,'Event summary'!C1196)),TYPE(SEARCH($E$2,'Event summary'!D1196)))</f>
        <v>16</v>
      </c>
      <c r="I1196" s="65" t="str">
        <f t="shared" si="20"/>
        <v/>
      </c>
      <c r="J1196" s="66" t="str">
        <f>IF($H1196=1,'Event summary'!C1196,"")</f>
        <v/>
      </c>
      <c r="K1196" s="66" t="str">
        <f>IF($H1196=1,'Event summary'!D1196,"")</f>
        <v/>
      </c>
    </row>
    <row r="1197" spans="7:11" x14ac:dyDescent="0.2">
      <c r="G1197" s="46">
        <f>'Event summary'!A1197</f>
        <v>0</v>
      </c>
      <c r="H1197" s="43">
        <f>MIN(TYPE(SEARCH($E$2,'Event summary'!C1197)),TYPE(SEARCH($E$2,'Event summary'!D1197)))</f>
        <v>16</v>
      </c>
      <c r="I1197" s="65" t="str">
        <f t="shared" si="20"/>
        <v/>
      </c>
      <c r="J1197" s="66" t="str">
        <f>IF($H1197=1,'Event summary'!C1197,"")</f>
        <v/>
      </c>
      <c r="K1197" s="66" t="str">
        <f>IF($H1197=1,'Event summary'!D1197,"")</f>
        <v/>
      </c>
    </row>
    <row r="1198" spans="7:11" x14ac:dyDescent="0.2">
      <c r="G1198" s="46">
        <f>'Event summary'!A1198</f>
        <v>0</v>
      </c>
      <c r="H1198" s="43">
        <f>MIN(TYPE(SEARCH($E$2,'Event summary'!C1198)),TYPE(SEARCH($E$2,'Event summary'!D1198)))</f>
        <v>16</v>
      </c>
      <c r="I1198" s="65" t="str">
        <f t="shared" si="20"/>
        <v/>
      </c>
      <c r="J1198" s="66" t="str">
        <f>IF($H1198=1,'Event summary'!C1198,"")</f>
        <v/>
      </c>
      <c r="K1198" s="66" t="str">
        <f>IF($H1198=1,'Event summary'!D1198,"")</f>
        <v/>
      </c>
    </row>
    <row r="1199" spans="7:11" x14ac:dyDescent="0.2">
      <c r="G1199" s="46">
        <f>'Event summary'!A1199</f>
        <v>0</v>
      </c>
      <c r="H1199" s="43">
        <f>MIN(TYPE(SEARCH($E$2,'Event summary'!C1199)),TYPE(SEARCH($E$2,'Event summary'!D1199)))</f>
        <v>16</v>
      </c>
      <c r="I1199" s="65" t="str">
        <f t="shared" si="20"/>
        <v/>
      </c>
      <c r="J1199" s="66" t="str">
        <f>IF($H1199=1,'Event summary'!C1199,"")</f>
        <v/>
      </c>
      <c r="K1199" s="66" t="str">
        <f>IF($H1199=1,'Event summary'!D1199,"")</f>
        <v/>
      </c>
    </row>
    <row r="1200" spans="7:11" x14ac:dyDescent="0.2">
      <c r="G1200" s="46">
        <f>'Event summary'!A1200</f>
        <v>0</v>
      </c>
      <c r="H1200" s="43">
        <f>MIN(TYPE(SEARCH($E$2,'Event summary'!C1200)),TYPE(SEARCH($E$2,'Event summary'!D1200)))</f>
        <v>16</v>
      </c>
      <c r="I1200" s="65" t="str">
        <f t="shared" si="20"/>
        <v/>
      </c>
      <c r="J1200" s="66" t="str">
        <f>IF($H1200=1,'Event summary'!C1200,"")</f>
        <v/>
      </c>
      <c r="K1200" s="66" t="str">
        <f>IF($H1200=1,'Event summary'!D1200,"")</f>
        <v/>
      </c>
    </row>
    <row r="1201" spans="7:11" x14ac:dyDescent="0.2">
      <c r="G1201" s="46">
        <f>'Event summary'!A1201</f>
        <v>0</v>
      </c>
      <c r="H1201" s="43">
        <f>MIN(TYPE(SEARCH($E$2,'Event summary'!C1201)),TYPE(SEARCH($E$2,'Event summary'!D1201)))</f>
        <v>16</v>
      </c>
      <c r="I1201" s="65" t="str">
        <f t="shared" si="20"/>
        <v/>
      </c>
      <c r="J1201" s="66" t="str">
        <f>IF($H1201=1,'Event summary'!C1201,"")</f>
        <v/>
      </c>
      <c r="K1201" s="66" t="str">
        <f>IF($H1201=1,'Event summary'!D1201,"")</f>
        <v/>
      </c>
    </row>
    <row r="1202" spans="7:11" x14ac:dyDescent="0.2">
      <c r="G1202" s="46">
        <f>'Event summary'!A1202</f>
        <v>0</v>
      </c>
      <c r="H1202" s="43">
        <f>MIN(TYPE(SEARCH($E$2,'Event summary'!C1202)),TYPE(SEARCH($E$2,'Event summary'!D1202)))</f>
        <v>16</v>
      </c>
      <c r="I1202" s="65" t="str">
        <f t="shared" si="20"/>
        <v/>
      </c>
      <c r="J1202" s="66" t="str">
        <f>IF($H1202=1,'Event summary'!C1202,"")</f>
        <v/>
      </c>
      <c r="K1202" s="66" t="str">
        <f>IF($H1202=1,'Event summary'!D1202,"")</f>
        <v/>
      </c>
    </row>
    <row r="1203" spans="7:11" x14ac:dyDescent="0.2">
      <c r="G1203" s="46">
        <f>'Event summary'!A1203</f>
        <v>0</v>
      </c>
      <c r="H1203" s="43">
        <f>MIN(TYPE(SEARCH($E$2,'Event summary'!C1203)),TYPE(SEARCH($E$2,'Event summary'!D1203)))</f>
        <v>16</v>
      </c>
      <c r="I1203" s="65" t="str">
        <f t="shared" si="20"/>
        <v/>
      </c>
      <c r="J1203" s="66" t="str">
        <f>IF($H1203=1,'Event summary'!C1203,"")</f>
        <v/>
      </c>
      <c r="K1203" s="66" t="str">
        <f>IF($H1203=1,'Event summary'!D1203,"")</f>
        <v/>
      </c>
    </row>
    <row r="1204" spans="7:11" x14ac:dyDescent="0.2">
      <c r="G1204" s="46">
        <f>'Event summary'!A1204</f>
        <v>0</v>
      </c>
      <c r="H1204" s="43">
        <f>MIN(TYPE(SEARCH($E$2,'Event summary'!C1204)),TYPE(SEARCH($E$2,'Event summary'!D1204)))</f>
        <v>16</v>
      </c>
      <c r="I1204" s="65" t="str">
        <f t="shared" si="20"/>
        <v/>
      </c>
      <c r="J1204" s="66" t="str">
        <f>IF($H1204=1,'Event summary'!C1204,"")</f>
        <v/>
      </c>
      <c r="K1204" s="66" t="str">
        <f>IF($H1204=1,'Event summary'!D1204,"")</f>
        <v/>
      </c>
    </row>
    <row r="1205" spans="7:11" x14ac:dyDescent="0.2">
      <c r="G1205" s="46">
        <f>'Event summary'!A1205</f>
        <v>0</v>
      </c>
      <c r="H1205" s="43">
        <f>MIN(TYPE(SEARCH($E$2,'Event summary'!C1205)),TYPE(SEARCH($E$2,'Event summary'!D1205)))</f>
        <v>16</v>
      </c>
      <c r="I1205" s="65" t="str">
        <f t="shared" si="20"/>
        <v/>
      </c>
      <c r="J1205" s="66" t="str">
        <f>IF($H1205=1,'Event summary'!C1205,"")</f>
        <v/>
      </c>
      <c r="K1205" s="66" t="str">
        <f>IF($H1205=1,'Event summary'!D1205,"")</f>
        <v/>
      </c>
    </row>
    <row r="1206" spans="7:11" x14ac:dyDescent="0.2">
      <c r="G1206" s="46">
        <f>'Event summary'!A1206</f>
        <v>0</v>
      </c>
      <c r="H1206" s="43">
        <f>MIN(TYPE(SEARCH($E$2,'Event summary'!C1206)),TYPE(SEARCH($E$2,'Event summary'!D1206)))</f>
        <v>16</v>
      </c>
      <c r="I1206" s="65" t="str">
        <f t="shared" si="20"/>
        <v/>
      </c>
      <c r="J1206" s="66" t="str">
        <f>IF($H1206=1,'Event summary'!C1206,"")</f>
        <v/>
      </c>
      <c r="K1206" s="66" t="str">
        <f>IF($H1206=1,'Event summary'!D1206,"")</f>
        <v/>
      </c>
    </row>
    <row r="1207" spans="7:11" x14ac:dyDescent="0.2">
      <c r="G1207" s="46">
        <f>'Event summary'!A1207</f>
        <v>0</v>
      </c>
      <c r="H1207" s="43">
        <f>MIN(TYPE(SEARCH($E$2,'Event summary'!C1207)),TYPE(SEARCH($E$2,'Event summary'!D1207)))</f>
        <v>16</v>
      </c>
      <c r="I1207" s="65" t="str">
        <f t="shared" si="20"/>
        <v/>
      </c>
      <c r="J1207" s="66" t="str">
        <f>IF($H1207=1,'Event summary'!C1207,"")</f>
        <v/>
      </c>
      <c r="K1207" s="66" t="str">
        <f>IF($H1207=1,'Event summary'!D1207,"")</f>
        <v/>
      </c>
    </row>
    <row r="1208" spans="7:11" x14ac:dyDescent="0.2">
      <c r="G1208" s="46">
        <f>'Event summary'!A1208</f>
        <v>0</v>
      </c>
      <c r="H1208" s="43">
        <f>MIN(TYPE(SEARCH($E$2,'Event summary'!C1208)),TYPE(SEARCH($E$2,'Event summary'!D1208)))</f>
        <v>16</v>
      </c>
      <c r="I1208" s="65" t="str">
        <f t="shared" si="20"/>
        <v/>
      </c>
      <c r="J1208" s="66" t="str">
        <f>IF($H1208=1,'Event summary'!C1208,"")</f>
        <v/>
      </c>
      <c r="K1208" s="66" t="str">
        <f>IF($H1208=1,'Event summary'!D1208,"")</f>
        <v/>
      </c>
    </row>
    <row r="1209" spans="7:11" x14ac:dyDescent="0.2">
      <c r="G1209" s="46">
        <f>'Event summary'!A1209</f>
        <v>0</v>
      </c>
      <c r="H1209" s="43">
        <f>MIN(TYPE(SEARCH($E$2,'Event summary'!C1209)),TYPE(SEARCH($E$2,'Event summary'!D1209)))</f>
        <v>16</v>
      </c>
      <c r="I1209" s="65" t="str">
        <f t="shared" si="20"/>
        <v/>
      </c>
      <c r="J1209" s="66" t="str">
        <f>IF($H1209=1,'Event summary'!C1209,"")</f>
        <v/>
      </c>
      <c r="K1209" s="66" t="str">
        <f>IF($H1209=1,'Event summary'!D1209,"")</f>
        <v/>
      </c>
    </row>
    <row r="1210" spans="7:11" x14ac:dyDescent="0.2">
      <c r="G1210" s="46">
        <f>'Event summary'!A1210</f>
        <v>0</v>
      </c>
      <c r="H1210" s="43">
        <f>MIN(TYPE(SEARCH($E$2,'Event summary'!C1210)),TYPE(SEARCH($E$2,'Event summary'!D1210)))</f>
        <v>16</v>
      </c>
      <c r="I1210" s="65" t="str">
        <f t="shared" si="20"/>
        <v/>
      </c>
      <c r="J1210" s="66" t="str">
        <f>IF($H1210=1,'Event summary'!C1210,"")</f>
        <v/>
      </c>
      <c r="K1210" s="66" t="str">
        <f>IF($H1210=1,'Event summary'!D1210,"")</f>
        <v/>
      </c>
    </row>
    <row r="1211" spans="7:11" x14ac:dyDescent="0.2">
      <c r="G1211" s="46">
        <f>'Event summary'!A1211</f>
        <v>0</v>
      </c>
      <c r="H1211" s="43">
        <f>MIN(TYPE(SEARCH($E$2,'Event summary'!C1211)),TYPE(SEARCH($E$2,'Event summary'!D1211)))</f>
        <v>16</v>
      </c>
      <c r="I1211" s="65" t="str">
        <f t="shared" si="20"/>
        <v/>
      </c>
      <c r="J1211" s="66" t="str">
        <f>IF($H1211=1,'Event summary'!C1211,"")</f>
        <v/>
      </c>
      <c r="K1211" s="66" t="str">
        <f>IF($H1211=1,'Event summary'!D1211,"")</f>
        <v/>
      </c>
    </row>
    <row r="1212" spans="7:11" x14ac:dyDescent="0.2">
      <c r="G1212" s="46">
        <f>'Event summary'!A1212</f>
        <v>0</v>
      </c>
      <c r="H1212" s="43">
        <f>MIN(TYPE(SEARCH($E$2,'Event summary'!C1212)),TYPE(SEARCH($E$2,'Event summary'!D1212)))</f>
        <v>16</v>
      </c>
      <c r="I1212" s="65" t="str">
        <f t="shared" si="20"/>
        <v/>
      </c>
      <c r="J1212" s="66" t="str">
        <f>IF($H1212=1,'Event summary'!C1212,"")</f>
        <v/>
      </c>
      <c r="K1212" s="66" t="str">
        <f>IF($H1212=1,'Event summary'!D1212,"")</f>
        <v/>
      </c>
    </row>
    <row r="1213" spans="7:11" x14ac:dyDescent="0.2">
      <c r="G1213" s="46">
        <f>'Event summary'!A1213</f>
        <v>0</v>
      </c>
      <c r="H1213" s="43">
        <f>MIN(TYPE(SEARCH($E$2,'Event summary'!C1213)),TYPE(SEARCH($E$2,'Event summary'!D1213)))</f>
        <v>16</v>
      </c>
      <c r="I1213" s="65" t="str">
        <f t="shared" si="20"/>
        <v/>
      </c>
      <c r="J1213" s="66" t="str">
        <f>IF($H1213=1,'Event summary'!C1213,"")</f>
        <v/>
      </c>
      <c r="K1213" s="66" t="str">
        <f>IF($H1213=1,'Event summary'!D1213,"")</f>
        <v/>
      </c>
    </row>
    <row r="1214" spans="7:11" x14ac:dyDescent="0.2">
      <c r="G1214" s="46">
        <f>'Event summary'!A1214</f>
        <v>0</v>
      </c>
      <c r="H1214" s="43">
        <f>MIN(TYPE(SEARCH($E$2,'Event summary'!C1214)),TYPE(SEARCH($E$2,'Event summary'!D1214)))</f>
        <v>16</v>
      </c>
      <c r="I1214" s="65" t="str">
        <f t="shared" si="20"/>
        <v/>
      </c>
      <c r="J1214" s="66" t="str">
        <f>IF($H1214=1,'Event summary'!C1214,"")</f>
        <v/>
      </c>
      <c r="K1214" s="66" t="str">
        <f>IF($H1214=1,'Event summary'!D1214,"")</f>
        <v/>
      </c>
    </row>
    <row r="1215" spans="7:11" x14ac:dyDescent="0.2">
      <c r="G1215" s="46">
        <f>'Event summary'!A1215</f>
        <v>0</v>
      </c>
      <c r="H1215" s="43">
        <f>MIN(TYPE(SEARCH($E$2,'Event summary'!C1215)),TYPE(SEARCH($E$2,'Event summary'!D1215)))</f>
        <v>16</v>
      </c>
      <c r="I1215" s="65" t="str">
        <f t="shared" si="20"/>
        <v/>
      </c>
      <c r="J1215" s="66" t="str">
        <f>IF($H1215=1,'Event summary'!C1215,"")</f>
        <v/>
      </c>
      <c r="K1215" s="66" t="str">
        <f>IF($H1215=1,'Event summary'!D1215,"")</f>
        <v/>
      </c>
    </row>
    <row r="1216" spans="7:11" x14ac:dyDescent="0.2">
      <c r="G1216" s="46">
        <f>'Event summary'!A1216</f>
        <v>0</v>
      </c>
      <c r="H1216" s="43">
        <f>MIN(TYPE(SEARCH($E$2,'Event summary'!C1216)),TYPE(SEARCH($E$2,'Event summary'!D1216)))</f>
        <v>16</v>
      </c>
      <c r="I1216" s="65" t="str">
        <f t="shared" si="20"/>
        <v/>
      </c>
      <c r="J1216" s="66" t="str">
        <f>IF($H1216=1,'Event summary'!C1216,"")</f>
        <v/>
      </c>
      <c r="K1216" s="66" t="str">
        <f>IF($H1216=1,'Event summary'!D1216,"")</f>
        <v/>
      </c>
    </row>
    <row r="1217" spans="7:11" x14ac:dyDescent="0.2">
      <c r="G1217" s="46">
        <f>'Event summary'!A1217</f>
        <v>0</v>
      </c>
      <c r="H1217" s="43">
        <f>MIN(TYPE(SEARCH($E$2,'Event summary'!C1217)),TYPE(SEARCH($E$2,'Event summary'!D1217)))</f>
        <v>16</v>
      </c>
      <c r="I1217" s="65" t="str">
        <f t="shared" si="20"/>
        <v/>
      </c>
      <c r="J1217" s="66" t="str">
        <f>IF($H1217=1,'Event summary'!C1217,"")</f>
        <v/>
      </c>
      <c r="K1217" s="66" t="str">
        <f>IF($H1217=1,'Event summary'!D1217,"")</f>
        <v/>
      </c>
    </row>
    <row r="1218" spans="7:11" x14ac:dyDescent="0.2">
      <c r="G1218" s="46">
        <f>'Event summary'!A1218</f>
        <v>0</v>
      </c>
      <c r="H1218" s="43">
        <f>MIN(TYPE(SEARCH($E$2,'Event summary'!C1218)),TYPE(SEARCH($E$2,'Event summary'!D1218)))</f>
        <v>16</v>
      </c>
      <c r="I1218" s="65" t="str">
        <f t="shared" si="20"/>
        <v/>
      </c>
      <c r="J1218" s="66" t="str">
        <f>IF($H1218=1,'Event summary'!C1218,"")</f>
        <v/>
      </c>
      <c r="K1218" s="66" t="str">
        <f>IF($H1218=1,'Event summary'!D1218,"")</f>
        <v/>
      </c>
    </row>
    <row r="1219" spans="7:11" x14ac:dyDescent="0.2">
      <c r="G1219" s="46">
        <f>'Event summary'!A1219</f>
        <v>0</v>
      </c>
      <c r="H1219" s="43">
        <f>MIN(TYPE(SEARCH($E$2,'Event summary'!C1219)),TYPE(SEARCH($E$2,'Event summary'!D1219)))</f>
        <v>16</v>
      </c>
      <c r="I1219" s="65" t="str">
        <f t="shared" si="20"/>
        <v/>
      </c>
      <c r="J1219" s="66" t="str">
        <f>IF($H1219=1,'Event summary'!C1219,"")</f>
        <v/>
      </c>
      <c r="K1219" s="66" t="str">
        <f>IF($H1219=1,'Event summary'!D1219,"")</f>
        <v/>
      </c>
    </row>
    <row r="1220" spans="7:11" x14ac:dyDescent="0.2">
      <c r="G1220" s="46">
        <f>'Event summary'!A1220</f>
        <v>0</v>
      </c>
      <c r="H1220" s="43">
        <f>MIN(TYPE(SEARCH($E$2,'Event summary'!C1220)),TYPE(SEARCH($E$2,'Event summary'!D1220)))</f>
        <v>16</v>
      </c>
      <c r="I1220" s="65" t="str">
        <f t="shared" si="20"/>
        <v/>
      </c>
      <c r="J1220" s="66" t="str">
        <f>IF($H1220=1,'Event summary'!C1220,"")</f>
        <v/>
      </c>
      <c r="K1220" s="66" t="str">
        <f>IF($H1220=1,'Event summary'!D1220,"")</f>
        <v/>
      </c>
    </row>
    <row r="1221" spans="7:11" x14ac:dyDescent="0.2">
      <c r="G1221" s="46">
        <f>'Event summary'!A1221</f>
        <v>0</v>
      </c>
      <c r="H1221" s="43">
        <f>MIN(TYPE(SEARCH($E$2,'Event summary'!C1221)),TYPE(SEARCH($E$2,'Event summary'!D1221)))</f>
        <v>16</v>
      </c>
      <c r="I1221" s="65" t="str">
        <f t="shared" si="20"/>
        <v/>
      </c>
      <c r="J1221" s="66" t="str">
        <f>IF($H1221=1,'Event summary'!C1221,"")</f>
        <v/>
      </c>
      <c r="K1221" s="66" t="str">
        <f>IF($H1221=1,'Event summary'!D1221,"")</f>
        <v/>
      </c>
    </row>
    <row r="1222" spans="7:11" x14ac:dyDescent="0.2">
      <c r="G1222" s="46">
        <f>'Event summary'!A1222</f>
        <v>0</v>
      </c>
      <c r="H1222" s="43">
        <f>MIN(TYPE(SEARCH($E$2,'Event summary'!C1222)),TYPE(SEARCH($E$2,'Event summary'!D1222)))</f>
        <v>16</v>
      </c>
      <c r="I1222" s="65" t="str">
        <f t="shared" si="20"/>
        <v/>
      </c>
      <c r="J1222" s="66" t="str">
        <f>IF($H1222=1,'Event summary'!C1222,"")</f>
        <v/>
      </c>
      <c r="K1222" s="66" t="str">
        <f>IF($H1222=1,'Event summary'!D1222,"")</f>
        <v/>
      </c>
    </row>
    <row r="1223" spans="7:11" x14ac:dyDescent="0.2">
      <c r="G1223" s="46">
        <f>'Event summary'!A1223</f>
        <v>0</v>
      </c>
      <c r="H1223" s="43">
        <f>MIN(TYPE(SEARCH($E$2,'Event summary'!C1223)),TYPE(SEARCH($E$2,'Event summary'!D1223)))</f>
        <v>16</v>
      </c>
      <c r="I1223" s="65" t="str">
        <f t="shared" si="20"/>
        <v/>
      </c>
      <c r="J1223" s="66" t="str">
        <f>IF($H1223=1,'Event summary'!C1223,"")</f>
        <v/>
      </c>
      <c r="K1223" s="66" t="str">
        <f>IF($H1223=1,'Event summary'!D1223,"")</f>
        <v/>
      </c>
    </row>
    <row r="1224" spans="7:11" x14ac:dyDescent="0.2">
      <c r="G1224" s="46">
        <f>'Event summary'!A1224</f>
        <v>0</v>
      </c>
      <c r="H1224" s="43">
        <f>MIN(TYPE(SEARCH($E$2,'Event summary'!C1224)),TYPE(SEARCH($E$2,'Event summary'!D1224)))</f>
        <v>16</v>
      </c>
      <c r="I1224" s="65" t="str">
        <f t="shared" si="20"/>
        <v/>
      </c>
      <c r="J1224" s="66" t="str">
        <f>IF($H1224=1,'Event summary'!C1224,"")</f>
        <v/>
      </c>
      <c r="K1224" s="66" t="str">
        <f>IF($H1224=1,'Event summary'!D1224,"")</f>
        <v/>
      </c>
    </row>
    <row r="1225" spans="7:11" x14ac:dyDescent="0.2">
      <c r="G1225" s="46">
        <f>'Event summary'!A1225</f>
        <v>0</v>
      </c>
      <c r="H1225" s="43">
        <f>MIN(TYPE(SEARCH($E$2,'Event summary'!C1225)),TYPE(SEARCH($E$2,'Event summary'!D1225)))</f>
        <v>16</v>
      </c>
      <c r="I1225" s="65" t="str">
        <f t="shared" si="20"/>
        <v/>
      </c>
      <c r="J1225" s="66" t="str">
        <f>IF($H1225=1,'Event summary'!C1225,"")</f>
        <v/>
      </c>
      <c r="K1225" s="66" t="str">
        <f>IF($H1225=1,'Event summary'!D1225,"")</f>
        <v/>
      </c>
    </row>
    <row r="1226" spans="7:11" x14ac:dyDescent="0.2">
      <c r="G1226" s="46">
        <f>'Event summary'!A1226</f>
        <v>0</v>
      </c>
      <c r="H1226" s="43">
        <f>MIN(TYPE(SEARCH($E$2,'Event summary'!C1226)),TYPE(SEARCH($E$2,'Event summary'!D1226)))</f>
        <v>16</v>
      </c>
      <c r="I1226" s="65" t="str">
        <f t="shared" si="20"/>
        <v/>
      </c>
      <c r="J1226" s="66" t="str">
        <f>IF($H1226=1,'Event summary'!C1226,"")</f>
        <v/>
      </c>
      <c r="K1226" s="66" t="str">
        <f>IF($H1226=1,'Event summary'!D1226,"")</f>
        <v/>
      </c>
    </row>
    <row r="1227" spans="7:11" x14ac:dyDescent="0.2">
      <c r="G1227" s="46">
        <f>'Event summary'!A1227</f>
        <v>0</v>
      </c>
      <c r="H1227" s="43">
        <f>MIN(TYPE(SEARCH($E$2,'Event summary'!C1227)),TYPE(SEARCH($E$2,'Event summary'!D1227)))</f>
        <v>16</v>
      </c>
      <c r="I1227" s="65" t="str">
        <f t="shared" si="20"/>
        <v/>
      </c>
      <c r="J1227" s="66" t="str">
        <f>IF($H1227=1,'Event summary'!C1227,"")</f>
        <v/>
      </c>
      <c r="K1227" s="66" t="str">
        <f>IF($H1227=1,'Event summary'!D1227,"")</f>
        <v/>
      </c>
    </row>
    <row r="1228" spans="7:11" x14ac:dyDescent="0.2">
      <c r="G1228" s="46">
        <f>'Event summary'!A1228</f>
        <v>0</v>
      </c>
      <c r="H1228" s="43">
        <f>MIN(TYPE(SEARCH($E$2,'Event summary'!C1228)),TYPE(SEARCH($E$2,'Event summary'!D1228)))</f>
        <v>16</v>
      </c>
      <c r="I1228" s="65" t="str">
        <f t="shared" si="20"/>
        <v/>
      </c>
      <c r="J1228" s="66" t="str">
        <f>IF($H1228=1,'Event summary'!C1228,"")</f>
        <v/>
      </c>
      <c r="K1228" s="66" t="str">
        <f>IF($H1228=1,'Event summary'!D1228,"")</f>
        <v/>
      </c>
    </row>
    <row r="1229" spans="7:11" x14ac:dyDescent="0.2">
      <c r="G1229" s="46">
        <f>'Event summary'!A1229</f>
        <v>0</v>
      </c>
      <c r="H1229" s="43">
        <f>MIN(TYPE(SEARCH($E$2,'Event summary'!C1229)),TYPE(SEARCH($E$2,'Event summary'!D1229)))</f>
        <v>16</v>
      </c>
      <c r="I1229" s="65" t="str">
        <f t="shared" si="20"/>
        <v/>
      </c>
      <c r="J1229" s="66" t="str">
        <f>IF($H1229=1,'Event summary'!C1229,"")</f>
        <v/>
      </c>
      <c r="K1229" s="66" t="str">
        <f>IF($H1229=1,'Event summary'!D1229,"")</f>
        <v/>
      </c>
    </row>
    <row r="1230" spans="7:11" x14ac:dyDescent="0.2">
      <c r="G1230" s="46">
        <f>'Event summary'!A1230</f>
        <v>0</v>
      </c>
      <c r="H1230" s="43">
        <f>MIN(TYPE(SEARCH($E$2,'Event summary'!C1230)),TYPE(SEARCH($E$2,'Event summary'!D1230)))</f>
        <v>16</v>
      </c>
      <c r="I1230" s="65" t="str">
        <f t="shared" si="20"/>
        <v/>
      </c>
      <c r="J1230" s="66" t="str">
        <f>IF($H1230=1,'Event summary'!C1230,"")</f>
        <v/>
      </c>
      <c r="K1230" s="66" t="str">
        <f>IF($H1230=1,'Event summary'!D1230,"")</f>
        <v/>
      </c>
    </row>
    <row r="1231" spans="7:11" x14ac:dyDescent="0.2">
      <c r="G1231" s="46">
        <f>'Event summary'!A1231</f>
        <v>0</v>
      </c>
      <c r="H1231" s="43">
        <f>MIN(TYPE(SEARCH($E$2,'Event summary'!C1231)),TYPE(SEARCH($E$2,'Event summary'!D1231)))</f>
        <v>16</v>
      </c>
      <c r="I1231" s="65" t="str">
        <f t="shared" si="20"/>
        <v/>
      </c>
      <c r="J1231" s="66" t="str">
        <f>IF($H1231=1,'Event summary'!C1231,"")</f>
        <v/>
      </c>
      <c r="K1231" s="66" t="str">
        <f>IF($H1231=1,'Event summary'!D1231,"")</f>
        <v/>
      </c>
    </row>
    <row r="1232" spans="7:11" x14ac:dyDescent="0.2">
      <c r="G1232" s="46">
        <f>'Event summary'!A1232</f>
        <v>0</v>
      </c>
      <c r="H1232" s="43">
        <f>MIN(TYPE(SEARCH($E$2,'Event summary'!C1232)),TYPE(SEARCH($E$2,'Event summary'!D1232)))</f>
        <v>16</v>
      </c>
      <c r="I1232" s="65" t="str">
        <f t="shared" si="20"/>
        <v/>
      </c>
      <c r="J1232" s="66" t="str">
        <f>IF($H1232=1,'Event summary'!C1232,"")</f>
        <v/>
      </c>
      <c r="K1232" s="66" t="str">
        <f>IF($H1232=1,'Event summary'!D1232,"")</f>
        <v/>
      </c>
    </row>
    <row r="1233" spans="7:11" x14ac:dyDescent="0.2">
      <c r="G1233" s="46">
        <f>'Event summary'!A1233</f>
        <v>0</v>
      </c>
      <c r="H1233" s="43">
        <f>MIN(TYPE(SEARCH($E$2,'Event summary'!C1233)),TYPE(SEARCH($E$2,'Event summary'!D1233)))</f>
        <v>16</v>
      </c>
      <c r="I1233" s="65" t="str">
        <f t="shared" si="20"/>
        <v/>
      </c>
      <c r="J1233" s="66" t="str">
        <f>IF($H1233=1,'Event summary'!C1233,"")</f>
        <v/>
      </c>
      <c r="K1233" s="66" t="str">
        <f>IF($H1233=1,'Event summary'!D1233,"")</f>
        <v/>
      </c>
    </row>
    <row r="1234" spans="7:11" x14ac:dyDescent="0.2">
      <c r="G1234" s="46">
        <f>'Event summary'!A1234</f>
        <v>0</v>
      </c>
      <c r="H1234" s="43">
        <f>MIN(TYPE(SEARCH($E$2,'Event summary'!C1234)),TYPE(SEARCH($E$2,'Event summary'!D1234)))</f>
        <v>16</v>
      </c>
      <c r="I1234" s="65" t="str">
        <f t="shared" si="20"/>
        <v/>
      </c>
      <c r="J1234" s="66" t="str">
        <f>IF($H1234=1,'Event summary'!C1234,"")</f>
        <v/>
      </c>
      <c r="K1234" s="66" t="str">
        <f>IF($H1234=1,'Event summary'!D1234,"")</f>
        <v/>
      </c>
    </row>
    <row r="1235" spans="7:11" x14ac:dyDescent="0.2">
      <c r="G1235" s="46">
        <f>'Event summary'!A1235</f>
        <v>0</v>
      </c>
      <c r="H1235" s="43">
        <f>MIN(TYPE(SEARCH($E$2,'Event summary'!C1235)),TYPE(SEARCH($E$2,'Event summary'!D1235)))</f>
        <v>16</v>
      </c>
      <c r="I1235" s="65" t="str">
        <f t="shared" si="20"/>
        <v/>
      </c>
      <c r="J1235" s="66" t="str">
        <f>IF($H1235=1,'Event summary'!C1235,"")</f>
        <v/>
      </c>
      <c r="K1235" s="66" t="str">
        <f>IF($H1235=1,'Event summary'!D1235,"")</f>
        <v/>
      </c>
    </row>
    <row r="1236" spans="7:11" x14ac:dyDescent="0.2">
      <c r="G1236" s="46">
        <f>'Event summary'!A1236</f>
        <v>0</v>
      </c>
      <c r="H1236" s="43">
        <f>MIN(TYPE(SEARCH($E$2,'Event summary'!C1236)),TYPE(SEARCH($E$2,'Event summary'!D1236)))</f>
        <v>16</v>
      </c>
      <c r="I1236" s="65" t="str">
        <f t="shared" si="20"/>
        <v/>
      </c>
      <c r="J1236" s="66" t="str">
        <f>IF($H1236=1,'Event summary'!C1236,"")</f>
        <v/>
      </c>
      <c r="K1236" s="66" t="str">
        <f>IF($H1236=1,'Event summary'!D1236,"")</f>
        <v/>
      </c>
    </row>
    <row r="1237" spans="7:11" x14ac:dyDescent="0.2">
      <c r="G1237" s="46">
        <f>'Event summary'!A1237</f>
        <v>0</v>
      </c>
      <c r="H1237" s="43">
        <f>MIN(TYPE(SEARCH($E$2,'Event summary'!C1237)),TYPE(SEARCH($E$2,'Event summary'!D1237)))</f>
        <v>16</v>
      </c>
      <c r="I1237" s="65" t="str">
        <f t="shared" si="20"/>
        <v/>
      </c>
      <c r="J1237" s="66" t="str">
        <f>IF($H1237=1,'Event summary'!C1237,"")</f>
        <v/>
      </c>
      <c r="K1237" s="66" t="str">
        <f>IF($H1237=1,'Event summary'!D1237,"")</f>
        <v/>
      </c>
    </row>
    <row r="1238" spans="7:11" x14ac:dyDescent="0.2">
      <c r="G1238" s="46">
        <f>'Event summary'!A1238</f>
        <v>0</v>
      </c>
      <c r="H1238" s="43">
        <f>MIN(TYPE(SEARCH($E$2,'Event summary'!C1238)),TYPE(SEARCH($E$2,'Event summary'!D1238)))</f>
        <v>16</v>
      </c>
      <c r="I1238" s="65" t="str">
        <f t="shared" si="20"/>
        <v/>
      </c>
      <c r="J1238" s="66" t="str">
        <f>IF($H1238=1,'Event summary'!C1238,"")</f>
        <v/>
      </c>
      <c r="K1238" s="66" t="str">
        <f>IF($H1238=1,'Event summary'!D1238,"")</f>
        <v/>
      </c>
    </row>
    <row r="1239" spans="7:11" x14ac:dyDescent="0.2">
      <c r="G1239" s="46">
        <f>'Event summary'!A1239</f>
        <v>0</v>
      </c>
      <c r="H1239" s="43">
        <f>MIN(TYPE(SEARCH($E$2,'Event summary'!C1239)),TYPE(SEARCH($E$2,'Event summary'!D1239)))</f>
        <v>16</v>
      </c>
      <c r="I1239" s="65" t="str">
        <f t="shared" si="20"/>
        <v/>
      </c>
      <c r="J1239" s="66" t="str">
        <f>IF($H1239=1,'Event summary'!C1239,"")</f>
        <v/>
      </c>
      <c r="K1239" s="66" t="str">
        <f>IF($H1239=1,'Event summary'!D1239,"")</f>
        <v/>
      </c>
    </row>
    <row r="1240" spans="7:11" x14ac:dyDescent="0.2">
      <c r="G1240" s="46">
        <f>'Event summary'!A1240</f>
        <v>0</v>
      </c>
      <c r="H1240" s="43">
        <f>MIN(TYPE(SEARCH($E$2,'Event summary'!C1240)),TYPE(SEARCH($E$2,'Event summary'!D1240)))</f>
        <v>16</v>
      </c>
      <c r="I1240" s="65" t="str">
        <f t="shared" si="20"/>
        <v/>
      </c>
      <c r="J1240" s="66" t="str">
        <f>IF($H1240=1,'Event summary'!C1240,"")</f>
        <v/>
      </c>
      <c r="K1240" s="66" t="str">
        <f>IF($H1240=1,'Event summary'!D1240,"")</f>
        <v/>
      </c>
    </row>
    <row r="1241" spans="7:11" x14ac:dyDescent="0.2">
      <c r="G1241" s="46">
        <f>'Event summary'!A1241</f>
        <v>0</v>
      </c>
      <c r="H1241" s="43">
        <f>MIN(TYPE(SEARCH($E$2,'Event summary'!C1241)),TYPE(SEARCH($E$2,'Event summary'!D1241)))</f>
        <v>16</v>
      </c>
      <c r="I1241" s="65" t="str">
        <f t="shared" si="20"/>
        <v/>
      </c>
      <c r="J1241" s="66" t="str">
        <f>IF($H1241=1,'Event summary'!C1241,"")</f>
        <v/>
      </c>
      <c r="K1241" s="66" t="str">
        <f>IF($H1241=1,'Event summary'!D1241,"")</f>
        <v/>
      </c>
    </row>
    <row r="1242" spans="7:11" x14ac:dyDescent="0.2">
      <c r="G1242" s="46">
        <f>'Event summary'!A1242</f>
        <v>0</v>
      </c>
      <c r="H1242" s="43">
        <f>MIN(TYPE(SEARCH($E$2,'Event summary'!C1242)),TYPE(SEARCH($E$2,'Event summary'!D1242)))</f>
        <v>16</v>
      </c>
      <c r="I1242" s="65" t="str">
        <f t="shared" si="20"/>
        <v/>
      </c>
      <c r="J1242" s="66" t="str">
        <f>IF($H1242=1,'Event summary'!C1242,"")</f>
        <v/>
      </c>
      <c r="K1242" s="66" t="str">
        <f>IF($H1242=1,'Event summary'!D1242,"")</f>
        <v/>
      </c>
    </row>
    <row r="1243" spans="7:11" x14ac:dyDescent="0.2">
      <c r="G1243" s="46">
        <f>'Event summary'!A1243</f>
        <v>0</v>
      </c>
      <c r="H1243" s="43">
        <f>MIN(TYPE(SEARCH($E$2,'Event summary'!C1243)),TYPE(SEARCH($E$2,'Event summary'!D1243)))</f>
        <v>16</v>
      </c>
      <c r="I1243" s="65" t="str">
        <f t="shared" si="20"/>
        <v/>
      </c>
      <c r="J1243" s="66" t="str">
        <f>IF($H1243=1,'Event summary'!C1243,"")</f>
        <v/>
      </c>
      <c r="K1243" s="66" t="str">
        <f>IF($H1243=1,'Event summary'!D1243,"")</f>
        <v/>
      </c>
    </row>
    <row r="1244" spans="7:11" x14ac:dyDescent="0.2">
      <c r="G1244" s="46">
        <f>'Event summary'!A1244</f>
        <v>0</v>
      </c>
      <c r="H1244" s="43">
        <f>MIN(TYPE(SEARCH($E$2,'Event summary'!C1244)),TYPE(SEARCH($E$2,'Event summary'!D1244)))</f>
        <v>16</v>
      </c>
      <c r="I1244" s="65" t="str">
        <f t="shared" si="20"/>
        <v/>
      </c>
      <c r="J1244" s="66" t="str">
        <f>IF($H1244=1,'Event summary'!C1244,"")</f>
        <v/>
      </c>
      <c r="K1244" s="66" t="str">
        <f>IF($H1244=1,'Event summary'!D1244,"")</f>
        <v/>
      </c>
    </row>
    <row r="1245" spans="7:11" x14ac:dyDescent="0.2">
      <c r="G1245" s="46">
        <f>'Event summary'!A1245</f>
        <v>0</v>
      </c>
      <c r="H1245" s="43">
        <f>MIN(TYPE(SEARCH($E$2,'Event summary'!C1245)),TYPE(SEARCH($E$2,'Event summary'!D1245)))</f>
        <v>16</v>
      </c>
      <c r="I1245" s="65" t="str">
        <f t="shared" si="20"/>
        <v/>
      </c>
      <c r="J1245" s="66" t="str">
        <f>IF($H1245=1,'Event summary'!C1245,"")</f>
        <v/>
      </c>
      <c r="K1245" s="66" t="str">
        <f>IF($H1245=1,'Event summary'!D1245,"")</f>
        <v/>
      </c>
    </row>
    <row r="1246" spans="7:11" x14ac:dyDescent="0.2">
      <c r="G1246" s="46">
        <f>'Event summary'!A1246</f>
        <v>0</v>
      </c>
      <c r="H1246" s="43">
        <f>MIN(TYPE(SEARCH($E$2,'Event summary'!C1246)),TYPE(SEARCH($E$2,'Event summary'!D1246)))</f>
        <v>16</v>
      </c>
      <c r="I1246" s="65" t="str">
        <f t="shared" si="20"/>
        <v/>
      </c>
      <c r="J1246" s="66" t="str">
        <f>IF($H1246=1,'Event summary'!C1246,"")</f>
        <v/>
      </c>
      <c r="K1246" s="66" t="str">
        <f>IF($H1246=1,'Event summary'!D1246,"")</f>
        <v/>
      </c>
    </row>
    <row r="1247" spans="7:11" x14ac:dyDescent="0.2">
      <c r="G1247" s="46">
        <f>'Event summary'!A1247</f>
        <v>0</v>
      </c>
      <c r="H1247" s="43">
        <f>MIN(TYPE(SEARCH($E$2,'Event summary'!C1247)),TYPE(SEARCH($E$2,'Event summary'!D1247)))</f>
        <v>16</v>
      </c>
      <c r="I1247" s="65" t="str">
        <f t="shared" si="20"/>
        <v/>
      </c>
      <c r="J1247" s="66" t="str">
        <f>IF($H1247=1,'Event summary'!C1247,"")</f>
        <v/>
      </c>
      <c r="K1247" s="66" t="str">
        <f>IF($H1247=1,'Event summary'!D1247,"")</f>
        <v/>
      </c>
    </row>
    <row r="1248" spans="7:11" x14ac:dyDescent="0.2">
      <c r="G1248" s="46">
        <f>'Event summary'!A1248</f>
        <v>0</v>
      </c>
      <c r="H1248" s="43">
        <f>MIN(TYPE(SEARCH($E$2,'Event summary'!C1248)),TYPE(SEARCH($E$2,'Event summary'!D1248)))</f>
        <v>16</v>
      </c>
      <c r="I1248" s="65" t="str">
        <f t="shared" si="20"/>
        <v/>
      </c>
      <c r="J1248" s="66" t="str">
        <f>IF($H1248=1,'Event summary'!C1248,"")</f>
        <v/>
      </c>
      <c r="K1248" s="66" t="str">
        <f>IF($H1248=1,'Event summary'!D1248,"")</f>
        <v/>
      </c>
    </row>
    <row r="1249" spans="7:11" x14ac:dyDescent="0.2">
      <c r="G1249" s="46">
        <f>'Event summary'!A1249</f>
        <v>0</v>
      </c>
      <c r="H1249" s="43">
        <f>MIN(TYPE(SEARCH($E$2,'Event summary'!C1249)),TYPE(SEARCH($E$2,'Event summary'!D1249)))</f>
        <v>16</v>
      </c>
      <c r="I1249" s="65" t="str">
        <f t="shared" si="20"/>
        <v/>
      </c>
      <c r="J1249" s="66" t="str">
        <f>IF($H1249=1,'Event summary'!C1249,"")</f>
        <v/>
      </c>
      <c r="K1249" s="66" t="str">
        <f>IF($H1249=1,'Event summary'!D1249,"")</f>
        <v/>
      </c>
    </row>
    <row r="1250" spans="7:11" x14ac:dyDescent="0.2">
      <c r="G1250" s="46">
        <f>'Event summary'!A1250</f>
        <v>0</v>
      </c>
      <c r="H1250" s="43">
        <f>MIN(TYPE(SEARCH($E$2,'Event summary'!C1250)),TYPE(SEARCH($E$2,'Event summary'!D1250)))</f>
        <v>16</v>
      </c>
      <c r="I1250" s="65" t="str">
        <f t="shared" si="20"/>
        <v/>
      </c>
      <c r="J1250" s="66" t="str">
        <f>IF($H1250=1,'Event summary'!C1250,"")</f>
        <v/>
      </c>
      <c r="K1250" s="66" t="str">
        <f>IF($H1250=1,'Event summary'!D1250,"")</f>
        <v/>
      </c>
    </row>
    <row r="1251" spans="7:11" x14ac:dyDescent="0.2">
      <c r="G1251" s="46">
        <f>'Event summary'!A1251</f>
        <v>0</v>
      </c>
      <c r="H1251" s="43">
        <f>MIN(TYPE(SEARCH($E$2,'Event summary'!C1251)),TYPE(SEARCH($E$2,'Event summary'!D1251)))</f>
        <v>16</v>
      </c>
      <c r="I1251" s="65" t="str">
        <f t="shared" si="20"/>
        <v/>
      </c>
      <c r="J1251" s="66" t="str">
        <f>IF($H1251=1,'Event summary'!C1251,"")</f>
        <v/>
      </c>
      <c r="K1251" s="66" t="str">
        <f>IF($H1251=1,'Event summary'!D1251,"")</f>
        <v/>
      </c>
    </row>
    <row r="1252" spans="7:11" x14ac:dyDescent="0.2">
      <c r="G1252" s="46">
        <f>'Event summary'!A1252</f>
        <v>0</v>
      </c>
      <c r="H1252" s="43">
        <f>MIN(TYPE(SEARCH($E$2,'Event summary'!C1252)),TYPE(SEARCH($E$2,'Event summary'!D1252)))</f>
        <v>16</v>
      </c>
      <c r="I1252" s="65" t="str">
        <f t="shared" si="20"/>
        <v/>
      </c>
      <c r="J1252" s="66" t="str">
        <f>IF($H1252=1,'Event summary'!C1252,"")</f>
        <v/>
      </c>
      <c r="K1252" s="66" t="str">
        <f>IF($H1252=1,'Event summary'!D1252,"")</f>
        <v/>
      </c>
    </row>
    <row r="1253" spans="7:11" x14ac:dyDescent="0.2">
      <c r="G1253" s="46">
        <f>'Event summary'!A1253</f>
        <v>0</v>
      </c>
      <c r="H1253" s="43">
        <f>MIN(TYPE(SEARCH($E$2,'Event summary'!C1253)),TYPE(SEARCH($E$2,'Event summary'!D1253)))</f>
        <v>16</v>
      </c>
      <c r="I1253" s="65" t="str">
        <f t="shared" si="20"/>
        <v/>
      </c>
      <c r="J1253" s="66" t="str">
        <f>IF($H1253=1,'Event summary'!C1253,"")</f>
        <v/>
      </c>
      <c r="K1253" s="66" t="str">
        <f>IF($H1253=1,'Event summary'!D1253,"")</f>
        <v/>
      </c>
    </row>
    <row r="1254" spans="7:11" x14ac:dyDescent="0.2">
      <c r="G1254" s="46">
        <f>'Event summary'!A1254</f>
        <v>0</v>
      </c>
      <c r="H1254" s="43">
        <f>MIN(TYPE(SEARCH($E$2,'Event summary'!C1254)),TYPE(SEARCH($E$2,'Event summary'!D1254)))</f>
        <v>16</v>
      </c>
      <c r="I1254" s="65" t="str">
        <f t="shared" si="20"/>
        <v/>
      </c>
      <c r="J1254" s="66" t="str">
        <f>IF($H1254=1,'Event summary'!C1254,"")</f>
        <v/>
      </c>
      <c r="K1254" s="66" t="str">
        <f>IF($H1254=1,'Event summary'!D1254,"")</f>
        <v/>
      </c>
    </row>
    <row r="1255" spans="7:11" x14ac:dyDescent="0.2">
      <c r="G1255" s="46">
        <f>'Event summary'!A1255</f>
        <v>0</v>
      </c>
      <c r="H1255" s="43">
        <f>MIN(TYPE(SEARCH($E$2,'Event summary'!C1255)),TYPE(SEARCH($E$2,'Event summary'!D1255)))</f>
        <v>16</v>
      </c>
      <c r="I1255" s="65" t="str">
        <f t="shared" si="20"/>
        <v/>
      </c>
      <c r="J1255" s="66" t="str">
        <f>IF($H1255=1,'Event summary'!C1255,"")</f>
        <v/>
      </c>
      <c r="K1255" s="66" t="str">
        <f>IF($H1255=1,'Event summary'!D1255,"")</f>
        <v/>
      </c>
    </row>
    <row r="1256" spans="7:11" x14ac:dyDescent="0.2">
      <c r="G1256" s="46">
        <f>'Event summary'!A1256</f>
        <v>0</v>
      </c>
      <c r="H1256" s="43">
        <f>MIN(TYPE(SEARCH($E$2,'Event summary'!C1256)),TYPE(SEARCH($E$2,'Event summary'!D1256)))</f>
        <v>16</v>
      </c>
      <c r="I1256" s="65" t="str">
        <f t="shared" si="20"/>
        <v/>
      </c>
      <c r="J1256" s="66" t="str">
        <f>IF($H1256=1,'Event summary'!C1256,"")</f>
        <v/>
      </c>
      <c r="K1256" s="66" t="str">
        <f>IF($H1256=1,'Event summary'!D1256,"")</f>
        <v/>
      </c>
    </row>
    <row r="1257" spans="7:11" x14ac:dyDescent="0.2">
      <c r="G1257" s="46">
        <f>'Event summary'!A1257</f>
        <v>0</v>
      </c>
      <c r="H1257" s="43">
        <f>MIN(TYPE(SEARCH($E$2,'Event summary'!C1257)),TYPE(SEARCH($E$2,'Event summary'!D1257)))</f>
        <v>16</v>
      </c>
      <c r="I1257" s="65" t="str">
        <f t="shared" si="20"/>
        <v/>
      </c>
      <c r="J1257" s="66" t="str">
        <f>IF($H1257=1,'Event summary'!C1257,"")</f>
        <v/>
      </c>
      <c r="K1257" s="66" t="str">
        <f>IF($H1257=1,'Event summary'!D1257,"")</f>
        <v/>
      </c>
    </row>
    <row r="1258" spans="7:11" x14ac:dyDescent="0.2">
      <c r="G1258" s="46">
        <f>'Event summary'!A1258</f>
        <v>0</v>
      </c>
      <c r="H1258" s="43">
        <f>MIN(TYPE(SEARCH($E$2,'Event summary'!C1258)),TYPE(SEARCH($E$2,'Event summary'!D1258)))</f>
        <v>16</v>
      </c>
      <c r="I1258" s="65" t="str">
        <f t="shared" si="20"/>
        <v/>
      </c>
      <c r="J1258" s="66" t="str">
        <f>IF($H1258=1,'Event summary'!C1258,"")</f>
        <v/>
      </c>
      <c r="K1258" s="66" t="str">
        <f>IF($H1258=1,'Event summary'!D1258,"")</f>
        <v/>
      </c>
    </row>
    <row r="1259" spans="7:11" x14ac:dyDescent="0.2">
      <c r="G1259" s="46">
        <f>'Event summary'!A1259</f>
        <v>0</v>
      </c>
      <c r="H1259" s="43">
        <f>MIN(TYPE(SEARCH($E$2,'Event summary'!C1259)),TYPE(SEARCH($E$2,'Event summary'!D1259)))</f>
        <v>16</v>
      </c>
      <c r="I1259" s="65" t="str">
        <f t="shared" ref="I1259:I1312" si="21">IF(H1259=1,$E$2,"")</f>
        <v/>
      </c>
      <c r="J1259" s="66" t="str">
        <f>IF($H1259=1,'Event summary'!C1259,"")</f>
        <v/>
      </c>
      <c r="K1259" s="66" t="str">
        <f>IF($H1259=1,'Event summary'!D1259,"")</f>
        <v/>
      </c>
    </row>
    <row r="1260" spans="7:11" x14ac:dyDescent="0.2">
      <c r="G1260" s="46">
        <f>'Event summary'!A1260</f>
        <v>0</v>
      </c>
      <c r="H1260" s="43">
        <f>MIN(TYPE(SEARCH($E$2,'Event summary'!C1260)),TYPE(SEARCH($E$2,'Event summary'!D1260)))</f>
        <v>16</v>
      </c>
      <c r="I1260" s="65" t="str">
        <f t="shared" si="21"/>
        <v/>
      </c>
      <c r="J1260" s="66" t="str">
        <f>IF($H1260=1,'Event summary'!C1260,"")</f>
        <v/>
      </c>
      <c r="K1260" s="66" t="str">
        <f>IF($H1260=1,'Event summary'!D1260,"")</f>
        <v/>
      </c>
    </row>
    <row r="1261" spans="7:11" x14ac:dyDescent="0.2">
      <c r="G1261" s="46">
        <f>'Event summary'!A1261</f>
        <v>0</v>
      </c>
      <c r="H1261" s="43">
        <f>MIN(TYPE(SEARCH($E$2,'Event summary'!C1261)),TYPE(SEARCH($E$2,'Event summary'!D1261)))</f>
        <v>16</v>
      </c>
      <c r="I1261" s="65" t="str">
        <f t="shared" si="21"/>
        <v/>
      </c>
      <c r="J1261" s="66" t="str">
        <f>IF($H1261=1,'Event summary'!C1261,"")</f>
        <v/>
      </c>
      <c r="K1261" s="66" t="str">
        <f>IF($H1261=1,'Event summary'!D1261,"")</f>
        <v/>
      </c>
    </row>
    <row r="1262" spans="7:11" x14ac:dyDescent="0.2">
      <c r="G1262" s="46">
        <f>'Event summary'!A1262</f>
        <v>0</v>
      </c>
      <c r="H1262" s="43">
        <f>MIN(TYPE(SEARCH($E$2,'Event summary'!C1262)),TYPE(SEARCH($E$2,'Event summary'!D1262)))</f>
        <v>16</v>
      </c>
      <c r="I1262" s="65" t="str">
        <f t="shared" si="21"/>
        <v/>
      </c>
      <c r="J1262" s="66" t="str">
        <f>IF($H1262=1,'Event summary'!C1262,"")</f>
        <v/>
      </c>
      <c r="K1262" s="66" t="str">
        <f>IF($H1262=1,'Event summary'!D1262,"")</f>
        <v/>
      </c>
    </row>
    <row r="1263" spans="7:11" x14ac:dyDescent="0.2">
      <c r="G1263" s="46">
        <f>'Event summary'!A1263</f>
        <v>0</v>
      </c>
      <c r="H1263" s="43">
        <f>MIN(TYPE(SEARCH($E$2,'Event summary'!C1263)),TYPE(SEARCH($E$2,'Event summary'!D1263)))</f>
        <v>16</v>
      </c>
      <c r="I1263" s="65" t="str">
        <f t="shared" si="21"/>
        <v/>
      </c>
      <c r="J1263" s="66" t="str">
        <f>IF($H1263=1,'Event summary'!C1263,"")</f>
        <v/>
      </c>
      <c r="K1263" s="66" t="str">
        <f>IF($H1263=1,'Event summary'!D1263,"")</f>
        <v/>
      </c>
    </row>
    <row r="1264" spans="7:11" x14ac:dyDescent="0.2">
      <c r="G1264" s="46">
        <f>'Event summary'!A1264</f>
        <v>0</v>
      </c>
      <c r="H1264" s="43">
        <f>MIN(TYPE(SEARCH($E$2,'Event summary'!C1264)),TYPE(SEARCH($E$2,'Event summary'!D1264)))</f>
        <v>16</v>
      </c>
      <c r="I1264" s="65" t="str">
        <f t="shared" si="21"/>
        <v/>
      </c>
      <c r="J1264" s="66" t="str">
        <f>IF($H1264=1,'Event summary'!C1264,"")</f>
        <v/>
      </c>
      <c r="K1264" s="66" t="str">
        <f>IF($H1264=1,'Event summary'!D1264,"")</f>
        <v/>
      </c>
    </row>
    <row r="1265" spans="7:11" x14ac:dyDescent="0.2">
      <c r="G1265" s="46">
        <f>'Event summary'!A1265</f>
        <v>0</v>
      </c>
      <c r="H1265" s="43">
        <f>MIN(TYPE(SEARCH($E$2,'Event summary'!C1265)),TYPE(SEARCH($E$2,'Event summary'!D1265)))</f>
        <v>16</v>
      </c>
      <c r="I1265" s="65" t="str">
        <f t="shared" si="21"/>
        <v/>
      </c>
      <c r="J1265" s="66" t="str">
        <f>IF($H1265=1,'Event summary'!C1265,"")</f>
        <v/>
      </c>
      <c r="K1265" s="66" t="str">
        <f>IF($H1265=1,'Event summary'!D1265,"")</f>
        <v/>
      </c>
    </row>
    <row r="1266" spans="7:11" x14ac:dyDescent="0.2">
      <c r="G1266" s="46">
        <f>'Event summary'!A1266</f>
        <v>0</v>
      </c>
      <c r="H1266" s="43">
        <f>MIN(TYPE(SEARCH($E$2,'Event summary'!C1266)),TYPE(SEARCH($E$2,'Event summary'!D1266)))</f>
        <v>16</v>
      </c>
      <c r="I1266" s="65" t="str">
        <f t="shared" si="21"/>
        <v/>
      </c>
      <c r="J1266" s="66" t="str">
        <f>IF($H1266=1,'Event summary'!C1266,"")</f>
        <v/>
      </c>
      <c r="K1266" s="66" t="str">
        <f>IF($H1266=1,'Event summary'!D1266,"")</f>
        <v/>
      </c>
    </row>
    <row r="1267" spans="7:11" x14ac:dyDescent="0.2">
      <c r="G1267" s="46">
        <f>'Event summary'!A1267</f>
        <v>0</v>
      </c>
      <c r="H1267" s="43">
        <f>MIN(TYPE(SEARCH($E$2,'Event summary'!C1267)),TYPE(SEARCH($E$2,'Event summary'!D1267)))</f>
        <v>16</v>
      </c>
      <c r="I1267" s="65" t="str">
        <f t="shared" si="21"/>
        <v/>
      </c>
      <c r="J1267" s="66" t="str">
        <f>IF($H1267=1,'Event summary'!C1267,"")</f>
        <v/>
      </c>
      <c r="K1267" s="66" t="str">
        <f>IF($H1267=1,'Event summary'!D1267,"")</f>
        <v/>
      </c>
    </row>
    <row r="1268" spans="7:11" x14ac:dyDescent="0.2">
      <c r="G1268" s="46">
        <f>'Event summary'!A1268</f>
        <v>0</v>
      </c>
      <c r="H1268" s="43">
        <f>MIN(TYPE(SEARCH($E$2,'Event summary'!C1268)),TYPE(SEARCH($E$2,'Event summary'!D1268)))</f>
        <v>16</v>
      </c>
      <c r="I1268" s="65" t="str">
        <f t="shared" si="21"/>
        <v/>
      </c>
      <c r="J1268" s="66" t="str">
        <f>IF($H1268=1,'Event summary'!C1268,"")</f>
        <v/>
      </c>
      <c r="K1268" s="66" t="str">
        <f>IF($H1268=1,'Event summary'!D1268,"")</f>
        <v/>
      </c>
    </row>
    <row r="1269" spans="7:11" x14ac:dyDescent="0.2">
      <c r="G1269" s="46">
        <f>'Event summary'!A1269</f>
        <v>0</v>
      </c>
      <c r="H1269" s="43">
        <f>MIN(TYPE(SEARCH($E$2,'Event summary'!C1269)),TYPE(SEARCH($E$2,'Event summary'!D1269)))</f>
        <v>16</v>
      </c>
      <c r="I1269" s="65" t="str">
        <f t="shared" si="21"/>
        <v/>
      </c>
      <c r="J1269" s="66" t="str">
        <f>IF($H1269=1,'Event summary'!C1269,"")</f>
        <v/>
      </c>
      <c r="K1269" s="66" t="str">
        <f>IF($H1269=1,'Event summary'!D1269,"")</f>
        <v/>
      </c>
    </row>
    <row r="1270" spans="7:11" x14ac:dyDescent="0.2">
      <c r="G1270" s="46">
        <f>'Event summary'!A1270</f>
        <v>0</v>
      </c>
      <c r="H1270" s="43">
        <f>MIN(TYPE(SEARCH($E$2,'Event summary'!C1270)),TYPE(SEARCH($E$2,'Event summary'!D1270)))</f>
        <v>16</v>
      </c>
      <c r="I1270" s="65" t="str">
        <f t="shared" si="21"/>
        <v/>
      </c>
      <c r="J1270" s="66" t="str">
        <f>IF($H1270=1,'Event summary'!C1270,"")</f>
        <v/>
      </c>
      <c r="K1270" s="66" t="str">
        <f>IF($H1270=1,'Event summary'!D1270,"")</f>
        <v/>
      </c>
    </row>
    <row r="1271" spans="7:11" x14ac:dyDescent="0.2">
      <c r="G1271" s="46">
        <f>'Event summary'!A1271</f>
        <v>0</v>
      </c>
      <c r="H1271" s="43">
        <f>MIN(TYPE(SEARCH($E$2,'Event summary'!C1271)),TYPE(SEARCH($E$2,'Event summary'!D1271)))</f>
        <v>16</v>
      </c>
      <c r="I1271" s="65" t="str">
        <f t="shared" si="21"/>
        <v/>
      </c>
      <c r="J1271" s="66" t="str">
        <f>IF($H1271=1,'Event summary'!C1271,"")</f>
        <v/>
      </c>
      <c r="K1271" s="66" t="str">
        <f>IF($H1271=1,'Event summary'!D1271,"")</f>
        <v/>
      </c>
    </row>
    <row r="1272" spans="7:11" x14ac:dyDescent="0.2">
      <c r="G1272" s="46">
        <f>'Event summary'!A1272</f>
        <v>0</v>
      </c>
      <c r="H1272" s="43">
        <f>MIN(TYPE(SEARCH($E$2,'Event summary'!C1272)),TYPE(SEARCH($E$2,'Event summary'!D1272)))</f>
        <v>16</v>
      </c>
      <c r="I1272" s="65" t="str">
        <f t="shared" si="21"/>
        <v/>
      </c>
      <c r="J1272" s="66" t="str">
        <f>IF($H1272=1,'Event summary'!C1272,"")</f>
        <v/>
      </c>
      <c r="K1272" s="66" t="str">
        <f>IF($H1272=1,'Event summary'!D1272,"")</f>
        <v/>
      </c>
    </row>
    <row r="1273" spans="7:11" x14ac:dyDescent="0.2">
      <c r="G1273" s="46">
        <f>'Event summary'!A1273</f>
        <v>0</v>
      </c>
      <c r="H1273" s="43">
        <f>MIN(TYPE(SEARCH($E$2,'Event summary'!C1273)),TYPE(SEARCH($E$2,'Event summary'!D1273)))</f>
        <v>16</v>
      </c>
      <c r="I1273" s="65" t="str">
        <f t="shared" si="21"/>
        <v/>
      </c>
      <c r="J1273" s="66" t="str">
        <f>IF($H1273=1,'Event summary'!C1273,"")</f>
        <v/>
      </c>
      <c r="K1273" s="66" t="str">
        <f>IF($H1273=1,'Event summary'!D1273,"")</f>
        <v/>
      </c>
    </row>
    <row r="1274" spans="7:11" x14ac:dyDescent="0.2">
      <c r="G1274" s="46">
        <f>'Event summary'!A1274</f>
        <v>0</v>
      </c>
      <c r="H1274" s="43">
        <f>MIN(TYPE(SEARCH($E$2,'Event summary'!C1274)),TYPE(SEARCH($E$2,'Event summary'!D1274)))</f>
        <v>16</v>
      </c>
      <c r="I1274" s="65" t="str">
        <f t="shared" si="21"/>
        <v/>
      </c>
      <c r="J1274" s="66" t="str">
        <f>IF($H1274=1,'Event summary'!C1274,"")</f>
        <v/>
      </c>
      <c r="K1274" s="66" t="str">
        <f>IF($H1274=1,'Event summary'!D1274,"")</f>
        <v/>
      </c>
    </row>
    <row r="1275" spans="7:11" x14ac:dyDescent="0.2">
      <c r="G1275" s="46">
        <f>'Event summary'!A1275</f>
        <v>0</v>
      </c>
      <c r="H1275" s="43">
        <f>MIN(TYPE(SEARCH($E$2,'Event summary'!C1275)),TYPE(SEARCH($E$2,'Event summary'!D1275)))</f>
        <v>16</v>
      </c>
      <c r="I1275" s="65" t="str">
        <f t="shared" si="21"/>
        <v/>
      </c>
      <c r="J1275" s="66" t="str">
        <f>IF($H1275=1,'Event summary'!C1275,"")</f>
        <v/>
      </c>
      <c r="K1275" s="66" t="str">
        <f>IF($H1275=1,'Event summary'!D1275,"")</f>
        <v/>
      </c>
    </row>
    <row r="1276" spans="7:11" x14ac:dyDescent="0.2">
      <c r="G1276" s="46">
        <f>'Event summary'!A1276</f>
        <v>0</v>
      </c>
      <c r="H1276" s="43">
        <f>MIN(TYPE(SEARCH($E$2,'Event summary'!C1276)),TYPE(SEARCH($E$2,'Event summary'!D1276)))</f>
        <v>16</v>
      </c>
      <c r="I1276" s="65" t="str">
        <f t="shared" si="21"/>
        <v/>
      </c>
      <c r="J1276" s="66" t="str">
        <f>IF($H1276=1,'Event summary'!C1276,"")</f>
        <v/>
      </c>
      <c r="K1276" s="66" t="str">
        <f>IF($H1276=1,'Event summary'!D1276,"")</f>
        <v/>
      </c>
    </row>
    <row r="1277" spans="7:11" x14ac:dyDescent="0.2">
      <c r="G1277" s="46">
        <f>'Event summary'!A1277</f>
        <v>0</v>
      </c>
      <c r="H1277" s="43">
        <f>MIN(TYPE(SEARCH($E$2,'Event summary'!C1277)),TYPE(SEARCH($E$2,'Event summary'!D1277)))</f>
        <v>16</v>
      </c>
      <c r="I1277" s="65" t="str">
        <f t="shared" si="21"/>
        <v/>
      </c>
      <c r="J1277" s="66" t="str">
        <f>IF($H1277=1,'Event summary'!C1277,"")</f>
        <v/>
      </c>
      <c r="K1277" s="66" t="str">
        <f>IF($H1277=1,'Event summary'!D1277,"")</f>
        <v/>
      </c>
    </row>
    <row r="1278" spans="7:11" x14ac:dyDescent="0.2">
      <c r="G1278" s="46">
        <f>'Event summary'!A1278</f>
        <v>0</v>
      </c>
      <c r="H1278" s="43">
        <f>MIN(TYPE(SEARCH($E$2,'Event summary'!C1278)),TYPE(SEARCH($E$2,'Event summary'!D1278)))</f>
        <v>16</v>
      </c>
      <c r="I1278" s="65" t="str">
        <f t="shared" si="21"/>
        <v/>
      </c>
      <c r="J1278" s="66" t="str">
        <f>IF($H1278=1,'Event summary'!C1278,"")</f>
        <v/>
      </c>
      <c r="K1278" s="66" t="str">
        <f>IF($H1278=1,'Event summary'!D1278,"")</f>
        <v/>
      </c>
    </row>
    <row r="1279" spans="7:11" x14ac:dyDescent="0.2">
      <c r="G1279" s="46">
        <f>'Event summary'!A1279</f>
        <v>0</v>
      </c>
      <c r="H1279" s="43">
        <f>MIN(TYPE(SEARCH($E$2,'Event summary'!C1279)),TYPE(SEARCH($E$2,'Event summary'!D1279)))</f>
        <v>16</v>
      </c>
      <c r="I1279" s="65" t="str">
        <f t="shared" si="21"/>
        <v/>
      </c>
      <c r="J1279" s="66" t="str">
        <f>IF($H1279=1,'Event summary'!C1279,"")</f>
        <v/>
      </c>
      <c r="K1279" s="66" t="str">
        <f>IF($H1279=1,'Event summary'!D1279,"")</f>
        <v/>
      </c>
    </row>
    <row r="1280" spans="7:11" x14ac:dyDescent="0.2">
      <c r="G1280" s="46">
        <f>'Event summary'!A1280</f>
        <v>0</v>
      </c>
      <c r="H1280" s="43">
        <f>MIN(TYPE(SEARCH($E$2,'Event summary'!C1280)),TYPE(SEARCH($E$2,'Event summary'!D1280)))</f>
        <v>16</v>
      </c>
      <c r="I1280" s="65" t="str">
        <f t="shared" si="21"/>
        <v/>
      </c>
      <c r="J1280" s="66" t="str">
        <f>IF($H1280=1,'Event summary'!C1280,"")</f>
        <v/>
      </c>
      <c r="K1280" s="66" t="str">
        <f>IF($H1280=1,'Event summary'!D1280,"")</f>
        <v/>
      </c>
    </row>
    <row r="1281" spans="7:11" x14ac:dyDescent="0.2">
      <c r="G1281" s="46">
        <f>'Event summary'!A1281</f>
        <v>0</v>
      </c>
      <c r="H1281" s="43">
        <f>MIN(TYPE(SEARCH($E$2,'Event summary'!C1281)),TYPE(SEARCH($E$2,'Event summary'!D1281)))</f>
        <v>16</v>
      </c>
      <c r="I1281" s="65" t="str">
        <f t="shared" si="21"/>
        <v/>
      </c>
      <c r="J1281" s="66" t="str">
        <f>IF($H1281=1,'Event summary'!C1281,"")</f>
        <v/>
      </c>
      <c r="K1281" s="66" t="str">
        <f>IF($H1281=1,'Event summary'!D1281,"")</f>
        <v/>
      </c>
    </row>
    <row r="1282" spans="7:11" x14ac:dyDescent="0.2">
      <c r="G1282" s="46">
        <f>'Event summary'!A1282</f>
        <v>0</v>
      </c>
      <c r="H1282" s="43">
        <f>MIN(TYPE(SEARCH($E$2,'Event summary'!C1282)),TYPE(SEARCH($E$2,'Event summary'!D1282)))</f>
        <v>16</v>
      </c>
      <c r="I1282" s="65" t="str">
        <f t="shared" si="21"/>
        <v/>
      </c>
      <c r="J1282" s="66" t="str">
        <f>IF($H1282=1,'Event summary'!C1282,"")</f>
        <v/>
      </c>
      <c r="K1282" s="66" t="str">
        <f>IF($H1282=1,'Event summary'!D1282,"")</f>
        <v/>
      </c>
    </row>
    <row r="1283" spans="7:11" x14ac:dyDescent="0.2">
      <c r="G1283" s="46">
        <f>'Event summary'!A1283</f>
        <v>0</v>
      </c>
      <c r="H1283" s="43">
        <f>MIN(TYPE(SEARCH($E$2,'Event summary'!C1283)),TYPE(SEARCH($E$2,'Event summary'!D1283)))</f>
        <v>16</v>
      </c>
      <c r="I1283" s="65" t="str">
        <f t="shared" si="21"/>
        <v/>
      </c>
      <c r="J1283" s="66" t="str">
        <f>IF($H1283=1,'Event summary'!C1283,"")</f>
        <v/>
      </c>
      <c r="K1283" s="66" t="str">
        <f>IF($H1283=1,'Event summary'!D1283,"")</f>
        <v/>
      </c>
    </row>
    <row r="1284" spans="7:11" x14ac:dyDescent="0.2">
      <c r="G1284" s="46">
        <f>'Event summary'!A1284</f>
        <v>0</v>
      </c>
      <c r="H1284" s="43">
        <f>MIN(TYPE(SEARCH($E$2,'Event summary'!C1284)),TYPE(SEARCH($E$2,'Event summary'!D1284)))</f>
        <v>16</v>
      </c>
      <c r="I1284" s="65" t="str">
        <f t="shared" si="21"/>
        <v/>
      </c>
      <c r="J1284" s="66" t="str">
        <f>IF($H1284=1,'Event summary'!C1284,"")</f>
        <v/>
      </c>
      <c r="K1284" s="66" t="str">
        <f>IF($H1284=1,'Event summary'!D1284,"")</f>
        <v/>
      </c>
    </row>
    <row r="1285" spans="7:11" x14ac:dyDescent="0.2">
      <c r="G1285" s="46">
        <f>'Event summary'!A1285</f>
        <v>0</v>
      </c>
      <c r="H1285" s="43">
        <f>MIN(TYPE(SEARCH($E$2,'Event summary'!C1285)),TYPE(SEARCH($E$2,'Event summary'!D1285)))</f>
        <v>16</v>
      </c>
      <c r="I1285" s="65" t="str">
        <f t="shared" si="21"/>
        <v/>
      </c>
      <c r="J1285" s="66" t="str">
        <f>IF($H1285=1,'Event summary'!C1285,"")</f>
        <v/>
      </c>
      <c r="K1285" s="66" t="str">
        <f>IF($H1285=1,'Event summary'!D1285,"")</f>
        <v/>
      </c>
    </row>
    <row r="1286" spans="7:11" x14ac:dyDescent="0.2">
      <c r="G1286" s="46">
        <f>'Event summary'!A1286</f>
        <v>0</v>
      </c>
      <c r="H1286" s="43">
        <f>MIN(TYPE(SEARCH($E$2,'Event summary'!C1286)),TYPE(SEARCH($E$2,'Event summary'!D1286)))</f>
        <v>16</v>
      </c>
      <c r="I1286" s="65" t="str">
        <f t="shared" si="21"/>
        <v/>
      </c>
      <c r="J1286" s="66" t="str">
        <f>IF($H1286=1,'Event summary'!C1286,"")</f>
        <v/>
      </c>
      <c r="K1286" s="66" t="str">
        <f>IF($H1286=1,'Event summary'!D1286,"")</f>
        <v/>
      </c>
    </row>
    <row r="1287" spans="7:11" x14ac:dyDescent="0.2">
      <c r="G1287" s="46">
        <f>'Event summary'!A1287</f>
        <v>0</v>
      </c>
      <c r="H1287" s="43">
        <f>MIN(TYPE(SEARCH($E$2,'Event summary'!C1287)),TYPE(SEARCH($E$2,'Event summary'!D1287)))</f>
        <v>16</v>
      </c>
      <c r="I1287" s="65" t="str">
        <f t="shared" si="21"/>
        <v/>
      </c>
      <c r="J1287" s="66" t="str">
        <f>IF($H1287=1,'Event summary'!C1287,"")</f>
        <v/>
      </c>
      <c r="K1287" s="66" t="str">
        <f>IF($H1287=1,'Event summary'!D1287,"")</f>
        <v/>
      </c>
    </row>
    <row r="1288" spans="7:11" x14ac:dyDescent="0.2">
      <c r="G1288" s="46">
        <f>'Event summary'!A1288</f>
        <v>0</v>
      </c>
      <c r="H1288" s="43">
        <f>MIN(TYPE(SEARCH($E$2,'Event summary'!C1288)),TYPE(SEARCH($E$2,'Event summary'!D1288)))</f>
        <v>16</v>
      </c>
      <c r="I1288" s="65" t="str">
        <f t="shared" si="21"/>
        <v/>
      </c>
      <c r="J1288" s="66" t="str">
        <f>IF($H1288=1,'Event summary'!C1288,"")</f>
        <v/>
      </c>
      <c r="K1288" s="66" t="str">
        <f>IF($H1288=1,'Event summary'!D1288,"")</f>
        <v/>
      </c>
    </row>
    <row r="1289" spans="7:11" x14ac:dyDescent="0.2">
      <c r="G1289" s="46">
        <f>'Event summary'!A1289</f>
        <v>0</v>
      </c>
      <c r="H1289" s="43">
        <f>MIN(TYPE(SEARCH($E$2,'Event summary'!C1289)),TYPE(SEARCH($E$2,'Event summary'!D1289)))</f>
        <v>16</v>
      </c>
      <c r="I1289" s="65" t="str">
        <f t="shared" si="21"/>
        <v/>
      </c>
      <c r="J1289" s="66" t="str">
        <f>IF($H1289=1,'Event summary'!C1289,"")</f>
        <v/>
      </c>
      <c r="K1289" s="66" t="str">
        <f>IF($H1289=1,'Event summary'!D1289,"")</f>
        <v/>
      </c>
    </row>
    <row r="1290" spans="7:11" x14ac:dyDescent="0.2">
      <c r="G1290" s="46">
        <f>'Event summary'!A1290</f>
        <v>0</v>
      </c>
      <c r="H1290" s="43">
        <f>MIN(TYPE(SEARCH($E$2,'Event summary'!C1290)),TYPE(SEARCH($E$2,'Event summary'!D1290)))</f>
        <v>16</v>
      </c>
      <c r="I1290" s="65" t="str">
        <f t="shared" si="21"/>
        <v/>
      </c>
      <c r="J1290" s="66" t="str">
        <f>IF($H1290=1,'Event summary'!C1290,"")</f>
        <v/>
      </c>
      <c r="K1290" s="66" t="str">
        <f>IF($H1290=1,'Event summary'!D1290,"")</f>
        <v/>
      </c>
    </row>
    <row r="1291" spans="7:11" x14ac:dyDescent="0.2">
      <c r="G1291" s="46">
        <f>'Event summary'!A1291</f>
        <v>0</v>
      </c>
      <c r="H1291" s="43">
        <f>MIN(TYPE(SEARCH($E$2,'Event summary'!C1291)),TYPE(SEARCH($E$2,'Event summary'!D1291)))</f>
        <v>16</v>
      </c>
      <c r="I1291" s="65" t="str">
        <f t="shared" si="21"/>
        <v/>
      </c>
      <c r="J1291" s="66" t="str">
        <f>IF($H1291=1,'Event summary'!C1291,"")</f>
        <v/>
      </c>
      <c r="K1291" s="66" t="str">
        <f>IF($H1291=1,'Event summary'!D1291,"")</f>
        <v/>
      </c>
    </row>
    <row r="1292" spans="7:11" x14ac:dyDescent="0.2">
      <c r="G1292" s="46">
        <f>'Event summary'!A1292</f>
        <v>0</v>
      </c>
      <c r="H1292" s="43">
        <f>MIN(TYPE(SEARCH($E$2,'Event summary'!C1292)),TYPE(SEARCH($E$2,'Event summary'!D1292)))</f>
        <v>16</v>
      </c>
      <c r="I1292" s="65" t="str">
        <f t="shared" si="21"/>
        <v/>
      </c>
      <c r="J1292" s="66" t="str">
        <f>IF($H1292=1,'Event summary'!C1292,"")</f>
        <v/>
      </c>
      <c r="K1292" s="66" t="str">
        <f>IF($H1292=1,'Event summary'!D1292,"")</f>
        <v/>
      </c>
    </row>
    <row r="1293" spans="7:11" x14ac:dyDescent="0.2">
      <c r="G1293" s="46">
        <f>'Event summary'!A1293</f>
        <v>0</v>
      </c>
      <c r="H1293" s="43">
        <f>MIN(TYPE(SEARCH($E$2,'Event summary'!C1293)),TYPE(SEARCH($E$2,'Event summary'!D1293)))</f>
        <v>16</v>
      </c>
      <c r="I1293" s="65" t="str">
        <f t="shared" si="21"/>
        <v/>
      </c>
      <c r="J1293" s="66" t="str">
        <f>IF($H1293=1,'Event summary'!C1293,"")</f>
        <v/>
      </c>
      <c r="K1293" s="66" t="str">
        <f>IF($H1293=1,'Event summary'!D1293,"")</f>
        <v/>
      </c>
    </row>
    <row r="1294" spans="7:11" x14ac:dyDescent="0.2">
      <c r="G1294" s="46">
        <f>'Event summary'!A1294</f>
        <v>0</v>
      </c>
      <c r="H1294" s="43">
        <f>MIN(TYPE(SEARCH($E$2,'Event summary'!C1294)),TYPE(SEARCH($E$2,'Event summary'!D1294)))</f>
        <v>16</v>
      </c>
      <c r="I1294" s="65" t="str">
        <f t="shared" si="21"/>
        <v/>
      </c>
      <c r="J1294" s="66" t="str">
        <f>IF($H1294=1,'Event summary'!C1294,"")</f>
        <v/>
      </c>
      <c r="K1294" s="66" t="str">
        <f>IF($H1294=1,'Event summary'!D1294,"")</f>
        <v/>
      </c>
    </row>
    <row r="1295" spans="7:11" x14ac:dyDescent="0.2">
      <c r="G1295" s="46">
        <f>'Event summary'!A1295</f>
        <v>0</v>
      </c>
      <c r="H1295" s="43">
        <f>MIN(TYPE(SEARCH($E$2,'Event summary'!C1295)),TYPE(SEARCH($E$2,'Event summary'!D1295)))</f>
        <v>16</v>
      </c>
      <c r="I1295" s="65" t="str">
        <f t="shared" si="21"/>
        <v/>
      </c>
      <c r="J1295" s="66" t="str">
        <f>IF($H1295=1,'Event summary'!C1295,"")</f>
        <v/>
      </c>
      <c r="K1295" s="66" t="str">
        <f>IF($H1295=1,'Event summary'!D1295,"")</f>
        <v/>
      </c>
    </row>
    <row r="1296" spans="7:11" x14ac:dyDescent="0.2">
      <c r="G1296" s="46">
        <f>'Event summary'!A1296</f>
        <v>0</v>
      </c>
      <c r="H1296" s="43">
        <f>MIN(TYPE(SEARCH($E$2,'Event summary'!C1296)),TYPE(SEARCH($E$2,'Event summary'!D1296)))</f>
        <v>16</v>
      </c>
      <c r="I1296" s="65" t="str">
        <f t="shared" si="21"/>
        <v/>
      </c>
      <c r="J1296" s="66" t="str">
        <f>IF($H1296=1,'Event summary'!C1296,"")</f>
        <v/>
      </c>
      <c r="K1296" s="66" t="str">
        <f>IF($H1296=1,'Event summary'!D1296,"")</f>
        <v/>
      </c>
    </row>
    <row r="1297" spans="7:11" x14ac:dyDescent="0.2">
      <c r="G1297" s="46">
        <f>'Event summary'!A1297</f>
        <v>0</v>
      </c>
      <c r="H1297" s="43">
        <f>MIN(TYPE(SEARCH($E$2,'Event summary'!C1297)),TYPE(SEARCH($E$2,'Event summary'!D1297)))</f>
        <v>16</v>
      </c>
      <c r="I1297" s="65" t="str">
        <f t="shared" si="21"/>
        <v/>
      </c>
      <c r="J1297" s="66" t="str">
        <f>IF($H1297=1,'Event summary'!C1297,"")</f>
        <v/>
      </c>
      <c r="K1297" s="66" t="str">
        <f>IF($H1297=1,'Event summary'!D1297,"")</f>
        <v/>
      </c>
    </row>
    <row r="1298" spans="7:11" x14ac:dyDescent="0.2">
      <c r="G1298" s="46">
        <f>'Event summary'!A1298</f>
        <v>0</v>
      </c>
      <c r="H1298" s="43">
        <f>MIN(TYPE(SEARCH($E$2,'Event summary'!C1298)),TYPE(SEARCH($E$2,'Event summary'!D1298)))</f>
        <v>16</v>
      </c>
      <c r="I1298" s="65" t="str">
        <f t="shared" si="21"/>
        <v/>
      </c>
      <c r="J1298" s="66" t="str">
        <f>IF($H1298=1,'Event summary'!C1298,"")</f>
        <v/>
      </c>
      <c r="K1298" s="66" t="str">
        <f>IF($H1298=1,'Event summary'!D1298,"")</f>
        <v/>
      </c>
    </row>
    <row r="1299" spans="7:11" x14ac:dyDescent="0.2">
      <c r="G1299" s="46">
        <f>'Event summary'!A1299</f>
        <v>0</v>
      </c>
      <c r="H1299" s="43">
        <f>MIN(TYPE(SEARCH($E$2,'Event summary'!C1299)),TYPE(SEARCH($E$2,'Event summary'!D1299)))</f>
        <v>16</v>
      </c>
      <c r="I1299" s="65" t="str">
        <f t="shared" si="21"/>
        <v/>
      </c>
      <c r="J1299" s="66" t="str">
        <f>IF($H1299=1,'Event summary'!C1299,"")</f>
        <v/>
      </c>
      <c r="K1299" s="66" t="str">
        <f>IF($H1299=1,'Event summary'!D1299,"")</f>
        <v/>
      </c>
    </row>
    <row r="1300" spans="7:11" x14ac:dyDescent="0.2">
      <c r="G1300" s="46">
        <f>'Event summary'!A1300</f>
        <v>0</v>
      </c>
      <c r="H1300" s="43">
        <f>MIN(TYPE(SEARCH($E$2,'Event summary'!C1300)),TYPE(SEARCH($E$2,'Event summary'!D1300)))</f>
        <v>16</v>
      </c>
      <c r="I1300" s="65" t="str">
        <f t="shared" si="21"/>
        <v/>
      </c>
      <c r="J1300" s="66" t="str">
        <f>IF($H1300=1,'Event summary'!C1300,"")</f>
        <v/>
      </c>
      <c r="K1300" s="66" t="str">
        <f>IF($H1300=1,'Event summary'!D1300,"")</f>
        <v/>
      </c>
    </row>
    <row r="1301" spans="7:11" x14ac:dyDescent="0.2">
      <c r="G1301" s="46">
        <f>'Event summary'!A1301</f>
        <v>0</v>
      </c>
      <c r="H1301" s="43">
        <f>MIN(TYPE(SEARCH($E$2,'Event summary'!C1301)),TYPE(SEARCH($E$2,'Event summary'!D1301)))</f>
        <v>16</v>
      </c>
      <c r="I1301" s="65" t="str">
        <f t="shared" si="21"/>
        <v/>
      </c>
      <c r="J1301" s="66" t="str">
        <f>IF($H1301=1,'Event summary'!C1301,"")</f>
        <v/>
      </c>
      <c r="K1301" s="66" t="str">
        <f>IF($H1301=1,'Event summary'!D1301,"")</f>
        <v/>
      </c>
    </row>
    <row r="1302" spans="7:11" x14ac:dyDescent="0.2">
      <c r="G1302" s="46">
        <f>'Event summary'!A1302</f>
        <v>0</v>
      </c>
      <c r="H1302" s="43">
        <f>MIN(TYPE(SEARCH($E$2,'Event summary'!C1302)),TYPE(SEARCH($E$2,'Event summary'!D1302)))</f>
        <v>16</v>
      </c>
      <c r="I1302" s="65" t="str">
        <f t="shared" si="21"/>
        <v/>
      </c>
      <c r="J1302" s="66" t="str">
        <f>IF($H1302=1,'Event summary'!C1302,"")</f>
        <v/>
      </c>
      <c r="K1302" s="66" t="str">
        <f>IF($H1302=1,'Event summary'!D1302,"")</f>
        <v/>
      </c>
    </row>
    <row r="1303" spans="7:11" x14ac:dyDescent="0.2">
      <c r="G1303" s="46">
        <f>'Event summary'!A1303</f>
        <v>0</v>
      </c>
      <c r="H1303" s="43">
        <f>MIN(TYPE(SEARCH($E$2,'Event summary'!C1303)),TYPE(SEARCH($E$2,'Event summary'!D1303)))</f>
        <v>16</v>
      </c>
      <c r="I1303" s="65" t="str">
        <f t="shared" si="21"/>
        <v/>
      </c>
      <c r="J1303" s="66" t="str">
        <f>IF($H1303=1,'Event summary'!C1303,"")</f>
        <v/>
      </c>
      <c r="K1303" s="66" t="str">
        <f>IF($H1303=1,'Event summary'!D1303,"")</f>
        <v/>
      </c>
    </row>
    <row r="1304" spans="7:11" x14ac:dyDescent="0.2">
      <c r="G1304" s="46">
        <f>'Event summary'!A1304</f>
        <v>0</v>
      </c>
      <c r="H1304" s="43">
        <f>MIN(TYPE(SEARCH($E$2,'Event summary'!C1304)),TYPE(SEARCH($E$2,'Event summary'!D1304)))</f>
        <v>16</v>
      </c>
      <c r="I1304" s="65" t="str">
        <f t="shared" si="21"/>
        <v/>
      </c>
      <c r="J1304" s="66" t="str">
        <f>IF($H1304=1,'Event summary'!C1304,"")</f>
        <v/>
      </c>
      <c r="K1304" s="66" t="str">
        <f>IF($H1304=1,'Event summary'!D1304,"")</f>
        <v/>
      </c>
    </row>
    <row r="1305" spans="7:11" x14ac:dyDescent="0.2">
      <c r="G1305" s="46">
        <f>'Event summary'!A1305</f>
        <v>0</v>
      </c>
      <c r="H1305" s="43">
        <f>MIN(TYPE(SEARCH($E$2,'Event summary'!C1305)),TYPE(SEARCH($E$2,'Event summary'!D1305)))</f>
        <v>16</v>
      </c>
      <c r="I1305" s="65" t="str">
        <f t="shared" si="21"/>
        <v/>
      </c>
      <c r="J1305" s="66" t="str">
        <f>IF($H1305=1,'Event summary'!C1305,"")</f>
        <v/>
      </c>
      <c r="K1305" s="66" t="str">
        <f>IF($H1305=1,'Event summary'!D1305,"")</f>
        <v/>
      </c>
    </row>
    <row r="1306" spans="7:11" x14ac:dyDescent="0.2">
      <c r="G1306" s="46">
        <f>'Event summary'!A1306</f>
        <v>0</v>
      </c>
      <c r="H1306" s="43">
        <f>MIN(TYPE(SEARCH($E$2,'Event summary'!C1306)),TYPE(SEARCH($E$2,'Event summary'!D1306)))</f>
        <v>16</v>
      </c>
      <c r="I1306" s="65" t="str">
        <f t="shared" si="21"/>
        <v/>
      </c>
      <c r="J1306" s="66" t="str">
        <f>IF($H1306=1,'Event summary'!C1306,"")</f>
        <v/>
      </c>
      <c r="K1306" s="66" t="str">
        <f>IF($H1306=1,'Event summary'!D1306,"")</f>
        <v/>
      </c>
    </row>
    <row r="1307" spans="7:11" x14ac:dyDescent="0.2">
      <c r="G1307" s="46">
        <f>'Event summary'!A1307</f>
        <v>0</v>
      </c>
      <c r="H1307" s="43">
        <f>MIN(TYPE(SEARCH($E$2,'Event summary'!C1307)),TYPE(SEARCH($E$2,'Event summary'!D1307)))</f>
        <v>16</v>
      </c>
      <c r="I1307" s="65" t="str">
        <f t="shared" si="21"/>
        <v/>
      </c>
      <c r="J1307" s="66" t="str">
        <f>IF($H1307=1,'Event summary'!C1307,"")</f>
        <v/>
      </c>
      <c r="K1307" s="66" t="str">
        <f>IF($H1307=1,'Event summary'!D1307,"")</f>
        <v/>
      </c>
    </row>
    <row r="1308" spans="7:11" x14ac:dyDescent="0.2">
      <c r="G1308" s="46">
        <f>'Event summary'!A1308</f>
        <v>0</v>
      </c>
      <c r="H1308" s="43">
        <f>MIN(TYPE(SEARCH($E$2,'Event summary'!C1308)),TYPE(SEARCH($E$2,'Event summary'!D1308)))</f>
        <v>16</v>
      </c>
      <c r="I1308" s="65" t="str">
        <f t="shared" si="21"/>
        <v/>
      </c>
      <c r="J1308" s="66" t="str">
        <f>IF($H1308=1,'Event summary'!C1308,"")</f>
        <v/>
      </c>
      <c r="K1308" s="66" t="str">
        <f>IF($H1308=1,'Event summary'!D1308,"")</f>
        <v/>
      </c>
    </row>
    <row r="1309" spans="7:11" x14ac:dyDescent="0.2">
      <c r="G1309" s="46">
        <f>'Event summary'!A1309</f>
        <v>0</v>
      </c>
      <c r="H1309" s="43">
        <f>MIN(TYPE(SEARCH($E$2,'Event summary'!C1309)),TYPE(SEARCH($E$2,'Event summary'!D1309)))</f>
        <v>16</v>
      </c>
      <c r="I1309" s="65" t="str">
        <f t="shared" si="21"/>
        <v/>
      </c>
      <c r="J1309" s="66" t="str">
        <f>IF($H1309=1,'Event summary'!C1309,"")</f>
        <v/>
      </c>
      <c r="K1309" s="66" t="str">
        <f>IF($H1309=1,'Event summary'!D1309,"")</f>
        <v/>
      </c>
    </row>
    <row r="1310" spans="7:11" x14ac:dyDescent="0.2">
      <c r="G1310" s="46">
        <f>'Event summary'!A1310</f>
        <v>0</v>
      </c>
      <c r="H1310" s="43">
        <f>MIN(TYPE(SEARCH($E$2,'Event summary'!C1310)),TYPE(SEARCH($E$2,'Event summary'!D1310)))</f>
        <v>16</v>
      </c>
      <c r="I1310" s="65" t="str">
        <f t="shared" si="21"/>
        <v/>
      </c>
      <c r="J1310" s="66" t="str">
        <f>IF($H1310=1,'Event summary'!C1310,"")</f>
        <v/>
      </c>
      <c r="K1310" s="66" t="str">
        <f>IF($H1310=1,'Event summary'!D1310,"")</f>
        <v/>
      </c>
    </row>
    <row r="1311" spans="7:11" x14ac:dyDescent="0.2">
      <c r="G1311" s="46">
        <f>'Event summary'!A1311</f>
        <v>0</v>
      </c>
      <c r="H1311" s="43">
        <f>MIN(TYPE(SEARCH($E$2,'Event summary'!C1311)),TYPE(SEARCH($E$2,'Event summary'!D1311)))</f>
        <v>16</v>
      </c>
      <c r="I1311" s="65" t="str">
        <f t="shared" si="21"/>
        <v/>
      </c>
      <c r="J1311" s="66" t="str">
        <f>IF($H1311=1,'Event summary'!C1311,"")</f>
        <v/>
      </c>
      <c r="K1311" s="66" t="str">
        <f>IF($H1311=1,'Event summary'!D1311,"")</f>
        <v/>
      </c>
    </row>
    <row r="1312" spans="7:11" x14ac:dyDescent="0.2">
      <c r="G1312" s="46">
        <f>'Event summary'!A1312</f>
        <v>0</v>
      </c>
      <c r="H1312" s="43">
        <f>MIN(TYPE(SEARCH($E$2,'Event summary'!C1312)),TYPE(SEARCH($E$2,'Event summary'!D1312)))</f>
        <v>16</v>
      </c>
      <c r="I1312" s="65" t="str">
        <f t="shared" si="21"/>
        <v/>
      </c>
      <c r="J1312" s="66" t="str">
        <f>IF($H1312=1,'Event summary'!C1312,"")</f>
        <v/>
      </c>
      <c r="K1312" s="66" t="str">
        <f>IF($H1312=1,'Event summary'!D1312,"")</f>
        <v/>
      </c>
    </row>
  </sheetData>
  <autoFilter ref="G1:J1312" xr:uid="{00000000-0009-0000-0000-000006000000}"/>
  <pageMargins left="0.7" right="0.7" top="0.75" bottom="0.75" header="0.3" footer="0.3"/>
  <pageSetup paperSize="9" scale="12"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N100"/>
  <sheetViews>
    <sheetView rightToLeft="1" topLeftCell="F1" zoomScaleNormal="100" workbookViewId="0">
      <pane ySplit="1" topLeftCell="A2" activePane="bottomLeft" state="frozen"/>
      <selection pane="bottomLeft" activeCell="G11" sqref="G11"/>
    </sheetView>
  </sheetViews>
  <sheetFormatPr defaultColWidth="9" defaultRowHeight="14.25" x14ac:dyDescent="0.2"/>
  <cols>
    <col min="1" max="1" width="32.125" style="35" bestFit="1" customWidth="1"/>
    <col min="2" max="2" width="31.5" style="46" customWidth="1"/>
    <col min="3" max="3" width="9" style="5"/>
    <col min="4" max="4" width="18" style="5" customWidth="1"/>
    <col min="5" max="5" width="0" style="5" hidden="1" customWidth="1"/>
    <col min="6" max="6" width="9" style="5"/>
    <col min="7" max="7" width="44.375" style="5" customWidth="1"/>
    <col min="8" max="8" width="33.625" style="5" customWidth="1"/>
    <col min="9" max="9" width="28.625" style="5" customWidth="1"/>
    <col min="10" max="10" width="20.75" style="5" customWidth="1"/>
    <col min="11" max="11" width="13.75" style="5" customWidth="1"/>
    <col min="12" max="12" width="13.375" style="5" customWidth="1"/>
    <col min="13" max="13" width="12.375" style="5" customWidth="1"/>
    <col min="14" max="14" width="15.375" style="5" customWidth="1"/>
    <col min="15" max="15" width="9" style="5"/>
    <col min="16" max="16" width="12.125" style="5" customWidth="1"/>
    <col min="17" max="170" width="9" style="5"/>
    <col min="171" max="16384" width="9" style="26"/>
  </cols>
  <sheetData>
    <row r="1" spans="1:170" ht="18.75" thickBot="1" x14ac:dyDescent="0.25">
      <c r="A1" s="53" t="s">
        <v>150</v>
      </c>
      <c r="C1" s="60" t="s">
        <v>250</v>
      </c>
      <c r="D1" s="59" t="s">
        <v>785</v>
      </c>
      <c r="G1" s="69" t="s">
        <v>816</v>
      </c>
      <c r="H1" s="70" t="s">
        <v>817</v>
      </c>
      <c r="I1" s="69" t="s">
        <v>841</v>
      </c>
    </row>
    <row r="2" spans="1:170" s="35" customFormat="1" ht="15" thickTop="1" x14ac:dyDescent="0.2">
      <c r="A2" s="35" t="s">
        <v>411</v>
      </c>
      <c r="B2" s="35" t="str">
        <f>IF(OR(ISBLANK($D$1),E2&lt;&gt;1),"",A2)</f>
        <v/>
      </c>
      <c r="C2" s="54"/>
      <c r="D2" s="54"/>
      <c r="E2" s="54">
        <f t="shared" ref="E2:E65" si="0">TYPE(SEARCH($D$1,A2))</f>
        <v>16</v>
      </c>
      <c r="F2" s="54"/>
      <c r="G2" s="68" t="s">
        <v>797</v>
      </c>
      <c r="H2" s="68" t="s">
        <v>818</v>
      </c>
      <c r="I2" s="68"/>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c r="FN2" s="54"/>
    </row>
    <row r="3" spans="1:170" s="35" customFormat="1" x14ac:dyDescent="0.2">
      <c r="A3" s="35" t="s">
        <v>412</v>
      </c>
      <c r="B3" s="35" t="str">
        <f t="shared" ref="B3:B66" si="1">IF(OR(ISBLANK($D$1),E3&lt;&gt;1),"",A3)</f>
        <v/>
      </c>
      <c r="C3" s="54"/>
      <c r="D3" s="54"/>
      <c r="E3" s="54">
        <f t="shared" si="0"/>
        <v>16</v>
      </c>
      <c r="F3" s="54"/>
      <c r="G3" s="35" t="s">
        <v>798</v>
      </c>
      <c r="H3" s="35" t="s">
        <v>819</v>
      </c>
      <c r="J3" s="54" t="s">
        <v>875</v>
      </c>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row>
    <row r="4" spans="1:170" s="35" customFormat="1" ht="28.5" x14ac:dyDescent="0.2">
      <c r="A4" s="36" t="s">
        <v>413</v>
      </c>
      <c r="B4" s="35" t="str">
        <f t="shared" si="1"/>
        <v/>
      </c>
      <c r="C4" s="54"/>
      <c r="D4" s="54"/>
      <c r="E4" s="54">
        <f t="shared" si="0"/>
        <v>16</v>
      </c>
      <c r="F4" s="54"/>
      <c r="G4" s="35" t="s">
        <v>799</v>
      </c>
      <c r="H4" s="35" t="s">
        <v>820</v>
      </c>
      <c r="I4" s="35" t="s">
        <v>844</v>
      </c>
      <c r="J4" s="54" t="s">
        <v>420</v>
      </c>
      <c r="K4" s="54" t="s">
        <v>876</v>
      </c>
      <c r="L4" s="67" t="s">
        <v>643</v>
      </c>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c r="FN4" s="54"/>
    </row>
    <row r="5" spans="1:170" s="35" customFormat="1" ht="28.5" x14ac:dyDescent="0.2">
      <c r="A5" s="35" t="s">
        <v>414</v>
      </c>
      <c r="B5" s="35" t="str">
        <f t="shared" si="1"/>
        <v/>
      </c>
      <c r="C5" s="54"/>
      <c r="D5" s="54"/>
      <c r="E5" s="54">
        <f t="shared" si="0"/>
        <v>16</v>
      </c>
      <c r="F5" s="54"/>
      <c r="G5" s="31" t="s">
        <v>800</v>
      </c>
      <c r="H5" s="31" t="s">
        <v>893</v>
      </c>
      <c r="I5" s="31" t="s">
        <v>850</v>
      </c>
      <c r="J5" s="54" t="s">
        <v>845</v>
      </c>
      <c r="K5" s="54" t="s">
        <v>846</v>
      </c>
      <c r="L5" s="67" t="s">
        <v>847</v>
      </c>
      <c r="M5" s="67" t="s">
        <v>848</v>
      </c>
      <c r="N5" s="67" t="s">
        <v>849</v>
      </c>
      <c r="O5" s="54" t="s">
        <v>444</v>
      </c>
      <c r="P5" s="67" t="s">
        <v>441</v>
      </c>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row>
    <row r="6" spans="1:170" s="35" customFormat="1" ht="28.5" x14ac:dyDescent="0.2">
      <c r="A6" s="36" t="s">
        <v>415</v>
      </c>
      <c r="B6" s="35" t="str">
        <f t="shared" si="1"/>
        <v/>
      </c>
      <c r="C6" s="54"/>
      <c r="D6" s="54"/>
      <c r="E6" s="54">
        <f t="shared" si="0"/>
        <v>16</v>
      </c>
      <c r="F6" s="54"/>
      <c r="G6" s="35" t="s">
        <v>801</v>
      </c>
      <c r="H6" s="35" t="s">
        <v>821</v>
      </c>
      <c r="I6" s="31" t="s">
        <v>854</v>
      </c>
      <c r="J6" s="54" t="s">
        <v>851</v>
      </c>
      <c r="K6" s="54" t="s">
        <v>853</v>
      </c>
      <c r="L6" s="67" t="s">
        <v>852</v>
      </c>
      <c r="M6" s="54" t="s">
        <v>886</v>
      </c>
      <c r="N6" s="54"/>
      <c r="O6" s="54"/>
      <c r="P6" s="54"/>
      <c r="Q6" s="54"/>
      <c r="R6" s="54"/>
      <c r="S6" s="54"/>
      <c r="T6" s="54"/>
      <c r="U6" s="54"/>
      <c r="V6" s="54"/>
      <c r="W6" s="54"/>
      <c r="X6" s="54"/>
      <c r="Y6" s="54"/>
      <c r="Z6" s="54"/>
      <c r="AA6" s="54"/>
      <c r="AB6" s="54"/>
      <c r="AC6" s="54"/>
      <c r="AD6" s="54"/>
      <c r="AE6" s="54"/>
      <c r="AF6" s="54"/>
      <c r="AG6" s="54"/>
      <c r="AH6" s="54"/>
      <c r="AI6" s="54"/>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c r="FN6" s="54"/>
    </row>
    <row r="7" spans="1:170" s="35" customFormat="1" x14ac:dyDescent="0.2">
      <c r="A7" s="36" t="s">
        <v>416</v>
      </c>
      <c r="B7" s="35" t="str">
        <f t="shared" si="1"/>
        <v>סריקה ארוכה</v>
      </c>
      <c r="C7" s="54"/>
      <c r="D7" s="54"/>
      <c r="E7" s="54">
        <f t="shared" si="0"/>
        <v>1</v>
      </c>
      <c r="F7" s="54"/>
      <c r="G7" s="35" t="s">
        <v>802</v>
      </c>
      <c r="H7" s="35" t="s">
        <v>822</v>
      </c>
      <c r="I7" s="35" t="s">
        <v>421</v>
      </c>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c r="FN7" s="54"/>
    </row>
    <row r="8" spans="1:170" s="35" customFormat="1" x14ac:dyDescent="0.2">
      <c r="A8" s="35" t="s">
        <v>451</v>
      </c>
      <c r="B8" s="35" t="str">
        <f t="shared" si="1"/>
        <v/>
      </c>
      <c r="C8" s="54"/>
      <c r="D8" s="54"/>
      <c r="E8" s="54">
        <f t="shared" si="0"/>
        <v>16</v>
      </c>
      <c r="F8" s="54"/>
      <c r="G8" s="35" t="s">
        <v>803</v>
      </c>
      <c r="H8" s="35" t="s">
        <v>823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c r="EA8" s="54"/>
      <c r="EB8" s="54"/>
      <c r="EC8" s="54"/>
      <c r="ED8" s="54"/>
      <c r="EE8" s="54"/>
      <c r="EF8" s="54"/>
      <c r="EG8" s="54"/>
      <c r="EH8" s="54"/>
      <c r="EI8" s="54"/>
      <c r="EJ8" s="54"/>
      <c r="EK8" s="54"/>
      <c r="EL8" s="54"/>
      <c r="EM8" s="54"/>
      <c r="EN8" s="54"/>
      <c r="EO8" s="54"/>
      <c r="EP8" s="54"/>
      <c r="EQ8" s="54"/>
      <c r="ER8" s="54"/>
      <c r="ES8" s="54"/>
      <c r="ET8" s="54"/>
      <c r="EU8" s="54"/>
      <c r="EV8" s="54"/>
      <c r="EW8" s="54"/>
      <c r="EX8" s="54"/>
      <c r="EY8" s="54"/>
      <c r="EZ8" s="54"/>
      <c r="FA8" s="54"/>
      <c r="FB8" s="54"/>
      <c r="FC8" s="54"/>
      <c r="FD8" s="54"/>
      <c r="FE8" s="54"/>
      <c r="FF8" s="54"/>
      <c r="FG8" s="54"/>
      <c r="FH8" s="54"/>
      <c r="FI8" s="54"/>
      <c r="FJ8" s="54"/>
      <c r="FK8" s="54"/>
      <c r="FL8" s="54"/>
      <c r="FM8" s="54"/>
      <c r="FN8" s="54"/>
    </row>
    <row r="9" spans="1:170" s="35" customFormat="1" ht="28.5" x14ac:dyDescent="0.2">
      <c r="A9" s="35" t="s">
        <v>182</v>
      </c>
      <c r="B9" s="35" t="str">
        <f t="shared" si="1"/>
        <v/>
      </c>
      <c r="C9" s="54"/>
      <c r="D9" s="54"/>
      <c r="E9" s="54">
        <f t="shared" si="0"/>
        <v>16</v>
      </c>
      <c r="F9" s="54"/>
      <c r="G9" s="31" t="s">
        <v>824</v>
      </c>
      <c r="H9" s="31" t="s">
        <v>825</v>
      </c>
      <c r="I9" s="35" t="s">
        <v>424</v>
      </c>
      <c r="J9" s="54" t="s">
        <v>872</v>
      </c>
      <c r="K9" s="54" t="s">
        <v>873</v>
      </c>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row>
    <row r="10" spans="1:170" s="35" customFormat="1" ht="33.75" customHeight="1" x14ac:dyDescent="0.2">
      <c r="A10" s="36" t="s">
        <v>452</v>
      </c>
      <c r="B10" s="35" t="str">
        <f t="shared" si="1"/>
        <v/>
      </c>
      <c r="C10" s="54"/>
      <c r="D10" s="54"/>
      <c r="E10" s="54">
        <f t="shared" si="0"/>
        <v>16</v>
      </c>
      <c r="F10" s="54"/>
      <c r="G10" s="35" t="s">
        <v>826</v>
      </c>
      <c r="H10" s="35" t="s">
        <v>827</v>
      </c>
      <c r="I10" s="31" t="s">
        <v>858</v>
      </c>
      <c r="J10" s="54" t="s">
        <v>855</v>
      </c>
      <c r="K10" s="67" t="s">
        <v>856</v>
      </c>
      <c r="L10" s="54" t="s">
        <v>857</v>
      </c>
      <c r="M10" s="54" t="s">
        <v>880</v>
      </c>
      <c r="N10" s="54" t="s">
        <v>882</v>
      </c>
      <c r="O10" s="67" t="s">
        <v>644</v>
      </c>
      <c r="P10" s="67" t="s">
        <v>883</v>
      </c>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4"/>
      <c r="EM10" s="54"/>
      <c r="EN10" s="54"/>
      <c r="EO10" s="54"/>
      <c r="EP10" s="54"/>
      <c r="EQ10" s="54"/>
      <c r="ER10" s="54"/>
      <c r="ES10" s="54"/>
      <c r="ET10" s="54"/>
      <c r="EU10" s="54"/>
      <c r="EV10" s="54"/>
      <c r="EW10" s="54"/>
      <c r="EX10" s="54"/>
      <c r="EY10" s="54"/>
      <c r="EZ10" s="54"/>
      <c r="FA10" s="54"/>
      <c r="FB10" s="54"/>
      <c r="FC10" s="54"/>
      <c r="FD10" s="54"/>
      <c r="FE10" s="54"/>
      <c r="FF10" s="54"/>
      <c r="FG10" s="54"/>
      <c r="FH10" s="54"/>
      <c r="FI10" s="54"/>
      <c r="FJ10" s="54"/>
      <c r="FK10" s="54"/>
      <c r="FL10" s="54"/>
      <c r="FM10" s="54"/>
      <c r="FN10" s="54"/>
    </row>
    <row r="11" spans="1:170" s="35" customFormat="1" ht="32.25" customHeight="1" x14ac:dyDescent="0.2">
      <c r="A11" s="36" t="s">
        <v>453</v>
      </c>
      <c r="B11" s="35" t="str">
        <f t="shared" si="1"/>
        <v/>
      </c>
      <c r="C11" s="54"/>
      <c r="D11" s="54"/>
      <c r="E11" s="54">
        <f t="shared" si="0"/>
        <v>16</v>
      </c>
      <c r="F11" s="54"/>
      <c r="G11" s="31" t="s">
        <v>804</v>
      </c>
      <c r="H11" s="31" t="s">
        <v>828</v>
      </c>
      <c r="I11" s="31" t="s">
        <v>884</v>
      </c>
      <c r="J11" s="54" t="s">
        <v>859</v>
      </c>
      <c r="K11" s="67" t="s">
        <v>860</v>
      </c>
      <c r="L11" s="67" t="s">
        <v>871</v>
      </c>
      <c r="M11" s="67" t="s">
        <v>874</v>
      </c>
      <c r="N11" s="54" t="s">
        <v>716</v>
      </c>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row>
    <row r="12" spans="1:170" s="35" customFormat="1" ht="28.5" x14ac:dyDescent="0.2">
      <c r="A12" s="36" t="s">
        <v>454</v>
      </c>
      <c r="B12" s="35" t="str">
        <f t="shared" si="1"/>
        <v/>
      </c>
      <c r="C12" s="54"/>
      <c r="D12" s="54"/>
      <c r="E12" s="54">
        <f t="shared" si="0"/>
        <v>16</v>
      </c>
      <c r="F12" s="54"/>
      <c r="G12" s="31" t="s">
        <v>805</v>
      </c>
      <c r="H12" s="31" t="s">
        <v>829</v>
      </c>
      <c r="I12" s="35" t="s">
        <v>750</v>
      </c>
      <c r="J12" s="54"/>
      <c r="K12" s="54"/>
      <c r="L12" s="54"/>
      <c r="M12" s="54"/>
      <c r="N12" s="54"/>
      <c r="O12" s="54"/>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c r="FN12" s="54"/>
    </row>
    <row r="13" spans="1:170" s="35" customFormat="1" x14ac:dyDescent="0.2">
      <c r="A13" s="36" t="s">
        <v>180</v>
      </c>
      <c r="B13" s="35" t="str">
        <f t="shared" si="1"/>
        <v/>
      </c>
      <c r="C13" s="54"/>
      <c r="D13" s="54"/>
      <c r="E13" s="54">
        <f t="shared" si="0"/>
        <v>16</v>
      </c>
      <c r="F13" s="54"/>
      <c r="G13" s="35" t="s">
        <v>806</v>
      </c>
      <c r="H13" s="35" t="s">
        <v>830</v>
      </c>
      <c r="J13" s="54"/>
      <c r="K13" s="54"/>
      <c r="L13" s="54"/>
      <c r="M13" s="54"/>
      <c r="N13" s="54"/>
      <c r="O13" s="54"/>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4"/>
      <c r="EM13" s="54"/>
      <c r="EN13" s="54"/>
      <c r="EO13" s="54"/>
      <c r="EP13" s="54"/>
      <c r="EQ13" s="54"/>
      <c r="ER13" s="54"/>
      <c r="ES13" s="54"/>
      <c r="ET13" s="54"/>
      <c r="EU13" s="54"/>
      <c r="EV13" s="54"/>
      <c r="EW13" s="54"/>
      <c r="EX13" s="54"/>
      <c r="EY13" s="54"/>
      <c r="EZ13" s="54"/>
      <c r="FA13" s="54"/>
      <c r="FB13" s="54"/>
      <c r="FC13" s="54"/>
      <c r="FD13" s="54"/>
      <c r="FE13" s="54"/>
      <c r="FF13" s="54"/>
      <c r="FG13" s="54"/>
      <c r="FH13" s="54"/>
      <c r="FI13" s="54"/>
      <c r="FJ13" s="54"/>
      <c r="FK13" s="54"/>
      <c r="FL13" s="54"/>
      <c r="FM13" s="54"/>
      <c r="FN13" s="54"/>
    </row>
    <row r="14" spans="1:170" s="35" customFormat="1" x14ac:dyDescent="0.2">
      <c r="A14" s="36" t="s">
        <v>455</v>
      </c>
      <c r="B14" s="35" t="str">
        <f t="shared" si="1"/>
        <v/>
      </c>
      <c r="C14" s="54"/>
      <c r="D14" s="54"/>
      <c r="E14" s="54">
        <f t="shared" si="0"/>
        <v>16</v>
      </c>
      <c r="F14" s="54"/>
      <c r="G14" s="35" t="s">
        <v>843</v>
      </c>
      <c r="H14" s="35" t="s">
        <v>831</v>
      </c>
      <c r="I14" s="35" t="s">
        <v>416</v>
      </c>
      <c r="J14" s="54" t="s">
        <v>429</v>
      </c>
      <c r="K14" s="54"/>
      <c r="L14" s="54"/>
      <c r="M14" s="54"/>
      <c r="N14" s="54"/>
      <c r="O14" s="54"/>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c r="CA14" s="54"/>
      <c r="CB14" s="54"/>
      <c r="CC14" s="54"/>
      <c r="CD14" s="54"/>
      <c r="CE14" s="54"/>
      <c r="CF14" s="54"/>
      <c r="CG14" s="54"/>
      <c r="CH14" s="54"/>
      <c r="CI14" s="54"/>
      <c r="CJ14" s="54"/>
      <c r="CK14" s="54"/>
      <c r="CL14" s="54"/>
      <c r="CM14" s="54"/>
      <c r="CN14" s="54"/>
      <c r="CO14" s="54"/>
      <c r="CP14" s="54"/>
      <c r="CQ14" s="54"/>
      <c r="CR14" s="54"/>
      <c r="CS14" s="54"/>
      <c r="CT14" s="54"/>
      <c r="CU14" s="54"/>
      <c r="CV14" s="54"/>
      <c r="CW14" s="54"/>
      <c r="CX14" s="54"/>
      <c r="CY14" s="54"/>
      <c r="CZ14" s="54"/>
      <c r="DA14" s="54"/>
      <c r="DB14" s="54"/>
      <c r="DC14" s="54"/>
      <c r="DD14" s="54"/>
      <c r="DE14" s="54"/>
      <c r="DF14" s="54"/>
      <c r="DG14" s="54"/>
      <c r="DH14" s="54"/>
      <c r="DI14" s="54"/>
      <c r="DJ14" s="54"/>
      <c r="DK14" s="54"/>
      <c r="DL14" s="54"/>
      <c r="DM14" s="54"/>
      <c r="DN14" s="54"/>
      <c r="DO14" s="54"/>
      <c r="DP14" s="54"/>
      <c r="DQ14" s="54"/>
      <c r="DR14" s="54"/>
      <c r="DS14" s="54"/>
      <c r="DT14" s="54"/>
      <c r="DU14" s="54"/>
      <c r="DV14" s="54"/>
      <c r="DW14" s="54"/>
      <c r="DX14" s="54"/>
      <c r="DY14" s="54"/>
      <c r="DZ14" s="54"/>
      <c r="EA14" s="54"/>
      <c r="EB14" s="54"/>
      <c r="EC14" s="54"/>
      <c r="ED14" s="54"/>
      <c r="EE14" s="54"/>
      <c r="EF14" s="54"/>
      <c r="EG14" s="54"/>
      <c r="EH14" s="54"/>
      <c r="EI14" s="54"/>
      <c r="EJ14" s="54"/>
      <c r="EK14" s="54"/>
      <c r="EL14" s="54"/>
      <c r="EM14" s="54"/>
      <c r="EN14" s="54"/>
      <c r="EO14" s="54"/>
      <c r="EP14" s="54"/>
      <c r="EQ14" s="54"/>
      <c r="ER14" s="54"/>
      <c r="ES14" s="54"/>
      <c r="ET14" s="54"/>
      <c r="EU14" s="54"/>
      <c r="EV14" s="54"/>
      <c r="EW14" s="54"/>
      <c r="EX14" s="54"/>
      <c r="EY14" s="54"/>
      <c r="EZ14" s="54"/>
      <c r="FA14" s="54"/>
      <c r="FB14" s="54"/>
      <c r="FC14" s="54"/>
      <c r="FD14" s="54"/>
      <c r="FE14" s="54"/>
      <c r="FF14" s="54"/>
      <c r="FG14" s="54"/>
      <c r="FH14" s="54"/>
      <c r="FI14" s="54"/>
      <c r="FJ14" s="54"/>
      <c r="FK14" s="54"/>
      <c r="FL14" s="54"/>
      <c r="FM14" s="54"/>
      <c r="FN14" s="54"/>
    </row>
    <row r="15" spans="1:170" s="35" customFormat="1" x14ac:dyDescent="0.2">
      <c r="A15" s="36" t="s">
        <v>456</v>
      </c>
      <c r="B15" s="35" t="str">
        <f t="shared" si="1"/>
        <v/>
      </c>
      <c r="C15" s="54"/>
      <c r="D15" s="54"/>
      <c r="E15" s="54">
        <f t="shared" si="0"/>
        <v>16</v>
      </c>
      <c r="F15" s="54"/>
      <c r="G15" s="35" t="s">
        <v>807</v>
      </c>
      <c r="H15" s="35" t="s">
        <v>832</v>
      </c>
      <c r="I15" s="35" t="s">
        <v>425</v>
      </c>
      <c r="J15" s="54"/>
      <c r="K15" s="54"/>
      <c r="L15" s="54"/>
      <c r="M15" s="54"/>
      <c r="N15" s="54"/>
      <c r="O15" s="54"/>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c r="CA15" s="54"/>
      <c r="CB15" s="54"/>
      <c r="CC15" s="54"/>
      <c r="CD15" s="54"/>
      <c r="CE15" s="54"/>
      <c r="CF15" s="54"/>
      <c r="CG15" s="54"/>
      <c r="CH15" s="54"/>
      <c r="CI15" s="54"/>
      <c r="CJ15" s="54"/>
      <c r="CK15" s="54"/>
      <c r="CL15" s="54"/>
      <c r="CM15" s="54"/>
      <c r="CN15" s="54"/>
      <c r="CO15" s="54"/>
      <c r="CP15" s="54"/>
      <c r="CQ15" s="54"/>
      <c r="CR15" s="54"/>
      <c r="CS15" s="54"/>
      <c r="CT15" s="54"/>
      <c r="CU15" s="54"/>
      <c r="CV15" s="54"/>
      <c r="CW15" s="54"/>
      <c r="CX15" s="54"/>
      <c r="CY15" s="54"/>
      <c r="CZ15" s="54"/>
      <c r="DA15" s="54"/>
      <c r="DB15" s="54"/>
      <c r="DC15" s="54"/>
      <c r="DD15" s="54"/>
      <c r="DE15" s="54"/>
      <c r="DF15" s="54"/>
      <c r="DG15" s="54"/>
      <c r="DH15" s="54"/>
      <c r="DI15" s="54"/>
      <c r="DJ15" s="54"/>
      <c r="DK15" s="54"/>
      <c r="DL15" s="54"/>
      <c r="DM15" s="54"/>
      <c r="DN15" s="54"/>
      <c r="DO15" s="54"/>
      <c r="DP15" s="54"/>
      <c r="DQ15" s="54"/>
      <c r="DR15" s="54"/>
      <c r="DS15" s="54"/>
      <c r="DT15" s="54"/>
      <c r="DU15" s="54"/>
      <c r="DV15" s="54"/>
      <c r="DW15" s="54"/>
      <c r="DX15" s="54"/>
      <c r="DY15" s="54"/>
      <c r="DZ15" s="54"/>
      <c r="EA15" s="54"/>
      <c r="EB15" s="54"/>
      <c r="EC15" s="54"/>
      <c r="ED15" s="54"/>
      <c r="EE15" s="54"/>
      <c r="EF15" s="54"/>
      <c r="EG15" s="54"/>
      <c r="EH15" s="54"/>
      <c r="EI15" s="54"/>
      <c r="EJ15" s="54"/>
      <c r="EK15" s="54"/>
      <c r="EL15" s="54"/>
      <c r="EM15" s="54"/>
      <c r="EN15" s="54"/>
      <c r="EO15" s="54"/>
      <c r="EP15" s="54"/>
      <c r="EQ15" s="54"/>
      <c r="ER15" s="54"/>
      <c r="ES15" s="54"/>
      <c r="ET15" s="54"/>
      <c r="EU15" s="54"/>
      <c r="EV15" s="54"/>
      <c r="EW15" s="54"/>
      <c r="EX15" s="54"/>
      <c r="EY15" s="54"/>
      <c r="EZ15" s="54"/>
      <c r="FA15" s="54"/>
      <c r="FB15" s="54"/>
      <c r="FC15" s="54"/>
      <c r="FD15" s="54"/>
      <c r="FE15" s="54"/>
      <c r="FF15" s="54"/>
      <c r="FG15" s="54"/>
      <c r="FH15" s="54"/>
      <c r="FI15" s="54"/>
      <c r="FJ15" s="54"/>
      <c r="FK15" s="54"/>
      <c r="FL15" s="54"/>
      <c r="FM15" s="54"/>
      <c r="FN15" s="54"/>
    </row>
    <row r="16" spans="1:170" s="35" customFormat="1" x14ac:dyDescent="0.2">
      <c r="A16" s="36" t="s">
        <v>457</v>
      </c>
      <c r="B16" s="35" t="str">
        <f t="shared" si="1"/>
        <v/>
      </c>
      <c r="C16" s="54"/>
      <c r="D16" s="54"/>
      <c r="E16" s="54">
        <f t="shared" si="0"/>
        <v>16</v>
      </c>
      <c r="F16" s="54"/>
      <c r="G16" s="35" t="s">
        <v>808</v>
      </c>
      <c r="H16" s="35" t="s">
        <v>833</v>
      </c>
      <c r="I16" s="35" t="s">
        <v>455</v>
      </c>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row>
    <row r="17" spans="1:170" s="35" customFormat="1" x14ac:dyDescent="0.2">
      <c r="A17" s="35" t="s">
        <v>157</v>
      </c>
      <c r="B17" s="35" t="str">
        <f t="shared" si="1"/>
        <v/>
      </c>
      <c r="C17" s="54"/>
      <c r="D17" s="54"/>
      <c r="E17" s="54">
        <f t="shared" si="0"/>
        <v>16</v>
      </c>
      <c r="F17" s="54"/>
      <c r="G17" s="35" t="s">
        <v>809</v>
      </c>
      <c r="H17" s="35" t="s">
        <v>834</v>
      </c>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C17" s="54"/>
      <c r="CD17" s="54"/>
      <c r="CE17" s="54"/>
      <c r="CF17" s="54"/>
      <c r="CG17" s="54"/>
      <c r="CH17" s="54"/>
      <c r="CI17" s="54"/>
      <c r="CJ17" s="54"/>
      <c r="CK17" s="54"/>
      <c r="CL17" s="54"/>
      <c r="CM17" s="54"/>
      <c r="CN17" s="54"/>
      <c r="CO17" s="54"/>
      <c r="CP17" s="54"/>
      <c r="CQ17" s="54"/>
      <c r="CR17" s="54"/>
      <c r="CS17" s="54"/>
      <c r="CT17" s="54"/>
      <c r="CU17" s="54"/>
      <c r="CV17" s="54"/>
      <c r="CW17" s="54"/>
      <c r="CX17" s="54"/>
      <c r="CY17" s="54"/>
      <c r="CZ17" s="54"/>
      <c r="DA17" s="54"/>
      <c r="DB17" s="54"/>
      <c r="DC17" s="54"/>
      <c r="DD17" s="54"/>
      <c r="DE17" s="54"/>
      <c r="DF17" s="54"/>
      <c r="DG17" s="54"/>
      <c r="DH17" s="54"/>
      <c r="DI17" s="54"/>
      <c r="DJ17" s="54"/>
      <c r="DK17" s="54"/>
      <c r="DL17" s="54"/>
      <c r="DM17" s="54"/>
      <c r="DN17" s="54"/>
      <c r="DO17" s="54"/>
      <c r="DP17" s="54"/>
      <c r="DQ17" s="54"/>
      <c r="DR17" s="54"/>
      <c r="DS17" s="54"/>
      <c r="DT17" s="54"/>
      <c r="DU17" s="54"/>
      <c r="DV17" s="54"/>
      <c r="DW17" s="54"/>
      <c r="DX17" s="54"/>
      <c r="DY17" s="54"/>
      <c r="DZ17" s="54"/>
      <c r="EA17" s="54"/>
      <c r="EB17" s="54"/>
      <c r="EC17" s="54"/>
      <c r="ED17" s="54"/>
      <c r="EE17" s="54"/>
      <c r="EF17" s="54"/>
      <c r="EG17" s="54"/>
      <c r="EH17" s="54"/>
      <c r="EI17" s="54"/>
      <c r="EJ17" s="54"/>
      <c r="EK17" s="54"/>
      <c r="EL17" s="54"/>
      <c r="EM17" s="54"/>
      <c r="EN17" s="54"/>
      <c r="EO17" s="54"/>
      <c r="EP17" s="54"/>
      <c r="EQ17" s="54"/>
      <c r="ER17" s="54"/>
      <c r="ES17" s="54"/>
      <c r="ET17" s="54"/>
      <c r="EU17" s="54"/>
      <c r="EV17" s="54"/>
      <c r="EW17" s="54"/>
      <c r="EX17" s="54"/>
      <c r="EY17" s="54"/>
      <c r="EZ17" s="54"/>
      <c r="FA17" s="54"/>
      <c r="FB17" s="54"/>
      <c r="FC17" s="54"/>
      <c r="FD17" s="54"/>
      <c r="FE17" s="54"/>
      <c r="FF17" s="54"/>
      <c r="FG17" s="54"/>
      <c r="FH17" s="54"/>
      <c r="FI17" s="54"/>
      <c r="FJ17" s="54"/>
      <c r="FK17" s="54"/>
      <c r="FL17" s="54"/>
      <c r="FM17" s="54"/>
      <c r="FN17" s="54"/>
    </row>
    <row r="18" spans="1:170" s="35" customFormat="1" ht="28.5" x14ac:dyDescent="0.2">
      <c r="A18" s="35" t="s">
        <v>425</v>
      </c>
      <c r="B18" s="35" t="str">
        <f t="shared" si="1"/>
        <v>סריקה לא תקינה</v>
      </c>
      <c r="C18" s="54"/>
      <c r="D18" s="54"/>
      <c r="E18" s="54">
        <f t="shared" si="0"/>
        <v>1</v>
      </c>
      <c r="F18" s="54"/>
      <c r="G18" s="31" t="s">
        <v>810</v>
      </c>
      <c r="H18" s="31" t="s">
        <v>835</v>
      </c>
      <c r="I18" s="31" t="s">
        <v>862</v>
      </c>
      <c r="J18" s="54" t="s">
        <v>861</v>
      </c>
      <c r="K18" s="54" t="s">
        <v>440</v>
      </c>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row>
    <row r="19" spans="1:170" s="35" customFormat="1" x14ac:dyDescent="0.2">
      <c r="A19" s="35" t="s">
        <v>155</v>
      </c>
      <c r="B19" s="35" t="str">
        <f t="shared" si="1"/>
        <v/>
      </c>
      <c r="C19" s="54"/>
      <c r="D19" s="54"/>
      <c r="E19" s="54">
        <f t="shared" si="0"/>
        <v>16</v>
      </c>
      <c r="F19" s="54"/>
      <c r="G19" s="35" t="s">
        <v>811</v>
      </c>
      <c r="H19" s="35" t="s">
        <v>836</v>
      </c>
      <c r="I19" s="35" t="s">
        <v>842</v>
      </c>
      <c r="J19" s="54" t="s">
        <v>881</v>
      </c>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row>
    <row r="20" spans="1:170" s="35" customFormat="1" x14ac:dyDescent="0.2">
      <c r="A20" s="36" t="s">
        <v>450</v>
      </c>
      <c r="B20" s="35" t="str">
        <f t="shared" si="1"/>
        <v/>
      </c>
      <c r="C20" s="54"/>
      <c r="D20" s="54"/>
      <c r="E20" s="54">
        <f t="shared" si="0"/>
        <v>16</v>
      </c>
      <c r="F20" s="54"/>
      <c r="G20" s="35" t="s">
        <v>812</v>
      </c>
      <c r="H20" s="35" t="s">
        <v>837</v>
      </c>
      <c r="I20" s="31" t="s">
        <v>864</v>
      </c>
      <c r="J20" s="54" t="s">
        <v>863</v>
      </c>
      <c r="K20" s="54" t="s">
        <v>865</v>
      </c>
      <c r="L20" s="54" t="s">
        <v>436</v>
      </c>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c r="CA20" s="54"/>
      <c r="CB20" s="54"/>
      <c r="CC20" s="54"/>
      <c r="CD20" s="54"/>
      <c r="CE20" s="54"/>
      <c r="CF20" s="54"/>
      <c r="CG20" s="54"/>
      <c r="CH20" s="54"/>
      <c r="CI20" s="54"/>
      <c r="CJ20" s="54"/>
      <c r="CK20" s="54"/>
      <c r="CL20" s="54"/>
      <c r="CM20" s="54"/>
      <c r="CN20" s="54"/>
      <c r="CO20" s="54"/>
      <c r="CP20" s="54"/>
      <c r="CQ20" s="54"/>
      <c r="CR20" s="54"/>
      <c r="CS20" s="54"/>
      <c r="CT20" s="54"/>
      <c r="CU20" s="54"/>
      <c r="CV20" s="54"/>
      <c r="CW20" s="54"/>
      <c r="CX20" s="54"/>
      <c r="CY20" s="54"/>
      <c r="CZ20" s="54"/>
      <c r="DA20" s="54"/>
      <c r="DB20" s="54"/>
      <c r="DC20" s="54"/>
      <c r="DD20" s="54"/>
      <c r="DE20" s="54"/>
      <c r="DF20" s="54"/>
      <c r="DG20" s="54"/>
      <c r="DH20" s="54"/>
      <c r="DI20" s="54"/>
      <c r="DJ20" s="54"/>
      <c r="DK20" s="54"/>
      <c r="DL20" s="54"/>
      <c r="DM20" s="54"/>
      <c r="DN20" s="54"/>
      <c r="DO20" s="54"/>
      <c r="DP20" s="54"/>
      <c r="DQ20" s="54"/>
      <c r="DR20" s="54"/>
      <c r="DS20" s="54"/>
      <c r="DT20" s="54"/>
      <c r="DU20" s="54"/>
      <c r="DV20" s="54"/>
      <c r="DW20" s="54"/>
      <c r="DX20" s="54"/>
      <c r="DY20" s="54"/>
      <c r="DZ20" s="54"/>
      <c r="EA20" s="54"/>
      <c r="EB20" s="54"/>
      <c r="EC20" s="54"/>
      <c r="ED20" s="54"/>
      <c r="EE20" s="54"/>
      <c r="EF20" s="54"/>
      <c r="EG20" s="54"/>
      <c r="EH20" s="54"/>
      <c r="EI20" s="54"/>
      <c r="EJ20" s="54"/>
      <c r="EK20" s="54"/>
      <c r="EL20" s="54"/>
      <c r="EM20" s="54"/>
      <c r="EN20" s="54"/>
      <c r="EO20" s="54"/>
      <c r="EP20" s="54"/>
      <c r="EQ20" s="54"/>
      <c r="ER20" s="54"/>
      <c r="ES20" s="54"/>
      <c r="ET20" s="54"/>
      <c r="EU20" s="54"/>
      <c r="EV20" s="54"/>
      <c r="EW20" s="54"/>
      <c r="EX20" s="54"/>
      <c r="EY20" s="54"/>
      <c r="EZ20" s="54"/>
      <c r="FA20" s="54"/>
      <c r="FB20" s="54"/>
      <c r="FC20" s="54"/>
      <c r="FD20" s="54"/>
      <c r="FE20" s="54"/>
      <c r="FF20" s="54"/>
      <c r="FG20" s="54"/>
      <c r="FH20" s="54"/>
      <c r="FI20" s="54"/>
      <c r="FJ20" s="54"/>
      <c r="FK20" s="54"/>
      <c r="FL20" s="54"/>
      <c r="FM20" s="54"/>
      <c r="FN20" s="54"/>
    </row>
    <row r="21" spans="1:170" s="35" customFormat="1" x14ac:dyDescent="0.2">
      <c r="A21" s="35" t="s">
        <v>154</v>
      </c>
      <c r="B21" s="35" t="str">
        <f t="shared" si="1"/>
        <v/>
      </c>
      <c r="C21" s="54"/>
      <c r="D21" s="54"/>
      <c r="E21" s="54">
        <f t="shared" si="0"/>
        <v>16</v>
      </c>
      <c r="F21" s="54"/>
      <c r="G21" s="35" t="s">
        <v>813</v>
      </c>
      <c r="H21" s="35" t="s">
        <v>838</v>
      </c>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row>
    <row r="22" spans="1:170" s="35" customFormat="1" ht="28.5" x14ac:dyDescent="0.2">
      <c r="A22" s="35" t="s">
        <v>449</v>
      </c>
      <c r="B22" s="35" t="str">
        <f t="shared" si="1"/>
        <v/>
      </c>
      <c r="C22" s="54"/>
      <c r="D22" s="54"/>
      <c r="E22" s="54">
        <f t="shared" si="0"/>
        <v>16</v>
      </c>
      <c r="F22" s="54"/>
      <c r="G22" s="35" t="s">
        <v>814</v>
      </c>
      <c r="H22" s="35" t="s">
        <v>839</v>
      </c>
      <c r="I22" s="31" t="s">
        <v>868</v>
      </c>
      <c r="J22" s="67" t="s">
        <v>866</v>
      </c>
      <c r="K22" s="67" t="s">
        <v>155</v>
      </c>
      <c r="L22" s="54" t="s">
        <v>867</v>
      </c>
      <c r="M22" s="67" t="s">
        <v>877</v>
      </c>
      <c r="N22" s="67" t="s">
        <v>878</v>
      </c>
      <c r="O22" s="54" t="s">
        <v>879</v>
      </c>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c r="CA22" s="54"/>
      <c r="CB22" s="54"/>
      <c r="CC22" s="54"/>
      <c r="CD22" s="54"/>
      <c r="CE22" s="54"/>
      <c r="CF22" s="54"/>
      <c r="CG22" s="54"/>
      <c r="CH22" s="54"/>
      <c r="CI22" s="54"/>
      <c r="CJ22" s="54"/>
      <c r="CK22" s="54"/>
      <c r="CL22" s="54"/>
      <c r="CM22" s="54"/>
      <c r="CN22" s="54"/>
      <c r="CO22" s="54"/>
      <c r="CP22" s="54"/>
      <c r="CQ22" s="54"/>
      <c r="CR22" s="54"/>
      <c r="CS22" s="54"/>
      <c r="CT22" s="54"/>
      <c r="CU22" s="54"/>
      <c r="CV22" s="54"/>
      <c r="CW22" s="54"/>
      <c r="CX22" s="54"/>
      <c r="CY22" s="54"/>
      <c r="CZ22" s="54"/>
      <c r="DA22" s="54"/>
      <c r="DB22" s="54"/>
      <c r="DC22" s="54"/>
      <c r="DD22" s="54"/>
      <c r="DE22" s="54"/>
      <c r="DF22" s="54"/>
      <c r="DG22" s="54"/>
      <c r="DH22" s="54"/>
      <c r="DI22" s="54"/>
      <c r="DJ22" s="54"/>
      <c r="DK22" s="54"/>
      <c r="DL22" s="54"/>
      <c r="DM22" s="54"/>
      <c r="DN22" s="54"/>
      <c r="DO22" s="54"/>
      <c r="DP22" s="54"/>
      <c r="DQ22" s="54"/>
      <c r="DR22" s="54"/>
      <c r="DS22" s="54"/>
      <c r="DT22" s="54"/>
      <c r="DU22" s="54"/>
      <c r="DV22" s="54"/>
      <c r="DW22" s="54"/>
      <c r="DX22" s="54"/>
      <c r="DY22" s="54"/>
      <c r="DZ22" s="54"/>
      <c r="EA22" s="54"/>
      <c r="EB22" s="54"/>
      <c r="EC22" s="54"/>
      <c r="ED22" s="54"/>
      <c r="EE22" s="54"/>
      <c r="EF22" s="54"/>
      <c r="EG22" s="54"/>
      <c r="EH22" s="54"/>
      <c r="EI22" s="54"/>
      <c r="EJ22" s="54"/>
      <c r="EK22" s="54"/>
      <c r="EL22" s="54"/>
      <c r="EM22" s="54"/>
      <c r="EN22" s="54"/>
      <c r="EO22" s="54"/>
      <c r="EP22" s="54"/>
      <c r="EQ22" s="54"/>
      <c r="ER22" s="54"/>
      <c r="ES22" s="54"/>
      <c r="ET22" s="54"/>
      <c r="EU22" s="54"/>
      <c r="EV22" s="54"/>
      <c r="EW22" s="54"/>
      <c r="EX22" s="54"/>
      <c r="EY22" s="54"/>
      <c r="EZ22" s="54"/>
      <c r="FA22" s="54"/>
      <c r="FB22" s="54"/>
      <c r="FC22" s="54"/>
      <c r="FD22" s="54"/>
      <c r="FE22" s="54"/>
      <c r="FF22" s="54"/>
      <c r="FG22" s="54"/>
      <c r="FH22" s="54"/>
      <c r="FI22" s="54"/>
      <c r="FJ22" s="54"/>
      <c r="FK22" s="54"/>
      <c r="FL22" s="54"/>
      <c r="FM22" s="54"/>
      <c r="FN22" s="54"/>
    </row>
    <row r="23" spans="1:170" s="35" customFormat="1" x14ac:dyDescent="0.2">
      <c r="A23" s="35" t="s">
        <v>417</v>
      </c>
      <c r="B23" s="35" t="str">
        <f t="shared" si="1"/>
        <v/>
      </c>
      <c r="C23" s="54"/>
      <c r="D23" s="54"/>
      <c r="E23" s="54">
        <f t="shared" si="0"/>
        <v>16</v>
      </c>
      <c r="F23" s="54"/>
      <c r="G23" s="35" t="s">
        <v>815</v>
      </c>
      <c r="H23" s="35" t="s">
        <v>840</v>
      </c>
      <c r="I23" s="35" t="s">
        <v>486</v>
      </c>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c r="EJ23" s="54"/>
      <c r="EK23" s="54"/>
      <c r="EL23" s="54"/>
      <c r="EM23" s="54"/>
      <c r="EN23" s="54"/>
      <c r="EO23" s="54"/>
      <c r="EP23" s="54"/>
      <c r="EQ23" s="54"/>
      <c r="ER23" s="54"/>
      <c r="ES23" s="54"/>
      <c r="ET23" s="54"/>
      <c r="EU23" s="54"/>
      <c r="EV23" s="54"/>
      <c r="EW23" s="54"/>
      <c r="EX23" s="54"/>
      <c r="EY23" s="54"/>
      <c r="EZ23" s="54"/>
      <c r="FA23" s="54"/>
      <c r="FB23" s="54"/>
      <c r="FC23" s="54"/>
      <c r="FD23" s="54"/>
      <c r="FE23" s="54"/>
      <c r="FF23" s="54"/>
      <c r="FG23" s="54"/>
      <c r="FH23" s="54"/>
      <c r="FI23" s="54"/>
      <c r="FJ23" s="54"/>
      <c r="FK23" s="54"/>
      <c r="FL23" s="54"/>
      <c r="FM23" s="54"/>
      <c r="FN23" s="54"/>
    </row>
    <row r="24" spans="1:170" s="35" customFormat="1" ht="28.5" x14ac:dyDescent="0.2">
      <c r="A24" s="35" t="s">
        <v>200</v>
      </c>
      <c r="B24" s="35" t="str">
        <f t="shared" si="1"/>
        <v/>
      </c>
      <c r="C24" s="54"/>
      <c r="D24" s="54"/>
      <c r="E24" s="54">
        <f t="shared" si="0"/>
        <v>16</v>
      </c>
      <c r="F24" s="54"/>
      <c r="G24" s="35" t="s">
        <v>73</v>
      </c>
      <c r="H24" s="35" t="s">
        <v>19</v>
      </c>
      <c r="I24" s="31" t="s">
        <v>870</v>
      </c>
      <c r="J24" s="67" t="s">
        <v>869</v>
      </c>
      <c r="K24" s="54" t="s">
        <v>422</v>
      </c>
      <c r="L24" s="54" t="s">
        <v>885</v>
      </c>
      <c r="M24" s="54" t="s">
        <v>887</v>
      </c>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c r="CA24" s="54"/>
      <c r="CB24" s="54"/>
      <c r="CC24" s="54"/>
      <c r="CD24" s="54"/>
      <c r="CE24" s="54"/>
      <c r="CF24" s="54"/>
      <c r="CG24" s="54"/>
      <c r="CH24" s="54"/>
      <c r="CI24" s="54"/>
      <c r="CJ24" s="54"/>
      <c r="CK24" s="54"/>
      <c r="CL24" s="54"/>
      <c r="CM24" s="54"/>
      <c r="CN24" s="54"/>
      <c r="CO24" s="54"/>
      <c r="CP24" s="54"/>
      <c r="CQ24" s="54"/>
      <c r="CR24" s="54"/>
      <c r="CS24" s="54"/>
      <c r="CT24" s="54"/>
      <c r="CU24" s="54"/>
      <c r="CV24" s="54"/>
      <c r="CW24" s="54"/>
      <c r="CX24" s="54"/>
      <c r="CY24" s="54"/>
      <c r="CZ24" s="54"/>
      <c r="DA24" s="54"/>
      <c r="DB24" s="54"/>
      <c r="DC24" s="54"/>
      <c r="DD24" s="54"/>
      <c r="DE24" s="54"/>
      <c r="DF24" s="54"/>
      <c r="DG24" s="54"/>
      <c r="DH24" s="54"/>
      <c r="DI24" s="54"/>
      <c r="DJ24" s="54"/>
      <c r="DK24" s="54"/>
      <c r="DL24" s="54"/>
      <c r="DM24" s="54"/>
      <c r="DN24" s="54"/>
      <c r="DO24" s="54"/>
      <c r="DP24" s="54"/>
      <c r="DQ24" s="54"/>
      <c r="DR24" s="54"/>
      <c r="DS24" s="54"/>
      <c r="DT24" s="54"/>
      <c r="DU24" s="54"/>
      <c r="DV24" s="54"/>
      <c r="DW24" s="54"/>
      <c r="DX24" s="54"/>
      <c r="DY24" s="54"/>
      <c r="DZ24" s="54"/>
      <c r="EA24" s="54"/>
      <c r="EB24" s="54"/>
      <c r="EC24" s="54"/>
      <c r="ED24" s="54"/>
      <c r="EE24" s="54"/>
      <c r="EF24" s="54"/>
      <c r="EG24" s="54"/>
      <c r="EH24" s="54"/>
      <c r="EI24" s="54"/>
      <c r="EJ24" s="54"/>
      <c r="EK24" s="54"/>
      <c r="EL24" s="54"/>
      <c r="EM24" s="54"/>
      <c r="EN24" s="54"/>
      <c r="EO24" s="54"/>
      <c r="EP24" s="54"/>
      <c r="EQ24" s="54"/>
      <c r="ER24" s="54"/>
      <c r="ES24" s="54"/>
      <c r="ET24" s="54"/>
      <c r="EU24" s="54"/>
      <c r="EV24" s="54"/>
      <c r="EW24" s="54"/>
      <c r="EX24" s="54"/>
      <c r="EY24" s="54"/>
      <c r="EZ24" s="54"/>
      <c r="FA24" s="54"/>
      <c r="FB24" s="54"/>
      <c r="FC24" s="54"/>
      <c r="FD24" s="54"/>
      <c r="FE24" s="54"/>
      <c r="FF24" s="54"/>
      <c r="FG24" s="54"/>
      <c r="FH24" s="54"/>
      <c r="FI24" s="54"/>
      <c r="FJ24" s="54"/>
      <c r="FK24" s="54"/>
      <c r="FL24" s="54"/>
      <c r="FM24" s="54"/>
      <c r="FN24" s="54"/>
    </row>
    <row r="25" spans="1:170" s="35" customFormat="1" x14ac:dyDescent="0.2">
      <c r="A25" s="36" t="s">
        <v>418</v>
      </c>
      <c r="B25" s="35" t="str">
        <f t="shared" si="1"/>
        <v/>
      </c>
      <c r="C25" s="54"/>
      <c r="D25" s="54"/>
      <c r="E25" s="54">
        <f t="shared" si="0"/>
        <v>16</v>
      </c>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row>
    <row r="26" spans="1:170" s="35" customFormat="1" x14ac:dyDescent="0.2">
      <c r="A26" s="36" t="s">
        <v>420</v>
      </c>
      <c r="B26" s="35" t="str">
        <f t="shared" si="1"/>
        <v/>
      </c>
      <c r="C26" s="54"/>
      <c r="D26" s="54"/>
      <c r="E26" s="54">
        <f t="shared" si="0"/>
        <v>16</v>
      </c>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c r="CA26" s="54"/>
      <c r="CB26" s="54"/>
      <c r="CC26" s="54"/>
      <c r="CD26" s="54"/>
      <c r="CE26" s="54"/>
      <c r="CF26" s="54"/>
      <c r="CG26" s="54"/>
      <c r="CH26" s="54"/>
      <c r="CI26" s="54"/>
      <c r="CJ26" s="54"/>
      <c r="CK26" s="54"/>
      <c r="CL26" s="54"/>
      <c r="CM26" s="54"/>
      <c r="CN26" s="54"/>
      <c r="CO26" s="54"/>
      <c r="CP26" s="54"/>
      <c r="CQ26" s="54"/>
      <c r="CR26" s="54"/>
      <c r="CS26" s="54"/>
      <c r="CT26" s="54"/>
      <c r="CU26" s="54"/>
      <c r="CV26" s="54"/>
      <c r="CW26" s="54"/>
      <c r="CX26" s="54"/>
      <c r="CY26" s="54"/>
      <c r="CZ26" s="54"/>
      <c r="DA26" s="54"/>
      <c r="DB26" s="54"/>
      <c r="DC26" s="54"/>
      <c r="DD26" s="54"/>
      <c r="DE26" s="54"/>
      <c r="DF26" s="54"/>
      <c r="DG26" s="54"/>
      <c r="DH26" s="54"/>
      <c r="DI26" s="54"/>
      <c r="DJ26" s="54"/>
      <c r="DK26" s="54"/>
      <c r="DL26" s="54"/>
      <c r="DM26" s="54"/>
      <c r="DN26" s="54"/>
      <c r="DO26" s="54"/>
      <c r="DP26" s="54"/>
      <c r="DQ26" s="54"/>
      <c r="DR26" s="54"/>
      <c r="DS26" s="54"/>
      <c r="DT26" s="54"/>
      <c r="DU26" s="54"/>
      <c r="DV26" s="54"/>
      <c r="DW26" s="54"/>
      <c r="DX26" s="54"/>
      <c r="DY26" s="54"/>
      <c r="DZ26" s="54"/>
      <c r="EA26" s="54"/>
      <c r="EB26" s="54"/>
      <c r="EC26" s="54"/>
      <c r="ED26" s="54"/>
      <c r="EE26" s="54"/>
      <c r="EF26" s="54"/>
      <c r="EG26" s="54"/>
      <c r="EH26" s="54"/>
      <c r="EI26" s="54"/>
      <c r="EJ26" s="54"/>
      <c r="EK26" s="54"/>
      <c r="EL26" s="54"/>
      <c r="EM26" s="54"/>
      <c r="EN26" s="54"/>
      <c r="EO26" s="54"/>
      <c r="EP26" s="54"/>
      <c r="EQ26" s="54"/>
      <c r="ER26" s="54"/>
      <c r="ES26" s="54"/>
      <c r="ET26" s="54"/>
      <c r="EU26" s="54"/>
      <c r="EV26" s="54"/>
      <c r="EW26" s="54"/>
      <c r="EX26" s="54"/>
      <c r="EY26" s="54"/>
      <c r="EZ26" s="54"/>
      <c r="FA26" s="54"/>
      <c r="FB26" s="54"/>
      <c r="FC26" s="54"/>
      <c r="FD26" s="54"/>
      <c r="FE26" s="54"/>
      <c r="FF26" s="54"/>
      <c r="FG26" s="54"/>
      <c r="FH26" s="54"/>
      <c r="FI26" s="54"/>
      <c r="FJ26" s="54"/>
      <c r="FK26" s="54"/>
      <c r="FL26" s="54"/>
      <c r="FM26" s="54"/>
      <c r="FN26" s="54"/>
    </row>
    <row r="27" spans="1:170" x14ac:dyDescent="0.2">
      <c r="A27" s="36" t="s">
        <v>419</v>
      </c>
      <c r="B27" s="35" t="str">
        <f t="shared" si="1"/>
        <v/>
      </c>
      <c r="E27" s="54">
        <f t="shared" si="0"/>
        <v>16</v>
      </c>
    </row>
    <row r="28" spans="1:170" x14ac:dyDescent="0.2">
      <c r="A28" s="35" t="s">
        <v>448</v>
      </c>
      <c r="B28" s="35" t="str">
        <f t="shared" si="1"/>
        <v/>
      </c>
      <c r="E28" s="54">
        <f t="shared" si="0"/>
        <v>16</v>
      </c>
    </row>
    <row r="29" spans="1:170" x14ac:dyDescent="0.2">
      <c r="A29" s="36" t="s">
        <v>433</v>
      </c>
      <c r="B29" s="35" t="str">
        <f t="shared" si="1"/>
        <v/>
      </c>
      <c r="E29" s="54">
        <f t="shared" si="0"/>
        <v>16</v>
      </c>
    </row>
    <row r="30" spans="1:170" x14ac:dyDescent="0.2">
      <c r="A30" s="36" t="s">
        <v>447</v>
      </c>
      <c r="B30" s="35" t="str">
        <f t="shared" si="1"/>
        <v/>
      </c>
      <c r="E30" s="54">
        <f t="shared" si="0"/>
        <v>16</v>
      </c>
    </row>
    <row r="31" spans="1:170" x14ac:dyDescent="0.2">
      <c r="A31" s="36" t="s">
        <v>446</v>
      </c>
      <c r="B31" s="35" t="str">
        <f t="shared" si="1"/>
        <v/>
      </c>
      <c r="E31" s="54">
        <f t="shared" si="0"/>
        <v>16</v>
      </c>
    </row>
    <row r="32" spans="1:170" x14ac:dyDescent="0.2">
      <c r="A32" s="36" t="s">
        <v>212</v>
      </c>
      <c r="B32" s="35" t="str">
        <f t="shared" si="1"/>
        <v/>
      </c>
      <c r="E32" s="54">
        <f t="shared" si="0"/>
        <v>16</v>
      </c>
    </row>
    <row r="33" spans="1:5" x14ac:dyDescent="0.2">
      <c r="A33" s="36" t="s">
        <v>445</v>
      </c>
      <c r="B33" s="35" t="str">
        <f t="shared" si="1"/>
        <v/>
      </c>
      <c r="E33" s="54">
        <f t="shared" si="0"/>
        <v>16</v>
      </c>
    </row>
    <row r="34" spans="1:5" x14ac:dyDescent="0.2">
      <c r="A34" s="36" t="s">
        <v>423</v>
      </c>
      <c r="B34" s="35" t="str">
        <f t="shared" si="1"/>
        <v/>
      </c>
      <c r="E34" s="54">
        <f t="shared" si="0"/>
        <v>16</v>
      </c>
    </row>
    <row r="35" spans="1:5" x14ac:dyDescent="0.2">
      <c r="A35" s="36" t="s">
        <v>440</v>
      </c>
      <c r="B35" s="35" t="str">
        <f t="shared" si="1"/>
        <v/>
      </c>
      <c r="E35" s="54">
        <f t="shared" si="0"/>
        <v>16</v>
      </c>
    </row>
    <row r="36" spans="1:5" x14ac:dyDescent="0.2">
      <c r="A36" s="36" t="s">
        <v>444</v>
      </c>
      <c r="B36" s="35" t="str">
        <f t="shared" si="1"/>
        <v/>
      </c>
      <c r="E36" s="54">
        <f t="shared" si="0"/>
        <v>16</v>
      </c>
    </row>
    <row r="37" spans="1:5" x14ac:dyDescent="0.2">
      <c r="A37" s="37" t="s">
        <v>443</v>
      </c>
      <c r="B37" s="35" t="str">
        <f t="shared" si="1"/>
        <v/>
      </c>
      <c r="E37" s="54">
        <f t="shared" si="0"/>
        <v>16</v>
      </c>
    </row>
    <row r="38" spans="1:5" x14ac:dyDescent="0.2">
      <c r="A38" s="36" t="s">
        <v>442</v>
      </c>
      <c r="B38" s="35" t="str">
        <f t="shared" si="1"/>
        <v/>
      </c>
      <c r="E38" s="54">
        <f t="shared" si="0"/>
        <v>16</v>
      </c>
    </row>
    <row r="39" spans="1:5" x14ac:dyDescent="0.2">
      <c r="A39" s="36" t="s">
        <v>441</v>
      </c>
      <c r="B39" s="35" t="str">
        <f t="shared" si="1"/>
        <v/>
      </c>
      <c r="E39" s="54">
        <f t="shared" si="0"/>
        <v>16</v>
      </c>
    </row>
    <row r="40" spans="1:5" x14ac:dyDescent="0.2">
      <c r="A40" s="36" t="s">
        <v>439</v>
      </c>
      <c r="B40" s="35" t="str">
        <f t="shared" si="1"/>
        <v/>
      </c>
      <c r="E40" s="54">
        <f t="shared" si="0"/>
        <v>16</v>
      </c>
    </row>
    <row r="41" spans="1:5" x14ac:dyDescent="0.2">
      <c r="A41" s="36" t="s">
        <v>438</v>
      </c>
      <c r="B41" s="35" t="str">
        <f t="shared" si="1"/>
        <v/>
      </c>
      <c r="E41" s="54">
        <f t="shared" si="0"/>
        <v>16</v>
      </c>
    </row>
    <row r="42" spans="1:5" x14ac:dyDescent="0.2">
      <c r="A42" s="38" t="s">
        <v>432</v>
      </c>
      <c r="B42" s="35" t="str">
        <f t="shared" si="1"/>
        <v/>
      </c>
      <c r="E42" s="54">
        <f t="shared" si="0"/>
        <v>16</v>
      </c>
    </row>
    <row r="43" spans="1:5" x14ac:dyDescent="0.2">
      <c r="A43" s="36" t="s">
        <v>430</v>
      </c>
      <c r="B43" s="35" t="str">
        <f t="shared" si="1"/>
        <v/>
      </c>
      <c r="E43" s="54">
        <f t="shared" si="0"/>
        <v>16</v>
      </c>
    </row>
    <row r="44" spans="1:5" x14ac:dyDescent="0.2">
      <c r="A44" s="38" t="s">
        <v>437</v>
      </c>
      <c r="B44" s="35" t="str">
        <f t="shared" si="1"/>
        <v/>
      </c>
      <c r="E44" s="54">
        <f t="shared" si="0"/>
        <v>16</v>
      </c>
    </row>
    <row r="45" spans="1:5" x14ac:dyDescent="0.2">
      <c r="A45" s="35" t="s">
        <v>431</v>
      </c>
      <c r="B45" s="35" t="str">
        <f t="shared" si="1"/>
        <v/>
      </c>
      <c r="E45" s="54">
        <f t="shared" si="0"/>
        <v>16</v>
      </c>
    </row>
    <row r="46" spans="1:5" x14ac:dyDescent="0.2">
      <c r="A46" s="35" t="s">
        <v>436</v>
      </c>
      <c r="B46" s="35" t="str">
        <f t="shared" si="1"/>
        <v/>
      </c>
      <c r="E46" s="54">
        <f t="shared" si="0"/>
        <v>16</v>
      </c>
    </row>
    <row r="47" spans="1:5" x14ac:dyDescent="0.2">
      <c r="A47" s="31" t="s">
        <v>422</v>
      </c>
      <c r="B47" s="35" t="str">
        <f t="shared" si="1"/>
        <v/>
      </c>
      <c r="E47" s="54">
        <f t="shared" si="0"/>
        <v>16</v>
      </c>
    </row>
    <row r="48" spans="1:5" x14ac:dyDescent="0.2">
      <c r="A48" s="31" t="s">
        <v>429</v>
      </c>
      <c r="B48" s="35" t="str">
        <f t="shared" si="1"/>
        <v>סריקה חוזרת</v>
      </c>
      <c r="E48" s="54">
        <f t="shared" si="0"/>
        <v>1</v>
      </c>
    </row>
    <row r="49" spans="1:170" x14ac:dyDescent="0.2">
      <c r="A49" s="31" t="s">
        <v>428</v>
      </c>
      <c r="B49" s="35" t="str">
        <f t="shared" si="1"/>
        <v/>
      </c>
      <c r="E49" s="54">
        <f t="shared" si="0"/>
        <v>16</v>
      </c>
    </row>
    <row r="50" spans="1:170" x14ac:dyDescent="0.2">
      <c r="A50" s="35" t="s">
        <v>427</v>
      </c>
      <c r="B50" s="35" t="str">
        <f t="shared" si="1"/>
        <v/>
      </c>
      <c r="E50" s="54">
        <f t="shared" si="0"/>
        <v>16</v>
      </c>
    </row>
    <row r="51" spans="1:170" x14ac:dyDescent="0.2">
      <c r="A51" s="35" t="s">
        <v>426</v>
      </c>
      <c r="B51" s="35" t="str">
        <f t="shared" si="1"/>
        <v/>
      </c>
      <c r="E51" s="54">
        <f t="shared" si="0"/>
        <v>16</v>
      </c>
    </row>
    <row r="52" spans="1:170" x14ac:dyDescent="0.2">
      <c r="A52" s="35" t="s">
        <v>421</v>
      </c>
      <c r="B52" s="35" t="str">
        <f t="shared" si="1"/>
        <v/>
      </c>
      <c r="E52" s="54">
        <f t="shared" si="0"/>
        <v>16</v>
      </c>
    </row>
    <row r="53" spans="1:170" s="35" customFormat="1" x14ac:dyDescent="0.2">
      <c r="A53" s="35" t="s">
        <v>424</v>
      </c>
      <c r="B53" s="35" t="str">
        <f t="shared" si="1"/>
        <v/>
      </c>
      <c r="C53" s="54"/>
      <c r="D53" s="54"/>
      <c r="E53" s="54">
        <f t="shared" si="0"/>
        <v>16</v>
      </c>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c r="EJ53" s="54"/>
      <c r="EK53" s="54"/>
      <c r="EL53" s="54"/>
      <c r="EM53" s="54"/>
      <c r="EN53" s="54"/>
      <c r="EO53" s="54"/>
      <c r="EP53" s="54"/>
      <c r="EQ53" s="54"/>
      <c r="ER53" s="54"/>
      <c r="ES53" s="54"/>
      <c r="ET53" s="54"/>
      <c r="EU53" s="54"/>
      <c r="EV53" s="54"/>
      <c r="EW53" s="54"/>
      <c r="EX53" s="54"/>
      <c r="EY53" s="54"/>
      <c r="EZ53" s="54"/>
      <c r="FA53" s="54"/>
      <c r="FB53" s="54"/>
      <c r="FC53" s="54"/>
      <c r="FD53" s="54"/>
      <c r="FE53" s="54"/>
      <c r="FF53" s="54"/>
      <c r="FG53" s="54"/>
      <c r="FH53" s="54"/>
      <c r="FI53" s="54"/>
      <c r="FJ53" s="54"/>
      <c r="FK53" s="54"/>
      <c r="FL53" s="54"/>
      <c r="FM53" s="54"/>
      <c r="FN53" s="54"/>
    </row>
    <row r="54" spans="1:170" x14ac:dyDescent="0.2">
      <c r="A54" s="35" t="s">
        <v>483</v>
      </c>
      <c r="B54" s="35" t="str">
        <f t="shared" si="1"/>
        <v/>
      </c>
      <c r="E54" s="54">
        <f t="shared" si="0"/>
        <v>16</v>
      </c>
    </row>
    <row r="55" spans="1:170" x14ac:dyDescent="0.2">
      <c r="A55" s="35" t="s">
        <v>486</v>
      </c>
      <c r="B55" s="35" t="str">
        <f t="shared" si="1"/>
        <v/>
      </c>
      <c r="E55" s="54">
        <f t="shared" si="0"/>
        <v>16</v>
      </c>
    </row>
    <row r="56" spans="1:170" x14ac:dyDescent="0.2">
      <c r="A56" s="35" t="s">
        <v>601</v>
      </c>
      <c r="B56" s="35" t="str">
        <f t="shared" si="1"/>
        <v/>
      </c>
      <c r="E56" s="54">
        <f t="shared" si="0"/>
        <v>16</v>
      </c>
    </row>
    <row r="57" spans="1:170" x14ac:dyDescent="0.2">
      <c r="A57" s="35" t="s">
        <v>643</v>
      </c>
      <c r="B57" s="35" t="str">
        <f t="shared" si="1"/>
        <v/>
      </c>
      <c r="E57" s="54">
        <f t="shared" si="0"/>
        <v>16</v>
      </c>
    </row>
    <row r="58" spans="1:170" x14ac:dyDescent="0.2">
      <c r="A58" s="35" t="s">
        <v>644</v>
      </c>
      <c r="B58" s="35" t="str">
        <f t="shared" si="1"/>
        <v/>
      </c>
      <c r="E58" s="54">
        <f t="shared" si="0"/>
        <v>16</v>
      </c>
    </row>
    <row r="59" spans="1:170" x14ac:dyDescent="0.2">
      <c r="A59" s="35" t="s">
        <v>690</v>
      </c>
      <c r="B59" s="35" t="str">
        <f t="shared" si="1"/>
        <v/>
      </c>
      <c r="E59" s="54">
        <f t="shared" si="0"/>
        <v>16</v>
      </c>
    </row>
    <row r="60" spans="1:170" x14ac:dyDescent="0.2">
      <c r="A60" s="35" t="s">
        <v>702</v>
      </c>
      <c r="B60" s="35" t="str">
        <f t="shared" si="1"/>
        <v/>
      </c>
      <c r="E60" s="54">
        <f t="shared" si="0"/>
        <v>16</v>
      </c>
    </row>
    <row r="61" spans="1:170" x14ac:dyDescent="0.2">
      <c r="A61" s="35" t="s">
        <v>704</v>
      </c>
      <c r="B61" s="35" t="str">
        <f t="shared" si="1"/>
        <v/>
      </c>
      <c r="E61" s="54">
        <f t="shared" si="0"/>
        <v>16</v>
      </c>
    </row>
    <row r="62" spans="1:170" x14ac:dyDescent="0.2">
      <c r="A62" s="35" t="s">
        <v>716</v>
      </c>
      <c r="B62" s="35" t="str">
        <f t="shared" si="1"/>
        <v/>
      </c>
      <c r="E62" s="54">
        <f t="shared" si="0"/>
        <v>16</v>
      </c>
    </row>
    <row r="63" spans="1:170" x14ac:dyDescent="0.2">
      <c r="A63" s="35" t="s">
        <v>750</v>
      </c>
      <c r="B63" s="35" t="str">
        <f t="shared" si="1"/>
        <v/>
      </c>
      <c r="E63" s="54">
        <f t="shared" si="0"/>
        <v>16</v>
      </c>
    </row>
    <row r="64" spans="1:170" x14ac:dyDescent="0.2">
      <c r="A64" s="35" t="s">
        <v>758</v>
      </c>
      <c r="B64" s="35" t="str">
        <f t="shared" si="1"/>
        <v/>
      </c>
      <c r="E64" s="54">
        <f t="shared" si="0"/>
        <v>16</v>
      </c>
    </row>
    <row r="65" spans="2:5" x14ac:dyDescent="0.2">
      <c r="B65" s="35" t="str">
        <f t="shared" si="1"/>
        <v/>
      </c>
      <c r="E65" s="54">
        <f t="shared" si="0"/>
        <v>16</v>
      </c>
    </row>
    <row r="66" spans="2:5" x14ac:dyDescent="0.2">
      <c r="B66" s="35" t="str">
        <f t="shared" si="1"/>
        <v/>
      </c>
      <c r="E66" s="54">
        <f t="shared" ref="E66:E100" si="2">TYPE(SEARCH($D$1,A66))</f>
        <v>16</v>
      </c>
    </row>
    <row r="67" spans="2:5" x14ac:dyDescent="0.2">
      <c r="B67" s="35" t="str">
        <f t="shared" ref="B67:B100" si="3">IF(OR(ISBLANK($D$1),E67&lt;&gt;1),"",A67)</f>
        <v/>
      </c>
      <c r="E67" s="54">
        <f t="shared" si="2"/>
        <v>16</v>
      </c>
    </row>
    <row r="68" spans="2:5" x14ac:dyDescent="0.2">
      <c r="B68" s="35" t="str">
        <f t="shared" si="3"/>
        <v/>
      </c>
      <c r="E68" s="54">
        <f t="shared" si="2"/>
        <v>16</v>
      </c>
    </row>
    <row r="69" spans="2:5" x14ac:dyDescent="0.2">
      <c r="B69" s="35" t="str">
        <f t="shared" si="3"/>
        <v/>
      </c>
      <c r="E69" s="54">
        <f t="shared" si="2"/>
        <v>16</v>
      </c>
    </row>
    <row r="70" spans="2:5" x14ac:dyDescent="0.2">
      <c r="B70" s="35" t="str">
        <f t="shared" si="3"/>
        <v/>
      </c>
      <c r="E70" s="54">
        <f t="shared" si="2"/>
        <v>16</v>
      </c>
    </row>
    <row r="71" spans="2:5" x14ac:dyDescent="0.2">
      <c r="B71" s="35" t="str">
        <f t="shared" si="3"/>
        <v/>
      </c>
      <c r="E71" s="54">
        <f t="shared" si="2"/>
        <v>16</v>
      </c>
    </row>
    <row r="72" spans="2:5" x14ac:dyDescent="0.2">
      <c r="B72" s="35" t="str">
        <f t="shared" si="3"/>
        <v/>
      </c>
      <c r="E72" s="54">
        <f t="shared" si="2"/>
        <v>16</v>
      </c>
    </row>
    <row r="73" spans="2:5" x14ac:dyDescent="0.2">
      <c r="B73" s="35" t="str">
        <f t="shared" si="3"/>
        <v/>
      </c>
      <c r="E73" s="54">
        <f t="shared" si="2"/>
        <v>16</v>
      </c>
    </row>
    <row r="74" spans="2:5" x14ac:dyDescent="0.2">
      <c r="B74" s="35" t="str">
        <f t="shared" si="3"/>
        <v/>
      </c>
      <c r="E74" s="54">
        <f t="shared" si="2"/>
        <v>16</v>
      </c>
    </row>
    <row r="75" spans="2:5" x14ac:dyDescent="0.2">
      <c r="B75" s="35" t="str">
        <f t="shared" si="3"/>
        <v/>
      </c>
      <c r="E75" s="54">
        <f t="shared" si="2"/>
        <v>16</v>
      </c>
    </row>
    <row r="76" spans="2:5" x14ac:dyDescent="0.2">
      <c r="B76" s="35" t="str">
        <f t="shared" si="3"/>
        <v/>
      </c>
      <c r="E76" s="54">
        <f t="shared" si="2"/>
        <v>16</v>
      </c>
    </row>
    <row r="77" spans="2:5" x14ac:dyDescent="0.2">
      <c r="B77" s="35" t="str">
        <f t="shared" si="3"/>
        <v/>
      </c>
      <c r="E77" s="54">
        <f t="shared" si="2"/>
        <v>16</v>
      </c>
    </row>
    <row r="78" spans="2:5" x14ac:dyDescent="0.2">
      <c r="B78" s="35" t="str">
        <f t="shared" si="3"/>
        <v/>
      </c>
      <c r="E78" s="54">
        <f t="shared" si="2"/>
        <v>16</v>
      </c>
    </row>
    <row r="79" spans="2:5" x14ac:dyDescent="0.2">
      <c r="B79" s="35" t="str">
        <f t="shared" si="3"/>
        <v/>
      </c>
      <c r="E79" s="54">
        <f t="shared" si="2"/>
        <v>16</v>
      </c>
    </row>
    <row r="80" spans="2:5" x14ac:dyDescent="0.2">
      <c r="B80" s="35" t="str">
        <f t="shared" si="3"/>
        <v/>
      </c>
      <c r="E80" s="54">
        <f t="shared" si="2"/>
        <v>16</v>
      </c>
    </row>
    <row r="81" spans="2:5" x14ac:dyDescent="0.2">
      <c r="B81" s="35" t="str">
        <f t="shared" si="3"/>
        <v/>
      </c>
      <c r="E81" s="54">
        <f t="shared" si="2"/>
        <v>16</v>
      </c>
    </row>
    <row r="82" spans="2:5" x14ac:dyDescent="0.2">
      <c r="B82" s="35" t="str">
        <f t="shared" si="3"/>
        <v/>
      </c>
      <c r="E82" s="54">
        <f t="shared" si="2"/>
        <v>16</v>
      </c>
    </row>
    <row r="83" spans="2:5" x14ac:dyDescent="0.2">
      <c r="B83" s="35" t="str">
        <f t="shared" si="3"/>
        <v/>
      </c>
      <c r="E83" s="54">
        <f t="shared" si="2"/>
        <v>16</v>
      </c>
    </row>
    <row r="84" spans="2:5" x14ac:dyDescent="0.2">
      <c r="B84" s="35" t="str">
        <f t="shared" si="3"/>
        <v/>
      </c>
      <c r="E84" s="54">
        <f t="shared" si="2"/>
        <v>16</v>
      </c>
    </row>
    <row r="85" spans="2:5" x14ac:dyDescent="0.2">
      <c r="B85" s="35" t="str">
        <f t="shared" si="3"/>
        <v/>
      </c>
      <c r="E85" s="54">
        <f t="shared" si="2"/>
        <v>16</v>
      </c>
    </row>
    <row r="86" spans="2:5" x14ac:dyDescent="0.2">
      <c r="B86" s="35" t="str">
        <f t="shared" si="3"/>
        <v/>
      </c>
      <c r="E86" s="54">
        <f t="shared" si="2"/>
        <v>16</v>
      </c>
    </row>
    <row r="87" spans="2:5" x14ac:dyDescent="0.2">
      <c r="B87" s="35" t="str">
        <f t="shared" si="3"/>
        <v/>
      </c>
      <c r="E87" s="54">
        <f t="shared" si="2"/>
        <v>16</v>
      </c>
    </row>
    <row r="88" spans="2:5" x14ac:dyDescent="0.2">
      <c r="B88" s="35" t="str">
        <f t="shared" si="3"/>
        <v/>
      </c>
      <c r="E88" s="54">
        <f t="shared" si="2"/>
        <v>16</v>
      </c>
    </row>
    <row r="89" spans="2:5" x14ac:dyDescent="0.2">
      <c r="B89" s="35" t="str">
        <f t="shared" si="3"/>
        <v/>
      </c>
      <c r="E89" s="54">
        <f t="shared" si="2"/>
        <v>16</v>
      </c>
    </row>
    <row r="90" spans="2:5" x14ac:dyDescent="0.2">
      <c r="B90" s="35" t="str">
        <f t="shared" si="3"/>
        <v/>
      </c>
      <c r="E90" s="54">
        <f t="shared" si="2"/>
        <v>16</v>
      </c>
    </row>
    <row r="91" spans="2:5" x14ac:dyDescent="0.2">
      <c r="B91" s="35" t="str">
        <f t="shared" si="3"/>
        <v/>
      </c>
      <c r="E91" s="54">
        <f t="shared" si="2"/>
        <v>16</v>
      </c>
    </row>
    <row r="92" spans="2:5" x14ac:dyDescent="0.2">
      <c r="B92" s="35" t="str">
        <f t="shared" si="3"/>
        <v/>
      </c>
      <c r="E92" s="54">
        <f t="shared" si="2"/>
        <v>16</v>
      </c>
    </row>
    <row r="93" spans="2:5" x14ac:dyDescent="0.2">
      <c r="B93" s="35" t="str">
        <f t="shared" si="3"/>
        <v/>
      </c>
      <c r="E93" s="54">
        <f t="shared" si="2"/>
        <v>16</v>
      </c>
    </row>
    <row r="94" spans="2:5" x14ac:dyDescent="0.2">
      <c r="B94" s="35" t="str">
        <f t="shared" si="3"/>
        <v/>
      </c>
      <c r="E94" s="54">
        <f t="shared" si="2"/>
        <v>16</v>
      </c>
    </row>
    <row r="95" spans="2:5" x14ac:dyDescent="0.2">
      <c r="B95" s="35" t="str">
        <f t="shared" si="3"/>
        <v/>
      </c>
      <c r="E95" s="54">
        <f t="shared" si="2"/>
        <v>16</v>
      </c>
    </row>
    <row r="96" spans="2:5" x14ac:dyDescent="0.2">
      <c r="B96" s="35" t="str">
        <f t="shared" si="3"/>
        <v/>
      </c>
      <c r="E96" s="54">
        <f t="shared" si="2"/>
        <v>16</v>
      </c>
    </row>
    <row r="97" spans="2:5" x14ac:dyDescent="0.2">
      <c r="B97" s="35" t="str">
        <f t="shared" si="3"/>
        <v/>
      </c>
      <c r="E97" s="54">
        <f t="shared" si="2"/>
        <v>16</v>
      </c>
    </row>
    <row r="98" spans="2:5" x14ac:dyDescent="0.2">
      <c r="B98" s="35" t="str">
        <f t="shared" si="3"/>
        <v/>
      </c>
      <c r="E98" s="54">
        <f t="shared" si="2"/>
        <v>16</v>
      </c>
    </row>
    <row r="99" spans="2:5" x14ac:dyDescent="0.2">
      <c r="B99" s="35" t="str">
        <f t="shared" si="3"/>
        <v/>
      </c>
      <c r="E99" s="54">
        <f t="shared" si="2"/>
        <v>16</v>
      </c>
    </row>
    <row r="100" spans="2:5" x14ac:dyDescent="0.2">
      <c r="B100" s="35" t="str">
        <f t="shared" si="3"/>
        <v/>
      </c>
      <c r="E100" s="54">
        <f t="shared" si="2"/>
        <v>16</v>
      </c>
    </row>
  </sheetData>
  <autoFilter ref="A1:A53" xr:uid="{00000000-0009-0000-0000-000007000000}"/>
  <pageMargins left="0.25" right="0.25" top="0.75" bottom="0.75" header="0.3" footer="0.3"/>
  <pageSetup paperSize="9" scale="3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J1183"/>
  <sheetViews>
    <sheetView rightToLeft="1" zoomScaleNormal="100" workbookViewId="0">
      <pane ySplit="1" topLeftCell="A765" activePane="bottomLeft" state="frozen"/>
      <selection pane="bottomLeft" activeCell="G668" sqref="G668:H674"/>
    </sheetView>
  </sheetViews>
  <sheetFormatPr defaultColWidth="9" defaultRowHeight="15" x14ac:dyDescent="0.2"/>
  <cols>
    <col min="1" max="1" width="12.375" style="114" customWidth="1"/>
    <col min="2" max="2" width="6.25" style="115" bestFit="1" customWidth="1"/>
    <col min="3" max="3" width="13.375" style="115" customWidth="1"/>
    <col min="4" max="4" width="45.25" style="116" customWidth="1"/>
    <col min="5" max="5" width="49.125" style="116" customWidth="1"/>
    <col min="6" max="6" width="10.875" style="118" customWidth="1"/>
    <col min="7" max="7" width="23.375" style="57" customWidth="1"/>
    <col min="8" max="9" width="11.25" style="57" customWidth="1"/>
    <col min="10" max="10" width="14.75" style="120" customWidth="1"/>
    <col min="11" max="16384" width="9" style="109"/>
  </cols>
  <sheetData>
    <row r="1" spans="1:10" ht="45" x14ac:dyDescent="0.25">
      <c r="A1" s="110" t="s">
        <v>1</v>
      </c>
      <c r="B1" s="111" t="s">
        <v>965</v>
      </c>
      <c r="C1" s="110" t="s">
        <v>1266</v>
      </c>
      <c r="D1" s="112" t="s">
        <v>150</v>
      </c>
      <c r="E1" s="112" t="s">
        <v>214</v>
      </c>
      <c r="F1" s="113" t="s">
        <v>570</v>
      </c>
      <c r="G1" s="72" t="s">
        <v>916</v>
      </c>
      <c r="H1" s="72" t="s">
        <v>917</v>
      </c>
      <c r="I1" s="72" t="s">
        <v>1059</v>
      </c>
      <c r="J1" s="119" t="s">
        <v>918</v>
      </c>
    </row>
    <row r="2" spans="1:10" x14ac:dyDescent="0.2">
      <c r="A2" s="114" t="e">
        <f>IF(ISBLANK('Event summary'!#REF!),"",'Event summary'!#REF!)</f>
        <v>#REF!</v>
      </c>
      <c r="B2" s="115">
        <f>IF(ISBLANK('Event summary'!A2),"",'Event summary'!A2)</f>
        <v>1</v>
      </c>
      <c r="C2" s="115" t="str">
        <f>IF(ISBLANK('Event summary'!B2),"",'Event summary'!B2)</f>
        <v/>
      </c>
      <c r="D2" s="116" t="str">
        <f>IF(ISBLANK('Event summary'!C2),"",'Event summary'!C2)</f>
        <v/>
      </c>
      <c r="E2" s="116" t="str">
        <f>IF(ISBLANK('Event summary'!D2),"",'Event summary'!D2)</f>
        <v/>
      </c>
      <c r="F2" s="117" t="str">
        <f>IF(ISBLANK('Event summary'!E2),"",'Event summary'!E2)</f>
        <v/>
      </c>
    </row>
    <row r="3" spans="1:10" x14ac:dyDescent="0.2">
      <c r="A3" s="114" t="e">
        <f>IF(ISBLANK('Event summary'!#REF!),"",'Event summary'!#REF!)</f>
        <v>#REF!</v>
      </c>
      <c r="B3" s="115">
        <f>IF(ISBLANK('Event summary'!A3),"",'Event summary'!A3)</f>
        <v>2</v>
      </c>
      <c r="C3" s="115" t="str">
        <f>IF(ISBLANK('Event summary'!B3),"",'Event summary'!B3)</f>
        <v/>
      </c>
      <c r="D3" s="116" t="str">
        <f>IF(ISBLANK('Event summary'!C3),"",'Event summary'!C3)</f>
        <v/>
      </c>
      <c r="E3" s="116" t="str">
        <f>IF(ISBLANK('Event summary'!D3),"",'Event summary'!D3)</f>
        <v/>
      </c>
      <c r="F3" s="117" t="str">
        <f>IF(ISBLANK('Event summary'!E3),"",'Event summary'!E3)</f>
        <v/>
      </c>
    </row>
    <row r="4" spans="1:10" x14ac:dyDescent="0.2">
      <c r="A4" s="114" t="e">
        <f>IF(ISBLANK('Event summary'!#REF!),"",'Event summary'!#REF!)</f>
        <v>#REF!</v>
      </c>
      <c r="B4" s="115">
        <f>IF(ISBLANK('Event summary'!A4),"",'Event summary'!A4)</f>
        <v>3</v>
      </c>
      <c r="C4" s="115" t="str">
        <f>IF(ISBLANK('Event summary'!B4),"",'Event summary'!B4)</f>
        <v/>
      </c>
      <c r="D4" s="116" t="str">
        <f>IF(ISBLANK('Event summary'!C4),"",'Event summary'!C4)</f>
        <v/>
      </c>
      <c r="E4" s="116" t="str">
        <f>IF(ISBLANK('Event summary'!D4),"",'Event summary'!D4)</f>
        <v/>
      </c>
      <c r="F4" s="117" t="str">
        <f>IF(ISBLANK('Event summary'!E4),"",'Event summary'!E4)</f>
        <v/>
      </c>
    </row>
    <row r="5" spans="1:10" x14ac:dyDescent="0.2">
      <c r="A5" s="114" t="e">
        <f>IF(ISBLANK('Event summary'!#REF!),"",'Event summary'!#REF!)</f>
        <v>#REF!</v>
      </c>
      <c r="B5" s="115">
        <f>IF(ISBLANK('Event summary'!A5),"",'Event summary'!A5)</f>
        <v>4</v>
      </c>
      <c r="C5" s="115" t="str">
        <f>IF(ISBLANK('Event summary'!B5),"",'Event summary'!B5)</f>
        <v/>
      </c>
      <c r="D5" s="116" t="str">
        <f>IF(ISBLANK('Event summary'!C5),"",'Event summary'!C5)</f>
        <v/>
      </c>
      <c r="E5" s="116" t="str">
        <f>IF(ISBLANK('Event summary'!D5),"",'Event summary'!D5)</f>
        <v/>
      </c>
      <c r="F5" s="117" t="str">
        <f>IF(ISBLANK('Event summary'!E5),"",'Event summary'!E5)</f>
        <v/>
      </c>
    </row>
    <row r="6" spans="1:10" x14ac:dyDescent="0.2">
      <c r="A6" s="114" t="e">
        <f>IF(ISBLANK('Event summary'!#REF!),"",'Event summary'!#REF!)</f>
        <v>#REF!</v>
      </c>
      <c r="B6" s="115">
        <f>IF(ISBLANK('Event summary'!A6),"",'Event summary'!A6)</f>
        <v>5</v>
      </c>
      <c r="C6" s="115" t="str">
        <f>IF(ISBLANK('Event summary'!B6),"",'Event summary'!B6)</f>
        <v/>
      </c>
      <c r="D6" s="116" t="str">
        <f>IF(ISBLANK('Event summary'!C6),"",'Event summary'!C6)</f>
        <v/>
      </c>
      <c r="E6" s="116" t="str">
        <f>IF(ISBLANK('Event summary'!D6),"",'Event summary'!D6)</f>
        <v/>
      </c>
      <c r="F6" s="117" t="str">
        <f>IF(ISBLANK('Event summary'!E6),"",'Event summary'!E6)</f>
        <v/>
      </c>
    </row>
    <row r="7" spans="1:10" x14ac:dyDescent="0.2">
      <c r="A7" s="114" t="e">
        <f>IF(ISBLANK('Event summary'!#REF!),"",'Event summary'!#REF!)</f>
        <v>#REF!</v>
      </c>
      <c r="B7" s="115">
        <f>IF(ISBLANK('Event summary'!A7),"",'Event summary'!A7)</f>
        <v>6</v>
      </c>
      <c r="C7" s="115" t="str">
        <f>IF(ISBLANK('Event summary'!B7),"",'Event summary'!B7)</f>
        <v/>
      </c>
      <c r="D7" s="116" t="str">
        <f>IF(ISBLANK('Event summary'!C7),"",'Event summary'!C7)</f>
        <v/>
      </c>
      <c r="E7" s="116" t="str">
        <f>IF(ISBLANK('Event summary'!D7),"",'Event summary'!D7)</f>
        <v/>
      </c>
      <c r="F7" s="117" t="str">
        <f>IF(ISBLANK('Event summary'!E7),"",'Event summary'!E7)</f>
        <v/>
      </c>
    </row>
    <row r="8" spans="1:10" x14ac:dyDescent="0.2">
      <c r="A8" s="114" t="e">
        <f>IF(ISBLANK('Event summary'!#REF!),"",'Event summary'!#REF!)</f>
        <v>#REF!</v>
      </c>
      <c r="B8" s="115">
        <f>IF(ISBLANK('Event summary'!A8),"",'Event summary'!A8)</f>
        <v>7</v>
      </c>
      <c r="C8" s="115" t="str">
        <f>IF(ISBLANK('Event summary'!B8),"",'Event summary'!B8)</f>
        <v/>
      </c>
      <c r="D8" s="116" t="str">
        <f>IF(ISBLANK('Event summary'!C8),"",'Event summary'!C8)</f>
        <v/>
      </c>
      <c r="E8" s="116" t="str">
        <f>IF(ISBLANK('Event summary'!D8),"",'Event summary'!D8)</f>
        <v/>
      </c>
      <c r="F8" s="117" t="str">
        <f>IF(ISBLANK('Event summary'!E8),"",'Event summary'!E8)</f>
        <v/>
      </c>
    </row>
    <row r="9" spans="1:10" x14ac:dyDescent="0.2">
      <c r="A9" s="114" t="e">
        <f>IF(ISBLANK('Event summary'!#REF!),"",'Event summary'!#REF!)</f>
        <v>#REF!</v>
      </c>
      <c r="B9" s="115">
        <f>IF(ISBLANK('Event summary'!A9),"",'Event summary'!A9)</f>
        <v>8</v>
      </c>
      <c r="C9" s="115" t="str">
        <f>IF(ISBLANK('Event summary'!B9),"",'Event summary'!B9)</f>
        <v/>
      </c>
      <c r="D9" s="116" t="str">
        <f>IF(ISBLANK('Event summary'!C9),"",'Event summary'!C9)</f>
        <v/>
      </c>
      <c r="E9" s="116" t="str">
        <f>IF(ISBLANK('Event summary'!D9),"",'Event summary'!D9)</f>
        <v/>
      </c>
      <c r="F9" s="117" t="str">
        <f>IF(ISBLANK('Event summary'!E9),"",'Event summary'!E9)</f>
        <v/>
      </c>
    </row>
    <row r="10" spans="1:10" x14ac:dyDescent="0.2">
      <c r="A10" s="114" t="e">
        <f>IF(ISBLANK('Event summary'!#REF!),"",'Event summary'!#REF!)</f>
        <v>#REF!</v>
      </c>
      <c r="B10" s="115">
        <f>IF(ISBLANK('Event summary'!A10),"",'Event summary'!A10)</f>
        <v>9</v>
      </c>
      <c r="C10" s="115" t="str">
        <f>IF(ISBLANK('Event summary'!B10),"",'Event summary'!B10)</f>
        <v/>
      </c>
      <c r="D10" s="116" t="str">
        <f>IF(ISBLANK('Event summary'!C10),"",'Event summary'!C10)</f>
        <v/>
      </c>
      <c r="E10" s="116" t="str">
        <f>IF(ISBLANK('Event summary'!D10),"",'Event summary'!D10)</f>
        <v/>
      </c>
      <c r="F10" s="117" t="str">
        <f>IF(ISBLANK('Event summary'!E10),"",'Event summary'!E10)</f>
        <v/>
      </c>
    </row>
    <row r="11" spans="1:10" x14ac:dyDescent="0.2">
      <c r="A11" s="114" t="e">
        <f>IF(ISBLANK('Event summary'!#REF!),"",'Event summary'!#REF!)</f>
        <v>#REF!</v>
      </c>
      <c r="B11" s="115">
        <f>IF(ISBLANK('Event summary'!A11),"",'Event summary'!A11)</f>
        <v>10</v>
      </c>
      <c r="C11" s="115" t="str">
        <f>IF(ISBLANK('Event summary'!B11),"",'Event summary'!B11)</f>
        <v/>
      </c>
      <c r="D11" s="116" t="str">
        <f>IF(ISBLANK('Event summary'!C11),"",'Event summary'!C11)</f>
        <v/>
      </c>
      <c r="E11" s="116" t="str">
        <f>IF(ISBLANK('Event summary'!D11),"",'Event summary'!D11)</f>
        <v/>
      </c>
      <c r="F11" s="117" t="str">
        <f>IF(ISBLANK('Event summary'!E11),"",'Event summary'!E11)</f>
        <v/>
      </c>
    </row>
    <row r="12" spans="1:10" x14ac:dyDescent="0.2">
      <c r="A12" s="114" t="e">
        <f>IF(ISBLANK('Event summary'!#REF!),"",'Event summary'!#REF!)</f>
        <v>#REF!</v>
      </c>
      <c r="B12" s="115">
        <f>IF(ISBLANK('Event summary'!A12),"",'Event summary'!A12)</f>
        <v>11</v>
      </c>
      <c r="C12" s="115" t="str">
        <f>IF(ISBLANK('Event summary'!B12),"",'Event summary'!B12)</f>
        <v/>
      </c>
      <c r="D12" s="116" t="str">
        <f>IF(ISBLANK('Event summary'!C12),"",'Event summary'!C12)</f>
        <v/>
      </c>
      <c r="E12" s="116" t="str">
        <f>IF(ISBLANK('Event summary'!D12),"",'Event summary'!D12)</f>
        <v/>
      </c>
      <c r="F12" s="117" t="str">
        <f>IF(ISBLANK('Event summary'!E12),"",'Event summary'!E12)</f>
        <v/>
      </c>
    </row>
    <row r="13" spans="1:10" x14ac:dyDescent="0.2">
      <c r="A13" s="114" t="e">
        <f>IF(ISBLANK('Event summary'!#REF!),"",'Event summary'!#REF!)</f>
        <v>#REF!</v>
      </c>
      <c r="B13" s="115">
        <f>IF(ISBLANK('Event summary'!A13),"",'Event summary'!A13)</f>
        <v>12</v>
      </c>
      <c r="C13" s="115" t="str">
        <f>IF(ISBLANK('Event summary'!B13),"",'Event summary'!B13)</f>
        <v/>
      </c>
      <c r="D13" s="116" t="str">
        <f>IF(ISBLANK('Event summary'!C13),"",'Event summary'!C13)</f>
        <v/>
      </c>
      <c r="E13" s="116" t="str">
        <f>IF(ISBLANK('Event summary'!D13),"",'Event summary'!D13)</f>
        <v/>
      </c>
      <c r="F13" s="117" t="str">
        <f>IF(ISBLANK('Event summary'!E13),"",'Event summary'!E13)</f>
        <v/>
      </c>
    </row>
    <row r="14" spans="1:10" x14ac:dyDescent="0.2">
      <c r="A14" s="114" t="e">
        <f>IF(ISBLANK('Event summary'!#REF!),"",'Event summary'!#REF!)</f>
        <v>#REF!</v>
      </c>
      <c r="B14" s="115">
        <f>IF(ISBLANK('Event summary'!A14),"",'Event summary'!A14)</f>
        <v>13</v>
      </c>
      <c r="C14" s="115" t="str">
        <f>IF(ISBLANK('Event summary'!B14),"",'Event summary'!B14)</f>
        <v/>
      </c>
      <c r="D14" s="116" t="str">
        <f>IF(ISBLANK('Event summary'!C14),"",'Event summary'!C14)</f>
        <v/>
      </c>
      <c r="E14" s="116" t="str">
        <f>IF(ISBLANK('Event summary'!D14),"",'Event summary'!D14)</f>
        <v/>
      </c>
      <c r="F14" s="117" t="str">
        <f>IF(ISBLANK('Event summary'!E14),"",'Event summary'!E14)</f>
        <v/>
      </c>
    </row>
    <row r="15" spans="1:10" x14ac:dyDescent="0.2">
      <c r="A15" s="114" t="e">
        <f>IF(ISBLANK('Event summary'!#REF!),"",'Event summary'!#REF!)</f>
        <v>#REF!</v>
      </c>
      <c r="B15" s="115">
        <f>IF(ISBLANK('Event summary'!A15),"",'Event summary'!A15)</f>
        <v>14</v>
      </c>
      <c r="C15" s="115" t="str">
        <f>IF(ISBLANK('Event summary'!B15),"",'Event summary'!B15)</f>
        <v/>
      </c>
      <c r="D15" s="116" t="str">
        <f>IF(ISBLANK('Event summary'!C15),"",'Event summary'!C15)</f>
        <v/>
      </c>
      <c r="E15" s="116" t="str">
        <f>IF(ISBLANK('Event summary'!D15),"",'Event summary'!D15)</f>
        <v/>
      </c>
      <c r="F15" s="117" t="str">
        <f>IF(ISBLANK('Event summary'!E15),"",'Event summary'!E15)</f>
        <v/>
      </c>
    </row>
    <row r="16" spans="1:10" x14ac:dyDescent="0.2">
      <c r="A16" s="114" t="e">
        <f>IF(ISBLANK('Event summary'!#REF!),"",'Event summary'!#REF!)</f>
        <v>#REF!</v>
      </c>
      <c r="B16" s="115">
        <f>IF(ISBLANK('Event summary'!A16),"",'Event summary'!A16)</f>
        <v>15</v>
      </c>
      <c r="C16" s="115" t="str">
        <f>IF(ISBLANK('Event summary'!B16),"",'Event summary'!B16)</f>
        <v/>
      </c>
      <c r="D16" s="116" t="str">
        <f>IF(ISBLANK('Event summary'!C16),"",'Event summary'!C16)</f>
        <v/>
      </c>
      <c r="E16" s="116" t="str">
        <f>IF(ISBLANK('Event summary'!D16),"",'Event summary'!D16)</f>
        <v/>
      </c>
      <c r="F16" s="117" t="str">
        <f>IF(ISBLANK('Event summary'!E16),"",'Event summary'!E16)</f>
        <v/>
      </c>
    </row>
    <row r="17" spans="1:6" x14ac:dyDescent="0.2">
      <c r="A17" s="114" t="e">
        <f>IF(ISBLANK('Event summary'!#REF!),"",'Event summary'!#REF!)</f>
        <v>#REF!</v>
      </c>
      <c r="B17" s="115">
        <f>IF(ISBLANK('Event summary'!A17),"",'Event summary'!A17)</f>
        <v>16</v>
      </c>
      <c r="C17" s="115" t="str">
        <f>IF(ISBLANK('Event summary'!B17),"",'Event summary'!B17)</f>
        <v/>
      </c>
      <c r="D17" s="116" t="str">
        <f>IF(ISBLANK('Event summary'!C17),"",'Event summary'!C17)</f>
        <v/>
      </c>
      <c r="E17" s="116" t="str">
        <f>IF(ISBLANK('Event summary'!D17),"",'Event summary'!D17)</f>
        <v/>
      </c>
      <c r="F17" s="117" t="str">
        <f>IF(ISBLANK('Event summary'!E17),"",'Event summary'!E17)</f>
        <v/>
      </c>
    </row>
    <row r="18" spans="1:6" x14ac:dyDescent="0.2">
      <c r="A18" s="114" t="e">
        <f>IF(ISBLANK('Event summary'!#REF!),"",'Event summary'!#REF!)</f>
        <v>#REF!</v>
      </c>
      <c r="B18" s="115">
        <f>IF(ISBLANK('Event summary'!A18),"",'Event summary'!A18)</f>
        <v>17</v>
      </c>
      <c r="C18" s="115" t="str">
        <f>IF(ISBLANK('Event summary'!B18),"",'Event summary'!B18)</f>
        <v/>
      </c>
      <c r="D18" s="116" t="str">
        <f>IF(ISBLANK('Event summary'!C18),"",'Event summary'!C18)</f>
        <v/>
      </c>
      <c r="E18" s="116" t="str">
        <f>IF(ISBLANK('Event summary'!D18),"",'Event summary'!D18)</f>
        <v/>
      </c>
      <c r="F18" s="117" t="str">
        <f>IF(ISBLANK('Event summary'!E18),"",'Event summary'!E18)</f>
        <v/>
      </c>
    </row>
    <row r="19" spans="1:6" x14ac:dyDescent="0.2">
      <c r="A19" s="114" t="e">
        <f>IF(ISBLANK('Event summary'!#REF!),"",'Event summary'!#REF!)</f>
        <v>#REF!</v>
      </c>
      <c r="B19" s="115">
        <f>IF(ISBLANK('Event summary'!A19),"",'Event summary'!A19)</f>
        <v>18</v>
      </c>
      <c r="C19" s="115" t="str">
        <f>IF(ISBLANK('Event summary'!B19),"",'Event summary'!B19)</f>
        <v/>
      </c>
      <c r="D19" s="116" t="str">
        <f>IF(ISBLANK('Event summary'!C19),"",'Event summary'!C19)</f>
        <v/>
      </c>
      <c r="E19" s="116" t="str">
        <f>IF(ISBLANK('Event summary'!D19),"",'Event summary'!D19)</f>
        <v/>
      </c>
      <c r="F19" s="117" t="str">
        <f>IF(ISBLANK('Event summary'!E19),"",'Event summary'!E19)</f>
        <v/>
      </c>
    </row>
    <row r="20" spans="1:6" x14ac:dyDescent="0.2">
      <c r="A20" s="114" t="e">
        <f>IF(ISBLANK('Event summary'!#REF!),"",'Event summary'!#REF!)</f>
        <v>#REF!</v>
      </c>
      <c r="B20" s="115">
        <f>IF(ISBLANK('Event summary'!A20),"",'Event summary'!A20)</f>
        <v>19</v>
      </c>
      <c r="C20" s="115" t="str">
        <f>IF(ISBLANK('Event summary'!B20),"",'Event summary'!B20)</f>
        <v/>
      </c>
      <c r="D20" s="116" t="str">
        <f>IF(ISBLANK('Event summary'!C20),"",'Event summary'!C20)</f>
        <v/>
      </c>
      <c r="E20" s="116" t="str">
        <f>IF(ISBLANK('Event summary'!D20),"",'Event summary'!D20)</f>
        <v/>
      </c>
      <c r="F20" s="117" t="str">
        <f>IF(ISBLANK('Event summary'!E20),"",'Event summary'!E20)</f>
        <v/>
      </c>
    </row>
    <row r="21" spans="1:6" x14ac:dyDescent="0.2">
      <c r="A21" s="114" t="e">
        <f>IF(ISBLANK('Event summary'!#REF!),"",'Event summary'!#REF!)</f>
        <v>#REF!</v>
      </c>
      <c r="B21" s="115">
        <f>IF(ISBLANK('Event summary'!A21),"",'Event summary'!A21)</f>
        <v>20</v>
      </c>
      <c r="C21" s="115" t="str">
        <f>IF(ISBLANK('Event summary'!B21),"",'Event summary'!B21)</f>
        <v/>
      </c>
      <c r="D21" s="116" t="str">
        <f>IF(ISBLANK('Event summary'!C21),"",'Event summary'!C21)</f>
        <v/>
      </c>
      <c r="E21" s="116" t="str">
        <f>IF(ISBLANK('Event summary'!D21),"",'Event summary'!D21)</f>
        <v/>
      </c>
      <c r="F21" s="117" t="str">
        <f>IF(ISBLANK('Event summary'!E21),"",'Event summary'!E21)</f>
        <v/>
      </c>
    </row>
    <row r="22" spans="1:6" x14ac:dyDescent="0.2">
      <c r="A22" s="114" t="e">
        <f>IF(ISBLANK('Event summary'!#REF!),"",'Event summary'!#REF!)</f>
        <v>#REF!</v>
      </c>
      <c r="B22" s="115">
        <f>IF(ISBLANK('Event summary'!A22),"",'Event summary'!A22)</f>
        <v>21</v>
      </c>
      <c r="C22" s="115" t="str">
        <f>IF(ISBLANK('Event summary'!B22),"",'Event summary'!B22)</f>
        <v/>
      </c>
      <c r="D22" s="116" t="str">
        <f>IF(ISBLANK('Event summary'!C22),"",'Event summary'!C22)</f>
        <v/>
      </c>
      <c r="E22" s="116" t="str">
        <f>IF(ISBLANK('Event summary'!D22),"",'Event summary'!D22)</f>
        <v/>
      </c>
      <c r="F22" s="117" t="str">
        <f>IF(ISBLANK('Event summary'!E22),"",'Event summary'!E22)</f>
        <v/>
      </c>
    </row>
    <row r="23" spans="1:6" x14ac:dyDescent="0.2">
      <c r="A23" s="114" t="e">
        <f>IF(ISBLANK('Event summary'!#REF!),"",'Event summary'!#REF!)</f>
        <v>#REF!</v>
      </c>
      <c r="B23" s="115">
        <f>IF(ISBLANK('Event summary'!A23),"",'Event summary'!A23)</f>
        <v>22</v>
      </c>
      <c r="C23" s="115" t="str">
        <f>IF(ISBLANK('Event summary'!B23),"",'Event summary'!B23)</f>
        <v/>
      </c>
      <c r="D23" s="116" t="str">
        <f>IF(ISBLANK('Event summary'!C23),"",'Event summary'!C23)</f>
        <v/>
      </c>
      <c r="E23" s="116" t="str">
        <f>IF(ISBLANK('Event summary'!D23),"",'Event summary'!D23)</f>
        <v/>
      </c>
      <c r="F23" s="117" t="str">
        <f>IF(ISBLANK('Event summary'!E23),"",'Event summary'!E23)</f>
        <v/>
      </c>
    </row>
    <row r="24" spans="1:6" x14ac:dyDescent="0.2">
      <c r="A24" s="114" t="e">
        <f>IF(ISBLANK('Event summary'!#REF!),"",'Event summary'!#REF!)</f>
        <v>#REF!</v>
      </c>
      <c r="B24" s="115">
        <f>IF(ISBLANK('Event summary'!A24),"",'Event summary'!A24)</f>
        <v>23</v>
      </c>
      <c r="C24" s="115" t="str">
        <f>IF(ISBLANK('Event summary'!B24),"",'Event summary'!B24)</f>
        <v/>
      </c>
      <c r="D24" s="116" t="str">
        <f>IF(ISBLANK('Event summary'!C24),"",'Event summary'!C24)</f>
        <v/>
      </c>
      <c r="E24" s="116" t="str">
        <f>IF(ISBLANK('Event summary'!D24),"",'Event summary'!D24)</f>
        <v/>
      </c>
      <c r="F24" s="117" t="str">
        <f>IF(ISBLANK('Event summary'!E24),"",'Event summary'!E24)</f>
        <v/>
      </c>
    </row>
    <row r="25" spans="1:6" x14ac:dyDescent="0.2">
      <c r="A25" s="114" t="e">
        <f>IF(ISBLANK('Event summary'!#REF!),"",'Event summary'!#REF!)</f>
        <v>#REF!</v>
      </c>
      <c r="B25" s="115">
        <f>IF(ISBLANK('Event summary'!A25),"",'Event summary'!A25)</f>
        <v>24</v>
      </c>
      <c r="C25" s="115" t="str">
        <f>IF(ISBLANK('Event summary'!B25),"",'Event summary'!B25)</f>
        <v/>
      </c>
      <c r="D25" s="116" t="str">
        <f>IF(ISBLANK('Event summary'!C25),"",'Event summary'!C25)</f>
        <v/>
      </c>
      <c r="E25" s="116" t="str">
        <f>IF(ISBLANK('Event summary'!D25),"",'Event summary'!D25)</f>
        <v/>
      </c>
      <c r="F25" s="117" t="str">
        <f>IF(ISBLANK('Event summary'!E25),"",'Event summary'!E25)</f>
        <v/>
      </c>
    </row>
    <row r="26" spans="1:6" x14ac:dyDescent="0.2">
      <c r="A26" s="114" t="e">
        <f>IF(ISBLANK('Event summary'!#REF!),"",'Event summary'!#REF!)</f>
        <v>#REF!</v>
      </c>
      <c r="B26" s="115">
        <f>IF(ISBLANK('Event summary'!A26),"",'Event summary'!A26)</f>
        <v>25</v>
      </c>
      <c r="C26" s="115" t="str">
        <f>IF(ISBLANK('Event summary'!B26),"",'Event summary'!B26)</f>
        <v/>
      </c>
      <c r="D26" s="116" t="str">
        <f>IF(ISBLANK('Event summary'!C26),"",'Event summary'!C26)</f>
        <v/>
      </c>
      <c r="E26" s="116" t="str">
        <f>IF(ISBLANK('Event summary'!D26),"",'Event summary'!D26)</f>
        <v/>
      </c>
      <c r="F26" s="117" t="str">
        <f>IF(ISBLANK('Event summary'!E26),"",'Event summary'!E26)</f>
        <v/>
      </c>
    </row>
    <row r="27" spans="1:6" x14ac:dyDescent="0.2">
      <c r="A27" s="114" t="e">
        <f>IF(ISBLANK('Event summary'!#REF!),"",'Event summary'!#REF!)</f>
        <v>#REF!</v>
      </c>
      <c r="B27" s="115">
        <f>IF(ISBLANK('Event summary'!A27),"",'Event summary'!A27)</f>
        <v>26</v>
      </c>
      <c r="C27" s="115" t="str">
        <f>IF(ISBLANK('Event summary'!B27),"",'Event summary'!B27)</f>
        <v/>
      </c>
      <c r="D27" s="116" t="str">
        <f>IF(ISBLANK('Event summary'!C27),"",'Event summary'!C27)</f>
        <v/>
      </c>
      <c r="E27" s="116" t="str">
        <f>IF(ISBLANK('Event summary'!D27),"",'Event summary'!D27)</f>
        <v/>
      </c>
      <c r="F27" s="117" t="str">
        <f>IF(ISBLANK('Event summary'!E27),"",'Event summary'!E27)</f>
        <v/>
      </c>
    </row>
    <row r="28" spans="1:6" x14ac:dyDescent="0.2">
      <c r="A28" s="114" t="e">
        <f>IF(ISBLANK('Event summary'!#REF!),"",'Event summary'!#REF!)</f>
        <v>#REF!</v>
      </c>
      <c r="B28" s="115">
        <f>IF(ISBLANK('Event summary'!A28),"",'Event summary'!A28)</f>
        <v>27</v>
      </c>
      <c r="C28" s="115" t="str">
        <f>IF(ISBLANK('Event summary'!B28),"",'Event summary'!B28)</f>
        <v/>
      </c>
      <c r="D28" s="116" t="str">
        <f>IF(ISBLANK('Event summary'!C28),"",'Event summary'!C28)</f>
        <v/>
      </c>
      <c r="E28" s="116" t="str">
        <f>IF(ISBLANK('Event summary'!D28),"",'Event summary'!D28)</f>
        <v/>
      </c>
      <c r="F28" s="117" t="str">
        <f>IF(ISBLANK('Event summary'!E28),"",'Event summary'!E28)</f>
        <v/>
      </c>
    </row>
    <row r="29" spans="1:6" x14ac:dyDescent="0.2">
      <c r="A29" s="114" t="e">
        <f>IF(ISBLANK('Event summary'!#REF!),"",'Event summary'!#REF!)</f>
        <v>#REF!</v>
      </c>
      <c r="B29" s="115">
        <f>IF(ISBLANK('Event summary'!A29),"",'Event summary'!A29)</f>
        <v>28</v>
      </c>
      <c r="C29" s="115" t="str">
        <f>IF(ISBLANK('Event summary'!B29),"",'Event summary'!B29)</f>
        <v/>
      </c>
      <c r="D29" s="116" t="str">
        <f>IF(ISBLANK('Event summary'!C29),"",'Event summary'!C29)</f>
        <v/>
      </c>
      <c r="E29" s="116" t="str">
        <f>IF(ISBLANK('Event summary'!D29),"",'Event summary'!D29)</f>
        <v/>
      </c>
      <c r="F29" s="117" t="str">
        <f>IF(ISBLANK('Event summary'!E29),"",'Event summary'!E29)</f>
        <v/>
      </c>
    </row>
    <row r="30" spans="1:6" x14ac:dyDescent="0.2">
      <c r="A30" s="114" t="e">
        <f>IF(ISBLANK('Event summary'!#REF!),"",'Event summary'!#REF!)</f>
        <v>#REF!</v>
      </c>
      <c r="B30" s="115">
        <f>IF(ISBLANK('Event summary'!A30),"",'Event summary'!A30)</f>
        <v>29</v>
      </c>
      <c r="C30" s="115" t="str">
        <f>IF(ISBLANK('Event summary'!B30),"",'Event summary'!B30)</f>
        <v/>
      </c>
      <c r="D30" s="116" t="str">
        <f>IF(ISBLANK('Event summary'!C30),"",'Event summary'!C30)</f>
        <v/>
      </c>
      <c r="E30" s="116" t="str">
        <f>IF(ISBLANK('Event summary'!D30),"",'Event summary'!D30)</f>
        <v/>
      </c>
      <c r="F30" s="117" t="str">
        <f>IF(ISBLANK('Event summary'!E30),"",'Event summary'!E30)</f>
        <v/>
      </c>
    </row>
    <row r="31" spans="1:6" x14ac:dyDescent="0.2">
      <c r="A31" s="114" t="e">
        <f>IF(ISBLANK('Event summary'!#REF!),"",'Event summary'!#REF!)</f>
        <v>#REF!</v>
      </c>
      <c r="B31" s="115">
        <f>IF(ISBLANK('Event summary'!A31),"",'Event summary'!A31)</f>
        <v>30</v>
      </c>
      <c r="C31" s="115" t="str">
        <f>IF(ISBLANK('Event summary'!B31),"",'Event summary'!B31)</f>
        <v/>
      </c>
      <c r="D31" s="116" t="str">
        <f>IF(ISBLANK('Event summary'!C31),"",'Event summary'!C31)</f>
        <v/>
      </c>
      <c r="E31" s="116" t="str">
        <f>IF(ISBLANK('Event summary'!D31),"",'Event summary'!D31)</f>
        <v/>
      </c>
      <c r="F31" s="117" t="str">
        <f>IF(ISBLANK('Event summary'!E31),"",'Event summary'!E31)</f>
        <v/>
      </c>
    </row>
    <row r="32" spans="1:6" x14ac:dyDescent="0.2">
      <c r="A32" s="114" t="e">
        <f>IF(ISBLANK('Event summary'!#REF!),"",'Event summary'!#REF!)</f>
        <v>#REF!</v>
      </c>
      <c r="B32" s="115">
        <f>IF(ISBLANK('Event summary'!A32),"",'Event summary'!A32)</f>
        <v>31</v>
      </c>
      <c r="C32" s="115" t="str">
        <f>IF(ISBLANK('Event summary'!B32),"",'Event summary'!B32)</f>
        <v/>
      </c>
      <c r="D32" s="116" t="str">
        <f>IF(ISBLANK('Event summary'!C32),"",'Event summary'!C32)</f>
        <v/>
      </c>
      <c r="E32" s="116" t="str">
        <f>IF(ISBLANK('Event summary'!D32),"",'Event summary'!D32)</f>
        <v/>
      </c>
      <c r="F32" s="117" t="str">
        <f>IF(ISBLANK('Event summary'!E32),"",'Event summary'!E32)</f>
        <v/>
      </c>
    </row>
    <row r="33" spans="1:6" x14ac:dyDescent="0.2">
      <c r="A33" s="114" t="e">
        <f>IF(ISBLANK('Event summary'!#REF!),"",'Event summary'!#REF!)</f>
        <v>#REF!</v>
      </c>
      <c r="B33" s="115">
        <f>IF(ISBLANK('Event summary'!A33),"",'Event summary'!A33)</f>
        <v>32</v>
      </c>
      <c r="C33" s="115" t="str">
        <f>IF(ISBLANK('Event summary'!B33),"",'Event summary'!B33)</f>
        <v/>
      </c>
      <c r="D33" s="116" t="str">
        <f>IF(ISBLANK('Event summary'!C33),"",'Event summary'!C33)</f>
        <v/>
      </c>
      <c r="E33" s="116" t="str">
        <f>IF(ISBLANK('Event summary'!D33),"",'Event summary'!D33)</f>
        <v/>
      </c>
      <c r="F33" s="117" t="str">
        <f>IF(ISBLANK('Event summary'!E33),"",'Event summary'!E33)</f>
        <v/>
      </c>
    </row>
    <row r="34" spans="1:6" x14ac:dyDescent="0.2">
      <c r="A34" s="114" t="e">
        <f>IF(ISBLANK('Event summary'!#REF!),"",'Event summary'!#REF!)</f>
        <v>#REF!</v>
      </c>
      <c r="B34" s="115">
        <f>IF(ISBLANK('Event summary'!A34),"",'Event summary'!A34)</f>
        <v>33</v>
      </c>
      <c r="C34" s="115" t="str">
        <f>IF(ISBLANK('Event summary'!B34),"",'Event summary'!B34)</f>
        <v/>
      </c>
      <c r="D34" s="116" t="str">
        <f>IF(ISBLANK('Event summary'!C34),"",'Event summary'!C34)</f>
        <v/>
      </c>
      <c r="E34" s="116" t="str">
        <f>IF(ISBLANK('Event summary'!D34),"",'Event summary'!D34)</f>
        <v/>
      </c>
      <c r="F34" s="117" t="str">
        <f>IF(ISBLANK('Event summary'!E34),"",'Event summary'!E34)</f>
        <v/>
      </c>
    </row>
    <row r="35" spans="1:6" x14ac:dyDescent="0.2">
      <c r="A35" s="114" t="e">
        <f>IF(ISBLANK('Event summary'!#REF!),"",'Event summary'!#REF!)</f>
        <v>#REF!</v>
      </c>
      <c r="B35" s="115">
        <f>IF(ISBLANK('Event summary'!A35),"",'Event summary'!A35)</f>
        <v>34</v>
      </c>
      <c r="C35" s="115" t="str">
        <f>IF(ISBLANK('Event summary'!B35),"",'Event summary'!B35)</f>
        <v/>
      </c>
      <c r="D35" s="116" t="str">
        <f>IF(ISBLANK('Event summary'!C35),"",'Event summary'!C35)</f>
        <v/>
      </c>
      <c r="E35" s="116" t="str">
        <f>IF(ISBLANK('Event summary'!D35),"",'Event summary'!D35)</f>
        <v/>
      </c>
      <c r="F35" s="117" t="str">
        <f>IF(ISBLANK('Event summary'!E35),"",'Event summary'!E35)</f>
        <v/>
      </c>
    </row>
    <row r="36" spans="1:6" x14ac:dyDescent="0.2">
      <c r="A36" s="114" t="e">
        <f>IF(ISBLANK('Event summary'!#REF!),"",'Event summary'!#REF!)</f>
        <v>#REF!</v>
      </c>
      <c r="B36" s="115">
        <f>IF(ISBLANK('Event summary'!A36),"",'Event summary'!A36)</f>
        <v>35</v>
      </c>
      <c r="C36" s="115" t="str">
        <f>IF(ISBLANK('Event summary'!B36),"",'Event summary'!B36)</f>
        <v/>
      </c>
      <c r="D36" s="116" t="str">
        <f>IF(ISBLANK('Event summary'!C36),"",'Event summary'!C36)</f>
        <v/>
      </c>
      <c r="E36" s="116" t="str">
        <f>IF(ISBLANK('Event summary'!D36),"",'Event summary'!D36)</f>
        <v/>
      </c>
      <c r="F36" s="117" t="str">
        <f>IF(ISBLANK('Event summary'!E36),"",'Event summary'!E36)</f>
        <v/>
      </c>
    </row>
    <row r="37" spans="1:6" x14ac:dyDescent="0.2">
      <c r="A37" s="114" t="e">
        <f>IF(ISBLANK('Event summary'!#REF!),"",'Event summary'!#REF!)</f>
        <v>#REF!</v>
      </c>
      <c r="B37" s="115">
        <f>IF(ISBLANK('Event summary'!A37),"",'Event summary'!A37)</f>
        <v>36</v>
      </c>
      <c r="C37" s="115" t="str">
        <f>IF(ISBLANK('Event summary'!B37),"",'Event summary'!B37)</f>
        <v/>
      </c>
      <c r="D37" s="116" t="str">
        <f>IF(ISBLANK('Event summary'!C37),"",'Event summary'!C37)</f>
        <v/>
      </c>
      <c r="E37" s="116" t="str">
        <f>IF(ISBLANK('Event summary'!D37),"",'Event summary'!D37)</f>
        <v/>
      </c>
      <c r="F37" s="117" t="str">
        <f>IF(ISBLANK('Event summary'!E37),"",'Event summary'!E37)</f>
        <v/>
      </c>
    </row>
    <row r="38" spans="1:6" x14ac:dyDescent="0.2">
      <c r="A38" s="114" t="e">
        <f>IF(ISBLANK('Event summary'!#REF!),"",'Event summary'!#REF!)</f>
        <v>#REF!</v>
      </c>
      <c r="B38" s="115">
        <f>IF(ISBLANK('Event summary'!A38),"",'Event summary'!A38)</f>
        <v>37</v>
      </c>
      <c r="C38" s="115" t="str">
        <f>IF(ISBLANK('Event summary'!B38),"",'Event summary'!B38)</f>
        <v>היעדר תיעוד</v>
      </c>
      <c r="D38" s="116" t="str">
        <f>IF(ISBLANK('Event summary'!C38),"",'Event summary'!C38)</f>
        <v>רישום לקוי, היעדר תיעוד במערכת ה-ARIA</v>
      </c>
      <c r="E38" s="116" t="str">
        <f>IF(ISBLANK('Event summary'!D38),"",'Event summary'!D38)</f>
        <v/>
      </c>
      <c r="F38" s="117" t="str">
        <f>IF(ISBLANK('Event summary'!E38),"",'Event summary'!E38)</f>
        <v/>
      </c>
    </row>
    <row r="39" spans="1:6" x14ac:dyDescent="0.2">
      <c r="A39" s="114" t="e">
        <f>IF(ISBLANK('Event summary'!#REF!),"",'Event summary'!#REF!)</f>
        <v>#REF!</v>
      </c>
      <c r="B39" s="115">
        <f>IF(ISBLANK('Event summary'!A39),"",'Event summary'!A39)</f>
        <v>38</v>
      </c>
      <c r="C39" s="115" t="str">
        <f>IF(ISBLANK('Event summary'!B39),"",'Event summary'!B39)</f>
        <v>תכנון שגוי</v>
      </c>
      <c r="D39" s="116" t="str">
        <f>IF(ISBLANK('Event summary'!C39),"",'Event summary'!C39)</f>
        <v>תכנון שגוי - חישוב שגוי אלקטרונים</v>
      </c>
      <c r="E39" s="116" t="str">
        <f>IF(ISBLANK('Event summary'!D39),"",'Event summary'!D39)</f>
        <v/>
      </c>
      <c r="F39" s="117" t="str">
        <f>IF(ISBLANK('Event summary'!E39),"",'Event summary'!E39)</f>
        <v/>
      </c>
    </row>
    <row r="40" spans="1:6" x14ac:dyDescent="0.2">
      <c r="A40" s="114" t="e">
        <f>IF(ISBLANK('Event summary'!#REF!),"",'Event summary'!#REF!)</f>
        <v>#REF!</v>
      </c>
      <c r="B40" s="115">
        <f>IF(ISBLANK('Event summary'!A40),"",'Event summary'!A40)</f>
        <v>39</v>
      </c>
      <c r="C40" s="115" t="str">
        <f>IF(ISBLANK('Event summary'!B40),"",'Event summary'!B40)</f>
        <v>תכנון שגוי</v>
      </c>
      <c r="D40" s="116" t="str">
        <f>IF(ISBLANK('Event summary'!C40),"",'Event summary'!C40)</f>
        <v>חפיפה בין השדות,</v>
      </c>
      <c r="E40" s="116" t="str">
        <f>IF(ISBLANK('Event summary'!D40),"",'Event summary'!D40)</f>
        <v/>
      </c>
      <c r="F40" s="117" t="str">
        <f>IF(ISBLANK('Event summary'!E40),"",'Event summary'!E40)</f>
        <v/>
      </c>
    </row>
    <row r="41" spans="1:6" x14ac:dyDescent="0.2">
      <c r="A41" s="114" t="e">
        <f>IF(ISBLANK('Event summary'!#REF!),"",'Event summary'!#REF!)</f>
        <v>#REF!</v>
      </c>
      <c r="B41" s="115">
        <f>IF(ISBLANK('Event summary'!A41),"",'Event summary'!A41)</f>
        <v>40</v>
      </c>
      <c r="C41" s="115" t="str">
        <f>IF(ISBLANK('Event summary'!B41),"",'Event summary'!B41)</f>
        <v>היעדר מרשם</v>
      </c>
      <c r="D41" s="116" t="str">
        <f>IF(ISBLANK('Event summary'!C41),"",'Event summary'!C41)</f>
        <v>מתן טיפול בהיעדר מרשם, מתן טיפול עם מנה גבוהה מהרצוי</v>
      </c>
      <c r="E41" s="116" t="str">
        <f>IF(ISBLANK('Event summary'!D41),"",'Event summary'!D41)</f>
        <v/>
      </c>
      <c r="F41" s="117" t="str">
        <f>IF(ISBLANK('Event summary'!E41),"",'Event summary'!E41)</f>
        <v/>
      </c>
    </row>
    <row r="42" spans="1:6" x14ac:dyDescent="0.2">
      <c r="A42" s="114" t="e">
        <f>IF(ISBLANK('Event summary'!#REF!),"",'Event summary'!#REF!)</f>
        <v>#REF!</v>
      </c>
      <c r="B42" s="115">
        <f>IF(ISBLANK('Event summary'!A42),"",'Event summary'!A42)</f>
        <v>41</v>
      </c>
      <c r="C42" s="115" t="str">
        <f>IF(ISBLANK('Event summary'!B42),"",'Event summary'!B42)</f>
        <v>היעדר מרשם</v>
      </c>
      <c r="D42" s="116" t="str">
        <f>IF(ISBLANK('Event summary'!C42),"",'Event summary'!C42)</f>
        <v>טיפול חוזר עם היעדר מרשם עדכני</v>
      </c>
      <c r="E42" s="116" t="str">
        <f>IF(ISBLANK('Event summary'!D42),"",'Event summary'!D42)</f>
        <v/>
      </c>
      <c r="F42" s="117" t="str">
        <f>IF(ISBLANK('Event summary'!E42),"",'Event summary'!E42)</f>
        <v/>
      </c>
    </row>
    <row r="43" spans="1:6" ht="30" x14ac:dyDescent="0.2">
      <c r="A43" s="114" t="e">
        <f>IF(ISBLANK('Event summary'!#REF!),"",'Event summary'!#REF!)</f>
        <v>#REF!</v>
      </c>
      <c r="B43" s="115">
        <f>IF(ISBLANK('Event summary'!A43),"",'Event summary'!A43)</f>
        <v>42</v>
      </c>
      <c r="C43" s="115" t="str">
        <f>IF(ISBLANK('Event summary'!B43),"",'Event summary'!B43)</f>
        <v>מתן טיפול באופן שגוי</v>
      </c>
      <c r="D43" s="116" t="str">
        <f>IF(ISBLANK('Event summary'!C43),"",'Event summary'!C43)</f>
        <v>טיפול בתוכנית של אדם אחר, סידור לקוי של מספר תכניות.</v>
      </c>
      <c r="E43" s="116" t="str">
        <f>IF(ISBLANK('Event summary'!D43),"",'Event summary'!D43)</f>
        <v/>
      </c>
      <c r="F43" s="117" t="str">
        <f>IF(ISBLANK('Event summary'!E43),"",'Event summary'!E43)</f>
        <v/>
      </c>
    </row>
    <row r="44" spans="1:6" x14ac:dyDescent="0.2">
      <c r="A44" s="114" t="e">
        <f>IF(ISBLANK('Event summary'!#REF!),"",'Event summary'!#REF!)</f>
        <v>#REF!</v>
      </c>
      <c r="B44" s="115">
        <f>IF(ISBLANK('Event summary'!A44),"",'Event summary'!A44)</f>
        <v>43</v>
      </c>
      <c r="C44" s="115" t="str">
        <f>IF(ISBLANK('Event summary'!B44),"",'Event summary'!B44)</f>
        <v>תיעוד לא תקין</v>
      </c>
      <c r="D44" s="116" t="str">
        <f>IF(ISBLANK('Event summary'!C44),"",'Event summary'!C44)</f>
        <v>רישום אביזר לא נכון, טיפול נכון</v>
      </c>
      <c r="E44" s="116" t="str">
        <f>IF(ISBLANK('Event summary'!D44),"",'Event summary'!D44)</f>
        <v/>
      </c>
      <c r="F44" s="117" t="str">
        <f>IF(ISBLANK('Event summary'!E44),"",'Event summary'!E44)</f>
        <v/>
      </c>
    </row>
    <row r="45" spans="1:6" x14ac:dyDescent="0.2">
      <c r="A45" s="114" t="e">
        <f>IF(ISBLANK('Event summary'!#REF!),"",'Event summary'!#REF!)</f>
        <v>#REF!</v>
      </c>
      <c r="B45" s="115">
        <f>IF(ISBLANK('Event summary'!A45),"",'Event summary'!A45)</f>
        <v>44</v>
      </c>
      <c r="C45" s="115" t="str">
        <f>IF(ISBLANK('Event summary'!B45),"",'Event summary'!B45)</f>
        <v>היעדר צילומים</v>
      </c>
      <c r="D45" s="116" t="str">
        <f>IF(ISBLANK('Event summary'!C45),"",'Event summary'!C45)</f>
        <v>תחילת טיפול ללא צילום, 2 טיפולים ראשונים</v>
      </c>
      <c r="E45" s="116" t="str">
        <f>IF(ISBLANK('Event summary'!D45),"",'Event summary'!D45)</f>
        <v/>
      </c>
      <c r="F45" s="117" t="str">
        <f>IF(ISBLANK('Event summary'!E45),"",'Event summary'!E45)</f>
        <v/>
      </c>
    </row>
    <row r="46" spans="1:6" x14ac:dyDescent="0.2">
      <c r="A46" s="114" t="e">
        <f>IF(ISBLANK('Event summary'!#REF!),"",'Event summary'!#REF!)</f>
        <v>#REF!</v>
      </c>
      <c r="B46" s="115">
        <f>IF(ISBLANK('Event summary'!A46),"",'Event summary'!A46)</f>
        <v>45</v>
      </c>
      <c r="C46" s="115" t="str">
        <f>IF(ISBLANK('Event summary'!B46),"",'Event summary'!B46)</f>
        <v>היעדר תיעוד</v>
      </c>
      <c r="D46" s="116" t="str">
        <f>IF(ISBLANK('Event summary'!C46),"",'Event summary'!C46)</f>
        <v>היעדר תיעוד ורישום למרכזי הטיפול</v>
      </c>
      <c r="E46" s="116" t="str">
        <f>IF(ISBLANK('Event summary'!D46),"",'Event summary'!D46)</f>
        <v/>
      </c>
      <c r="F46" s="117" t="str">
        <f>IF(ISBLANK('Event summary'!E46),"",'Event summary'!E46)</f>
        <v/>
      </c>
    </row>
    <row r="47" spans="1:6" ht="30" x14ac:dyDescent="0.2">
      <c r="A47" s="114" t="e">
        <f>IF(ISBLANK('Event summary'!#REF!),"",'Event summary'!#REF!)</f>
        <v>#REF!</v>
      </c>
      <c r="B47" s="115">
        <f>IF(ISBLANK('Event summary'!A47),"",'Event summary'!A47)</f>
        <v>46</v>
      </c>
      <c r="C47" s="115" t="str">
        <f>IF(ISBLANK('Event summary'!B47),"",'Event summary'!B47)</f>
        <v>אי עמידה בזמנים</v>
      </c>
      <c r="D47" s="116" t="str">
        <f>IF(ISBLANK('Event summary'!C47),"",'Event summary'!C47)</f>
        <v>אי עמידה בזמנים, תיק לא מוכן</v>
      </c>
      <c r="E47" s="116" t="str">
        <f>IF(ISBLANK('Event summary'!D47),"",'Event summary'!D47)</f>
        <v/>
      </c>
      <c r="F47" s="117" t="str">
        <f>IF(ISBLANK('Event summary'!E47),"",'Event summary'!E47)</f>
        <v/>
      </c>
    </row>
    <row r="48" spans="1:6" ht="30" x14ac:dyDescent="0.2">
      <c r="A48" s="114" t="e">
        <f>IF(ISBLANK('Event summary'!#REF!),"",'Event summary'!#REF!)</f>
        <v>#REF!</v>
      </c>
      <c r="B48" s="115">
        <f>IF(ISBLANK('Event summary'!A48),"",'Event summary'!A48)</f>
        <v>47</v>
      </c>
      <c r="C48" s="115" t="str">
        <f>IF(ISBLANK('Event summary'!B48),"",'Event summary'!B48)</f>
        <v>מתן טיפול באופן שגוי</v>
      </c>
      <c r="D48" s="116" t="str">
        <f>IF(ISBLANK('Event summary'!C48),"",'Event summary'!C48)</f>
        <v>מתן שתי תכניות בו זמנית למרות הצורך בפיצולן</v>
      </c>
      <c r="E48" s="116" t="str">
        <f>IF(ISBLANK('Event summary'!D48),"",'Event summary'!D48)</f>
        <v/>
      </c>
      <c r="F48" s="117" t="str">
        <f>IF(ISBLANK('Event summary'!E48),"",'Event summary'!E48)</f>
        <v/>
      </c>
    </row>
    <row r="49" spans="1:6" x14ac:dyDescent="0.2">
      <c r="A49" s="114" t="e">
        <f>IF(ISBLANK('Event summary'!#REF!),"",'Event summary'!#REF!)</f>
        <v>#REF!</v>
      </c>
      <c r="B49" s="115">
        <f>IF(ISBLANK('Event summary'!A49),"",'Event summary'!A49)</f>
        <v>48</v>
      </c>
      <c r="C49" s="115" t="str">
        <f>IF(ISBLANK('Event summary'!B49),"",'Event summary'!B49)</f>
        <v>תקשורת לקויה</v>
      </c>
      <c r="D49" s="116" t="str">
        <f>IF(ISBLANK('Event summary'!C49),"",'Event summary'!C49)</f>
        <v>היעדר העברת מידע על שינוי מרכז</v>
      </c>
      <c r="E49" s="116" t="str">
        <f>IF(ISBLANK('Event summary'!D49),"",'Event summary'!D49)</f>
        <v/>
      </c>
      <c r="F49" s="117" t="str">
        <f>IF(ISBLANK('Event summary'!E49),"",'Event summary'!E49)</f>
        <v/>
      </c>
    </row>
    <row r="50" spans="1:6" ht="30" x14ac:dyDescent="0.2">
      <c r="A50" s="114" t="e">
        <f>IF(ISBLANK('Event summary'!#REF!),"",'Event summary'!#REF!)</f>
        <v>#REF!</v>
      </c>
      <c r="B50" s="115">
        <f>IF(ISBLANK('Event summary'!A50),"",'Event summary'!A50)</f>
        <v>49</v>
      </c>
      <c r="C50" s="115" t="str">
        <f>IF(ISBLANK('Event summary'!B50),"",'Event summary'!B50)</f>
        <v>אי עמידה בזמנים</v>
      </c>
      <c r="D50" s="116" t="str">
        <f>IF(ISBLANK('Event summary'!C50),"",'Event summary'!C50)</f>
        <v>אי עמידה בזמנים, טיפול לא מוכן</v>
      </c>
      <c r="E50" s="116" t="str">
        <f>IF(ISBLANK('Event summary'!D50),"",'Event summary'!D50)</f>
        <v/>
      </c>
      <c r="F50" s="117" t="str">
        <f>IF(ISBLANK('Event summary'!E50),"",'Event summary'!E50)</f>
        <v/>
      </c>
    </row>
    <row r="51" spans="1:6" x14ac:dyDescent="0.2">
      <c r="A51" s="114" t="e">
        <f>IF(ISBLANK('Event summary'!#REF!),"",'Event summary'!#REF!)</f>
        <v>#REF!</v>
      </c>
      <c r="B51" s="115">
        <f>IF(ISBLANK('Event summary'!A51),"",'Event summary'!A51)</f>
        <v>50</v>
      </c>
      <c r="C51" s="115" t="str">
        <f>IF(ISBLANK('Event summary'!B51),"",'Event summary'!B51)</f>
        <v>היעדר תיעוד</v>
      </c>
      <c r="D51" s="116" t="str">
        <f>IF(ISBLANK('Event summary'!C51),"",'Event summary'!C51)</f>
        <v>היעדר מתן הוראות נשימה</v>
      </c>
      <c r="E51" s="116" t="str">
        <f>IF(ISBLANK('Event summary'!D51),"",'Event summary'!D51)</f>
        <v/>
      </c>
      <c r="F51" s="117" t="str">
        <f>IF(ISBLANK('Event summary'!E51),"",'Event summary'!E51)</f>
        <v/>
      </c>
    </row>
    <row r="52" spans="1:6" ht="30" x14ac:dyDescent="0.2">
      <c r="A52" s="114" t="e">
        <f>IF(ISBLANK('Event summary'!#REF!),"",'Event summary'!#REF!)</f>
        <v>#REF!</v>
      </c>
      <c r="B52" s="115">
        <f>IF(ISBLANK('Event summary'!A52),"",'Event summary'!A52)</f>
        <v>51</v>
      </c>
      <c r="C52" s="115" t="str">
        <f>IF(ISBLANK('Event summary'!B52),"",'Event summary'!B52)</f>
        <v>מתן טיפול באופן שגוי</v>
      </c>
      <c r="D52" s="116" t="str">
        <f>IF(ISBLANK('Event summary'!C52),"",'Event summary'!C52)</f>
        <v>היעדר מגן שיניים, סימולציה חוזרת, טיפול חדש לאחר קבלת מספר טיפולים</v>
      </c>
      <c r="E52" s="116" t="str">
        <f>IF(ISBLANK('Event summary'!D52),"",'Event summary'!D52)</f>
        <v/>
      </c>
      <c r="F52" s="117" t="str">
        <f>IF(ISBLANK('Event summary'!E52),"",'Event summary'!E52)</f>
        <v/>
      </c>
    </row>
    <row r="53" spans="1:6" ht="30" x14ac:dyDescent="0.2">
      <c r="A53" s="114" t="e">
        <f>IF(ISBLANK('Event summary'!#REF!),"",'Event summary'!#REF!)</f>
        <v>#REF!</v>
      </c>
      <c r="B53" s="115">
        <f>IF(ISBLANK('Event summary'!A53),"",'Event summary'!A53)</f>
        <v>52</v>
      </c>
      <c r="C53" s="115" t="str">
        <f>IF(ISBLANK('Event summary'!B53),"",'Event summary'!B53)</f>
        <v>אי עמידה בזמנים</v>
      </c>
      <c r="D53" s="116" t="str">
        <f>IF(ISBLANK('Event summary'!C53),"",'Event summary'!C53)</f>
        <v>אי עמידה בזמנים, תיק פליאציה לא מוכן</v>
      </c>
      <c r="E53" s="116" t="str">
        <f>IF(ISBLANK('Event summary'!D53),"",'Event summary'!D53)</f>
        <v/>
      </c>
      <c r="F53" s="117" t="str">
        <f>IF(ISBLANK('Event summary'!E53),"",'Event summary'!E53)</f>
        <v/>
      </c>
    </row>
    <row r="54" spans="1:6" ht="30" x14ac:dyDescent="0.2">
      <c r="A54" s="114" t="e">
        <f>IF(ISBLANK('Event summary'!#REF!),"",'Event summary'!#REF!)</f>
        <v>#REF!</v>
      </c>
      <c r="B54" s="115">
        <f>IF(ISBLANK('Event summary'!A54),"",'Event summary'!A54)</f>
        <v>53</v>
      </c>
      <c r="C54" s="115" t="str">
        <f>IF(ISBLANK('Event summary'!B54),"",'Event summary'!B54)</f>
        <v>סריקה לא תקינה</v>
      </c>
      <c r="D54" s="116" t="str">
        <f>IF(ISBLANK('Event summary'!C54),"",'Event summary'!C54)</f>
        <v>סריקה לא תקינה - סריקה ארוכה, צילום מרובה של CT</v>
      </c>
      <c r="E54" s="116" t="str">
        <f>IF(ISBLANK('Event summary'!D54),"",'Event summary'!D54)</f>
        <v/>
      </c>
      <c r="F54" s="117" t="str">
        <f>IF(ISBLANK('Event summary'!E54),"",'Event summary'!E54)</f>
        <v/>
      </c>
    </row>
    <row r="55" spans="1:6" x14ac:dyDescent="0.2">
      <c r="A55" s="114" t="e">
        <f>IF(ISBLANK('Event summary'!#REF!),"",'Event summary'!#REF!)</f>
        <v>#REF!</v>
      </c>
      <c r="B55" s="115">
        <f>IF(ISBLANK('Event summary'!A55),"",'Event summary'!A55)</f>
        <v>54</v>
      </c>
      <c r="C55" s="115" t="str">
        <f>IF(ISBLANK('Event summary'!B55),"",'Event summary'!B55)</f>
        <v>היעדר צילומים</v>
      </c>
      <c r="D55" s="116" t="str">
        <f>IF(ISBLANK('Event summary'!C55),"",'Event summary'!C55)</f>
        <v>היעדר צילומים - היעדר מעקב צילומים, תזוזת מרכז בטיפול 6</v>
      </c>
      <c r="E55" s="116" t="str">
        <f>IF(ISBLANK('Event summary'!D55),"",'Event summary'!D55)</f>
        <v/>
      </c>
      <c r="F55" s="117" t="str">
        <f>IF(ISBLANK('Event summary'!E55),"",'Event summary'!E55)</f>
        <v/>
      </c>
    </row>
    <row r="56" spans="1:6" x14ac:dyDescent="0.2">
      <c r="A56" s="114" t="e">
        <f>IF(ISBLANK('Event summary'!#REF!),"",'Event summary'!#REF!)</f>
        <v>#REF!</v>
      </c>
      <c r="B56" s="115">
        <f>IF(ISBLANK('Event summary'!A56),"",'Event summary'!A56)</f>
        <v>55</v>
      </c>
      <c r="C56" s="115" t="str">
        <f>IF(ISBLANK('Event summary'!B56),"",'Event summary'!B56)</f>
        <v>תיעוד לא תקין</v>
      </c>
      <c r="D56" s="116" t="str">
        <f>IF(ISBLANK('Event summary'!C56),"",'Event summary'!C56)</f>
        <v>תיעוד לא תקין - מרשם לא תקין, סימונים לא רלוונטים למרשם</v>
      </c>
      <c r="E56" s="116" t="str">
        <f>IF(ISBLANK('Event summary'!D56),"",'Event summary'!D56)</f>
        <v/>
      </c>
      <c r="F56" s="117" t="str">
        <f>IF(ISBLANK('Event summary'!E56),"",'Event summary'!E56)</f>
        <v/>
      </c>
    </row>
    <row r="57" spans="1:6" x14ac:dyDescent="0.2">
      <c r="A57" s="114" t="e">
        <f>IF(ISBLANK('Event summary'!#REF!),"",'Event summary'!#REF!)</f>
        <v>#REF!</v>
      </c>
      <c r="B57" s="115">
        <f>IF(ISBLANK('Event summary'!A57),"",'Event summary'!A57)</f>
        <v>56</v>
      </c>
      <c r="C57" s="115" t="str">
        <f>IF(ISBLANK('Event summary'!B57),"",'Event summary'!B57)</f>
        <v>תיעוד לא תקין</v>
      </c>
      <c r="D57" s="116" t="str">
        <f>IF(ISBLANK('Event summary'!C57),"",'Event summary'!C57)</f>
        <v>רישום לא תקין של אזור הטיפול, צד נגדי</v>
      </c>
      <c r="E57" s="116" t="str">
        <f>IF(ISBLANK('Event summary'!D57),"",'Event summary'!D57)</f>
        <v/>
      </c>
      <c r="F57" s="117" t="str">
        <f>IF(ISBLANK('Event summary'!E57),"",'Event summary'!E57)</f>
        <v/>
      </c>
    </row>
    <row r="58" spans="1:6" x14ac:dyDescent="0.2">
      <c r="A58" s="114" t="e">
        <f>IF(ISBLANK('Event summary'!#REF!),"",'Event summary'!#REF!)</f>
        <v>#REF!</v>
      </c>
      <c r="B58" s="115">
        <f>IF(ISBLANK('Event summary'!A58),"",'Event summary'!A58)</f>
        <v>57</v>
      </c>
      <c r="C58" s="115" t="str">
        <f>IF(ISBLANK('Event summary'!B58),"",'Event summary'!B58)</f>
        <v>היעדר צילומים</v>
      </c>
      <c r="D58" s="116" t="str">
        <f>IF(ISBLANK('Event summary'!C58),"",'Event summary'!C58)</f>
        <v>טיפול לפני סיום הצילומים והזזות</v>
      </c>
      <c r="E58" s="116" t="str">
        <f>IF(ISBLANK('Event summary'!D58),"",'Event summary'!D58)</f>
        <v/>
      </c>
      <c r="F58" s="117" t="str">
        <f>IF(ISBLANK('Event summary'!E58),"",'Event summary'!E58)</f>
        <v/>
      </c>
    </row>
    <row r="59" spans="1:6" ht="30" x14ac:dyDescent="0.2">
      <c r="A59" s="114" t="e">
        <f>IF(ISBLANK('Event summary'!#REF!),"",'Event summary'!#REF!)</f>
        <v>#REF!</v>
      </c>
      <c r="B59" s="115">
        <f>IF(ISBLANK('Event summary'!A59),"",'Event summary'!A59)</f>
        <v>58</v>
      </c>
      <c r="C59" s="115" t="str">
        <f>IF(ISBLANK('Event summary'!B59),"",'Event summary'!B59)</f>
        <v>אי עמידה בזמנים</v>
      </c>
      <c r="D59" s="116" t="str">
        <f>IF(ISBLANK('Event summary'!C59),"",'Event summary'!C59)</f>
        <v>דוח רבעוני, אי יכולת לעמוד בזמנים</v>
      </c>
      <c r="E59" s="116" t="str">
        <f>IF(ISBLANK('Event summary'!D59),"",'Event summary'!D59)</f>
        <v/>
      </c>
      <c r="F59" s="117" t="str">
        <f>IF(ISBLANK('Event summary'!E59),"",'Event summary'!E59)</f>
        <v/>
      </c>
    </row>
    <row r="60" spans="1:6" ht="30" x14ac:dyDescent="0.2">
      <c r="A60" s="114" t="e">
        <f>IF(ISBLANK('Event summary'!#REF!),"",'Event summary'!#REF!)</f>
        <v>#REF!</v>
      </c>
      <c r="B60" s="115">
        <f>IF(ISBLANK('Event summary'!A60),"",'Event summary'!A60)</f>
        <v>59</v>
      </c>
      <c r="C60" s="115" t="str">
        <f>IF(ISBLANK('Event summary'!B60),"",'Event summary'!B60)</f>
        <v>אי ביצוע הנחיה (מטופלים)</v>
      </c>
      <c r="D60" s="116" t="str">
        <f>IF(ISBLANK('Event summary'!C60),"",'Event summary'!C60)</f>
        <v>אי ביצוע הנחיה (מטופלים) - מטופל לא פעל לפי הוראות הרופא, לא הלך למרפאת קוצבים לאחר טיפול עם קוצב</v>
      </c>
      <c r="E60" s="116" t="str">
        <f>IF(ISBLANK('Event summary'!D60),"",'Event summary'!D60)</f>
        <v/>
      </c>
      <c r="F60" s="117" t="str">
        <f>IF(ISBLANK('Event summary'!E60),"",'Event summary'!E60)</f>
        <v/>
      </c>
    </row>
    <row r="61" spans="1:6" x14ac:dyDescent="0.2">
      <c r="A61" s="114" t="e">
        <f>IF(ISBLANK('Event summary'!#REF!),"",'Event summary'!#REF!)</f>
        <v>#REF!</v>
      </c>
      <c r="B61" s="115">
        <f>IF(ISBLANK('Event summary'!A61),"",'Event summary'!A61)</f>
        <v>60</v>
      </c>
      <c r="C61" s="115" t="str">
        <f>IF(ISBLANK('Event summary'!B61),"",'Event summary'!B61)</f>
        <v>תקשורת לקויה</v>
      </c>
      <c r="D61" s="116" t="str">
        <f>IF(ISBLANK('Event summary'!C61),"",'Event summary'!C61)</f>
        <v xml:space="preserve">תקשורת לקויה - שינוי תוכנית, כשל אינפורמציה, </v>
      </c>
      <c r="E61" s="116" t="str">
        <f>IF(ISBLANK('Event summary'!D61),"",'Event summary'!D61)</f>
        <v/>
      </c>
      <c r="F61" s="117" t="str">
        <f>IF(ISBLANK('Event summary'!E61),"",'Event summary'!E61)</f>
        <v/>
      </c>
    </row>
    <row r="62" spans="1:6" ht="28.5" x14ac:dyDescent="0.2">
      <c r="A62" s="114" t="e">
        <f>IF(ISBLANK('Event summary'!#REF!),"",'Event summary'!#REF!)</f>
        <v>#REF!</v>
      </c>
      <c r="B62" s="115">
        <f>IF(ISBLANK('Event summary'!A62),"",'Event summary'!A62)</f>
        <v>61</v>
      </c>
      <c r="C62" s="115" t="str">
        <f>IF(ISBLANK('Event summary'!B62),"",'Event summary'!B62)</f>
        <v>שגיאה טכנית</v>
      </c>
      <c r="D62" s="116" t="str">
        <f>IF(ISBLANK('Event summary'!C62),"",'Event summary'!C62)</f>
        <v>ברכיתרפיה, הבדל בזמן הטיפול, תזוזת המטופלת/קרבת המתקן למטופלת</v>
      </c>
      <c r="E62" s="116" t="str">
        <f>IF(ISBLANK('Event summary'!D62),"",'Event summary'!D62)</f>
        <v/>
      </c>
      <c r="F62" s="117" t="str">
        <f>IF(ISBLANK('Event summary'!E62),"",'Event summary'!E62)</f>
        <v/>
      </c>
    </row>
    <row r="63" spans="1:6" ht="30" x14ac:dyDescent="0.2">
      <c r="A63" s="114" t="e">
        <f>IF(ISBLANK('Event summary'!#REF!),"",'Event summary'!#REF!)</f>
        <v>#REF!</v>
      </c>
      <c r="B63" s="115">
        <f>IF(ISBLANK('Event summary'!A63),"",'Event summary'!A63)</f>
        <v>62</v>
      </c>
      <c r="C63" s="115" t="str">
        <f>IF(ISBLANK('Event summary'!B63),"",'Event summary'!B63)</f>
        <v>מתן טיפול באופן שגוי</v>
      </c>
      <c r="D63" s="116" t="str">
        <f>IF(ISBLANK('Event summary'!C63),"",'Event summary'!C63)</f>
        <v>קונטקט, טיפול לא נרשם, קבלת מנה נוספת</v>
      </c>
      <c r="E63" s="116" t="str">
        <f>IF(ISBLANK('Event summary'!D63),"",'Event summary'!D63)</f>
        <v/>
      </c>
      <c r="F63" s="117" t="str">
        <f>IF(ISBLANK('Event summary'!E63),"",'Event summary'!E63)</f>
        <v/>
      </c>
    </row>
    <row r="64" spans="1:6" ht="30" x14ac:dyDescent="0.2">
      <c r="A64" s="114" t="e">
        <f>IF(ISBLANK('Event summary'!#REF!),"",'Event summary'!#REF!)</f>
        <v>#REF!</v>
      </c>
      <c r="B64" s="115">
        <f>IF(ISBLANK('Event summary'!A64),"",'Event summary'!A64)</f>
        <v>63</v>
      </c>
      <c r="C64" s="115" t="str">
        <f>IF(ISBLANK('Event summary'!B64),"",'Event summary'!B64)</f>
        <v>עבודה שלא על פי הנוהל</v>
      </c>
      <c r="D64" s="116" t="str">
        <f>IF(ISBLANK('Event summary'!C64),"",'Event summary'!C64)</f>
        <v>עבודה שלא על פי הנוהל - סגירת דלת לפני יציאת כל אנשי הצוות</v>
      </c>
      <c r="E64" s="116" t="str">
        <f>IF(ISBLANK('Event summary'!D64),"",'Event summary'!D64)</f>
        <v/>
      </c>
      <c r="F64" s="117" t="str">
        <f>IF(ISBLANK('Event summary'!E64),"",'Event summary'!E64)</f>
        <v/>
      </c>
    </row>
    <row r="65" spans="1:6" x14ac:dyDescent="0.2">
      <c r="A65" s="114" t="e">
        <f>IF(ISBLANK('Event summary'!#REF!),"",'Event summary'!#REF!)</f>
        <v>#REF!</v>
      </c>
      <c r="B65" s="115">
        <f>IF(ISBLANK('Event summary'!A65),"",'Event summary'!A65)</f>
        <v>64</v>
      </c>
      <c r="C65" s="115" t="str">
        <f>IF(ISBLANK('Event summary'!B65),"",'Event summary'!B65)</f>
        <v>תיעוד לא תקין</v>
      </c>
      <c r="D65" s="116" t="str">
        <f>IF(ISBLANK('Event summary'!C65),"",'Event summary'!C65)</f>
        <v xml:space="preserve">רישום מרכז לא ברור בסימולציה </v>
      </c>
      <c r="E65" s="116" t="str">
        <f>IF(ISBLANK('Event summary'!D65),"",'Event summary'!D65)</f>
        <v/>
      </c>
      <c r="F65" s="117" t="str">
        <f>IF(ISBLANK('Event summary'!E65),"",'Event summary'!E65)</f>
        <v/>
      </c>
    </row>
    <row r="66" spans="1:6" x14ac:dyDescent="0.2">
      <c r="A66" s="114" t="e">
        <f>IF(ISBLANK('Event summary'!#REF!),"",'Event summary'!#REF!)</f>
        <v>#REF!</v>
      </c>
      <c r="B66" s="115">
        <f>IF(ISBLANK('Event summary'!A66),"",'Event summary'!A66)</f>
        <v>65</v>
      </c>
      <c r="C66" s="115" t="str">
        <f>IF(ISBLANK('Event summary'!B66),"",'Event summary'!B66)</f>
        <v>תכנון שגוי</v>
      </c>
      <c r="D66" s="116" t="str">
        <f>IF(ISBLANK('Event summary'!C66),"",'Event summary'!C66)</f>
        <v>שדה קרינה פתוח לצד שני, הזזת מרכז ללא תיעוד</v>
      </c>
      <c r="E66" s="116" t="str">
        <f>IF(ISBLANK('Event summary'!D66),"",'Event summary'!D66)</f>
        <v/>
      </c>
      <c r="F66" s="117" t="str">
        <f>IF(ISBLANK('Event summary'!E66),"",'Event summary'!E66)</f>
        <v/>
      </c>
    </row>
    <row r="67" spans="1:6" ht="30" x14ac:dyDescent="0.2">
      <c r="A67" s="114" t="e">
        <f>IF(ISBLANK('Event summary'!#REF!),"",'Event summary'!#REF!)</f>
        <v>#REF!</v>
      </c>
      <c r="B67" s="115">
        <f>IF(ISBLANK('Event summary'!A67),"",'Event summary'!A67)</f>
        <v>66</v>
      </c>
      <c r="C67" s="115" t="str">
        <f>IF(ISBLANK('Event summary'!B67),"",'Event summary'!B67)</f>
        <v>מתן טיפול באופן שגוי</v>
      </c>
      <c r="D67" s="116" t="str">
        <f>IF(ISBLANK('Event summary'!C67),"",'Event summary'!C67)</f>
        <v xml:space="preserve"> מתן טיפול באופן שגוי - שינוי עובי הבולוס במהלך הטיפול.</v>
      </c>
      <c r="E67" s="116" t="str">
        <f>IF(ISBLANK('Event summary'!D67),"",'Event summary'!D67)</f>
        <v/>
      </c>
      <c r="F67" s="117" t="str">
        <f>IF(ISBLANK('Event summary'!E67),"",'Event summary'!E67)</f>
        <v/>
      </c>
    </row>
    <row r="68" spans="1:6" x14ac:dyDescent="0.2">
      <c r="A68" s="114" t="e">
        <f>IF(ISBLANK('Event summary'!#REF!),"",'Event summary'!#REF!)</f>
        <v>#REF!</v>
      </c>
      <c r="B68" s="115">
        <f>IF(ISBLANK('Event summary'!A68),"",'Event summary'!A68)</f>
        <v>67</v>
      </c>
      <c r="C68" s="115" t="str">
        <f>IF(ISBLANK('Event summary'!B68),"",'Event summary'!B68)</f>
        <v>תיעוד לא תקין</v>
      </c>
      <c r="D68" s="116" t="str">
        <f>IF(ISBLANK('Event summary'!C68),"",'Event summary'!C68)</f>
        <v>תיעוד לא תקין - מרשם לא תקין</v>
      </c>
      <c r="E68" s="116" t="str">
        <f>IF(ISBLANK('Event summary'!D68),"",'Event summary'!D68)</f>
        <v/>
      </c>
      <c r="F68" s="117" t="str">
        <f>IF(ISBLANK('Event summary'!E68),"",'Event summary'!E68)</f>
        <v/>
      </c>
    </row>
    <row r="69" spans="1:6" x14ac:dyDescent="0.2">
      <c r="A69" s="114" t="e">
        <f>IF(ISBLANK('Event summary'!#REF!),"",'Event summary'!#REF!)</f>
        <v>#REF!</v>
      </c>
      <c r="B69" s="115">
        <f>IF(ISBLANK('Event summary'!A69),"",'Event summary'!A69)</f>
        <v>68</v>
      </c>
      <c r="C69" s="115" t="str">
        <f>IF(ISBLANK('Event summary'!B69),"",'Event summary'!B69)</f>
        <v>היעדר תיעוד</v>
      </c>
      <c r="D69" s="116" t="str">
        <f>IF(ISBLANK('Event summary'!C69),"",'Event summary'!C69)</f>
        <v>קוצב לב, היעדר תיעוד</v>
      </c>
      <c r="E69" s="116" t="str">
        <f>IF(ISBLANK('Event summary'!D69),"",'Event summary'!D69)</f>
        <v/>
      </c>
      <c r="F69" s="117" t="str">
        <f>IF(ISBLANK('Event summary'!E69),"",'Event summary'!E69)</f>
        <v/>
      </c>
    </row>
    <row r="70" spans="1:6" x14ac:dyDescent="0.2">
      <c r="A70" s="114" t="e">
        <f>IF(ISBLANK('Event summary'!#REF!),"",'Event summary'!#REF!)</f>
        <v>#REF!</v>
      </c>
      <c r="B70" s="115">
        <f>IF(ISBLANK('Event summary'!A70),"",'Event summary'!A70)</f>
        <v>69</v>
      </c>
      <c r="C70" s="115" t="str">
        <f>IF(ISBLANK('Event summary'!B70),"",'Event summary'!B70)</f>
        <v>שגיאה טכנית</v>
      </c>
      <c r="D70" s="116" t="str">
        <f>IF(ISBLANK('Event summary'!C70),"",'Event summary'!C70)</f>
        <v>גלאי הברכי תעד קרינה ללא קרינה בפועל</v>
      </c>
      <c r="E70" s="116" t="str">
        <f>IF(ISBLANK('Event summary'!D70),"",'Event summary'!D70)</f>
        <v/>
      </c>
      <c r="F70" s="117" t="str">
        <f>IF(ISBLANK('Event summary'!E70),"",'Event summary'!E70)</f>
        <v/>
      </c>
    </row>
    <row r="71" spans="1:6" x14ac:dyDescent="0.2">
      <c r="A71" s="114" t="e">
        <f>IF(ISBLANK('Event summary'!#REF!),"",'Event summary'!#REF!)</f>
        <v>#REF!</v>
      </c>
      <c r="B71" s="115">
        <f>IF(ISBLANK('Event summary'!A71),"",'Event summary'!A71)</f>
        <v>70</v>
      </c>
      <c r="C71" s="115" t="str">
        <f>IF(ISBLANK('Event summary'!B71),"",'Event summary'!B71)</f>
        <v>בעיות קיבוע</v>
      </c>
      <c r="D71" s="116" t="str">
        <f>IF(ISBLANK('Event summary'!C71),"",'Event summary'!C71)</f>
        <v>בעיות קיבוע - סימולציה חוזרת, מיקום לא ניתן לשחזור</v>
      </c>
      <c r="E71" s="116" t="str">
        <f>IF(ISBLANK('Event summary'!D71),"",'Event summary'!D71)</f>
        <v/>
      </c>
      <c r="F71" s="117" t="str">
        <f>IF(ISBLANK('Event summary'!E71),"",'Event summary'!E71)</f>
        <v/>
      </c>
    </row>
    <row r="72" spans="1:6" x14ac:dyDescent="0.2">
      <c r="A72" s="114" t="e">
        <f>IF(ISBLANK('Event summary'!#REF!),"",'Event summary'!#REF!)</f>
        <v>#REF!</v>
      </c>
      <c r="B72" s="115">
        <f>IF(ISBLANK('Event summary'!A72),"",'Event summary'!A72)</f>
        <v>71</v>
      </c>
      <c r="C72" s="115" t="str">
        <f>IF(ISBLANK('Event summary'!B72),"",'Event summary'!B72)</f>
        <v>בעיות קיבוע</v>
      </c>
      <c r="D72" s="116" t="str">
        <f>IF(ISBLANK('Event summary'!C72),"",'Event summary'!C72)</f>
        <v>בעיות קיבוע - סימולציה חוזרת, מיקום לא ניתן לשחזור</v>
      </c>
      <c r="E72" s="116" t="str">
        <f>IF(ISBLANK('Event summary'!D72),"",'Event summary'!D72)</f>
        <v/>
      </c>
      <c r="F72" s="117" t="str">
        <f>IF(ISBLANK('Event summary'!E72),"",'Event summary'!E72)</f>
        <v/>
      </c>
    </row>
    <row r="73" spans="1:6" x14ac:dyDescent="0.2">
      <c r="A73" s="114" t="e">
        <f>IF(ISBLANK('Event summary'!#REF!),"",'Event summary'!#REF!)</f>
        <v>#REF!</v>
      </c>
      <c r="B73" s="115">
        <f>IF(ISBLANK('Event summary'!A73),"",'Event summary'!A73)</f>
        <v>72</v>
      </c>
      <c r="C73" s="115" t="str">
        <f>IF(ISBLANK('Event summary'!B73),"",'Event summary'!B73)</f>
        <v>שגיאה טכנית</v>
      </c>
      <c r="D73" s="116" t="str">
        <f>IF(ISBLANK('Event summary'!C73),"",'Event summary'!C73)</f>
        <v>אינטרלוק ב-FIF</v>
      </c>
      <c r="E73" s="116" t="str">
        <f>IF(ISBLANK('Event summary'!D73),"",'Event summary'!D73)</f>
        <v/>
      </c>
      <c r="F73" s="117" t="str">
        <f>IF(ISBLANK('Event summary'!E73),"",'Event summary'!E73)</f>
        <v/>
      </c>
    </row>
    <row r="74" spans="1:6" ht="30" x14ac:dyDescent="0.2">
      <c r="A74" s="114" t="e">
        <f>IF(ISBLANK('Event summary'!#REF!),"",'Event summary'!#REF!)</f>
        <v>#REF!</v>
      </c>
      <c r="B74" s="115">
        <f>IF(ISBLANK('Event summary'!A74),"",'Event summary'!A74)</f>
        <v>73</v>
      </c>
      <c r="C74" s="115" t="str">
        <f>IF(ISBLANK('Event summary'!B74),"",'Event summary'!B74)</f>
        <v>כמעט פגיעה במתקן</v>
      </c>
      <c r="D74" s="116" t="str">
        <f>IF(ISBLANK('Event summary'!C74),"",'Event summary'!C74)</f>
        <v>מניעת פגיעה במיטה, הורדת מטופלת לאחר שנבדק אם ניתן לטפל בשדה PA</v>
      </c>
      <c r="E74" s="116" t="str">
        <f>IF(ISBLANK('Event summary'!D74),"",'Event summary'!D74)</f>
        <v/>
      </c>
      <c r="F74" s="117" t="str">
        <f>IF(ISBLANK('Event summary'!E74),"",'Event summary'!E74)</f>
        <v/>
      </c>
    </row>
    <row r="75" spans="1:6" x14ac:dyDescent="0.2">
      <c r="A75" s="114" t="e">
        <f>IF(ISBLANK('Event summary'!#REF!),"",'Event summary'!#REF!)</f>
        <v>#REF!</v>
      </c>
      <c r="B75" s="115">
        <f>IF(ISBLANK('Event summary'!A75),"",'Event summary'!A75)</f>
        <v>74</v>
      </c>
      <c r="C75" s="115" t="str">
        <f>IF(ISBLANK('Event summary'!B75),"",'Event summary'!B75)</f>
        <v>סימון שגוי</v>
      </c>
      <c r="D75" s="116" t="str">
        <f>IF(ISBLANK('Event summary'!C75),"",'Event summary'!C75)</f>
        <v xml:space="preserve">סימון שגוי שהוביל לתכנון שגוי, צד לא נכון (שמאל במקום ימין), </v>
      </c>
      <c r="E75" s="116" t="str">
        <f>IF(ISBLANK('Event summary'!D75),"",'Event summary'!D75)</f>
        <v/>
      </c>
      <c r="F75" s="117" t="str">
        <f>IF(ISBLANK('Event summary'!E75),"",'Event summary'!E75)</f>
        <v/>
      </c>
    </row>
    <row r="76" spans="1:6" ht="30" x14ac:dyDescent="0.2">
      <c r="A76" s="114" t="e">
        <f>IF(ISBLANK('Event summary'!#REF!),"",'Event summary'!#REF!)</f>
        <v>#REF!</v>
      </c>
      <c r="B76" s="115">
        <f>IF(ISBLANK('Event summary'!A76),"",'Event summary'!A76)</f>
        <v>75</v>
      </c>
      <c r="C76" s="115" t="str">
        <f>IF(ISBLANK('Event summary'!B76),"",'Event summary'!B76)</f>
        <v>אי עמידה בזמנים</v>
      </c>
      <c r="D76" s="116" t="str">
        <f>IF(ISBLANK('Event summary'!C76),"",'Event summary'!C76)</f>
        <v>המתנה ארוכה לתחילת טיפול, מחסור בציוד, לא היה קיים מגנט לקוצב לב ודפיברילטור לצורך טיפול.</v>
      </c>
      <c r="E76" s="116" t="str">
        <f>IF(ISBLANK('Event summary'!D76),"",'Event summary'!D76)</f>
        <v/>
      </c>
      <c r="F76" s="117" t="str">
        <f>IF(ISBLANK('Event summary'!E76),"",'Event summary'!E76)</f>
        <v/>
      </c>
    </row>
    <row r="77" spans="1:6" ht="28.5" x14ac:dyDescent="0.2">
      <c r="A77" s="114" t="e">
        <f>IF(ISBLANK('Event summary'!#REF!),"",'Event summary'!#REF!)</f>
        <v>#REF!</v>
      </c>
      <c r="B77" s="115">
        <f>IF(ISBLANK('Event summary'!A77),"",'Event summary'!A77)</f>
        <v>76</v>
      </c>
      <c r="C77" s="115" t="str">
        <f>IF(ISBLANK('Event summary'!B77),"",'Event summary'!B77)</f>
        <v>היעדר תיעוד</v>
      </c>
      <c r="D77" s="116" t="str">
        <f>IF(ISBLANK('Event summary'!C77),"",'Event summary'!C77)</f>
        <v>מחסור במידע בקבלת החולה, מחסור במסמכים ואישור של קוצבים, מטופל הורד מהשולחן</v>
      </c>
      <c r="E77" s="116" t="str">
        <f>IF(ISBLANK('Event summary'!D77),"",'Event summary'!D77)</f>
        <v/>
      </c>
      <c r="F77" s="117" t="str">
        <f>IF(ISBLANK('Event summary'!E77),"",'Event summary'!E77)</f>
        <v/>
      </c>
    </row>
    <row r="78" spans="1:6" ht="30" x14ac:dyDescent="0.2">
      <c r="A78" s="114" t="e">
        <f>IF(ISBLANK('Event summary'!#REF!),"",'Event summary'!#REF!)</f>
        <v>#REF!</v>
      </c>
      <c r="B78" s="115">
        <f>IF(ISBLANK('Event summary'!A78),"",'Event summary'!A78)</f>
        <v>77</v>
      </c>
      <c r="C78" s="115" t="str">
        <f>IF(ISBLANK('Event summary'!B78),"",'Event summary'!B78)</f>
        <v>מתן טיפול בהיעדר מרשם</v>
      </c>
      <c r="D78" s="116" t="str">
        <f>IF(ISBLANK('Event summary'!C78),"",'Event summary'!C78)</f>
        <v>מתן טיפול בהיעדר מרשם - קבלת פרקציה 1 נוספת עקב הפסקת טיפולים ללא מרשם</v>
      </c>
      <c r="E78" s="116" t="str">
        <f>IF(ISBLANK('Event summary'!D78),"",'Event summary'!D78)</f>
        <v/>
      </c>
      <c r="F78" s="117" t="str">
        <f>IF(ISBLANK('Event summary'!E78),"",'Event summary'!E78)</f>
        <v/>
      </c>
    </row>
    <row r="79" spans="1:6" ht="30" x14ac:dyDescent="0.2">
      <c r="A79" s="114" t="e">
        <f>IF(ISBLANK('Event summary'!#REF!),"",'Event summary'!#REF!)</f>
        <v>#REF!</v>
      </c>
      <c r="B79" s="115">
        <f>IF(ISBLANK('Event summary'!A79),"",'Event summary'!A79)</f>
        <v>78</v>
      </c>
      <c r="C79" s="115" t="str">
        <f>IF(ISBLANK('Event summary'!B79),"",'Event summary'!B79)</f>
        <v>סריקה לא תקינה</v>
      </c>
      <c r="D79" s="116" t="str">
        <f>IF(ISBLANK('Event summary'!C79),"",'Event summary'!C79)</f>
        <v>סריקה CT לא איכותית, סריקה של 5 מ"מ ברזולוציה לא טובה</v>
      </c>
      <c r="E79" s="116" t="str">
        <f>IF(ISBLANK('Event summary'!D79),"",'Event summary'!D79)</f>
        <v/>
      </c>
      <c r="F79" s="117" t="str">
        <f>IF(ISBLANK('Event summary'!E79),"",'Event summary'!E79)</f>
        <v/>
      </c>
    </row>
    <row r="80" spans="1:6" x14ac:dyDescent="0.2">
      <c r="A80" s="114" t="e">
        <f>IF(ISBLANK('Event summary'!#REF!),"",'Event summary'!#REF!)</f>
        <v>#REF!</v>
      </c>
      <c r="B80" s="115">
        <f>IF(ISBLANK('Event summary'!A80),"",'Event summary'!A80)</f>
        <v>79</v>
      </c>
      <c r="C80" s="115" t="str">
        <f>IF(ISBLANK('Event summary'!B80),"",'Event summary'!B80)</f>
        <v>תכנון שגוי</v>
      </c>
      <c r="D80" s="116" t="str">
        <f>IF(ISBLANK('Event summary'!C80),"",'Event summary'!C80)</f>
        <v>הכנסת SU עם סיבוב מיטה</v>
      </c>
      <c r="E80" s="116" t="str">
        <f>IF(ISBLANK('Event summary'!D80),"",'Event summary'!D80)</f>
        <v/>
      </c>
      <c r="F80" s="117" t="str">
        <f>IF(ISBLANK('Event summary'!E80),"",'Event summary'!E80)</f>
        <v/>
      </c>
    </row>
    <row r="81" spans="1:6" ht="30" x14ac:dyDescent="0.2">
      <c r="A81" s="114" t="e">
        <f>IF(ISBLANK('Event summary'!#REF!),"",'Event summary'!#REF!)</f>
        <v>#REF!</v>
      </c>
      <c r="B81" s="115">
        <f>IF(ISBLANK('Event summary'!A81),"",'Event summary'!A81)</f>
        <v>80</v>
      </c>
      <c r="C81" s="115" t="str">
        <f>IF(ISBLANK('Event summary'!B81),"",'Event summary'!B81)</f>
        <v>מתן טיפול באופן שגוי</v>
      </c>
      <c r="D81" s="116" t="str">
        <f>IF(ISBLANK('Event summary'!C81),"",'Event summary'!C81)</f>
        <v>טיפול קונטקט שגוי, הכנת פרטים במכשיר שגויה לא בהתאם למרשם הרופא</v>
      </c>
      <c r="E81" s="116" t="str">
        <f>IF(ISBLANK('Event summary'!D81),"",'Event summary'!D81)</f>
        <v/>
      </c>
      <c r="F81" s="117" t="str">
        <f>IF(ISBLANK('Event summary'!E81),"",'Event summary'!E81)</f>
        <v/>
      </c>
    </row>
    <row r="82" spans="1:6" x14ac:dyDescent="0.2">
      <c r="A82" s="114" t="e">
        <f>IF(ISBLANK('Event summary'!#REF!),"",'Event summary'!#REF!)</f>
        <v>#REF!</v>
      </c>
      <c r="B82" s="115">
        <f>IF(ISBLANK('Event summary'!A82),"",'Event summary'!A82)</f>
        <v>81</v>
      </c>
      <c r="C82" s="115" t="str">
        <f>IF(ISBLANK('Event summary'!B82),"",'Event summary'!B82)</f>
        <v>שגיאה טכנית</v>
      </c>
      <c r="D82" s="116" t="str">
        <f>IF(ISBLANK('Event summary'!C82),"",'Event summary'!C82)</f>
        <v>תקלה MLC, טיפול לא הושלם.</v>
      </c>
      <c r="E82" s="116" t="str">
        <f>IF(ISBLANK('Event summary'!D82),"",'Event summary'!D82)</f>
        <v/>
      </c>
      <c r="F82" s="117" t="str">
        <f>IF(ISBLANK('Event summary'!E82),"",'Event summary'!E82)</f>
        <v/>
      </c>
    </row>
    <row r="83" spans="1:6" ht="30" x14ac:dyDescent="0.2">
      <c r="A83" s="114" t="e">
        <f>IF(ISBLANK('Event summary'!#REF!),"",'Event summary'!#REF!)</f>
        <v>#REF!</v>
      </c>
      <c r="B83" s="115">
        <f>IF(ISBLANK('Event summary'!A83),"",'Event summary'!A83)</f>
        <v>82</v>
      </c>
      <c r="C83" s="115" t="str">
        <f>IF(ISBLANK('Event summary'!B83),"",'Event summary'!B83)</f>
        <v>זימון תור לא מספק</v>
      </c>
      <c r="D83" s="116" t="str">
        <f>IF(ISBLANK('Event summary'!C83),"",'Event summary'!C83)</f>
        <v>אי שיבוץ מועד ומאיץ, הגעת המטופל (ילד) ללא תיק מתוכנן.</v>
      </c>
      <c r="E83" s="116" t="str">
        <f>IF(ISBLANK('Event summary'!D83),"",'Event summary'!D83)</f>
        <v/>
      </c>
      <c r="F83" s="117" t="str">
        <f>IF(ISBLANK('Event summary'!E83),"",'Event summary'!E83)</f>
        <v/>
      </c>
    </row>
    <row r="84" spans="1:6" ht="30" x14ac:dyDescent="0.2">
      <c r="A84" s="114" t="e">
        <f>IF(ISBLANK('Event summary'!#REF!),"",'Event summary'!#REF!)</f>
        <v>#REF!</v>
      </c>
      <c r="B84" s="115">
        <f>IF(ISBLANK('Event summary'!A84),"",'Event summary'!A84)</f>
        <v>83</v>
      </c>
      <c r="C84" s="115" t="str">
        <f>IF(ISBLANK('Event summary'!B84),"",'Event summary'!B84)</f>
        <v>אי עמידה בזמנים</v>
      </c>
      <c r="D84" s="116" t="str">
        <f>IF(ISBLANK('Event summary'!C84),"",'Event summary'!C84)</f>
        <v xml:space="preserve">אי עמידה בזמנים, הגעת התיק לחישוב קרוב מדי למועד הטיפול, SBRT </v>
      </c>
      <c r="E84" s="116" t="str">
        <f>IF(ISBLANK('Event summary'!D84),"",'Event summary'!D84)</f>
        <v/>
      </c>
      <c r="F84" s="117" t="str">
        <f>IF(ISBLANK('Event summary'!E84),"",'Event summary'!E84)</f>
        <v/>
      </c>
    </row>
    <row r="85" spans="1:6" x14ac:dyDescent="0.2">
      <c r="A85" s="114" t="e">
        <f>IF(ISBLANK('Event summary'!#REF!),"",'Event summary'!#REF!)</f>
        <v>#REF!</v>
      </c>
      <c r="B85" s="115">
        <f>IF(ISBLANK('Event summary'!A85),"",'Event summary'!A85)</f>
        <v>84</v>
      </c>
      <c r="C85" s="115" t="str">
        <f>IF(ISBLANK('Event summary'!B85),"",'Event summary'!B85)</f>
        <v>תקשורת לקויה</v>
      </c>
      <c r="D85" s="116" t="str">
        <f>IF(ISBLANK('Event summary'!C85),"",'Event summary'!C85)</f>
        <v>תקשורת לקויה - מרשם לא ברור, תכנון לא לפי כוונת הרופא</v>
      </c>
      <c r="E85" s="116" t="str">
        <f>IF(ISBLANK('Event summary'!D85),"",'Event summary'!D85)</f>
        <v/>
      </c>
      <c r="F85" s="117" t="str">
        <f>IF(ISBLANK('Event summary'!E85),"",'Event summary'!E85)</f>
        <v/>
      </c>
    </row>
    <row r="86" spans="1:6" x14ac:dyDescent="0.2">
      <c r="A86" s="114" t="e">
        <f>IF(ISBLANK('Event summary'!#REF!),"",'Event summary'!#REF!)</f>
        <v>#REF!</v>
      </c>
      <c r="B86" s="115">
        <f>IF(ISBLANK('Event summary'!A86),"",'Event summary'!A86)</f>
        <v>85</v>
      </c>
      <c r="C86" s="115" t="str">
        <f>IF(ISBLANK('Event summary'!B86),"",'Event summary'!B86)</f>
        <v>תיעוד לא תקין</v>
      </c>
      <c r="D86" s="116" t="str">
        <f>IF(ISBLANK('Event summary'!C86),"",'Event summary'!C86)</f>
        <v xml:space="preserve">תיעוד לא תקין - מרשם לא תקין </v>
      </c>
      <c r="E86" s="116" t="str">
        <f>IF(ISBLANK('Event summary'!D86),"",'Event summary'!D86)</f>
        <v/>
      </c>
      <c r="F86" s="117" t="str">
        <f>IF(ISBLANK('Event summary'!E86),"",'Event summary'!E86)</f>
        <v/>
      </c>
    </row>
    <row r="87" spans="1:6" ht="30" x14ac:dyDescent="0.2">
      <c r="A87" s="114" t="e">
        <f>IF(ISBLANK('Event summary'!#REF!),"",'Event summary'!#REF!)</f>
        <v>#REF!</v>
      </c>
      <c r="B87" s="115">
        <f>IF(ISBLANK('Event summary'!A87),"",'Event summary'!A87)</f>
        <v>86</v>
      </c>
      <c r="C87" s="115" t="str">
        <f>IF(ISBLANK('Event summary'!B87),"",'Event summary'!B87)</f>
        <v>אי עמידה בזמנים</v>
      </c>
      <c r="D87" s="116" t="str">
        <f>IF(ISBLANK('Event summary'!C87),"",'Event summary'!C87)</f>
        <v xml:space="preserve">אי עמידה בזמנים, הגעת התיק לחישוב קרוב מדי למועד הטיפול, SBRT </v>
      </c>
      <c r="E87" s="116" t="str">
        <f>IF(ISBLANK('Event summary'!D87),"",'Event summary'!D87)</f>
        <v/>
      </c>
      <c r="F87" s="117" t="str">
        <f>IF(ISBLANK('Event summary'!E87),"",'Event summary'!E87)</f>
        <v/>
      </c>
    </row>
    <row r="88" spans="1:6" ht="30" x14ac:dyDescent="0.2">
      <c r="A88" s="114" t="e">
        <f>IF(ISBLANK('Event summary'!#REF!),"",'Event summary'!#REF!)</f>
        <v>#REF!</v>
      </c>
      <c r="B88" s="115">
        <f>IF(ISBLANK('Event summary'!A88),"",'Event summary'!A88)</f>
        <v>87</v>
      </c>
      <c r="C88" s="115" t="str">
        <f>IF(ISBLANK('Event summary'!B88),"",'Event summary'!B88)</f>
        <v>אי עמידה בזמנים</v>
      </c>
      <c r="D88" s="116" t="str">
        <f>IF(ISBLANK('Event summary'!C88),"",'Event summary'!C88)</f>
        <v>אי עמידה בזמנים, הגעת התיק לחישוב קרוב מדי למועד הטיפול, פרוסטטה</v>
      </c>
      <c r="E88" s="116" t="str">
        <f>IF(ISBLANK('Event summary'!D88),"",'Event summary'!D88)</f>
        <v/>
      </c>
      <c r="F88" s="117" t="str">
        <f>IF(ISBLANK('Event summary'!E88),"",'Event summary'!E88)</f>
        <v/>
      </c>
    </row>
    <row r="89" spans="1:6" ht="30" x14ac:dyDescent="0.2">
      <c r="A89" s="114" t="e">
        <f>IF(ISBLANK('Event summary'!#REF!),"",'Event summary'!#REF!)</f>
        <v>#REF!</v>
      </c>
      <c r="B89" s="115">
        <f>IF(ISBLANK('Event summary'!A89),"",'Event summary'!A89)</f>
        <v>88</v>
      </c>
      <c r="C89" s="115" t="str">
        <f>IF(ISBLANK('Event summary'!B89),"",'Event summary'!B89)</f>
        <v>אי עמידה בזמנים</v>
      </c>
      <c r="D89" s="116" t="str">
        <f>IF(ISBLANK('Event summary'!C89),"",'Event summary'!C89)</f>
        <v>אי עמידה בזמנים, העברת התיק לחישוב התבצעה באיחור</v>
      </c>
      <c r="E89" s="116" t="str">
        <f>IF(ISBLANK('Event summary'!D89),"",'Event summary'!D89)</f>
        <v/>
      </c>
      <c r="F89" s="117" t="str">
        <f>IF(ISBLANK('Event summary'!E89),"",'Event summary'!E89)</f>
        <v/>
      </c>
    </row>
    <row r="90" spans="1:6" ht="30" x14ac:dyDescent="0.2">
      <c r="A90" s="114" t="e">
        <f>IF(ISBLANK('Event summary'!#REF!),"",'Event summary'!#REF!)</f>
        <v>#REF!</v>
      </c>
      <c r="B90" s="115">
        <f>IF(ISBLANK('Event summary'!A90),"",'Event summary'!A90)</f>
        <v>89</v>
      </c>
      <c r="C90" s="115" t="str">
        <f>IF(ISBLANK('Event summary'!B90),"",'Event summary'!B90)</f>
        <v>עבודה שלא על פי הנוהל</v>
      </c>
      <c r="D90" s="116" t="str">
        <f>IF(ISBLANK('Event summary'!C90),"",'Event summary'!C90)</f>
        <v xml:space="preserve">עבודה שלא על פי הנוהל - תכנון טיפול ללא שיבוץ של מועד ומאיץ </v>
      </c>
      <c r="E90" s="116" t="str">
        <f>IF(ISBLANK('Event summary'!D90),"",'Event summary'!D90)</f>
        <v/>
      </c>
      <c r="F90" s="117" t="str">
        <f>IF(ISBLANK('Event summary'!E90),"",'Event summary'!E90)</f>
        <v/>
      </c>
    </row>
    <row r="91" spans="1:6" ht="30" x14ac:dyDescent="0.2">
      <c r="A91" s="114" t="e">
        <f>IF(ISBLANK('Event summary'!#REF!),"",'Event summary'!#REF!)</f>
        <v>#REF!</v>
      </c>
      <c r="B91" s="115">
        <f>IF(ISBLANK('Event summary'!A91),"",'Event summary'!A91)</f>
        <v>90</v>
      </c>
      <c r="C91" s="115" t="str">
        <f>IF(ISBLANK('Event summary'!B91),"",'Event summary'!B91)</f>
        <v>סריקה לא תקינה</v>
      </c>
      <c r="D91" s="116" t="str">
        <f>IF(ISBLANK('Event summary'!C91),"",'Event summary'!C91)</f>
        <v>סריקה לא תקינה - סריקה קצרה, הנפח של הגידול מגיע לקצה הסריקה</v>
      </c>
      <c r="E91" s="116" t="str">
        <f>IF(ISBLANK('Event summary'!D91),"",'Event summary'!D91)</f>
        <v/>
      </c>
      <c r="F91" s="117" t="str">
        <f>IF(ISBLANK('Event summary'!E91),"",'Event summary'!E91)</f>
        <v/>
      </c>
    </row>
    <row r="92" spans="1:6" ht="30" x14ac:dyDescent="0.2">
      <c r="A92" s="114" t="e">
        <f>IF(ISBLANK('Event summary'!#REF!),"",'Event summary'!#REF!)</f>
        <v>#REF!</v>
      </c>
      <c r="B92" s="115">
        <f>IF(ISBLANK('Event summary'!A92),"",'Event summary'!A92)</f>
        <v>91</v>
      </c>
      <c r="C92" s="115" t="str">
        <f>IF(ISBLANK('Event summary'!B92),"",'Event summary'!B92)</f>
        <v>סריקה לא תקינה</v>
      </c>
      <c r="D92" s="116" t="str">
        <f>IF(ISBLANK('Event summary'!C92),"",'Event summary'!C92)</f>
        <v>סריקה לא תקינה - סריקה קצרה, הנפח מגיע לקצה הסריקה</v>
      </c>
      <c r="E92" s="116" t="str">
        <f>IF(ISBLANK('Event summary'!D92),"",'Event summary'!D92)</f>
        <v/>
      </c>
      <c r="F92" s="117" t="str">
        <f>IF(ISBLANK('Event summary'!E92),"",'Event summary'!E92)</f>
        <v/>
      </c>
    </row>
    <row r="93" spans="1:6" ht="30" x14ac:dyDescent="0.2">
      <c r="A93" s="114" t="e">
        <f>IF(ISBLANK('Event summary'!#REF!),"",'Event summary'!#REF!)</f>
        <v>#REF!</v>
      </c>
      <c r="B93" s="115">
        <f>IF(ISBLANK('Event summary'!A93),"",'Event summary'!A93)</f>
        <v>92</v>
      </c>
      <c r="C93" s="115" t="str">
        <f>IF(ISBLANK('Event summary'!B93),"",'Event summary'!B93)</f>
        <v>סריקה לא תקינה</v>
      </c>
      <c r="D93" s="116" t="str">
        <f>IF(ISBLANK('Event summary'!C93),"",'Event summary'!C93)</f>
        <v>סריקה לא תקינה - לא מאפשר לתכנן שדות פלנריים</v>
      </c>
      <c r="E93" s="116" t="str">
        <f>IF(ISBLANK('Event summary'!D93),"",'Event summary'!D93)</f>
        <v/>
      </c>
      <c r="F93" s="117" t="str">
        <f>IF(ISBLANK('Event summary'!E93),"",'Event summary'!E93)</f>
        <v/>
      </c>
    </row>
    <row r="94" spans="1:6" ht="30" x14ac:dyDescent="0.2">
      <c r="A94" s="114" t="e">
        <f>IF(ISBLANK('Event summary'!#REF!),"",'Event summary'!#REF!)</f>
        <v>#REF!</v>
      </c>
      <c r="B94" s="115">
        <f>IF(ISBLANK('Event summary'!A94),"",'Event summary'!A94)</f>
        <v>93</v>
      </c>
      <c r="C94" s="115" t="str">
        <f>IF(ISBLANK('Event summary'!B94),"",'Event summary'!B94)</f>
        <v>מתן טיפול באופן שגוי</v>
      </c>
      <c r="D94" s="116" t="str">
        <f>IF(ISBLANK('Event summary'!C94),"",'Event summary'!C94)</f>
        <v>מתן טיפול באופן שגוי - הוקרן פעמיים שדה של קונטקט</v>
      </c>
      <c r="E94" s="116" t="str">
        <f>IF(ISBLANK('Event summary'!D94),"",'Event summary'!D94)</f>
        <v/>
      </c>
      <c r="F94" s="117" t="str">
        <f>IF(ISBLANK('Event summary'!E94),"",'Event summary'!E94)</f>
        <v/>
      </c>
    </row>
    <row r="95" spans="1:6" ht="30" x14ac:dyDescent="0.2">
      <c r="A95" s="114" t="e">
        <f>IF(ISBLANK('Event summary'!#REF!),"",'Event summary'!#REF!)</f>
        <v>#REF!</v>
      </c>
      <c r="B95" s="115">
        <f>IF(ISBLANK('Event summary'!A95),"",'Event summary'!A95)</f>
        <v>94</v>
      </c>
      <c r="C95" s="115" t="str">
        <f>IF(ISBLANK('Event summary'!B95),"",'Event summary'!B95)</f>
        <v>מתן טיפול באופן שגוי</v>
      </c>
      <c r="D95" s="116" t="str">
        <f>IF(ISBLANK('Event summary'!C95),"",'Event summary'!C95)</f>
        <v xml:space="preserve">מתן טיפול באופן שגוי - העברת מידע בקרת איכות, אמצעי קיבוע, פרקציה 2 טופלה ללא VACLOCK </v>
      </c>
      <c r="E95" s="116" t="str">
        <f>IF(ISBLANK('Event summary'!D95),"",'Event summary'!D95)</f>
        <v/>
      </c>
      <c r="F95" s="117" t="str">
        <f>IF(ISBLANK('Event summary'!E95),"",'Event summary'!E95)</f>
        <v/>
      </c>
    </row>
    <row r="96" spans="1:6" x14ac:dyDescent="0.2">
      <c r="A96" s="114" t="e">
        <f>IF(ISBLANK('Event summary'!#REF!),"",'Event summary'!#REF!)</f>
        <v>#REF!</v>
      </c>
      <c r="B96" s="115">
        <f>IF(ISBLANK('Event summary'!A96),"",'Event summary'!A96)</f>
        <v>95</v>
      </c>
      <c r="C96" s="115" t="str">
        <f>IF(ISBLANK('Event summary'!B96),"",'Event summary'!B96)</f>
        <v>תקשורת לקויה</v>
      </c>
      <c r="D96" s="116" t="str">
        <f>IF(ISBLANK('Event summary'!C96),"",'Event summary'!C96)</f>
        <v>תקשורת לקויה - מרשם לא ברור</v>
      </c>
      <c r="E96" s="116" t="str">
        <f>IF(ISBLANK('Event summary'!D96),"",'Event summary'!D96)</f>
        <v/>
      </c>
      <c r="F96" s="117" t="str">
        <f>IF(ISBLANK('Event summary'!E96),"",'Event summary'!E96)</f>
        <v/>
      </c>
    </row>
    <row r="97" spans="1:6" ht="30" x14ac:dyDescent="0.2">
      <c r="A97" s="114" t="e">
        <f>IF(ISBLANK('Event summary'!#REF!),"",'Event summary'!#REF!)</f>
        <v>#REF!</v>
      </c>
      <c r="B97" s="115">
        <f>IF(ISBLANK('Event summary'!A97),"",'Event summary'!A97)</f>
        <v>96</v>
      </c>
      <c r="C97" s="115" t="str">
        <f>IF(ISBLANK('Event summary'!B97),"",'Event summary'!B97)</f>
        <v>עבודה שלא על פי הנוהל</v>
      </c>
      <c r="D97" s="116" t="str">
        <f>IF(ISBLANK('Event summary'!C97),"",'Event summary'!C97)</f>
        <v>עבודה שלא על פי הנוהל - תכנון טיפול על קורס ישן באותו איזור</v>
      </c>
      <c r="E97" s="116" t="str">
        <f>IF(ISBLANK('Event summary'!D97),"",'Event summary'!D97)</f>
        <v/>
      </c>
      <c r="F97" s="117" t="str">
        <f>IF(ISBLANK('Event summary'!E97),"",'Event summary'!E97)</f>
        <v/>
      </c>
    </row>
    <row r="98" spans="1:6" x14ac:dyDescent="0.2">
      <c r="A98" s="114" t="e">
        <f>IF(ISBLANK('Event summary'!#REF!),"",'Event summary'!#REF!)</f>
        <v>#REF!</v>
      </c>
      <c r="B98" s="115">
        <f>IF(ISBLANK('Event summary'!A98),"",'Event summary'!A98)</f>
        <v>97</v>
      </c>
      <c r="C98" s="115" t="str">
        <f>IF(ISBLANK('Event summary'!B98),"",'Event summary'!B98)</f>
        <v>העברת מידע</v>
      </c>
      <c r="D98" s="116" t="str">
        <f>IF(ISBLANK('Event summary'!C98),"",'Event summary'!C98)</f>
        <v>תכנון ברונכוס ללא תיאום עם פיזיקה</v>
      </c>
      <c r="E98" s="116" t="str">
        <f>IF(ISBLANK('Event summary'!D98),"",'Event summary'!D98)</f>
        <v/>
      </c>
      <c r="F98" s="117" t="str">
        <f>IF(ISBLANK('Event summary'!E98),"",'Event summary'!E98)</f>
        <v/>
      </c>
    </row>
    <row r="99" spans="1:6" ht="30" x14ac:dyDescent="0.2">
      <c r="A99" s="114" t="e">
        <f>IF(ISBLANK('Event summary'!#REF!),"",'Event summary'!#REF!)</f>
        <v>#REF!</v>
      </c>
      <c r="B99" s="115">
        <f>IF(ISBLANK('Event summary'!A99),"",'Event summary'!A99)</f>
        <v>98</v>
      </c>
      <c r="C99" s="115" t="str">
        <f>IF(ISBLANK('Event summary'!B99),"",'Event summary'!B99)</f>
        <v>אי ביצוע הנחיה (מטופלים)</v>
      </c>
      <c r="D99" s="116" t="str">
        <f>IF(ISBLANK('Event summary'!C99),"",'Event summary'!C99)</f>
        <v>אי ביצוע הנחיה (מטופלים) - הגעה מוקדמת של מטופלת, הרופא המטפל ביקש לתת טיפול</v>
      </c>
      <c r="E99" s="116" t="str">
        <f>IF(ISBLANK('Event summary'!D99),"",'Event summary'!D99)</f>
        <v/>
      </c>
      <c r="F99" s="117" t="str">
        <f>IF(ISBLANK('Event summary'!E99),"",'Event summary'!E99)</f>
        <v/>
      </c>
    </row>
    <row r="100" spans="1:6" x14ac:dyDescent="0.2">
      <c r="A100" s="114" t="e">
        <f>IF(ISBLANK('Event summary'!#REF!),"",'Event summary'!#REF!)</f>
        <v>#REF!</v>
      </c>
      <c r="B100" s="115">
        <f>IF(ISBLANK('Event summary'!A100),"",'Event summary'!A100)</f>
        <v>99</v>
      </c>
      <c r="C100" s="115" t="str">
        <f>IF(ISBLANK('Event summary'!B100),"",'Event summary'!B100)</f>
        <v>העברת מידע</v>
      </c>
      <c r="D100" s="116" t="str">
        <f>IF(ISBLANK('Event summary'!C100),"",'Event summary'!C100)</f>
        <v>תיאום בין קמליון לאריה</v>
      </c>
      <c r="E100" s="116" t="str">
        <f>IF(ISBLANK('Event summary'!D100),"",'Event summary'!D100)</f>
        <v/>
      </c>
      <c r="F100" s="117" t="str">
        <f>IF(ISBLANK('Event summary'!E100),"",'Event summary'!E100)</f>
        <v/>
      </c>
    </row>
    <row r="101" spans="1:6" ht="28.5" x14ac:dyDescent="0.2">
      <c r="A101" s="114" t="e">
        <f>IF(ISBLANK('Event summary'!#REF!),"",'Event summary'!#REF!)</f>
        <v>#REF!</v>
      </c>
      <c r="B101" s="115">
        <f>IF(ISBLANK('Event summary'!A101),"",'Event summary'!A101)</f>
        <v>100</v>
      </c>
      <c r="C101" s="115" t="str">
        <f>IF(ISBLANK('Event summary'!B101),"",'Event summary'!B101)</f>
        <v>תכנון שגוי</v>
      </c>
      <c r="D101" s="116" t="str">
        <f>IF(ISBLANK('Event summary'!C101),"",'Event summary'!C101)</f>
        <v>טיפול ברכי ברונכוס, קטטר נחתך - היה קצר מדי ולא ניתן לטפל</v>
      </c>
      <c r="E101" s="116" t="str">
        <f>IF(ISBLANK('Event summary'!D101),"",'Event summary'!D101)</f>
        <v/>
      </c>
      <c r="F101" s="117" t="str">
        <f>IF(ISBLANK('Event summary'!E101),"",'Event summary'!E101)</f>
        <v/>
      </c>
    </row>
    <row r="102" spans="1:6" x14ac:dyDescent="0.2">
      <c r="A102" s="114" t="e">
        <f>IF(ISBLANK('Event summary'!#REF!),"",'Event summary'!#REF!)</f>
        <v>#REF!</v>
      </c>
      <c r="B102" s="115">
        <f>IF(ISBLANK('Event summary'!A102),"",'Event summary'!A102)</f>
        <v>101</v>
      </c>
      <c r="C102" s="115" t="str">
        <f>IF(ISBLANK('Event summary'!B102),"",'Event summary'!B102)</f>
        <v/>
      </c>
      <c r="D102" s="116" t="str">
        <f>IF(ISBLANK('Event summary'!C102),"",'Event summary'!C102)</f>
        <v/>
      </c>
      <c r="E102" s="116" t="str">
        <f>IF(ISBLANK('Event summary'!D102),"",'Event summary'!D102)</f>
        <v/>
      </c>
      <c r="F102" s="117" t="str">
        <f>IF(ISBLANK('Event summary'!E102),"",'Event summary'!E102)</f>
        <v/>
      </c>
    </row>
    <row r="103" spans="1:6" x14ac:dyDescent="0.2">
      <c r="A103" s="114" t="e">
        <f>IF(ISBLANK('Event summary'!#REF!),"",'Event summary'!#REF!)</f>
        <v>#REF!</v>
      </c>
      <c r="B103" s="115">
        <f>IF(ISBLANK('Event summary'!A103),"",'Event summary'!A103)</f>
        <v>102</v>
      </c>
      <c r="C103" s="115" t="str">
        <f>IF(ISBLANK('Event summary'!B103),"",'Event summary'!B103)</f>
        <v/>
      </c>
      <c r="D103" s="116" t="str">
        <f>IF(ISBLANK('Event summary'!C103),"",'Event summary'!C103)</f>
        <v/>
      </c>
      <c r="E103" s="116" t="str">
        <f>IF(ISBLANK('Event summary'!D103),"",'Event summary'!D103)</f>
        <v/>
      </c>
      <c r="F103" s="117" t="str">
        <f>IF(ISBLANK('Event summary'!E103),"",'Event summary'!E103)</f>
        <v/>
      </c>
    </row>
    <row r="104" spans="1:6" x14ac:dyDescent="0.2">
      <c r="A104" s="114" t="e">
        <f>IF(ISBLANK('Event summary'!#REF!),"",'Event summary'!#REF!)</f>
        <v>#REF!</v>
      </c>
      <c r="B104" s="115">
        <f>IF(ISBLANK('Event summary'!A104),"",'Event summary'!A104)</f>
        <v>103</v>
      </c>
      <c r="C104" s="115" t="str">
        <f>IF(ISBLANK('Event summary'!B104),"",'Event summary'!B104)</f>
        <v/>
      </c>
      <c r="D104" s="116" t="str">
        <f>IF(ISBLANK('Event summary'!C104),"",'Event summary'!C104)</f>
        <v/>
      </c>
      <c r="E104" s="116" t="str">
        <f>IF(ISBLANK('Event summary'!D104),"",'Event summary'!D104)</f>
        <v/>
      </c>
      <c r="F104" s="117" t="str">
        <f>IF(ISBLANK('Event summary'!E104),"",'Event summary'!E104)</f>
        <v/>
      </c>
    </row>
    <row r="105" spans="1:6" ht="28.5" x14ac:dyDescent="0.2">
      <c r="A105" s="114" t="e">
        <f>IF(ISBLANK('Event summary'!#REF!),"",'Event summary'!#REF!)</f>
        <v>#REF!</v>
      </c>
      <c r="B105" s="115">
        <f>IF(ISBLANK('Event summary'!A105),"",'Event summary'!A105)</f>
        <v>104</v>
      </c>
      <c r="C105" s="115" t="str">
        <f>IF(ISBLANK('Event summary'!B105),"",'Event summary'!B105)</f>
        <v>בעיות קיבוע</v>
      </c>
      <c r="D105" s="116" t="str">
        <f>IF(ISBLANK('Event summary'!C105),"",'Event summary'!C105)</f>
        <v>בעיות קיבוע - אמצעי קיבוע פגום. לא ניתן היה להשכיב מטופל על מיטת SRS בסימוליצה עקב שינוי במתקן.</v>
      </c>
      <c r="E105" s="116" t="str">
        <f>IF(ISBLANK('Event summary'!D105),"",'Event summary'!D105)</f>
        <v/>
      </c>
      <c r="F105" s="117" t="str">
        <f>IF(ISBLANK('Event summary'!E105),"",'Event summary'!E105)</f>
        <v/>
      </c>
    </row>
    <row r="106" spans="1:6" x14ac:dyDescent="0.2">
      <c r="A106" s="114" t="e">
        <f>IF(ISBLANK('Event summary'!#REF!),"",'Event summary'!#REF!)</f>
        <v>#REF!</v>
      </c>
      <c r="B106" s="115">
        <f>IF(ISBLANK('Event summary'!A106),"",'Event summary'!A106)</f>
        <v>105</v>
      </c>
      <c r="C106" s="115" t="str">
        <f>IF(ISBLANK('Event summary'!B106),"",'Event summary'!B106)</f>
        <v/>
      </c>
      <c r="D106" s="116" t="str">
        <f>IF(ISBLANK('Event summary'!C106),"",'Event summary'!C106)</f>
        <v/>
      </c>
      <c r="E106" s="116" t="str">
        <f>IF(ISBLANK('Event summary'!D106),"",'Event summary'!D106)</f>
        <v/>
      </c>
      <c r="F106" s="117" t="str">
        <f>IF(ISBLANK('Event summary'!E106),"",'Event summary'!E106)</f>
        <v/>
      </c>
    </row>
    <row r="107" spans="1:6" x14ac:dyDescent="0.2">
      <c r="A107" s="114" t="e">
        <f>IF(ISBLANK('Event summary'!#REF!),"",'Event summary'!#REF!)</f>
        <v>#REF!</v>
      </c>
      <c r="B107" s="115">
        <f>IF(ISBLANK('Event summary'!A107),"",'Event summary'!A107)</f>
        <v>106</v>
      </c>
      <c r="C107" s="115" t="str">
        <f>IF(ISBLANK('Event summary'!B107),"",'Event summary'!B107)</f>
        <v/>
      </c>
      <c r="D107" s="116" t="str">
        <f>IF(ISBLANK('Event summary'!C107),"",'Event summary'!C107)</f>
        <v/>
      </c>
      <c r="E107" s="116" t="str">
        <f>IF(ISBLANK('Event summary'!D107),"",'Event summary'!D107)</f>
        <v/>
      </c>
      <c r="F107" s="117" t="str">
        <f>IF(ISBLANK('Event summary'!E107),"",'Event summary'!E107)</f>
        <v/>
      </c>
    </row>
    <row r="108" spans="1:6" x14ac:dyDescent="0.2">
      <c r="A108" s="114" t="e">
        <f>IF(ISBLANK('Event summary'!#REF!),"",'Event summary'!#REF!)</f>
        <v>#REF!</v>
      </c>
      <c r="B108" s="115">
        <f>IF(ISBLANK('Event summary'!A108),"",'Event summary'!A108)</f>
        <v>107</v>
      </c>
      <c r="C108" s="115" t="str">
        <f>IF(ISBLANK('Event summary'!B108),"",'Event summary'!B108)</f>
        <v/>
      </c>
      <c r="D108" s="116" t="str">
        <f>IF(ISBLANK('Event summary'!C108),"",'Event summary'!C108)</f>
        <v/>
      </c>
      <c r="E108" s="116" t="str">
        <f>IF(ISBLANK('Event summary'!D108),"",'Event summary'!D108)</f>
        <v/>
      </c>
      <c r="F108" s="117" t="str">
        <f>IF(ISBLANK('Event summary'!E108),"",'Event summary'!E108)</f>
        <v/>
      </c>
    </row>
    <row r="109" spans="1:6" x14ac:dyDescent="0.2">
      <c r="A109" s="114" t="e">
        <f>IF(ISBLANK('Event summary'!#REF!),"",'Event summary'!#REF!)</f>
        <v>#REF!</v>
      </c>
      <c r="B109" s="115">
        <f>IF(ISBLANK('Event summary'!A109),"",'Event summary'!A109)</f>
        <v>108</v>
      </c>
      <c r="C109" s="115" t="str">
        <f>IF(ISBLANK('Event summary'!B109),"",'Event summary'!B109)</f>
        <v/>
      </c>
      <c r="D109" s="116" t="str">
        <f>IF(ISBLANK('Event summary'!C109),"",'Event summary'!C109)</f>
        <v/>
      </c>
      <c r="E109" s="116" t="str">
        <f>IF(ISBLANK('Event summary'!D109),"",'Event summary'!D109)</f>
        <v/>
      </c>
      <c r="F109" s="117" t="str">
        <f>IF(ISBLANK('Event summary'!E109),"",'Event summary'!E109)</f>
        <v/>
      </c>
    </row>
    <row r="110" spans="1:6" x14ac:dyDescent="0.2">
      <c r="A110" s="114" t="e">
        <f>IF(ISBLANK('Event summary'!#REF!),"",'Event summary'!#REF!)</f>
        <v>#REF!</v>
      </c>
      <c r="B110" s="115">
        <f>IF(ISBLANK('Event summary'!A110),"",'Event summary'!A110)</f>
        <v>109</v>
      </c>
      <c r="C110" s="115" t="str">
        <f>IF(ISBLANK('Event summary'!B110),"",'Event summary'!B110)</f>
        <v/>
      </c>
      <c r="D110" s="116" t="str">
        <f>IF(ISBLANK('Event summary'!C110),"",'Event summary'!C110)</f>
        <v/>
      </c>
      <c r="E110" s="116" t="str">
        <f>IF(ISBLANK('Event summary'!D110),"",'Event summary'!D110)</f>
        <v/>
      </c>
      <c r="F110" s="117" t="str">
        <f>IF(ISBLANK('Event summary'!E110),"",'Event summary'!E110)</f>
        <v/>
      </c>
    </row>
    <row r="111" spans="1:6" x14ac:dyDescent="0.2">
      <c r="A111" s="114" t="e">
        <f>IF(ISBLANK('Event summary'!#REF!),"",'Event summary'!#REF!)</f>
        <v>#REF!</v>
      </c>
      <c r="B111" s="115">
        <f>IF(ISBLANK('Event summary'!A111),"",'Event summary'!A111)</f>
        <v>110</v>
      </c>
      <c r="C111" s="115" t="str">
        <f>IF(ISBLANK('Event summary'!B111),"",'Event summary'!B111)</f>
        <v/>
      </c>
      <c r="D111" s="116" t="str">
        <f>IF(ISBLANK('Event summary'!C111),"",'Event summary'!C111)</f>
        <v/>
      </c>
      <c r="E111" s="116" t="str">
        <f>IF(ISBLANK('Event summary'!D111),"",'Event summary'!D111)</f>
        <v/>
      </c>
      <c r="F111" s="117" t="str">
        <f>IF(ISBLANK('Event summary'!E111),"",'Event summary'!E111)</f>
        <v/>
      </c>
    </row>
    <row r="112" spans="1:6" x14ac:dyDescent="0.2">
      <c r="A112" s="114" t="e">
        <f>IF(ISBLANK('Event summary'!#REF!),"",'Event summary'!#REF!)</f>
        <v>#REF!</v>
      </c>
      <c r="B112" s="115">
        <f>IF(ISBLANK('Event summary'!A112),"",'Event summary'!A112)</f>
        <v>111</v>
      </c>
      <c r="C112" s="115" t="str">
        <f>IF(ISBLANK('Event summary'!B112),"",'Event summary'!B112)</f>
        <v/>
      </c>
      <c r="D112" s="116" t="str">
        <f>IF(ISBLANK('Event summary'!C112),"",'Event summary'!C112)</f>
        <v/>
      </c>
      <c r="E112" s="116" t="str">
        <f>IF(ISBLANK('Event summary'!D112),"",'Event summary'!D112)</f>
        <v/>
      </c>
      <c r="F112" s="117" t="str">
        <f>IF(ISBLANK('Event summary'!E112),"",'Event summary'!E112)</f>
        <v/>
      </c>
    </row>
    <row r="113" spans="1:6" x14ac:dyDescent="0.2">
      <c r="A113" s="114" t="e">
        <f>IF(ISBLANK('Event summary'!#REF!),"",'Event summary'!#REF!)</f>
        <v>#REF!</v>
      </c>
      <c r="B113" s="115">
        <f>IF(ISBLANK('Event summary'!A113),"",'Event summary'!A113)</f>
        <v>112</v>
      </c>
      <c r="C113" s="115" t="str">
        <f>IF(ISBLANK('Event summary'!B113),"",'Event summary'!B113)</f>
        <v/>
      </c>
      <c r="D113" s="116" t="str">
        <f>IF(ISBLANK('Event summary'!C113),"",'Event summary'!C113)</f>
        <v/>
      </c>
      <c r="E113" s="116" t="str">
        <f>IF(ISBLANK('Event summary'!D113),"",'Event summary'!D113)</f>
        <v/>
      </c>
      <c r="F113" s="117" t="str">
        <f>IF(ISBLANK('Event summary'!E113),"",'Event summary'!E113)</f>
        <v/>
      </c>
    </row>
    <row r="114" spans="1:6" x14ac:dyDescent="0.2">
      <c r="A114" s="114" t="e">
        <f>IF(ISBLANK('Event summary'!#REF!),"",'Event summary'!#REF!)</f>
        <v>#REF!</v>
      </c>
      <c r="B114" s="115">
        <f>IF(ISBLANK('Event summary'!A114),"",'Event summary'!A114)</f>
        <v>113</v>
      </c>
      <c r="C114" s="115" t="str">
        <f>IF(ISBLANK('Event summary'!B114),"",'Event summary'!B114)</f>
        <v/>
      </c>
      <c r="D114" s="116" t="str">
        <f>IF(ISBLANK('Event summary'!C114),"",'Event summary'!C114)</f>
        <v/>
      </c>
      <c r="E114" s="116" t="str">
        <f>IF(ISBLANK('Event summary'!D114),"",'Event summary'!D114)</f>
        <v/>
      </c>
      <c r="F114" s="117" t="str">
        <f>IF(ISBLANK('Event summary'!E114),"",'Event summary'!E114)</f>
        <v/>
      </c>
    </row>
    <row r="115" spans="1:6" x14ac:dyDescent="0.2">
      <c r="A115" s="114" t="e">
        <f>IF(ISBLANK('Event summary'!#REF!),"",'Event summary'!#REF!)</f>
        <v>#REF!</v>
      </c>
      <c r="B115" s="115">
        <f>IF(ISBLANK('Event summary'!A115),"",'Event summary'!A115)</f>
        <v>114</v>
      </c>
      <c r="C115" s="115" t="str">
        <f>IF(ISBLANK('Event summary'!B115),"",'Event summary'!B115)</f>
        <v/>
      </c>
      <c r="D115" s="116" t="str">
        <f>IF(ISBLANK('Event summary'!C115),"",'Event summary'!C115)</f>
        <v/>
      </c>
      <c r="E115" s="116" t="str">
        <f>IF(ISBLANK('Event summary'!D115),"",'Event summary'!D115)</f>
        <v/>
      </c>
      <c r="F115" s="117" t="str">
        <f>IF(ISBLANK('Event summary'!E115),"",'Event summary'!E115)</f>
        <v/>
      </c>
    </row>
    <row r="116" spans="1:6" x14ac:dyDescent="0.2">
      <c r="A116" s="114" t="e">
        <f>IF(ISBLANK('Event summary'!#REF!),"",'Event summary'!#REF!)</f>
        <v>#REF!</v>
      </c>
      <c r="B116" s="115">
        <f>IF(ISBLANK('Event summary'!A116),"",'Event summary'!A116)</f>
        <v>115</v>
      </c>
      <c r="C116" s="115" t="str">
        <f>IF(ISBLANK('Event summary'!B116),"",'Event summary'!B116)</f>
        <v/>
      </c>
      <c r="D116" s="116" t="str">
        <f>IF(ISBLANK('Event summary'!C116),"",'Event summary'!C116)</f>
        <v/>
      </c>
      <c r="E116" s="116" t="str">
        <f>IF(ISBLANK('Event summary'!D116),"",'Event summary'!D116)</f>
        <v/>
      </c>
      <c r="F116" s="117" t="str">
        <f>IF(ISBLANK('Event summary'!E116),"",'Event summary'!E116)</f>
        <v/>
      </c>
    </row>
    <row r="117" spans="1:6" x14ac:dyDescent="0.2">
      <c r="A117" s="114" t="e">
        <f>IF(ISBLANK('Event summary'!#REF!),"",'Event summary'!#REF!)</f>
        <v>#REF!</v>
      </c>
      <c r="B117" s="115">
        <f>IF(ISBLANK('Event summary'!A117),"",'Event summary'!A117)</f>
        <v>116</v>
      </c>
      <c r="C117" s="115" t="str">
        <f>IF(ISBLANK('Event summary'!B117),"",'Event summary'!B117)</f>
        <v/>
      </c>
      <c r="D117" s="116" t="str">
        <f>IF(ISBLANK('Event summary'!C117),"",'Event summary'!C117)</f>
        <v/>
      </c>
      <c r="E117" s="116" t="str">
        <f>IF(ISBLANK('Event summary'!D117),"",'Event summary'!D117)</f>
        <v/>
      </c>
      <c r="F117" s="117" t="str">
        <f>IF(ISBLANK('Event summary'!E117),"",'Event summary'!E117)</f>
        <v/>
      </c>
    </row>
    <row r="118" spans="1:6" x14ac:dyDescent="0.2">
      <c r="A118" s="114" t="e">
        <f>IF(ISBLANK('Event summary'!#REF!),"",'Event summary'!#REF!)</f>
        <v>#REF!</v>
      </c>
      <c r="B118" s="115">
        <f>IF(ISBLANK('Event summary'!A118),"",'Event summary'!A118)</f>
        <v>117</v>
      </c>
      <c r="C118" s="115" t="str">
        <f>IF(ISBLANK('Event summary'!B118),"",'Event summary'!B118)</f>
        <v/>
      </c>
      <c r="D118" s="116" t="str">
        <f>IF(ISBLANK('Event summary'!C118),"",'Event summary'!C118)</f>
        <v/>
      </c>
      <c r="E118" s="116" t="str">
        <f>IF(ISBLANK('Event summary'!D118),"",'Event summary'!D118)</f>
        <v/>
      </c>
      <c r="F118" s="117" t="str">
        <f>IF(ISBLANK('Event summary'!E118),"",'Event summary'!E118)</f>
        <v/>
      </c>
    </row>
    <row r="119" spans="1:6" x14ac:dyDescent="0.2">
      <c r="A119" s="114" t="e">
        <f>IF(ISBLANK('Event summary'!#REF!),"",'Event summary'!#REF!)</f>
        <v>#REF!</v>
      </c>
      <c r="B119" s="115">
        <f>IF(ISBLANK('Event summary'!A119),"",'Event summary'!A119)</f>
        <v>118</v>
      </c>
      <c r="C119" s="115" t="str">
        <f>IF(ISBLANK('Event summary'!B119),"",'Event summary'!B119)</f>
        <v/>
      </c>
      <c r="D119" s="116" t="str">
        <f>IF(ISBLANK('Event summary'!C119),"",'Event summary'!C119)</f>
        <v/>
      </c>
      <c r="E119" s="116" t="str">
        <f>IF(ISBLANK('Event summary'!D119),"",'Event summary'!D119)</f>
        <v/>
      </c>
      <c r="F119" s="117" t="str">
        <f>IF(ISBLANK('Event summary'!E119),"",'Event summary'!E119)</f>
        <v/>
      </c>
    </row>
    <row r="120" spans="1:6" x14ac:dyDescent="0.2">
      <c r="A120" s="114" t="e">
        <f>IF(ISBLANK('Event summary'!#REF!),"",'Event summary'!#REF!)</f>
        <v>#REF!</v>
      </c>
      <c r="B120" s="115">
        <f>IF(ISBLANK('Event summary'!A120),"",'Event summary'!A120)</f>
        <v>119</v>
      </c>
      <c r="C120" s="115" t="str">
        <f>IF(ISBLANK('Event summary'!B120),"",'Event summary'!B120)</f>
        <v/>
      </c>
      <c r="D120" s="116" t="str">
        <f>IF(ISBLANK('Event summary'!C120),"",'Event summary'!C120)</f>
        <v/>
      </c>
      <c r="E120" s="116" t="str">
        <f>IF(ISBLANK('Event summary'!D120),"",'Event summary'!D120)</f>
        <v/>
      </c>
      <c r="F120" s="117" t="str">
        <f>IF(ISBLANK('Event summary'!E120),"",'Event summary'!E120)</f>
        <v/>
      </c>
    </row>
    <row r="121" spans="1:6" x14ac:dyDescent="0.2">
      <c r="A121" s="114" t="e">
        <f>IF(ISBLANK('Event summary'!#REF!),"",'Event summary'!#REF!)</f>
        <v>#REF!</v>
      </c>
      <c r="B121" s="115">
        <f>IF(ISBLANK('Event summary'!A121),"",'Event summary'!A121)</f>
        <v>120</v>
      </c>
      <c r="C121" s="115" t="str">
        <f>IF(ISBLANK('Event summary'!B121),"",'Event summary'!B121)</f>
        <v/>
      </c>
      <c r="D121" s="116" t="str">
        <f>IF(ISBLANK('Event summary'!C121),"",'Event summary'!C121)</f>
        <v/>
      </c>
      <c r="E121" s="116" t="str">
        <f>IF(ISBLANK('Event summary'!D121),"",'Event summary'!D121)</f>
        <v/>
      </c>
      <c r="F121" s="117" t="str">
        <f>IF(ISBLANK('Event summary'!E121),"",'Event summary'!E121)</f>
        <v/>
      </c>
    </row>
    <row r="122" spans="1:6" x14ac:dyDescent="0.2">
      <c r="A122" s="114" t="e">
        <f>IF(ISBLANK('Event summary'!#REF!),"",'Event summary'!#REF!)</f>
        <v>#REF!</v>
      </c>
      <c r="B122" s="115">
        <f>IF(ISBLANK('Event summary'!A122),"",'Event summary'!A122)</f>
        <v>121</v>
      </c>
      <c r="C122" s="115" t="str">
        <f>IF(ISBLANK('Event summary'!B122),"",'Event summary'!B122)</f>
        <v/>
      </c>
      <c r="D122" s="116" t="str">
        <f>IF(ISBLANK('Event summary'!C122),"",'Event summary'!C122)</f>
        <v/>
      </c>
      <c r="E122" s="116" t="str">
        <f>IF(ISBLANK('Event summary'!D122),"",'Event summary'!D122)</f>
        <v/>
      </c>
      <c r="F122" s="117" t="str">
        <f>IF(ISBLANK('Event summary'!E122),"",'Event summary'!E122)</f>
        <v/>
      </c>
    </row>
    <row r="123" spans="1:6" x14ac:dyDescent="0.2">
      <c r="A123" s="114" t="e">
        <f>IF(ISBLANK('Event summary'!#REF!),"",'Event summary'!#REF!)</f>
        <v>#REF!</v>
      </c>
      <c r="B123" s="115">
        <f>IF(ISBLANK('Event summary'!A123),"",'Event summary'!A123)</f>
        <v>123</v>
      </c>
      <c r="C123" s="115" t="str">
        <f>IF(ISBLANK('Event summary'!B123),"",'Event summary'!B123)</f>
        <v/>
      </c>
      <c r="D123" s="116" t="str">
        <f>IF(ISBLANK('Event summary'!C123),"",'Event summary'!C123)</f>
        <v/>
      </c>
      <c r="E123" s="116" t="str">
        <f>IF(ISBLANK('Event summary'!D123),"",'Event summary'!D123)</f>
        <v/>
      </c>
      <c r="F123" s="117" t="str">
        <f>IF(ISBLANK('Event summary'!E123),"",'Event summary'!E123)</f>
        <v/>
      </c>
    </row>
    <row r="124" spans="1:6" x14ac:dyDescent="0.2">
      <c r="A124" s="114" t="e">
        <f>IF(ISBLANK('Event summary'!#REF!),"",'Event summary'!#REF!)</f>
        <v>#REF!</v>
      </c>
      <c r="B124" s="115">
        <f>IF(ISBLANK('Event summary'!A124),"",'Event summary'!A124)</f>
        <v>124</v>
      </c>
      <c r="C124" s="115" t="str">
        <f>IF(ISBLANK('Event summary'!B124),"",'Event summary'!B124)</f>
        <v/>
      </c>
      <c r="D124" s="116" t="str">
        <f>IF(ISBLANK('Event summary'!C124),"",'Event summary'!C124)</f>
        <v/>
      </c>
      <c r="E124" s="116" t="str">
        <f>IF(ISBLANK('Event summary'!D124),"",'Event summary'!D124)</f>
        <v/>
      </c>
      <c r="F124" s="117" t="str">
        <f>IF(ISBLANK('Event summary'!E124),"",'Event summary'!E124)</f>
        <v/>
      </c>
    </row>
    <row r="125" spans="1:6" x14ac:dyDescent="0.2">
      <c r="A125" s="114" t="e">
        <f>IF(ISBLANK('Event summary'!#REF!),"",'Event summary'!#REF!)</f>
        <v>#REF!</v>
      </c>
      <c r="B125" s="115">
        <f>IF(ISBLANK('Event summary'!A125),"",'Event summary'!A125)</f>
        <v>125</v>
      </c>
      <c r="C125" s="115" t="str">
        <f>IF(ISBLANK('Event summary'!B125),"",'Event summary'!B125)</f>
        <v/>
      </c>
      <c r="D125" s="116" t="str">
        <f>IF(ISBLANK('Event summary'!C125),"",'Event summary'!C125)</f>
        <v/>
      </c>
      <c r="E125" s="116" t="str">
        <f>IF(ISBLANK('Event summary'!D125),"",'Event summary'!D125)</f>
        <v/>
      </c>
      <c r="F125" s="117" t="str">
        <f>IF(ISBLANK('Event summary'!E125),"",'Event summary'!E125)</f>
        <v/>
      </c>
    </row>
    <row r="126" spans="1:6" ht="28.5" x14ac:dyDescent="0.2">
      <c r="A126" s="114" t="e">
        <f>IF(ISBLANK('Event summary'!#REF!),"",'Event summary'!#REF!)</f>
        <v>#REF!</v>
      </c>
      <c r="B126" s="115">
        <f>IF(ISBLANK('Event summary'!A126),"",'Event summary'!A126)</f>
        <v>126</v>
      </c>
      <c r="C126" s="115" t="str">
        <f>IF(ISBLANK('Event summary'!B126),"",'Event summary'!B126)</f>
        <v>תקשורת לקויה</v>
      </c>
      <c r="D126" s="116" t="str">
        <f>IF(ISBLANK('Event summary'!C126),"",'Event summary'!C126)</f>
        <v>תקשורת לקויה - הכנסת מטופל ללא תאום מראש. הוכנסה סימולציה של SRS ללא תאום וזמינות הצוות.</v>
      </c>
      <c r="E126" s="116" t="str">
        <f>IF(ISBLANK('Event summary'!D126),"",'Event summary'!D126)</f>
        <v/>
      </c>
      <c r="F126" s="117" t="str">
        <f>IF(ISBLANK('Event summary'!E126),"",'Event summary'!E126)</f>
        <v/>
      </c>
    </row>
    <row r="127" spans="1:6" x14ac:dyDescent="0.2">
      <c r="A127" s="114" t="e">
        <f>IF(ISBLANK('Event summary'!#REF!),"",'Event summary'!#REF!)</f>
        <v>#REF!</v>
      </c>
      <c r="B127" s="115">
        <f>IF(ISBLANK('Event summary'!A127),"",'Event summary'!A127)</f>
        <v>127</v>
      </c>
      <c r="C127" s="115" t="str">
        <f>IF(ISBLANK('Event summary'!B127),"",'Event summary'!B127)</f>
        <v/>
      </c>
      <c r="D127" s="116" t="str">
        <f>IF(ISBLANK('Event summary'!C127),"",'Event summary'!C127)</f>
        <v/>
      </c>
      <c r="E127" s="116" t="str">
        <f>IF(ISBLANK('Event summary'!D127),"",'Event summary'!D127)</f>
        <v/>
      </c>
      <c r="F127" s="117" t="str">
        <f>IF(ISBLANK('Event summary'!E127),"",'Event summary'!E127)</f>
        <v/>
      </c>
    </row>
    <row r="128" spans="1:6" x14ac:dyDescent="0.2">
      <c r="A128" s="114" t="e">
        <f>IF(ISBLANK('Event summary'!#REF!),"",'Event summary'!#REF!)</f>
        <v>#REF!</v>
      </c>
      <c r="B128" s="115">
        <f>IF(ISBLANK('Event summary'!A128),"",'Event summary'!A128)</f>
        <v>128</v>
      </c>
      <c r="C128" s="115" t="str">
        <f>IF(ISBLANK('Event summary'!B128),"",'Event summary'!B128)</f>
        <v/>
      </c>
      <c r="D128" s="116" t="str">
        <f>IF(ISBLANK('Event summary'!C128),"",'Event summary'!C128)</f>
        <v/>
      </c>
      <c r="E128" s="116" t="str">
        <f>IF(ISBLANK('Event summary'!D128),"",'Event summary'!D128)</f>
        <v/>
      </c>
      <c r="F128" s="117" t="str">
        <f>IF(ISBLANK('Event summary'!E128),"",'Event summary'!E128)</f>
        <v/>
      </c>
    </row>
    <row r="129" spans="1:6" x14ac:dyDescent="0.2">
      <c r="A129" s="114" t="e">
        <f>IF(ISBLANK('Event summary'!#REF!),"",'Event summary'!#REF!)</f>
        <v>#REF!</v>
      </c>
      <c r="B129" s="115">
        <f>IF(ISBLANK('Event summary'!A129),"",'Event summary'!A129)</f>
        <v>129</v>
      </c>
      <c r="C129" s="115" t="str">
        <f>IF(ISBLANK('Event summary'!B129),"",'Event summary'!B129)</f>
        <v/>
      </c>
      <c r="D129" s="116" t="str">
        <f>IF(ISBLANK('Event summary'!C129),"",'Event summary'!C129)</f>
        <v/>
      </c>
      <c r="E129" s="116" t="str">
        <f>IF(ISBLANK('Event summary'!D129),"",'Event summary'!D129)</f>
        <v/>
      </c>
      <c r="F129" s="117" t="str">
        <f>IF(ISBLANK('Event summary'!E129),"",'Event summary'!E129)</f>
        <v/>
      </c>
    </row>
    <row r="130" spans="1:6" x14ac:dyDescent="0.2">
      <c r="A130" s="114" t="e">
        <f>IF(ISBLANK('Event summary'!#REF!),"",'Event summary'!#REF!)</f>
        <v>#REF!</v>
      </c>
      <c r="B130" s="115">
        <f>IF(ISBLANK('Event summary'!A130),"",'Event summary'!A130)</f>
        <v>130</v>
      </c>
      <c r="C130" s="115" t="str">
        <f>IF(ISBLANK('Event summary'!B130),"",'Event summary'!B130)</f>
        <v/>
      </c>
      <c r="D130" s="116" t="str">
        <f>IF(ISBLANK('Event summary'!C130),"",'Event summary'!C130)</f>
        <v/>
      </c>
      <c r="E130" s="116" t="str">
        <f>IF(ISBLANK('Event summary'!D130),"",'Event summary'!D130)</f>
        <v/>
      </c>
      <c r="F130" s="117" t="str">
        <f>IF(ISBLANK('Event summary'!E130),"",'Event summary'!E130)</f>
        <v/>
      </c>
    </row>
    <row r="131" spans="1:6" x14ac:dyDescent="0.2">
      <c r="A131" s="114" t="e">
        <f>IF(ISBLANK('Event summary'!#REF!),"",'Event summary'!#REF!)</f>
        <v>#REF!</v>
      </c>
      <c r="B131" s="115">
        <f>IF(ISBLANK('Event summary'!A131),"",'Event summary'!A131)</f>
        <v>131</v>
      </c>
      <c r="C131" s="115" t="str">
        <f>IF(ISBLANK('Event summary'!B131),"",'Event summary'!B131)</f>
        <v/>
      </c>
      <c r="D131" s="116" t="str">
        <f>IF(ISBLANK('Event summary'!C131),"",'Event summary'!C131)</f>
        <v/>
      </c>
      <c r="E131" s="116" t="str">
        <f>IF(ISBLANK('Event summary'!D131),"",'Event summary'!D131)</f>
        <v/>
      </c>
      <c r="F131" s="117" t="str">
        <f>IF(ISBLANK('Event summary'!E131),"",'Event summary'!E131)</f>
        <v/>
      </c>
    </row>
    <row r="132" spans="1:6" x14ac:dyDescent="0.2">
      <c r="A132" s="114" t="e">
        <f>IF(ISBLANK('Event summary'!#REF!),"",'Event summary'!#REF!)</f>
        <v>#REF!</v>
      </c>
      <c r="B132" s="115">
        <f>IF(ISBLANK('Event summary'!A132),"",'Event summary'!A132)</f>
        <v>132</v>
      </c>
      <c r="C132" s="115" t="str">
        <f>IF(ISBLANK('Event summary'!B132),"",'Event summary'!B132)</f>
        <v/>
      </c>
      <c r="D132" s="116" t="str">
        <f>IF(ISBLANK('Event summary'!C132),"",'Event summary'!C132)</f>
        <v/>
      </c>
      <c r="E132" s="116" t="str">
        <f>IF(ISBLANK('Event summary'!D132),"",'Event summary'!D132)</f>
        <v/>
      </c>
      <c r="F132" s="117" t="str">
        <f>IF(ISBLANK('Event summary'!E132),"",'Event summary'!E132)</f>
        <v/>
      </c>
    </row>
    <row r="133" spans="1:6" x14ac:dyDescent="0.2">
      <c r="A133" s="114" t="e">
        <f>IF(ISBLANK('Event summary'!#REF!),"",'Event summary'!#REF!)</f>
        <v>#REF!</v>
      </c>
      <c r="B133" s="115">
        <f>IF(ISBLANK('Event summary'!A133),"",'Event summary'!A133)</f>
        <v>133</v>
      </c>
      <c r="C133" s="115" t="str">
        <f>IF(ISBLANK('Event summary'!B133),"",'Event summary'!B133)</f>
        <v/>
      </c>
      <c r="D133" s="116" t="str">
        <f>IF(ISBLANK('Event summary'!C133),"",'Event summary'!C133)</f>
        <v/>
      </c>
      <c r="E133" s="116" t="str">
        <f>IF(ISBLANK('Event summary'!D133),"",'Event summary'!D133)</f>
        <v/>
      </c>
      <c r="F133" s="117" t="str">
        <f>IF(ISBLANK('Event summary'!E133),"",'Event summary'!E133)</f>
        <v/>
      </c>
    </row>
    <row r="134" spans="1:6" x14ac:dyDescent="0.2">
      <c r="A134" s="114" t="e">
        <f>IF(ISBLANK('Event summary'!#REF!),"",'Event summary'!#REF!)</f>
        <v>#REF!</v>
      </c>
      <c r="B134" s="115">
        <f>IF(ISBLANK('Event summary'!A134),"",'Event summary'!A134)</f>
        <v>134</v>
      </c>
      <c r="C134" s="115" t="str">
        <f>IF(ISBLANK('Event summary'!B134),"",'Event summary'!B134)</f>
        <v/>
      </c>
      <c r="D134" s="116" t="str">
        <f>IF(ISBLANK('Event summary'!C134),"",'Event summary'!C134)</f>
        <v/>
      </c>
      <c r="E134" s="116" t="str">
        <f>IF(ISBLANK('Event summary'!D134),"",'Event summary'!D134)</f>
        <v/>
      </c>
      <c r="F134" s="117" t="str">
        <f>IF(ISBLANK('Event summary'!E134),"",'Event summary'!E134)</f>
        <v/>
      </c>
    </row>
    <row r="135" spans="1:6" x14ac:dyDescent="0.2">
      <c r="A135" s="114" t="e">
        <f>IF(ISBLANK('Event summary'!#REF!),"",'Event summary'!#REF!)</f>
        <v>#REF!</v>
      </c>
      <c r="B135" s="115">
        <f>IF(ISBLANK('Event summary'!A135),"",'Event summary'!A135)</f>
        <v>135</v>
      </c>
      <c r="C135" s="115" t="str">
        <f>IF(ISBLANK('Event summary'!B135),"",'Event summary'!B135)</f>
        <v/>
      </c>
      <c r="D135" s="116" t="str">
        <f>IF(ISBLANK('Event summary'!C135),"",'Event summary'!C135)</f>
        <v/>
      </c>
      <c r="E135" s="116" t="str">
        <f>IF(ISBLANK('Event summary'!D135),"",'Event summary'!D135)</f>
        <v/>
      </c>
      <c r="F135" s="117" t="str">
        <f>IF(ISBLANK('Event summary'!E135),"",'Event summary'!E135)</f>
        <v/>
      </c>
    </row>
    <row r="136" spans="1:6" x14ac:dyDescent="0.2">
      <c r="A136" s="114" t="e">
        <f>IF(ISBLANK('Event summary'!#REF!),"",'Event summary'!#REF!)</f>
        <v>#REF!</v>
      </c>
      <c r="B136" s="115">
        <f>IF(ISBLANK('Event summary'!A136),"",'Event summary'!A136)</f>
        <v>136</v>
      </c>
      <c r="C136" s="115" t="str">
        <f>IF(ISBLANK('Event summary'!B136),"",'Event summary'!B136)</f>
        <v/>
      </c>
      <c r="D136" s="116" t="str">
        <f>IF(ISBLANK('Event summary'!C136),"",'Event summary'!C136)</f>
        <v/>
      </c>
      <c r="E136" s="116" t="str">
        <f>IF(ISBLANK('Event summary'!D136),"",'Event summary'!D136)</f>
        <v/>
      </c>
      <c r="F136" s="117" t="str">
        <f>IF(ISBLANK('Event summary'!E136),"",'Event summary'!E136)</f>
        <v/>
      </c>
    </row>
    <row r="137" spans="1:6" x14ac:dyDescent="0.2">
      <c r="A137" s="114" t="e">
        <f>IF(ISBLANK('Event summary'!#REF!),"",'Event summary'!#REF!)</f>
        <v>#REF!</v>
      </c>
      <c r="B137" s="115">
        <f>IF(ISBLANK('Event summary'!A137),"",'Event summary'!A137)</f>
        <v>137</v>
      </c>
      <c r="C137" s="115" t="str">
        <f>IF(ISBLANK('Event summary'!B137),"",'Event summary'!B137)</f>
        <v>תיעוד לא תקין</v>
      </c>
      <c r="D137" s="116" t="str">
        <f>IF(ISBLANK('Event summary'!C137),"",'Event summary'!C137)</f>
        <v>תיעוד לא תקין - היעדר תיעוד במערכת ה-ARIA</v>
      </c>
      <c r="E137" s="116" t="str">
        <f>IF(ISBLANK('Event summary'!D137),"",'Event summary'!D137)</f>
        <v/>
      </c>
      <c r="F137" s="117" t="str">
        <f>IF(ISBLANK('Event summary'!E137),"",'Event summary'!E137)</f>
        <v/>
      </c>
    </row>
    <row r="138" spans="1:6" ht="42.75" x14ac:dyDescent="0.2">
      <c r="A138" s="114" t="e">
        <f>IF(ISBLANK('Event summary'!#REF!),"",'Event summary'!#REF!)</f>
        <v>#REF!</v>
      </c>
      <c r="B138" s="115">
        <f>IF(ISBLANK('Event summary'!A138),"",'Event summary'!A138)</f>
        <v>138</v>
      </c>
      <c r="C138" s="115" t="str">
        <f>IF(ISBLANK('Event summary'!B138),"",'Event summary'!B138)</f>
        <v>שגיאה בזיהוי מטופל</v>
      </c>
      <c r="D138" s="116" t="str">
        <f>IF(ISBLANK('Event summary'!C138),"",'Event summary'!C138)</f>
        <v>שגיאה בזיהוי מטופל - סריקה של מטופל של לימפומה צוואר. כאשר הסריקה נמשכה לאריה התגלה שבוצעה סריקה על שם המטופל הקודם</v>
      </c>
      <c r="E138" s="116" t="str">
        <f>IF(ISBLANK('Event summary'!D138),"",'Event summary'!D138)</f>
        <v/>
      </c>
      <c r="F138" s="117" t="str">
        <f>IF(ISBLANK('Event summary'!E138),"",'Event summary'!E138)</f>
        <v/>
      </c>
    </row>
    <row r="139" spans="1:6" ht="45" x14ac:dyDescent="0.2">
      <c r="A139" s="114" t="e">
        <f>IF(ISBLANK('Event summary'!#REF!),"",'Event summary'!#REF!)</f>
        <v>#REF!</v>
      </c>
      <c r="B139" s="115">
        <f>IF(ISBLANK('Event summary'!A139),"",'Event summary'!A139)</f>
        <v>139</v>
      </c>
      <c r="C139" s="115" t="str">
        <f>IF(ISBLANK('Event summary'!B139),"",'Event summary'!B139)</f>
        <v>תיק ללא אישורים מספקים</v>
      </c>
      <c r="D139" s="116" t="str">
        <f>IF(ISBLANK('Event summary'!C139),"",'Event summary'!C139)</f>
        <v>תיק ללא אישורים מספקים</v>
      </c>
      <c r="E139" s="116" t="str">
        <f>IF(ISBLANK('Event summary'!D139),"",'Event summary'!D139)</f>
        <v/>
      </c>
      <c r="F139" s="117" t="str">
        <f>IF(ISBLANK('Event summary'!E139),"",'Event summary'!E139)</f>
        <v/>
      </c>
    </row>
    <row r="140" spans="1:6" ht="30" x14ac:dyDescent="0.2">
      <c r="A140" s="114" t="e">
        <f>IF(ISBLANK('Event summary'!#REF!),"",'Event summary'!#REF!)</f>
        <v>#REF!</v>
      </c>
      <c r="B140" s="115">
        <f>IF(ISBLANK('Event summary'!A140),"",'Event summary'!A140)</f>
        <v>140</v>
      </c>
      <c r="C140" s="115" t="str">
        <f>IF(ISBLANK('Event summary'!B140),"",'Event summary'!B140)</f>
        <v>מתן טיפול באופן שגוי</v>
      </c>
      <c r="D140" s="116" t="str">
        <f>IF(ISBLANK('Event summary'!C140),"",'Event summary'!C140)</f>
        <v>מתן טיפול באופן שגוי - טיפול Gating עם גבולות הפוכים.</v>
      </c>
      <c r="E140" s="116" t="str">
        <f>IF(ISBLANK('Event summary'!D140),"",'Event summary'!D140)</f>
        <v/>
      </c>
      <c r="F140" s="117" t="str">
        <f>IF(ISBLANK('Event summary'!E140),"",'Event summary'!E140)</f>
        <v/>
      </c>
    </row>
    <row r="141" spans="1:6" x14ac:dyDescent="0.2">
      <c r="A141" s="114" t="e">
        <f>IF(ISBLANK('Event summary'!#REF!),"",'Event summary'!#REF!)</f>
        <v>#REF!</v>
      </c>
      <c r="B141" s="115">
        <f>IF(ISBLANK('Event summary'!A141),"",'Event summary'!A141)</f>
        <v>141</v>
      </c>
      <c r="C141" s="115" t="str">
        <f>IF(ISBLANK('Event summary'!B141),"",'Event summary'!B141)</f>
        <v>תכנון שגוי</v>
      </c>
      <c r="D141" s="116" t="str">
        <f>IF(ISBLANK('Event summary'!C141),"",'Event summary'!C141)</f>
        <v xml:space="preserve">תכנון מספר פרקציות שגוי. </v>
      </c>
      <c r="E141" s="116" t="str">
        <f>IF(ISBLANK('Event summary'!D141),"",'Event summary'!D141)</f>
        <v/>
      </c>
      <c r="F141" s="117" t="str">
        <f>IF(ISBLANK('Event summary'!E141),"",'Event summary'!E141)</f>
        <v/>
      </c>
    </row>
    <row r="142" spans="1:6" ht="30" x14ac:dyDescent="0.2">
      <c r="A142" s="114" t="e">
        <f>IF(ISBLANK('Event summary'!#REF!),"",'Event summary'!#REF!)</f>
        <v>#REF!</v>
      </c>
      <c r="B142" s="115">
        <f>IF(ISBLANK('Event summary'!A142),"",'Event summary'!A142)</f>
        <v>142</v>
      </c>
      <c r="C142" s="115" t="str">
        <f>IF(ISBLANK('Event summary'!B142),"",'Event summary'!B142)</f>
        <v>שגיאת Care Path</v>
      </c>
      <c r="D142" s="116" t="str">
        <f>IF(ISBLANK('Event summary'!C142),"",'Event summary'!C142)</f>
        <v>שגיאת Care Path מנעה מהתיק להגיע לתכנון</v>
      </c>
      <c r="E142" s="116" t="str">
        <f>IF(ISBLANK('Event summary'!D142),"",'Event summary'!D142)</f>
        <v/>
      </c>
      <c r="F142" s="117" t="str">
        <f>IF(ISBLANK('Event summary'!E142),"",'Event summary'!E142)</f>
        <v/>
      </c>
    </row>
    <row r="143" spans="1:6" ht="28.5" x14ac:dyDescent="0.2">
      <c r="A143" s="114" t="e">
        <f>IF(ISBLANK('Event summary'!#REF!),"",'Event summary'!#REF!)</f>
        <v>#REF!</v>
      </c>
      <c r="B143" s="115">
        <f>IF(ISBLANK('Event summary'!A143),"",'Event summary'!A143)</f>
        <v>143</v>
      </c>
      <c r="C143" s="115" t="str">
        <f>IF(ISBLANK('Event summary'!B143),"",'Event summary'!B143)</f>
        <v>תיעוד לא תקין</v>
      </c>
      <c r="D143" s="116" t="str">
        <f>IF(ISBLANK('Event summary'!C143),"",'Event summary'!C143)</f>
        <v>תיעוד לא תקין - שם מרשם שגוי. עמוד שדרה לטיפול ב C4-C6, שם המרשם ל C3-C4.</v>
      </c>
      <c r="E143" s="116" t="str">
        <f>IF(ISBLANK('Event summary'!D143),"",'Event summary'!D143)</f>
        <v/>
      </c>
      <c r="F143" s="117" t="str">
        <f>IF(ISBLANK('Event summary'!E143),"",'Event summary'!E143)</f>
        <v/>
      </c>
    </row>
    <row r="144" spans="1:6" ht="30" x14ac:dyDescent="0.2">
      <c r="A144" s="114" t="e">
        <f>IF(ISBLANK('Event summary'!#REF!),"",'Event summary'!#REF!)</f>
        <v>#REF!</v>
      </c>
      <c r="B144" s="115">
        <f>IF(ISBLANK('Event summary'!A144),"",'Event summary'!A144)</f>
        <v>144</v>
      </c>
      <c r="C144" s="115" t="str">
        <f>IF(ISBLANK('Event summary'!B144),"",'Event summary'!B144)</f>
        <v>עבודה שלא על פי הנוהל</v>
      </c>
      <c r="D144" s="116" t="str">
        <f>IF(ISBLANK('Event summary'!C144),"",'Event summary'!C144)</f>
        <v>עבודה שלא על פי הנוהל - למטופל יש קוצב לב, אין להשתמש באנרגיות גבוהות</v>
      </c>
      <c r="E144" s="116" t="str">
        <f>IF(ISBLANK('Event summary'!D144),"",'Event summary'!D144)</f>
        <v/>
      </c>
      <c r="F144" s="117" t="str">
        <f>IF(ISBLANK('Event summary'!E144),"",'Event summary'!E144)</f>
        <v/>
      </c>
    </row>
    <row r="145" spans="1:6" ht="28.5" x14ac:dyDescent="0.2">
      <c r="A145" s="114" t="e">
        <f>IF(ISBLANK('Event summary'!#REF!),"",'Event summary'!#REF!)</f>
        <v>#REF!</v>
      </c>
      <c r="B145" s="115">
        <f>IF(ISBLANK('Event summary'!A145),"",'Event summary'!A145)</f>
        <v>145</v>
      </c>
      <c r="C145" s="115" t="str">
        <f>IF(ISBLANK('Event summary'!B145),"",'Event summary'!B145)</f>
        <v>סימון שגוי</v>
      </c>
      <c r="D145" s="116" t="str">
        <f>IF(ISBLANK('Event summary'!C145),"",'Event summary'!C145)</f>
        <v>סימון מוגזם. חתך בודד מרוחק של PTV נשאר לאחר מחיקה של רופא ונשאר לחישוב.</v>
      </c>
      <c r="E145" s="116" t="str">
        <f>IF(ISBLANK('Event summary'!D145),"",'Event summary'!D145)</f>
        <v/>
      </c>
      <c r="F145" s="117" t="str">
        <f>IF(ISBLANK('Event summary'!E145),"",'Event summary'!E145)</f>
        <v/>
      </c>
    </row>
    <row r="146" spans="1:6" ht="28.5" x14ac:dyDescent="0.2">
      <c r="A146" s="114" t="e">
        <f>IF(ISBLANK('Event summary'!#REF!),"",'Event summary'!#REF!)</f>
        <v>#REF!</v>
      </c>
      <c r="B146" s="115">
        <f>IF(ISBLANK('Event summary'!A146),"",'Event summary'!A146)</f>
        <v>146</v>
      </c>
      <c r="C146" s="115" t="str">
        <f>IF(ISBLANK('Event summary'!B146),"",'Event summary'!B146)</f>
        <v>תיעוד לא תקין</v>
      </c>
      <c r="D146" s="116" t="str">
        <f>IF(ISBLANK('Event summary'!C146),"",'Event summary'!C146)</f>
        <v>תיעוד לא תקין - שם מרשם שגוי. מרשם לריאה ימין תוכנן לריאה שמאל.</v>
      </c>
      <c r="E146" s="116" t="str">
        <f>IF(ISBLANK('Event summary'!D146),"",'Event summary'!D146)</f>
        <v/>
      </c>
      <c r="F146" s="117" t="str">
        <f>IF(ISBLANK('Event summary'!E146),"",'Event summary'!E146)</f>
        <v/>
      </c>
    </row>
    <row r="147" spans="1:6" ht="30" x14ac:dyDescent="0.2">
      <c r="A147" s="114" t="e">
        <f>IF(ISBLANK('Event summary'!#REF!),"",'Event summary'!#REF!)</f>
        <v>#REF!</v>
      </c>
      <c r="B147" s="115">
        <f>IF(ISBLANK('Event summary'!A147),"",'Event summary'!A147)</f>
        <v>147</v>
      </c>
      <c r="C147" s="115" t="str">
        <f>IF(ISBLANK('Event summary'!B147),"",'Event summary'!B147)</f>
        <v>אי עמידה בזמנים</v>
      </c>
      <c r="D147" s="116" t="str">
        <f>IF(ISBLANK('Event summary'!C147),"",'Event summary'!C147)</f>
        <v>תיק לא מוכן.</v>
      </c>
      <c r="E147" s="116" t="str">
        <f>IF(ISBLANK('Event summary'!D147),"",'Event summary'!D147)</f>
        <v/>
      </c>
      <c r="F147" s="117" t="str">
        <f>IF(ISBLANK('Event summary'!E147),"",'Event summary'!E147)</f>
        <v/>
      </c>
    </row>
    <row r="148" spans="1:6" ht="30" x14ac:dyDescent="0.2">
      <c r="A148" s="114" t="e">
        <f>IF(ISBLANK('Event summary'!#REF!),"",'Event summary'!#REF!)</f>
        <v>#REF!</v>
      </c>
      <c r="B148" s="115">
        <f>IF(ISBLANK('Event summary'!A148),"",'Event summary'!A148)</f>
        <v>148</v>
      </c>
      <c r="C148" s="115" t="str">
        <f>IF(ISBLANK('Event summary'!B148),"",'Event summary'!B148)</f>
        <v>אי עמידה בזמנים</v>
      </c>
      <c r="D148" s="116" t="str">
        <f>IF(ISBLANK('Event summary'!C148),"",'Event summary'!C148)</f>
        <v>תיק לא מוכן.</v>
      </c>
      <c r="E148" s="116" t="str">
        <f>IF(ISBLANK('Event summary'!D148),"",'Event summary'!D148)</f>
        <v/>
      </c>
      <c r="F148" s="117" t="str">
        <f>IF(ISBLANK('Event summary'!E148),"",'Event summary'!E148)</f>
        <v/>
      </c>
    </row>
    <row r="149" spans="1:6" ht="30" x14ac:dyDescent="0.2">
      <c r="A149" s="114" t="e">
        <f>IF(ISBLANK('Event summary'!#REF!),"",'Event summary'!#REF!)</f>
        <v>#REF!</v>
      </c>
      <c r="B149" s="115">
        <f>IF(ISBLANK('Event summary'!A149),"",'Event summary'!A149)</f>
        <v>149</v>
      </c>
      <c r="C149" s="115" t="str">
        <f>IF(ISBLANK('Event summary'!B149),"",'Event summary'!B149)</f>
        <v>מתן טיפול בהיעדר מרשם</v>
      </c>
      <c r="D149" s="116" t="str">
        <f>IF(ISBLANK('Event summary'!C149),"",'Event summary'!C149)</f>
        <v>מתן טיפול בהיעדר מרשם - מטופל TSI הגיע לטיפול. לא היה מרשם והרופא לא היה זמין.</v>
      </c>
      <c r="E149" s="116" t="str">
        <f>IF(ISBLANK('Event summary'!D149),"",'Event summary'!D149)</f>
        <v/>
      </c>
      <c r="F149" s="117" t="str">
        <f>IF(ISBLANK('Event summary'!E149),"",'Event summary'!E149)</f>
        <v/>
      </c>
    </row>
    <row r="150" spans="1:6" ht="28.5" x14ac:dyDescent="0.2">
      <c r="A150" s="114" t="e">
        <f>IF(ISBLANK('Event summary'!#REF!),"",'Event summary'!#REF!)</f>
        <v>#REF!</v>
      </c>
      <c r="B150" s="115">
        <f>IF(ISBLANK('Event summary'!A150),"",'Event summary'!A150)</f>
        <v>150</v>
      </c>
      <c r="C150" s="115" t="str">
        <f>IF(ISBLANK('Event summary'!B150),"",'Event summary'!B150)</f>
        <v>תיעוד לא תקין</v>
      </c>
      <c r="D150" s="116" t="str">
        <f>IF(ISBLANK('Event summary'!C150),"",'Event summary'!C150)</f>
        <v>רישום לקוי בקמליון. למרות הבחנה לצד ימין, נרשם פרוטוקול קרינה לשמאל וכן הסכמה לטיפול לשמאל.</v>
      </c>
      <c r="E150" s="116" t="str">
        <f>IF(ISBLANK('Event summary'!D150),"",'Event summary'!D150)</f>
        <v/>
      </c>
      <c r="F150" s="117" t="str">
        <f>IF(ISBLANK('Event summary'!E150),"",'Event summary'!E150)</f>
        <v/>
      </c>
    </row>
    <row r="151" spans="1:6" ht="28.5" x14ac:dyDescent="0.2">
      <c r="A151" s="114" t="e">
        <f>IF(ISBLANK('Event summary'!#REF!),"",'Event summary'!#REF!)</f>
        <v>#REF!</v>
      </c>
      <c r="B151" s="115">
        <f>IF(ISBLANK('Event summary'!A151),"",'Event summary'!A151)</f>
        <v>151</v>
      </c>
      <c r="C151" s="115" t="str">
        <f>IF(ISBLANK('Event summary'!B151),"",'Event summary'!B151)</f>
        <v>תיעוד לא תקין</v>
      </c>
      <c r="D151" s="116" t="str">
        <f>IF(ISBLANK('Event summary'!C151),"",'Event summary'!C151)</f>
        <v>תיעוד לא תקין - שם מרשם שגוי. מרשם לראש צוואר טיפול בזרוע שמאל</v>
      </c>
      <c r="E151" s="116" t="str">
        <f>IF(ISBLANK('Event summary'!D151),"",'Event summary'!D151)</f>
        <v/>
      </c>
      <c r="F151" s="117" t="str">
        <f>IF(ISBLANK('Event summary'!E151),"",'Event summary'!E151)</f>
        <v/>
      </c>
    </row>
    <row r="152" spans="1:6" x14ac:dyDescent="0.2">
      <c r="A152" s="114" t="e">
        <f>IF(ISBLANK('Event summary'!#REF!),"",'Event summary'!#REF!)</f>
        <v>#REF!</v>
      </c>
      <c r="B152" s="115">
        <f>IF(ISBLANK('Event summary'!A152),"",'Event summary'!A152)</f>
        <v>152</v>
      </c>
      <c r="C152" s="115" t="str">
        <f>IF(ISBLANK('Event summary'!B152),"",'Event summary'!B152)</f>
        <v>חבלה גופנית</v>
      </c>
      <c r="D152" s="116" t="str">
        <f>IF(ISBLANK('Event summary'!C152),"",'Event summary'!C152)</f>
        <v>חבלה פיזית בעין ימין ממעקה במלתחות.</v>
      </c>
      <c r="E152" s="116" t="str">
        <f>IF(ISBLANK('Event summary'!D152),"",'Event summary'!D152)</f>
        <v/>
      </c>
      <c r="F152" s="117" t="str">
        <f>IF(ISBLANK('Event summary'!E152),"",'Event summary'!E152)</f>
        <v/>
      </c>
    </row>
    <row r="153" spans="1:6" ht="30" x14ac:dyDescent="0.2">
      <c r="A153" s="114" t="e">
        <f>IF(ISBLANK('Event summary'!#REF!),"",'Event summary'!#REF!)</f>
        <v>#REF!</v>
      </c>
      <c r="B153" s="115">
        <f>IF(ISBLANK('Event summary'!A153),"",'Event summary'!A153)</f>
        <v>153</v>
      </c>
      <c r="C153" s="115" t="str">
        <f>IF(ISBLANK('Event summary'!B153),"",'Event summary'!B153)</f>
        <v>מיקום לא ניתן לשחזור</v>
      </c>
      <c r="D153" s="116" t="str">
        <f>IF(ISBLANK('Event summary'!C153),"",'Event summary'!C153)</f>
        <v>אי התאמה של מרכז טיפול. מרכז הטיפול אינו תואם הן באריה והן בקמליון. לא נמצאו קואורדינטות הטיפול במערכת הלייזר.</v>
      </c>
      <c r="E153" s="116" t="str">
        <f>IF(ISBLANK('Event summary'!D153),"",'Event summary'!D153)</f>
        <v/>
      </c>
      <c r="F153" s="117" t="str">
        <f>IF(ISBLANK('Event summary'!E153),"",'Event summary'!E153)</f>
        <v/>
      </c>
    </row>
    <row r="154" spans="1:6" ht="30" x14ac:dyDescent="0.2">
      <c r="A154" s="114" t="e">
        <f>IF(ISBLANK('Event summary'!#REF!),"",'Event summary'!#REF!)</f>
        <v>#REF!</v>
      </c>
      <c r="B154" s="115">
        <f>IF(ISBLANK('Event summary'!A154),"",'Event summary'!A154)</f>
        <v>154</v>
      </c>
      <c r="C154" s="115" t="str">
        <f>IF(ISBLANK('Event summary'!B154),"",'Event summary'!B154)</f>
        <v>שגיאת Care Path</v>
      </c>
      <c r="D154" s="116" t="str">
        <f>IF(ISBLANK('Event summary'!C154),"",'Event summary'!C154)</f>
        <v>שגיאת Care Path- שימוש ב care path של IMRT ולא SRS.</v>
      </c>
      <c r="E154" s="116" t="str">
        <f>IF(ISBLANK('Event summary'!D154),"",'Event summary'!D154)</f>
        <v/>
      </c>
      <c r="F154" s="117" t="str">
        <f>IF(ISBLANK('Event summary'!E154),"",'Event summary'!E154)</f>
        <v/>
      </c>
    </row>
    <row r="155" spans="1:6" ht="45" x14ac:dyDescent="0.2">
      <c r="A155" s="114" t="e">
        <f>IF(ISBLANK('Event summary'!#REF!),"",'Event summary'!#REF!)</f>
        <v>#REF!</v>
      </c>
      <c r="B155" s="115">
        <f>IF(ISBLANK('Event summary'!A155),"",'Event summary'!A155)</f>
        <v>155</v>
      </c>
      <c r="C155" s="115" t="str">
        <f>IF(ISBLANK('Event summary'!B155),"",'Event summary'!B155)</f>
        <v>תיק ללא אישורים מספקים</v>
      </c>
      <c r="D155" s="116" t="str">
        <f>IF(ISBLANK('Event summary'!C155),"",'Event summary'!C155)</f>
        <v>תיק ללא אישורים מספקים.</v>
      </c>
      <c r="E155" s="116" t="str">
        <f>IF(ISBLANK('Event summary'!D155),"",'Event summary'!D155)</f>
        <v/>
      </c>
      <c r="F155" s="117" t="str">
        <f>IF(ISBLANK('Event summary'!E155),"",'Event summary'!E155)</f>
        <v/>
      </c>
    </row>
    <row r="156" spans="1:6" x14ac:dyDescent="0.2">
      <c r="A156" s="114" t="e">
        <f>IF(ISBLANK('Event summary'!#REF!),"",'Event summary'!#REF!)</f>
        <v>#REF!</v>
      </c>
      <c r="B156" s="115">
        <f>IF(ISBLANK('Event summary'!A156),"",'Event summary'!A156)</f>
        <v>156</v>
      </c>
      <c r="C156" s="115" t="str">
        <f>IF(ISBLANK('Event summary'!B156),"",'Event summary'!B156)</f>
        <v>בעיות קיבוע</v>
      </c>
      <c r="D156" s="116" t="str">
        <f>IF(ISBLANK('Event summary'!C156),"",'Event summary'!C156)</f>
        <v>בעיות קיבוע - חוסר עקביות בהשכבת מטופלים.</v>
      </c>
      <c r="E156" s="116" t="str">
        <f>IF(ISBLANK('Event summary'!D156),"",'Event summary'!D156)</f>
        <v/>
      </c>
      <c r="F156" s="117" t="str">
        <f>IF(ISBLANK('Event summary'!E156),"",'Event summary'!E156)</f>
        <v/>
      </c>
    </row>
    <row r="157" spans="1:6" ht="30" x14ac:dyDescent="0.2">
      <c r="A157" s="114" t="e">
        <f>IF(ISBLANK('Event summary'!#REF!),"",'Event summary'!#REF!)</f>
        <v>#REF!</v>
      </c>
      <c r="B157" s="115">
        <f>IF(ISBLANK('Event summary'!A157),"",'Event summary'!A157)</f>
        <v>157</v>
      </c>
      <c r="C157" s="115" t="str">
        <f>IF(ISBLANK('Event summary'!B157),"",'Event summary'!B157)</f>
        <v>מתן טיפול באופן שגוי</v>
      </c>
      <c r="D157" s="116" t="str">
        <f>IF(ISBLANK('Event summary'!C157),"",'Event summary'!C157)</f>
        <v>מתן טיפול באופן שגוי - TBI ללא בולוס (מילר) ב PA.</v>
      </c>
      <c r="E157" s="116" t="str">
        <f>IF(ISBLANK('Event summary'!D157),"",'Event summary'!D157)</f>
        <v>פיזיקאי יהי נוכח ב TBI</v>
      </c>
      <c r="F157" s="117" t="str">
        <f>IF(ISBLANK('Event summary'!E157),"",'Event summary'!E157)</f>
        <v/>
      </c>
    </row>
    <row r="158" spans="1:6" ht="28.5" x14ac:dyDescent="0.2">
      <c r="A158" s="114" t="e">
        <f>IF(ISBLANK('Event summary'!#REF!),"",'Event summary'!#REF!)</f>
        <v>#REF!</v>
      </c>
      <c r="B158" s="115">
        <f>IF(ISBLANK('Event summary'!A158),"",'Event summary'!A158)</f>
        <v>158</v>
      </c>
      <c r="C158" s="115" t="str">
        <f>IF(ISBLANK('Event summary'!B158),"",'Event summary'!B158)</f>
        <v>תכנון שגוי</v>
      </c>
      <c r="D158" s="116" t="str">
        <f>IF(ISBLANK('Event summary'!C158),"",'Event summary'!C158)</f>
        <v>תכנון שגוי - תוכנן על CT ישן.</v>
      </c>
      <c r="E158" s="116" t="str">
        <f>IF(ISBLANK('Event summary'!D158),"",'Event summary'!D158)</f>
        <v>דימה יבדוק אם אפשר להוסיף לשם של הסריקה באריה נתונים כגון תאריך.</v>
      </c>
      <c r="F158" s="117" t="str">
        <f>IF(ISBLANK('Event summary'!E158),"",'Event summary'!E158)</f>
        <v/>
      </c>
    </row>
    <row r="159" spans="1:6" ht="30" x14ac:dyDescent="0.2">
      <c r="A159" s="114" t="e">
        <f>IF(ISBLANK('Event summary'!#REF!),"",'Event summary'!#REF!)</f>
        <v>#REF!</v>
      </c>
      <c r="B159" s="115">
        <f>IF(ISBLANK('Event summary'!A159),"",'Event summary'!A159)</f>
        <v>159</v>
      </c>
      <c r="C159" s="115" t="str">
        <f>IF(ISBLANK('Event summary'!B159),"",'Event summary'!B159)</f>
        <v>מתן טיפול באופן שגוי</v>
      </c>
      <c r="D159" s="116" t="str">
        <f>IF(ISBLANK('Event summary'!C159),"",'Event summary'!C159)</f>
        <v>מתן טיפול באופן שגוי - טיפול לא שימוש במנג'טה, התגלה בפרקציה 7.</v>
      </c>
      <c r="E159" s="116" t="str">
        <f>IF(ISBLANK('Event summary'!D159),"",'Event summary'!D159)</f>
        <v>דימה וענת ינסו להתאים תמונות SETUP לתצוגה באריה</v>
      </c>
      <c r="F159" s="117" t="str">
        <f>IF(ISBLANK('Event summary'!E159),"",'Event summary'!E159)</f>
        <v/>
      </c>
    </row>
    <row r="160" spans="1:6" ht="30" x14ac:dyDescent="0.2">
      <c r="A160" s="114" t="e">
        <f>IF(ISBLANK('Event summary'!#REF!),"",'Event summary'!#REF!)</f>
        <v>#REF!</v>
      </c>
      <c r="B160" s="115">
        <f>IF(ISBLANK('Event summary'!A160),"",'Event summary'!A160)</f>
        <v>160</v>
      </c>
      <c r="C160" s="115" t="str">
        <f>IF(ISBLANK('Event summary'!B160),"",'Event summary'!B160)</f>
        <v>אי ביצוע הנחיה (מטופלים)</v>
      </c>
      <c r="D160" s="116" t="str">
        <f>IF(ISBLANK('Event summary'!C160),"",'Event summary'!C160)</f>
        <v>מטופל הגיע לא במועד- מטופל SBRT הגיע יום אחרי לטיפול</v>
      </c>
      <c r="E160" s="116" t="str">
        <f>IF(ISBLANK('Event summary'!D160),"",'Event summary'!D160)</f>
        <v>נייצר דו"ח טיפולים שיינתן למטופל בטיפול הראשון</v>
      </c>
      <c r="F160" s="117" t="str">
        <f>IF(ISBLANK('Event summary'!E160),"",'Event summary'!E160)</f>
        <v/>
      </c>
    </row>
    <row r="161" spans="1:6" ht="30" x14ac:dyDescent="0.2">
      <c r="A161" s="114" t="e">
        <f>IF(ISBLANK('Event summary'!#REF!),"",'Event summary'!#REF!)</f>
        <v>#REF!</v>
      </c>
      <c r="B161" s="115">
        <f>IF(ISBLANK('Event summary'!A161),"",'Event summary'!A161)</f>
        <v>161</v>
      </c>
      <c r="C161" s="115" t="str">
        <f>IF(ISBLANK('Event summary'!B161),"",'Event summary'!B161)</f>
        <v>אי עמידה בזמנים</v>
      </c>
      <c r="D161" s="116" t="str">
        <f>IF(ISBLANK('Event summary'!C161),"",'Event summary'!C161)</f>
        <v>אי עמידה בזמנים - אין מועד תחילת טיפול</v>
      </c>
      <c r="E161" s="116" t="str">
        <f>IF(ISBLANK('Event summary'!D161),"",'Event summary'!D161)</f>
        <v>רענון הנוהל</v>
      </c>
      <c r="F161" s="117" t="str">
        <f>IF(ISBLANK('Event summary'!E161),"",'Event summary'!E161)</f>
        <v/>
      </c>
    </row>
    <row r="162" spans="1:6" ht="30" x14ac:dyDescent="0.2">
      <c r="A162" s="114" t="e">
        <f>IF(ISBLANK('Event summary'!#REF!),"",'Event summary'!#REF!)</f>
        <v>#REF!</v>
      </c>
      <c r="B162" s="115">
        <f>IF(ISBLANK('Event summary'!A162),"",'Event summary'!A162)</f>
        <v>162</v>
      </c>
      <c r="C162" s="115" t="str">
        <f>IF(ISBLANK('Event summary'!B162),"",'Event summary'!B162)</f>
        <v>מתן טיפול באופן שגוי</v>
      </c>
      <c r="D162" s="116" t="str">
        <f>IF(ISBLANK('Event summary'!C162),"",'Event summary'!C162)</f>
        <v>מתן טיפול באופן שגוי - מטופלת קבלה טיפול SBRT ללא Align-RT</v>
      </c>
      <c r="E162" s="116" t="str">
        <f>IF(ISBLANK('Event summary'!D162),"",'Event summary'!D162)</f>
        <v>יש להוסיף patient alert ע"י הפיזיקאי המתכנן</v>
      </c>
      <c r="F162" s="117" t="str">
        <f>IF(ISBLANK('Event summary'!E162),"",'Event summary'!E162)</f>
        <v/>
      </c>
    </row>
    <row r="163" spans="1:6" ht="28.5" x14ac:dyDescent="0.2">
      <c r="A163" s="114" t="e">
        <f>IF(ISBLANK('Event summary'!#REF!),"",'Event summary'!#REF!)</f>
        <v>#REF!</v>
      </c>
      <c r="B163" s="115">
        <f>IF(ISBLANK('Event summary'!A163),"",'Event summary'!A163)</f>
        <v>163</v>
      </c>
      <c r="C163" s="115" t="str">
        <f>IF(ISBLANK('Event summary'!B163),"",'Event summary'!B163)</f>
        <v>תקשורת לקויה</v>
      </c>
      <c r="D163" s="116" t="str">
        <f>IF(ISBLANK('Event summary'!C163),"",'Event summary'!C163)</f>
        <v>תקשורת לקויה - מטופל היגיע ל5 פרקציות מתוך 10. לא ידע שיש לו עוד 5 טיפולים</v>
      </c>
      <c r="E163" s="116" t="str">
        <f>IF(ISBLANK('Event summary'!D163),"",'Event summary'!D163)</f>
        <v>נייצר דו"ח טיפולים שיינתן למטופל בטיפול הראשון</v>
      </c>
      <c r="F163" s="117" t="str">
        <f>IF(ISBLANK('Event summary'!E163),"",'Event summary'!E163)</f>
        <v/>
      </c>
    </row>
    <row r="164" spans="1:6" ht="30" x14ac:dyDescent="0.2">
      <c r="A164" s="114" t="e">
        <f>IF(ISBLANK('Event summary'!#REF!),"",'Event summary'!#REF!)</f>
        <v>#REF!</v>
      </c>
      <c r="B164" s="115">
        <f>IF(ISBLANK('Event summary'!A164),"",'Event summary'!A164)</f>
        <v>164</v>
      </c>
      <c r="C164" s="115" t="str">
        <f>IF(ISBLANK('Event summary'!B164),"",'Event summary'!B164)</f>
        <v>עבודה שלא על פי הנוהל</v>
      </c>
      <c r="D164" s="116" t="str">
        <f>IF(ISBLANK('Event summary'!C164),"",'Event summary'!C164)</f>
        <v xml:space="preserve">עבודה שלא על פי הנוהל - מטופלת נשכחה בחדר המאיץ </v>
      </c>
      <c r="E164" s="116" t="str">
        <f>IF(ISBLANK('Event summary'!D164),"",'Event summary'!D164)</f>
        <v>יש לגלות אחריות אישית - חידוד נוהל קיים.</v>
      </c>
      <c r="F164" s="117" t="str">
        <f>IF(ISBLANK('Event summary'!E164),"",'Event summary'!E164)</f>
        <v/>
      </c>
    </row>
    <row r="165" spans="1:6" ht="30" x14ac:dyDescent="0.2">
      <c r="A165" s="114" t="e">
        <f>IF(ISBLANK('Event summary'!#REF!),"",'Event summary'!#REF!)</f>
        <v>#REF!</v>
      </c>
      <c r="B165" s="115">
        <f>IF(ISBLANK('Event summary'!A165),"",'Event summary'!A165)</f>
        <v>165</v>
      </c>
      <c r="C165" s="115" t="str">
        <f>IF(ISBLANK('Event summary'!B165),"",'Event summary'!B165)</f>
        <v>סריקה לא תקינה</v>
      </c>
      <c r="D165" s="116" t="str">
        <f>IF(ISBLANK('Event summary'!C165),"",'Event summary'!C165)</f>
        <v>סריקת CT לא תקינה - מטופל שוכב על הבטן, נסרק עם מאפיינים של שכיבה על הגב</v>
      </c>
      <c r="E165" s="116" t="str">
        <f>IF(ISBLANK('Event summary'!D165),"",'Event summary'!D165)</f>
        <v>יש לבדוק את כל הפרמטרים לפני סריקת המטופל. חידוד נוהל קיים</v>
      </c>
      <c r="F165" s="117" t="str">
        <f>IF(ISBLANK('Event summary'!E165),"",'Event summary'!E165)</f>
        <v/>
      </c>
    </row>
    <row r="166" spans="1:6" ht="30" x14ac:dyDescent="0.2">
      <c r="A166" s="114" t="e">
        <f>IF(ISBLANK('Event summary'!#REF!),"",'Event summary'!#REF!)</f>
        <v>#REF!</v>
      </c>
      <c r="B166" s="115">
        <f>IF(ISBLANK('Event summary'!A166),"",'Event summary'!A166)</f>
        <v>166</v>
      </c>
      <c r="C166" s="115" t="str">
        <f>IF(ISBLANK('Event summary'!B166),"",'Event summary'!B166)</f>
        <v>שגיאת Care Path</v>
      </c>
      <c r="D166" s="116" t="str">
        <f>IF(ISBLANK('Event summary'!C166),"",'Event summary'!C166)</f>
        <v>שגיאת care path. שימוש ב care path של 3D ולא פליאציה. תיק לא היה מוכן בזמן</v>
      </c>
      <c r="E166" s="116" t="str">
        <f>IF(ISBLANK('Event summary'!D166),"",'Event summary'!D166)</f>
        <v>יש לוודא בסימולציה שהשדה והסימונים על אותה סריקה. שינוי שיטה של קביעת מרכז.</v>
      </c>
      <c r="F166" s="117" t="str">
        <f>IF(ISBLANK('Event summary'!E166),"",'Event summary'!E166)</f>
        <v/>
      </c>
    </row>
    <row r="167" spans="1:6" ht="28.5" x14ac:dyDescent="0.2">
      <c r="A167" s="114" t="e">
        <f>IF(ISBLANK('Event summary'!#REF!),"",'Event summary'!#REF!)</f>
        <v>#REF!</v>
      </c>
      <c r="B167" s="115">
        <f>IF(ISBLANK('Event summary'!A167),"",'Event summary'!A167)</f>
        <v>167</v>
      </c>
      <c r="C167" s="115" t="str">
        <f>IF(ISBLANK('Event summary'!B167),"",'Event summary'!B167)</f>
        <v>תיעוד לא תקין</v>
      </c>
      <c r="D167" s="116" t="str">
        <f>IF(ISBLANK('Event summary'!C167),"",'Event summary'!C167)</f>
        <v>תיעוד לא תקין - הוזנו נתונים של מטופל אחר לקמליון עבור טיפול קונטקט.</v>
      </c>
      <c r="E167" s="116" t="str">
        <f>IF(ISBLANK('Event summary'!D167),"",'Event summary'!D167)</f>
        <v>ענת תבדוק את פרטי המקרה מול הרנטגנאים. חידוד נוהל קיים.</v>
      </c>
      <c r="F167" s="117" t="str">
        <f>IF(ISBLANK('Event summary'!E167),"",'Event summary'!E167)</f>
        <v/>
      </c>
    </row>
    <row r="168" spans="1:6" x14ac:dyDescent="0.2">
      <c r="A168" s="114" t="e">
        <f>IF(ISBLANK('Event summary'!#REF!),"",'Event summary'!#REF!)</f>
        <v>#REF!</v>
      </c>
      <c r="B168" s="115">
        <f>IF(ISBLANK('Event summary'!A168),"",'Event summary'!A168)</f>
        <v>168</v>
      </c>
      <c r="C168" s="115" t="str">
        <f>IF(ISBLANK('Event summary'!B168),"",'Event summary'!B168)</f>
        <v>תיעוד לא תקין</v>
      </c>
      <c r="D168" s="116" t="str">
        <f>IF(ISBLANK('Event summary'!C168),"",'Event summary'!C168)</f>
        <v>תיעוד לא תקין - מרשם ברכי ובוסט בתוך note של מרשם אגן</v>
      </c>
      <c r="E168" s="116" t="str">
        <f>IF(ISBLANK('Event summary'!D168),"",'Event summary'!D168)</f>
        <v>יש לכתוב מרשם לכל תוכנית. חידוד נוהל.</v>
      </c>
      <c r="F168" s="117" t="str">
        <f>IF(ISBLANK('Event summary'!E168),"",'Event summary'!E168)</f>
        <v/>
      </c>
    </row>
    <row r="169" spans="1:6" ht="42.75" x14ac:dyDescent="0.2">
      <c r="A169" s="114" t="e">
        <f>IF(ISBLANK('Event summary'!#REF!),"",'Event summary'!#REF!)</f>
        <v>#REF!</v>
      </c>
      <c r="B169" s="115">
        <f>IF(ISBLANK('Event summary'!A169),"",'Event summary'!A169)</f>
        <v>169</v>
      </c>
      <c r="C169" s="115" t="str">
        <f>IF(ISBLANK('Event summary'!B169),"",'Event summary'!B169)</f>
        <v>מתן טיפול באופן שגוי</v>
      </c>
      <c r="D169" s="116" t="str">
        <f>IF(ISBLANK('Event summary'!C169),"",'Event summary'!C169)</f>
        <v>מתן טיפול באופן שגוי -  בטיפול הראשון גם הטיפול וגם הבוסט עלו - הצוות התבקש לחתום על daily dose כפול וניתן וטיפול כפול.</v>
      </c>
      <c r="E169" s="116" t="str">
        <f>IF(ISBLANK('Event summary'!D169),"",'Event summary'!D169)</f>
        <v>יש לבדוק תוכנית בפיזיקה ולא לחתום על מנה עודפת. יש צורך לכתוב נוהל RTT QA + CHECKLIST</v>
      </c>
      <c r="F169" s="117" t="str">
        <f>IF(ISBLANK('Event summary'!E169),"",'Event summary'!E169)</f>
        <v/>
      </c>
    </row>
    <row r="170" spans="1:6" ht="30" x14ac:dyDescent="0.2">
      <c r="A170" s="114" t="e">
        <f>IF(ISBLANK('Event summary'!#REF!),"",'Event summary'!#REF!)</f>
        <v>#REF!</v>
      </c>
      <c r="B170" s="115">
        <f>IF(ISBLANK('Event summary'!A170),"",'Event summary'!A170)</f>
        <v>170</v>
      </c>
      <c r="C170" s="115" t="str">
        <f>IF(ISBLANK('Event summary'!B170),"",'Event summary'!B170)</f>
        <v>מתן טיפול באופן שגוי</v>
      </c>
      <c r="D170" s="116" t="str">
        <f>IF(ISBLANK('Event summary'!C170),"",'Event summary'!C170)</f>
        <v xml:space="preserve">מתן טיפול באופן שגוי - ראש המאיץ 10 מעלות  יותר גבוה ממה תוכנן </v>
      </c>
      <c r="E170" s="116" t="str">
        <f>IF(ISBLANK('Event summary'!D170),"",'Event summary'!D170)</f>
        <v>ה- Tolerance WB אינו רלוונטי לרמות הדיוק בהם אנו עובדים היום והוא שונה בהתאם.</v>
      </c>
      <c r="F170" s="117" t="str">
        <f>IF(ISBLANK('Event summary'!E170),"",'Event summary'!E170)</f>
        <v/>
      </c>
    </row>
    <row r="171" spans="1:6" ht="28.5" x14ac:dyDescent="0.2">
      <c r="A171" s="114" t="e">
        <f>IF(ISBLANK('Event summary'!#REF!),"",'Event summary'!#REF!)</f>
        <v>#REF!</v>
      </c>
      <c r="B171" s="115">
        <f>IF(ISBLANK('Event summary'!A171),"",'Event summary'!A171)</f>
        <v>171</v>
      </c>
      <c r="C171" s="115" t="str">
        <f>IF(ISBLANK('Event summary'!B171),"",'Event summary'!B171)</f>
        <v>העברת מידע</v>
      </c>
      <c r="D171" s="116" t="str">
        <f>IF(ISBLANK('Event summary'!C171),"",'Event summary'!C171)</f>
        <v xml:space="preserve">העברת מידע- סימון עניים ועצבי ריאה הועברו באופן שגוי מbrain lab לeclipse  </v>
      </c>
      <c r="E171" s="116" t="str">
        <f>IF(ISBLANK('Event summary'!D171),"",'Event summary'!D171)</f>
        <v>כל רופא המבצע SRS צריך לבדוק את התכניות בעין ביקורתית ולבצע בדיקה לסימונים של הרופא הנוסף.</v>
      </c>
      <c r="F171" s="117" t="str">
        <f>IF(ISBLANK('Event summary'!E171),"",'Event summary'!E171)</f>
        <v/>
      </c>
    </row>
    <row r="172" spans="1:6" ht="30" x14ac:dyDescent="0.2">
      <c r="A172" s="114" t="e">
        <f>IF(ISBLANK('Event summary'!#REF!),"",'Event summary'!#REF!)</f>
        <v>#REF!</v>
      </c>
      <c r="B172" s="115">
        <f>IF(ISBLANK('Event summary'!A172),"",'Event summary'!A172)</f>
        <v>172</v>
      </c>
      <c r="C172" s="115" t="str">
        <f>IF(ISBLANK('Event summary'!B172),"",'Event summary'!B172)</f>
        <v>מתן טיפול באופן שגוי</v>
      </c>
      <c r="D172" s="116" t="str">
        <f>IF(ISBLANK('Event summary'!C172),"",'Event summary'!C172)</f>
        <v xml:space="preserve">מתן טיפול באופן שגוי - מטופלת קבלה טיפול FSR ללא Exact Track </v>
      </c>
      <c r="E172" s="116" t="str">
        <f>IF(ISBLANK('Event summary'!D172),"",'Event summary'!D172)</f>
        <v>יש לציין במרשם במפורש את טכניקת הטיפול באחריות הרופא המטפל. כל שינוי מותנה באישור הרופא המטפל.</v>
      </c>
      <c r="F172" s="117" t="str">
        <f>IF(ISBLANK('Event summary'!E172),"",'Event summary'!E172)</f>
        <v/>
      </c>
    </row>
    <row r="173" spans="1:6" ht="28.5" x14ac:dyDescent="0.2">
      <c r="A173" s="114" t="e">
        <f>IF(ISBLANK('Event summary'!#REF!),"",'Event summary'!#REF!)</f>
        <v>#REF!</v>
      </c>
      <c r="B173" s="115">
        <f>IF(ISBLANK('Event summary'!A173),"",'Event summary'!A173)</f>
        <v>173</v>
      </c>
      <c r="C173" s="115" t="str">
        <f>IF(ISBLANK('Event summary'!B173),"",'Event summary'!B173)</f>
        <v>מרשם שגוי</v>
      </c>
      <c r="D173" s="116" t="str">
        <f>IF(ISBLANK('Event summary'!C173),"",'Event summary'!C173)</f>
        <v>מרשם שגוי - הגבלות לא מתאים לFSR</v>
      </c>
      <c r="E173" s="116" t="str">
        <f>IF(ISBLANK('Event summary'!D173),"",'Event summary'!D173)</f>
        <v>באחריות הרופא המטפל להתאים את המרשם להגבלות. באחריות QA לבדוק שההגבלות תואמות את הטיפול.</v>
      </c>
      <c r="F173" s="117" t="str">
        <f>IF(ISBLANK('Event summary'!E173),"",'Event summary'!E173)</f>
        <v/>
      </c>
    </row>
    <row r="174" spans="1:6" ht="28.5" x14ac:dyDescent="0.2">
      <c r="A174" s="114" t="e">
        <f>IF(ISBLANK('Event summary'!#REF!),"",'Event summary'!#REF!)</f>
        <v>#REF!</v>
      </c>
      <c r="B174" s="115">
        <f>IF(ISBLANK('Event summary'!A174),"",'Event summary'!A174)</f>
        <v>174</v>
      </c>
      <c r="C174" s="115" t="str">
        <f>IF(ISBLANK('Event summary'!B174),"",'Event summary'!B174)</f>
        <v>היעדר צילומים</v>
      </c>
      <c r="D174" s="116" t="str">
        <f>IF(ISBLANK('Event summary'!C174),"",'Event summary'!C174)</f>
        <v>לא ניתן לוודא מרכז טיפול - לא ניתן היה לצלם את שדה הטיפול ולא ניתן היה לראות את המטרה בארק דינאמי.</v>
      </c>
      <c r="E174" s="116" t="str">
        <f>IF(ISBLANK('Event summary'!D174),"",'Event summary'!D174)</f>
        <v>הוחלט על צמצום הטיפולים הכוללים ARC למאיץ3. להוסיף שדה מוצא בזווית ההתחלה וכן, לשלוח PTV.</v>
      </c>
      <c r="F174" s="117" t="str">
        <f>IF(ISBLANK('Event summary'!E174),"",'Event summary'!E174)</f>
        <v/>
      </c>
    </row>
    <row r="175" spans="1:6" ht="42.75" x14ac:dyDescent="0.2">
      <c r="A175" s="114" t="e">
        <f>IF(ISBLANK('Event summary'!#REF!),"",'Event summary'!#REF!)</f>
        <v>#REF!</v>
      </c>
      <c r="B175" s="115">
        <f>IF(ISBLANK('Event summary'!A175),"",'Event summary'!A175)</f>
        <v>175</v>
      </c>
      <c r="C175" s="115" t="str">
        <f>IF(ISBLANK('Event summary'!B175),"",'Event summary'!B175)</f>
        <v>מתן טיפול שלא על פי הפרוטוקול</v>
      </c>
      <c r="D175" s="116" t="str">
        <f>IF(ISBLANK('Event summary'!C175),"",'Event summary'!C175)</f>
        <v>מתן טיפול שלא על פי הפרוטוקול - מטופל ירד מהמחלקה ללא זימון קיבל אישור טיפול מרופא. בדיעבד לא היה צריך לקבל טיפול.</v>
      </c>
      <c r="E175" s="116" t="str">
        <f>IF(ISBLANK('Event summary'!D175),"",'Event summary'!D175)</f>
        <v>בישיבה הוחלט לפתח נוהל בירור למטופלים שאינם שייכים לרופא התורן. יש לתעד היטב בקמליון את המרשם וההחלטות הרפואיות עבור כל מטופל.</v>
      </c>
      <c r="F175" s="117" t="str">
        <f>IF(ISBLANK('Event summary'!E175),"",'Event summary'!E175)</f>
        <v/>
      </c>
    </row>
    <row r="176" spans="1:6" ht="42.75" x14ac:dyDescent="0.2">
      <c r="A176" s="114" t="e">
        <f>IF(ISBLANK('Event summary'!#REF!),"",'Event summary'!#REF!)</f>
        <v>#REF!</v>
      </c>
      <c r="B176" s="115">
        <f>IF(ISBLANK('Event summary'!A176),"",'Event summary'!A176)</f>
        <v>176</v>
      </c>
      <c r="C176" s="115" t="str">
        <f>IF(ISBLANK('Event summary'!B176),"",'Event summary'!B176)</f>
        <v>מתן טיפול באופן שגוי</v>
      </c>
      <c r="D176" s="116" t="str">
        <f>IF(ISBLANK('Event summary'!C176),"",'Event summary'!C176)</f>
        <v>מתן טיפול באופן שגוי - סימון קליני אלקטרונים חושב למנה של 2.5Gy במקום למנה של 2Gy הבדל של מנה אסולוטית 2.5% לכל הטיפול.</v>
      </c>
      <c r="E176" s="116" t="str">
        <f>IF(ISBLANK('Event summary'!D176),"",'Event summary'!D176)</f>
        <v>יש לבצע "פסק זמן" לפני מתן הטיפול ולבצע וידוא המנה. יש להיעזר רנטגנאים לבדיקת ה- MU.</v>
      </c>
      <c r="F176" s="117" t="str">
        <f>IF(ISBLANK('Event summary'!E176),"",'Event summary'!E176)</f>
        <v/>
      </c>
    </row>
    <row r="177" spans="1:6" ht="42.75" x14ac:dyDescent="0.2">
      <c r="A177" s="114" t="e">
        <f>IF(ISBLANK('Event summary'!#REF!),"",'Event summary'!#REF!)</f>
        <v>#REF!</v>
      </c>
      <c r="B177" s="115">
        <f>IF(ISBLANK('Event summary'!A177),"",'Event summary'!A177)</f>
        <v>177</v>
      </c>
      <c r="C177" s="115" t="str">
        <f>IF(ISBLANK('Event summary'!B177),"",'Event summary'!B177)</f>
        <v>מתן טיפול בהיעדר מרשם</v>
      </c>
      <c r="D177" s="116" t="str">
        <f>IF(ISBLANK('Event summary'!C177),"",'Event summary'!C177)</f>
        <v>מתן טיפול בהיעדר מרשם - מטופל קיבל שלושה טיפולי מגע (Contact) מתוך ארבעה טיפולים ללא מרשם כתוב.</v>
      </c>
      <c r="E177" s="116" t="str">
        <f>IF(ISBLANK('Event summary'!D177),"",'Event summary'!D177)</f>
        <v>אין לתת טיפול ללא מרשם כתוב וללא הסכמה לטיפול. באחריות הרופא המטפל להקפיד לתעד מרשם באריה בהתאם למרשם של מכשיר הקונטאקט (Sensus).</v>
      </c>
      <c r="F177" s="117" t="str">
        <f>IF(ISBLANK('Event summary'!E177),"",'Event summary'!E177)</f>
        <v/>
      </c>
    </row>
    <row r="178" spans="1:6" ht="57" x14ac:dyDescent="0.2">
      <c r="A178" s="114" t="e">
        <f>IF(ISBLANK('Event summary'!#REF!),"",'Event summary'!#REF!)</f>
        <v>#REF!</v>
      </c>
      <c r="B178" s="115">
        <f>IF(ISBLANK('Event summary'!A178),"",'Event summary'!A178)</f>
        <v>178</v>
      </c>
      <c r="C178" s="115" t="str">
        <f>IF(ISBLANK('Event summary'!B178),"",'Event summary'!B178)</f>
        <v>העברת מידע</v>
      </c>
      <c r="D178" s="116" t="str">
        <f>IF(ISBLANK('Event summary'!C178),"",'Event summary'!C178)</f>
        <v>העברת מידע- מטופל הורד מהמחלקה לצורך קבלת טיפול. הצוות המטפל לא ידע שהועבר הוראה לא לטפל עד קבלת פטולוגיה.</v>
      </c>
      <c r="E178" s="116" t="str">
        <f>IF(ISBLANK('Event summary'!D178),"",'Event summary'!D178)</f>
        <v>העברת מיידע בין הסקטורים הינה קריטית למתן טיפול איכותי. בכל החלטה רפואית של דחייה, הקדמה או שינוי טיפול יש לתעד ב patient alert וקמליון. לידע את זימון תורים, RTTQA ואם צריך אז גם את פיזיקה.</v>
      </c>
      <c r="F178" s="117" t="str">
        <f>IF(ISBLANK('Event summary'!E178),"",'Event summary'!E178)</f>
        <v/>
      </c>
    </row>
    <row r="179" spans="1:6" ht="28.5" x14ac:dyDescent="0.2">
      <c r="A179" s="114" t="e">
        <f>IF(ISBLANK('Event summary'!#REF!),"",'Event summary'!#REF!)</f>
        <v>#REF!</v>
      </c>
      <c r="B179" s="115">
        <f>IF(ISBLANK('Event summary'!A179),"",'Event summary'!A179)</f>
        <v>179</v>
      </c>
      <c r="C179" s="115" t="str">
        <f>IF(ISBLANK('Event summary'!B179),"",'Event summary'!B179)</f>
        <v>בעיות קיבוע</v>
      </c>
      <c r="D179" s="116" t="str">
        <f>IF(ISBLANK('Event summary'!C179),"",'Event summary'!C179)</f>
        <v>בעיות קיבוע - אמצעי קיבוע פגום. מסיכה פתוחה של SRS התפרקה ההרכבה על המטופלת.</v>
      </c>
      <c r="E179" s="116" t="str">
        <f>IF(ISBLANK('Event summary'!D179),"",'Event summary'!D179)</f>
        <v>החלטה על המשך טיפול בידי הרופא המטפל.</v>
      </c>
      <c r="F179" s="117" t="str">
        <f>IF(ISBLANK('Event summary'!E179),"",'Event summary'!E179)</f>
        <v/>
      </c>
    </row>
    <row r="180" spans="1:6" ht="42.75" x14ac:dyDescent="0.2">
      <c r="A180" s="114" t="e">
        <f>IF(ISBLANK('Event summary'!#REF!),"",'Event summary'!#REF!)</f>
        <v>#REF!</v>
      </c>
      <c r="B180" s="115">
        <f>IF(ISBLANK('Event summary'!A180),"",'Event summary'!A180)</f>
        <v>180</v>
      </c>
      <c r="C180" s="115" t="str">
        <f>IF(ISBLANK('Event summary'!B180),"",'Event summary'!B180)</f>
        <v>בעיות קיבוע</v>
      </c>
      <c r="D180" s="116" t="str">
        <f>IF(ISBLANK('Event summary'!C180),"",'Event summary'!C180)</f>
        <v>בעיות קיבוע - רנטגנאים נתבקשו לבצע AlignRT לטיפול עם ובלי בולוס. לא ניתן לבצע באופן חזרתי ללא פרוטוקול מתאים.</v>
      </c>
      <c r="E180" s="116" t="str">
        <f>IF(ISBLANK('Event summary'!D180),"",'Event summary'!D180)</f>
        <v>פרוטוקול אפשרי הינו; סריקה כפולה עם ובלי בולוס, מיקום מדוייק של הבולוס על המטופלת ובכך לאפשר למערת לזהות את פני שטח המכילים את הבולוס.</v>
      </c>
      <c r="F180" s="117" t="str">
        <f>IF(ISBLANK('Event summary'!E180),"",'Event summary'!E180)</f>
        <v/>
      </c>
    </row>
    <row r="181" spans="1:6" ht="42.75" x14ac:dyDescent="0.2">
      <c r="A181" s="114" t="e">
        <f>IF(ISBLANK('Event summary'!#REF!),"",'Event summary'!#REF!)</f>
        <v>#REF!</v>
      </c>
      <c r="B181" s="115">
        <f>IF(ISBLANK('Event summary'!A181),"",'Event summary'!A181)</f>
        <v>181</v>
      </c>
      <c r="C181" s="115" t="str">
        <f>IF(ISBLANK('Event summary'!B181),"",'Event summary'!B181)</f>
        <v>מרשם שגוי</v>
      </c>
      <c r="D181" s="116" t="str">
        <f>IF(ISBLANK('Event summary'!C181),"",'Event summary'!C181)</f>
        <v>מרשם שגוי - שם המרשם FSR Brain נרשם לאיזור טיפול D10.</v>
      </c>
      <c r="E181" s="116" t="str">
        <f>IF(ISBLANK('Event summary'!D181),"",'Event summary'!D181)</f>
        <v xml:space="preserve">כתיבת מרשם הינה הוראה פורמלית של רופא לשאר הצוות למתן טיפול לאיבר מסוים וספציפי. על כן, למניעת אי הבנות וטעויות זיהוי, שם המרשם חייב לתאר את אזור הטיפול המדויק. </v>
      </c>
      <c r="F181" s="117" t="str">
        <f>IF(ISBLANK('Event summary'!E181),"",'Event summary'!E181)</f>
        <v/>
      </c>
    </row>
    <row r="182" spans="1:6" ht="42.75" x14ac:dyDescent="0.2">
      <c r="A182" s="114" t="e">
        <f>IF(ISBLANK('Event summary'!#REF!),"",'Event summary'!#REF!)</f>
        <v>#REF!</v>
      </c>
      <c r="B182" s="115">
        <f>IF(ISBLANK('Event summary'!A182),"",'Event summary'!A182)</f>
        <v>182</v>
      </c>
      <c r="C182" s="115" t="str">
        <f>IF(ISBLANK('Event summary'!B182),"",'Event summary'!B182)</f>
        <v>מרשם שגוי</v>
      </c>
      <c r="D182" s="116" t="str">
        <f>IF(ISBLANK('Event summary'!C182),"",'Event summary'!C182)</f>
        <v>מרשם שגוי - צד מרשם שגוי Lt Pelvic Node במקום Rt.</v>
      </c>
      <c r="E182" s="116" t="str">
        <f>IF(ISBLANK('Event summary'!D182),"",'Event summary'!D182)</f>
        <v xml:space="preserve">כתיבת מרשם הינה הוראה פורמלית של רופא לשאר הצוות למתן טיפול לאיבר מסוים וספציפי. על כן, למניעת אי הבנות וטעויות זיהוי, שם המרשם חייב לתאר את אזור הטיפול המדויק. </v>
      </c>
      <c r="F182" s="117" t="str">
        <f>IF(ISBLANK('Event summary'!E182),"",'Event summary'!E182)</f>
        <v/>
      </c>
    </row>
    <row r="183" spans="1:6" ht="57" x14ac:dyDescent="0.2">
      <c r="A183" s="114" t="e">
        <f>IF(ISBLANK('Event summary'!#REF!),"",'Event summary'!#REF!)</f>
        <v>#REF!</v>
      </c>
      <c r="B183" s="115">
        <f>IF(ISBLANK('Event summary'!A183),"",'Event summary'!A183)</f>
        <v>183</v>
      </c>
      <c r="C183" s="115" t="str">
        <f>IF(ISBLANK('Event summary'!B183),"",'Event summary'!B183)</f>
        <v>מתן טיפול באופן שגוי</v>
      </c>
      <c r="D183" s="116" t="str">
        <f>IF(ISBLANK('Event summary'!C183),"",'Event summary'!C183)</f>
        <v>מתן טיפול באופן שגוי - סימון קליני פוטונים חושב למנה של 2Gy במקום למנה של 4Gy הבדל של מנה אסולוטית 50% לפרקציה. קיבלה השלמה לשארית הטיפול.</v>
      </c>
      <c r="E183" s="116" t="str">
        <f>IF(ISBLANK('Event summary'!D183),"",'Event summary'!D183)</f>
        <v xml:space="preserve">בסימונים קליניים חשוב לבצע בדיקה של בדיקה בלתי תלויה של הפרמטרים של החישוב ולהיעזר רנטגנאים שבמכונה ואו בפיזיקאי נוסף. חשוב לתעד את אופן החישוב על מנת למנוע שגיאות חישוב שנעשות בראש בלבד. </v>
      </c>
      <c r="F183" s="117" t="str">
        <f>IF(ISBLANK('Event summary'!E183),"",'Event summary'!E183)</f>
        <v/>
      </c>
    </row>
    <row r="184" spans="1:6" ht="57" x14ac:dyDescent="0.2">
      <c r="A184" s="114" t="e">
        <f>IF(ISBLANK('Event summary'!#REF!),"",'Event summary'!#REF!)</f>
        <v>#REF!</v>
      </c>
      <c r="B184" s="115">
        <f>IF(ISBLANK('Event summary'!A184),"",'Event summary'!A184)</f>
        <v>184</v>
      </c>
      <c r="C184" s="115" t="str">
        <f>IF(ISBLANK('Event summary'!B184),"",'Event summary'!B184)</f>
        <v>כמעט ניתן טיפול שגוי</v>
      </c>
      <c r="D184" s="116" t="str">
        <f>IF(ISBLANK('Event summary'!C184),"",'Event summary'!C184)</f>
        <v>כמעט ניתן טיפול שגוי - למטופל 4 מוקדים SBRT הניתנים 2 בשבוע. ע"פ תכנון יקבל 2 מוקדים בכל פרקציה לסרוגין. קיבל שיבוץ רגיל כך שבין טיפולים לכל מוקד יכול לעבור כשבוע לפני מתן הטיפול הבא.</v>
      </c>
      <c r="E184" s="116" t="str">
        <f>IF(ISBLANK('Event summary'!D184),"",'Event summary'!D184)</f>
        <v>במקרים כאלה יש לשבץ טיפול בכל יום על מנת לטפל באופן המשכי. דובר החשיבות של תקשורת יעילה בין הצוותים. בפרט על כך שפיזיקאים צריכים לתעד וליידע את RTTQA ותורים על כך שלמטופל יש מספר מוקדים שמקבלים טיפול בזמנים שונים.</v>
      </c>
      <c r="F184" s="117" t="str">
        <f>IF(ISBLANK('Event summary'!E184),"",'Event summary'!E184)</f>
        <v/>
      </c>
    </row>
    <row r="185" spans="1:6" ht="42.75" x14ac:dyDescent="0.2">
      <c r="A185" s="114" t="e">
        <f>IF(ISBLANK('Event summary'!#REF!),"",'Event summary'!#REF!)</f>
        <v>#REF!</v>
      </c>
      <c r="B185" s="115">
        <f>IF(ISBLANK('Event summary'!A185),"",'Event summary'!A185)</f>
        <v>185</v>
      </c>
      <c r="C185" s="115" t="str">
        <f>IF(ISBLANK('Event summary'!B185),"",'Event summary'!B185)</f>
        <v>כמעט סימון שגוי</v>
      </c>
      <c r="D185" s="116" t="str">
        <f>IF(ISBLANK('Event summary'!C185),"",'Event summary'!C185)</f>
        <v>כמעט סימון שגוי - בבדיקת מקרה SBRT לתחילת השבוע נתגלו בעיות בסימון ומרשם של המקרה. בוצע חישוב חדש.</v>
      </c>
      <c r="E185" s="116" t="str">
        <f>IF(ISBLANK('Event summary'!D185),"",'Event summary'!D185)</f>
        <v>בישיבה דובר על הצורך בישיבות סימון ועל הצורך לשפר את ישיבות בקרת איכות (QA) באופן כללי ע"י הקצאת משאבי זמן מוגדרים היטב לצורך הישיבה.</v>
      </c>
      <c r="F185" s="117" t="str">
        <f>IF(ISBLANK('Event summary'!E185),"",'Event summary'!E185)</f>
        <v/>
      </c>
    </row>
    <row r="186" spans="1:6" ht="45" x14ac:dyDescent="0.2">
      <c r="A186" s="114" t="e">
        <f>IF(ISBLANK('Event summary'!#REF!),"",'Event summary'!#REF!)</f>
        <v>#REF!</v>
      </c>
      <c r="B186" s="115">
        <f>IF(ISBLANK('Event summary'!A186),"",'Event summary'!A186)</f>
        <v>186</v>
      </c>
      <c r="C186" s="115" t="str">
        <f>IF(ISBLANK('Event summary'!B186),"",'Event summary'!B186)</f>
        <v>תיק ללא אישורים מספקים</v>
      </c>
      <c r="D186" s="116" t="str">
        <f>IF(ISBLANK('Event summary'!C186),"",'Event summary'!C186)</f>
        <v>תיק ללא אישורים מספקים - תיק הגיע לישיבת QA ללא חתימת רופא בכיר. ב- Care path שינו סטטוס ל- Cancel בחלק החתימה, ע"י מתמחה.</v>
      </c>
      <c r="E186" s="116" t="str">
        <f>IF(ISBLANK('Event summary'!D186),"",'Event summary'!D186)</f>
        <v>מסלול עבודה תקין תלוי באופן משמעותי על ביצוע נכון של ה- Care Path. כל שינוי ב Care Path יכול לתקוע את התהליך. בעת סגירה של ה- Care Path יש להקפיד לא ללחוץ על ביטול Cancel בטעות.</v>
      </c>
      <c r="F186" s="117" t="str">
        <f>IF(ISBLANK('Event summary'!E186),"",'Event summary'!E186)</f>
        <v/>
      </c>
    </row>
    <row r="187" spans="1:6" ht="28.5" x14ac:dyDescent="0.2">
      <c r="A187" s="114" t="e">
        <f>IF(ISBLANK('Event summary'!#REF!),"",'Event summary'!#REF!)</f>
        <v>#REF!</v>
      </c>
      <c r="B187" s="115">
        <f>IF(ISBLANK('Event summary'!A187),"",'Event summary'!A187)</f>
        <v>187</v>
      </c>
      <c r="C187" s="115" t="str">
        <f>IF(ISBLANK('Event summary'!B187),"",'Event summary'!B187)</f>
        <v>תיעוד לא תקין</v>
      </c>
      <c r="D187" s="116" t="str">
        <f>IF(ISBLANK('Event summary'!C187),"",'Event summary'!C187)</f>
        <v>תיעוד לא תקין - שגיאה בשם התכנית לצד שמאל במקום לצד ימין התגלה בפרקציה חמישית</v>
      </c>
      <c r="E187" s="116" t="str">
        <f>IF(ISBLANK('Event summary'!D187),"",'Event summary'!D187)</f>
        <v>יש להקפיד על כתיבה נכונה של המתכנן וכן שתהליך בקרת האיכות יהיה קפדני לשם מניעה של טעויות צד טיפול.</v>
      </c>
      <c r="F187" s="117" t="str">
        <f>IF(ISBLANK('Event summary'!E187),"",'Event summary'!E187)</f>
        <v/>
      </c>
    </row>
    <row r="188" spans="1:6" ht="57" x14ac:dyDescent="0.2">
      <c r="A188" s="114" t="e">
        <f>IF(ISBLANK('Event summary'!#REF!),"",'Event summary'!#REF!)</f>
        <v>#REF!</v>
      </c>
      <c r="B188" s="115">
        <f>IF(ISBLANK('Event summary'!A188),"",'Event summary'!A188)</f>
        <v>188</v>
      </c>
      <c r="C188" s="115" t="str">
        <f>IF(ISBLANK('Event summary'!B188),"",'Event summary'!B188)</f>
        <v>מתן טיפול באופן שגוי</v>
      </c>
      <c r="D188" s="116" t="str">
        <f>IF(ISBLANK('Event summary'!C188),"",'Event summary'!C188)</f>
        <v>מתן טיפול באופן שגוי - זיהוי שגוי של מטופלת ברכיתרפיה. קיבלה טיפול חלקי עם תכנית של מטופלת אחרת</v>
      </c>
      <c r="E188" s="116" t="str">
        <f>IF(ISBLANK('Event summary'!D188),"",'Event summary'!D188)</f>
        <v>בעקבות האירוע התכנסה ישיבה מיוחדת לדון באירוע בתאריך 3/11/2019. נכתב דו"ח אירוע אשר נשלח למשרד הבריאות וניהול סיכונים. נוהל עבודה חדש לברכיתרפיה נכתב וצריך לעבור לשלב של אישור ויישום.</v>
      </c>
      <c r="F188" s="117" t="str">
        <f>IF(ISBLANK('Event summary'!E188),"",'Event summary'!E188)</f>
        <v/>
      </c>
    </row>
    <row r="189" spans="1:6" ht="57" x14ac:dyDescent="0.2">
      <c r="A189" s="114" t="e">
        <f>IF(ISBLANK('Event summary'!#REF!),"",'Event summary'!#REF!)</f>
        <v>#REF!</v>
      </c>
      <c r="B189" s="115">
        <f>IF(ISBLANK('Event summary'!A189),"",'Event summary'!A189)</f>
        <v>189</v>
      </c>
      <c r="C189" s="115" t="str">
        <f>IF(ISBLANK('Event summary'!B189),"",'Event summary'!B189)</f>
        <v>מתן טיפול באופן שגוי</v>
      </c>
      <c r="D189" s="116" t="str">
        <f>IF(ISBLANK('Event summary'!C189),"",'Event summary'!C189)</f>
        <v>מתן טיפול באופן שגוי  -  טיפול שד לפראקציה לשבוע קבלה טיפול יום אחרי יום</v>
      </c>
      <c r="E189" s="116" t="str">
        <f>IF(ISBLANK('Event summary'!D189),"",'Event summary'!D189)</f>
        <v>יש להוסיף הערה ב- Setup Note וגם ב- Patient Alert. יש להסתכל גם על מרשמים בישיבות QA. יש לעדכן את כלל הצוות על פרוטוקולים חדשים. אם יש הערות מיוחדות במרשם על הרופא לוודא עם הפיזיקאי שהוא מודע לשינויים.</v>
      </c>
      <c r="F189" s="117" t="str">
        <f>IF(ISBLANK('Event summary'!E189),"",'Event summary'!E189)</f>
        <v/>
      </c>
    </row>
    <row r="190" spans="1:6" ht="57" x14ac:dyDescent="0.2">
      <c r="A190" s="114" t="e">
        <f>IF(ISBLANK('Event summary'!#REF!),"",'Event summary'!#REF!)</f>
        <v>#REF!</v>
      </c>
      <c r="B190" s="115">
        <f>IF(ISBLANK('Event summary'!A190),"",'Event summary'!A190)</f>
        <v>190</v>
      </c>
      <c r="C190" s="115" t="str">
        <f>IF(ISBLANK('Event summary'!B190),"",'Event summary'!B190)</f>
        <v>שגיאה בזיהוי מטופל</v>
      </c>
      <c r="D190" s="116" t="str">
        <f>IF(ISBLANK('Event summary'!C190),"",'Event summary'!C190)</f>
        <v>שגיאה בזיהוי מטופל - סריקה למטופלת אחת על מספר זיהוי של מטופל אחר</v>
      </c>
      <c r="E190" s="116" t="str">
        <f>IF(ISBLANK('Event summary'!D190),"",'Event summary'!D190)</f>
        <v>חשוב מאד לסיים מטופל על כל הפרטים בטרם עוברים למטופל הבא. אין להחליף צוותים לפני סיום טיפול במטופל. אם המצב מחייב החלפה יש לבצע החלפה מסודרת. יש לבצע פסק זמן ולעבור על פרטי המטופל עם הצוות המחליף</v>
      </c>
      <c r="F190" s="117" t="str">
        <f>IF(ISBLANK('Event summary'!E190),"",'Event summary'!E190)</f>
        <v/>
      </c>
    </row>
    <row r="191" spans="1:6" ht="30" x14ac:dyDescent="0.2">
      <c r="A191" s="114" t="e">
        <f>IF(ISBLANK('Event summary'!#REF!),"",'Event summary'!#REF!)</f>
        <v>#REF!</v>
      </c>
      <c r="B191" s="115">
        <f>IF(ISBLANK('Event summary'!A191),"",'Event summary'!A191)</f>
        <v>191</v>
      </c>
      <c r="C191" s="115" t="str">
        <f>IF(ISBLANK('Event summary'!B191),"",'Event summary'!B191)</f>
        <v>מתן טיפול ללא בקרת איכות</v>
      </c>
      <c r="D191" s="116" t="str">
        <f>IF(ISBLANK('Event summary'!C191),"",'Event summary'!C191)</f>
        <v>מתן טיפול ללא בקרת איכות - תיק SBRT טופל ללא אנליזה של המדידה וללא RTT QA</v>
      </c>
      <c r="E191" s="116" t="str">
        <f>IF(ISBLANK('Event summary'!D191),"",'Event summary'!D191)</f>
        <v>ע"פ הנהלים טיפולי SBRT,SRS לא יכולים להתחיל טיפול ללא השלמת תהליך בקרת איכות. יש להקפיד על הנוהל.</v>
      </c>
      <c r="F191" s="117" t="str">
        <f>IF(ISBLANK('Event summary'!E191),"",'Event summary'!E191)</f>
        <v/>
      </c>
    </row>
    <row r="192" spans="1:6" ht="30" x14ac:dyDescent="0.2">
      <c r="A192" s="114" t="e">
        <f>IF(ISBLANK('Event summary'!#REF!),"",'Event summary'!#REF!)</f>
        <v>#REF!</v>
      </c>
      <c r="B192" s="115">
        <f>IF(ISBLANK('Event summary'!A192),"",'Event summary'!A192)</f>
        <v>192</v>
      </c>
      <c r="C192" s="115" t="str">
        <f>IF(ISBLANK('Event summary'!B192),"",'Event summary'!B192)</f>
        <v>אי עמידה בזמנים</v>
      </c>
      <c r="D192" s="116" t="str">
        <f>IF(ISBLANK('Event summary'!C192),"",'Event summary'!C192)</f>
        <v xml:space="preserve">עיכוב במתן טיפול - מטופל סיים סימולציה ב12:45 תכנון טיפול הסתיים לקראת 15:30 </v>
      </c>
      <c r="E192" s="116" t="str">
        <f>IF(ISBLANK('Event summary'!D192),"",'Event summary'!D192)</f>
        <v>נכון להיום הנושא של מטופלים דחופים נידון בוועדת איכות מיוחדת לשם גיבוש נוהל עבודה חדש בטוח ושלם.</v>
      </c>
      <c r="F192" s="117" t="str">
        <f>IF(ISBLANK('Event summary'!E192),"",'Event summary'!E192)</f>
        <v/>
      </c>
    </row>
    <row r="193" spans="1:6" ht="42.75" x14ac:dyDescent="0.2">
      <c r="A193" s="114" t="e">
        <f>IF(ISBLANK('Event summary'!#REF!),"",'Event summary'!#REF!)</f>
        <v>#REF!</v>
      </c>
      <c r="B193" s="115">
        <f>IF(ISBLANK('Event summary'!A193),"",'Event summary'!A193)</f>
        <v>193</v>
      </c>
      <c r="C193" s="115" t="str">
        <f>IF(ISBLANK('Event summary'!B193),"",'Event summary'!B193)</f>
        <v>תכנון שגוי</v>
      </c>
      <c r="D193" s="116" t="str">
        <f>IF(ISBLANK('Event summary'!C193),"",'Event summary'!C193)</f>
        <v xml:space="preserve">תכנון שגוי - בטיפול פרק ירך ימין gantry ירד לPA מהכיוון לא נכון  </v>
      </c>
      <c r="E193" s="116" t="str">
        <f>IF(ISBLANK('Event summary'!D193),"",'Event summary'!D193)</f>
        <v>בטיפולים בעל צד יש לבצע צילום באמצעות KV-MV ושדות המוצע יהיו 0 ו- 270 מעלות. בצילום שדה טיפול, בפרט בשדה 180E יש להגיע לזוית ורק אז להוסיף את הצילום.</v>
      </c>
      <c r="F193" s="117" t="str">
        <f>IF(ISBLANK('Event summary'!E193),"",'Event summary'!E193)</f>
        <v/>
      </c>
    </row>
    <row r="194" spans="1:6" ht="57" x14ac:dyDescent="0.2">
      <c r="A194" s="114" t="e">
        <f>IF(ISBLANK('Event summary'!#REF!),"",'Event summary'!#REF!)</f>
        <v>#REF!</v>
      </c>
      <c r="B194" s="115">
        <f>IF(ISBLANK('Event summary'!A194),"",'Event summary'!A194)</f>
        <v>194</v>
      </c>
      <c r="C194" s="115" t="str">
        <f>IF(ISBLANK('Event summary'!B194),"",'Event summary'!B194)</f>
        <v>תקשורת לקויה</v>
      </c>
      <c r="D194" s="116" t="str">
        <f>IF(ISBLANK('Event summary'!C194),"",'Event summary'!C194)</f>
        <v>תקשורת לקויה – טיפול לסימולציה + סימון קליני. הצוות לא היה מודע לקיומה של הסימולציה. הסימולציה לא התאימה לחיבור של השדות והיה צריך לסרוק מכיוון הרגליים. המטופל נשלח לסימולציה חוזרת.</v>
      </c>
      <c r="E194" s="116" t="str">
        <f>IF(ISBLANK('Event summary'!D194),"",'Event summary'!D194)</f>
        <v xml:space="preserve">בישיבה דובר על הצורך לקבוע את גודל הסריקה מראש ולהשתמש בסרגלים של המיטה וכן לקבוע הנחיה לסימולציה באילו תנאים יש לסרוק Feet First.
</v>
      </c>
      <c r="F194" s="117" t="str">
        <f>IF(ISBLANK('Event summary'!E194),"",'Event summary'!E194)</f>
        <v/>
      </c>
    </row>
    <row r="195" spans="1:6" ht="57" x14ac:dyDescent="0.2">
      <c r="A195" s="114" t="e">
        <f>IF(ISBLANK('Event summary'!#REF!),"",'Event summary'!#REF!)</f>
        <v>#REF!</v>
      </c>
      <c r="B195" s="115">
        <f>IF(ISBLANK('Event summary'!A195),"",'Event summary'!A195)</f>
        <v>195</v>
      </c>
      <c r="C195" s="115" t="str">
        <f>IF(ISBLANK('Event summary'!B195),"",'Event summary'!B195)</f>
        <v>מתן טיפול באופן שגוי</v>
      </c>
      <c r="D195" s="116" t="str">
        <f>IF(ISBLANK('Event summary'!C195),"",'Event summary'!C195)</f>
        <v>מתן טיפול באופן שגוי - מטופלת שכבה על מתכן שד בזווית 12.5 מעלות במקום 10 מעלות.</v>
      </c>
      <c r="E195" s="116" t="str">
        <f>IF(ISBLANK('Event summary'!D195),"",'Event summary'!D195)</f>
        <v>בישיבה דובר על כך שיש לרשום את הפרמטרים של מתקני הקיבוע ב Setup Notes לכל הטיפולים. הזווית הסטנדרטית הינה 10 מעלות ולכן לאחר טיפול לא שיגרתי יש להחזיר את הציוד למצב הסטנדרטי למניעת שגיאות בטיפולים העוקבים.</v>
      </c>
      <c r="F195" s="117" t="str">
        <f>IF(ISBLANK('Event summary'!E195),"",'Event summary'!E195)</f>
        <v/>
      </c>
    </row>
    <row r="196" spans="1:6" ht="30" x14ac:dyDescent="0.2">
      <c r="A196" s="114" t="e">
        <f>IF(ISBLANK('Event summary'!#REF!),"",'Event summary'!#REF!)</f>
        <v>#REF!</v>
      </c>
      <c r="B196" s="115">
        <f>IF(ISBLANK('Event summary'!A196),"",'Event summary'!A196)</f>
        <v>196</v>
      </c>
      <c r="C196" s="115" t="str">
        <f>IF(ISBLANK('Event summary'!B196),"",'Event summary'!B196)</f>
        <v>מתן טיפול באופן שגוי</v>
      </c>
      <c r="D196" s="116" t="str">
        <f>IF(ISBLANK('Event summary'!C196),"",'Event summary'!C196)</f>
        <v xml:space="preserve">מתן טיפול באופן שגוי -במהלך טיפול צלינדר, הצלינדר יצא ממקומו. </v>
      </c>
      <c r="E196" s="116" t="str">
        <f>IF(ISBLANK('Event summary'!D196),"",'Event summary'!D196)</f>
        <v>הערכה דוזימטרית מוערכת כ- 8% שגיאה. יש לשקול לרכוש הולדר מתאים לפרוצדורה.</v>
      </c>
      <c r="F196" s="117" t="str">
        <f>IF(ISBLANK('Event summary'!E196),"",'Event summary'!E196)</f>
        <v/>
      </c>
    </row>
    <row r="197" spans="1:6" ht="57" x14ac:dyDescent="0.2">
      <c r="A197" s="114" t="e">
        <f>IF(ISBLANK('Event summary'!#REF!),"",'Event summary'!#REF!)</f>
        <v>#REF!</v>
      </c>
      <c r="B197" s="115">
        <f>IF(ISBLANK('Event summary'!A197),"",'Event summary'!A197)</f>
        <v>197</v>
      </c>
      <c r="C197" s="115" t="str">
        <f>IF(ISBLANK('Event summary'!B197),"",'Event summary'!B197)</f>
        <v>תיעוד לא תקין</v>
      </c>
      <c r="D197" s="116" t="str">
        <f>IF(ISBLANK('Event summary'!C197),"",'Event summary'!C197)</f>
        <v>תיעוד לא תקין - מרשם לסימון קליני נכתב על ת.ז. עם ספרת ביקורת כאשר הטיפול ניתן בת.ז. ללא סיפרת ביקורת ועל קורס ישן</v>
      </c>
      <c r="E197" s="116" t="str">
        <f>IF(ISBLANK('Event summary'!D197),"",'Event summary'!D197)</f>
        <v>הנוהל הקיים מציין שבכל תיקי הטיפול ביחידה משמיטים את סיפרת הביקורת. בוועדת האיכות בנושא של תיקי טיפול דחופים, יש להתייחס גם לסימונים קליניים ולאמץ נוהל עבודה ברור לביצוע הפעולה.</v>
      </c>
      <c r="F197" s="117" t="str">
        <f>IF(ISBLANK('Event summary'!E197),"",'Event summary'!E197)</f>
        <v/>
      </c>
    </row>
    <row r="198" spans="1:6" ht="30" x14ac:dyDescent="0.2">
      <c r="A198" s="114" t="e">
        <f>IF(ISBLANK('Event summary'!#REF!),"",'Event summary'!#REF!)</f>
        <v>#REF!</v>
      </c>
      <c r="B198" s="115">
        <f>IF(ISBLANK('Event summary'!A198),"",'Event summary'!A198)</f>
        <v>198</v>
      </c>
      <c r="C198" s="115" t="str">
        <f>IF(ISBLANK('Event summary'!B198),"",'Event summary'!B198)</f>
        <v>מתן טיפול באופן שגוי</v>
      </c>
      <c r="D198" s="116" t="str">
        <f>IF(ISBLANK('Event summary'!C198),"",'Event summary'!C198)</f>
        <v xml:space="preserve">מתן טיפול באופן שגוי - בעת צילום שדה PA הגנטרי ירד מצד שמאל במקום צד ימין  וכמעט פגע למטופלת </v>
      </c>
      <c r="E198" s="116" t="str">
        <f>IF(ISBLANK('Event summary'!D198),"",'Event summary'!D198)</f>
        <v>צילום KV-MV הינו מועדף בטיפולים צדיים. שדות המוצא יהיו 0 ו- 270.</v>
      </c>
      <c r="F198" s="117" t="str">
        <f>IF(ISBLANK('Event summary'!E198),"",'Event summary'!E198)</f>
        <v/>
      </c>
    </row>
    <row r="199" spans="1:6" ht="28.5" x14ac:dyDescent="0.2">
      <c r="A199" s="114" t="e">
        <f>IF(ISBLANK('Event summary'!#REF!),"",'Event summary'!#REF!)</f>
        <v>#REF!</v>
      </c>
      <c r="B199" s="115">
        <f>IF(ISBLANK('Event summary'!A199),"",'Event summary'!A199)</f>
        <v>199</v>
      </c>
      <c r="C199" s="115" t="str">
        <f>IF(ISBLANK('Event summary'!B199),"",'Event summary'!B199)</f>
        <v>תכנון שגוי</v>
      </c>
      <c r="D199" s="116" t="str">
        <f>IF(ISBLANK('Event summary'!C199),"",'Event summary'!C199)</f>
        <v xml:space="preserve">תכנון שגוי - reference point' setup fields and tolerance tables שגויים </v>
      </c>
      <c r="E199" s="116" t="str">
        <f>IF(ISBLANK('Event summary'!D199),"",'Event summary'!D199)</f>
        <v>על הפיזיקאי המתכנן להקפיד על ההגבלות במהלך התכנון.</v>
      </c>
      <c r="F199" s="117" t="str">
        <f>IF(ISBLANK('Event summary'!E199),"",'Event summary'!E199)</f>
        <v/>
      </c>
    </row>
    <row r="200" spans="1:6" ht="30" x14ac:dyDescent="0.2">
      <c r="A200" s="114" t="e">
        <f>IF(ISBLANK('Event summary'!#REF!),"",'Event summary'!#REF!)</f>
        <v>#REF!</v>
      </c>
      <c r="B200" s="115">
        <f>IF(ISBLANK('Event summary'!A200),"",'Event summary'!A200)</f>
        <v>200</v>
      </c>
      <c r="C200" s="115" t="str">
        <f>IF(ISBLANK('Event summary'!B200),"",'Event summary'!B200)</f>
        <v>כמעט ניתן טיפול שגוי</v>
      </c>
      <c r="D200" s="116" t="str">
        <f>IF(ISBLANK('Event summary'!C200),"",'Event summary'!C200)</f>
        <v xml:space="preserve">כמעט ניתן טיפול שגוי - תכנון טיפול לD4-D5 במקום L4-L5 - התגלה לפני מתן טיפול </v>
      </c>
      <c r="E200" s="116" t="str">
        <f>IF(ISBLANK('Event summary'!D200),"",'Event summary'!D200)</f>
        <v>יש לבחון את נהל הקבלה עבור מאושפזים וטיפולים פליאטיביים. כל מטופל מתקבל אך ורק באמצעות הפניה כתובה.</v>
      </c>
      <c r="F200" s="117" t="str">
        <f>IF(ISBLANK('Event summary'!E200),"",'Event summary'!E200)</f>
        <v/>
      </c>
    </row>
    <row r="201" spans="1:6" ht="71.25" x14ac:dyDescent="0.2">
      <c r="A201" s="114" t="e">
        <f>IF(ISBLANK('Event summary'!#REF!),"",'Event summary'!#REF!)</f>
        <v>#REF!</v>
      </c>
      <c r="B201" s="115">
        <f>IF(ISBLANK('Event summary'!A201),"",'Event summary'!A201)</f>
        <v>201</v>
      </c>
      <c r="C201" s="115" t="str">
        <f>IF(ISBLANK('Event summary'!B201),"",'Event summary'!B201)</f>
        <v>תקשורת לקויה</v>
      </c>
      <c r="D201" s="116" t="str">
        <f>IF(ISBLANK('Event summary'!C201),"",'Event summary'!C201)</f>
        <v>תקשורת לקויה - אינפרמציה חלקית שעברה לצוות המאיץ.  לא היה ברור שצריך לטפל גם באצטבולום</v>
      </c>
      <c r="E201" s="116" t="str">
        <f>IF(ISBLANK('Event summary'!D201),"",'Event summary'!D201)</f>
        <v xml:space="preserve">בישיבה הוחלט על שליחת תזכורת אל הצוות לגבי תיקים אשר צריכים להתחיל טיפול (באחריות גלית). בנוסף, הוחלט על דחיה של התחלת מועד טיפול בשעות או ביום אם התיק לא מוכן לבקרת איכות לפני השעה 12 בצהרים ביום שלפני הטיפול.
</v>
      </c>
      <c r="F201" s="117" t="str">
        <f>IF(ISBLANK('Event summary'!E201),"",'Event summary'!E201)</f>
        <v/>
      </c>
    </row>
    <row r="202" spans="1:6" ht="42.75" x14ac:dyDescent="0.2">
      <c r="A202" s="114" t="e">
        <f>IF(ISBLANK('Event summary'!#REF!),"",'Event summary'!#REF!)</f>
        <v>#REF!</v>
      </c>
      <c r="B202" s="115">
        <f>IF(ISBLANK('Event summary'!A202),"",'Event summary'!A202)</f>
        <v>202</v>
      </c>
      <c r="C202" s="115" t="str">
        <f>IF(ISBLANK('Event summary'!B202),"",'Event summary'!B202)</f>
        <v>כמעט ניתן טיפול שגוי</v>
      </c>
      <c r="D202" s="116" t="str">
        <f>IF(ISBLANK('Event summary'!C202),"",'Event summary'!C202)</f>
        <v>כמעט ניתן טיפול שגוי - בטיפול SRT בפרקציה 17 מתוך 31 התקבלה תזוזה גדולה בשדה הרביעי של הטיפול עקב בורג שהשתחרר. שלושת השדות הקודמים נבדקו והיו טובים.</v>
      </c>
      <c r="E202" s="116" t="str">
        <f>IF(ISBLANK('Event summary'!D202),"",'Event summary'!D202)</f>
        <v>יש לבצע בדיקה של מתקן הקיבוע אם קיימת תזוזה גדולה מהנורמל. יש להתייעץ עם רנטגנאי מנוסה במקרה ולא מסתדר.</v>
      </c>
      <c r="F202" s="117" t="str">
        <f>IF(ISBLANK('Event summary'!E202),"",'Event summary'!E202)</f>
        <v/>
      </c>
    </row>
    <row r="203" spans="1:6" ht="71.25" x14ac:dyDescent="0.2">
      <c r="A203" s="114" t="e">
        <f>IF(ISBLANK('Event summary'!#REF!),"",'Event summary'!#REF!)</f>
        <v>#REF!</v>
      </c>
      <c r="B203" s="115">
        <f>IF(ISBLANK('Event summary'!A203),"",'Event summary'!A203)</f>
        <v>203</v>
      </c>
      <c r="C203" s="115" t="str">
        <f>IF(ISBLANK('Event summary'!B203),"",'Event summary'!B203)</f>
        <v>אי עמידה בזמנים</v>
      </c>
      <c r="D203" s="116" t="str">
        <f>IF(ISBLANK('Event summary'!C203),"",'Event summary'!C203)</f>
        <v>אי עמידה בזמנים - תיק לא שוחרר בזמן לטיפול. המטופלת המתינה. התיק שוחרר ללא מדידות. בססיה לא היה פיזיקאי אשר יכול לבצע חתימה שניה.</v>
      </c>
      <c r="E203" s="116" t="str">
        <f>IF(ISBLANK('Event summary'!D203),"",'Event summary'!D203)</f>
        <v xml:space="preserve">בישיבה הוחלט על שליחת תזכורת אל הצוות לגבי תיקים אשר צריכים להתחיל טיפול (באחריות גלית). בנוסף, הוחלט על דחיה של התחלת מועד טיפול בשעות או ביום אם התיק לא מוכן לבקרת איכות לפני השעה 12 בצהרים ביום שלפני הטיפול.
</v>
      </c>
      <c r="F203" s="117" t="str">
        <f>IF(ISBLANK('Event summary'!E203),"",'Event summary'!E203)</f>
        <v/>
      </c>
    </row>
    <row r="204" spans="1:6" ht="57" x14ac:dyDescent="0.2">
      <c r="A204" s="114" t="e">
        <f>IF(ISBLANK('Event summary'!#REF!),"",'Event summary'!#REF!)</f>
        <v>#REF!</v>
      </c>
      <c r="B204" s="115">
        <f>IF(ISBLANK('Event summary'!A204),"",'Event summary'!A204)</f>
        <v>204</v>
      </c>
      <c r="C204" s="115" t="str">
        <f>IF(ISBLANK('Event summary'!B204),"",'Event summary'!B204)</f>
        <v>תיעוד לא תקין</v>
      </c>
      <c r="D204" s="116" t="str">
        <f>IF(ISBLANK('Event summary'!C204),"",'Event summary'!C204)</f>
        <v>תיעוד לא תקין - המטופל הוחתם על טופס הסכמה לטיפול ללא פירוט של סוג הקרינה הצד ואיזור הטיפול.</v>
      </c>
      <c r="E204" s="116" t="str">
        <f>IF(ISBLANK('Event summary'!D204),"",'Event summary'!D204)</f>
        <v>טופס ההסכמה בנוסף להיותו מסמך אשר מתעד את הטיפול, הינו טופס משפטי בו המטופל מצהיר שהוא מוכן לקבלת טיפול קרינה ואתר מסוים וספציפי. על כן קיימת חובה לתאר באופן המדויק ביותר את אזור הטיפול.</v>
      </c>
      <c r="F204" s="117" t="str">
        <f>IF(ISBLANK('Event summary'!E204),"",'Event summary'!E204)</f>
        <v/>
      </c>
    </row>
    <row r="205" spans="1:6" ht="57" x14ac:dyDescent="0.2">
      <c r="A205" s="114" t="e">
        <f>IF(ISBLANK('Event summary'!#REF!),"",'Event summary'!#REF!)</f>
        <v>#REF!</v>
      </c>
      <c r="B205" s="115">
        <f>IF(ISBLANK('Event summary'!A205),"",'Event summary'!A205)</f>
        <v>205</v>
      </c>
      <c r="C205" s="115" t="str">
        <f>IF(ISBLANK('Event summary'!B205),"",'Event summary'!B205)</f>
        <v>תיעוד לא תקין</v>
      </c>
      <c r="D205" s="116" t="str">
        <f>IF(ISBLANK('Event summary'!C205),"",'Event summary'!C205)</f>
        <v>תיעוד לא תקין - המטופל הוחתם על טופס הסכמה לטיפול ללא פירוט של סוג הקרינה הצד ואיזור הטיפול.</v>
      </c>
      <c r="E205" s="116" t="str">
        <f>IF(ISBLANK('Event summary'!D205),"",'Event summary'!D205)</f>
        <v>טופס ההסכמה בנוסף להיותו מסמך אשר מתעד את הטיפול, הינו טופס משפטי בו המטופל מצהיר שהוא מוכן לקבלת טיפול קרינה ואתר מסוים וספציפי. על כן קיימת חובה לתאר באופן המדויק ביותר את אזור הטיפול.</v>
      </c>
      <c r="F205" s="117" t="str">
        <f>IF(ISBLANK('Event summary'!E205),"",'Event summary'!E205)</f>
        <v/>
      </c>
    </row>
    <row r="206" spans="1:6" ht="57" x14ac:dyDescent="0.2">
      <c r="A206" s="114" t="e">
        <f>IF(ISBLANK('Event summary'!#REF!),"",'Event summary'!#REF!)</f>
        <v>#REF!</v>
      </c>
      <c r="B206" s="115">
        <f>IF(ISBLANK('Event summary'!A206),"",'Event summary'!A206)</f>
        <v>206</v>
      </c>
      <c r="C206" s="115" t="str">
        <f>IF(ISBLANK('Event summary'!B206),"",'Event summary'!B206)</f>
        <v>תיעוד לא תקין</v>
      </c>
      <c r="D206" s="116" t="str">
        <f>IF(ISBLANK('Event summary'!C206),"",'Event summary'!C206)</f>
        <v>תיעוד לא תקין - אי שליחת זרעי זהב ע"י פיזיקה. למטופל זרע זהב אחד במקום 3.</v>
      </c>
      <c r="E206" s="116" t="str">
        <f>IF(ISBLANK('Event summary'!D206),"",'Event summary'!D206)</f>
        <v>למטופל יש רק זרע זהב אחד. שליחת זרעי זהב לצורך מיקום המטופל חסר משמעות אם אין לפחות 3 זרעים. נכון להיום אנו מבצעים CBCT לכל מטופל אשר מייתר את מיקום הפרוסטטה לפי זרעי הזהב.</v>
      </c>
      <c r="F206" s="117" t="str">
        <f>IF(ISBLANK('Event summary'!E206),"",'Event summary'!E206)</f>
        <v/>
      </c>
    </row>
    <row r="207" spans="1:6" ht="42.75" x14ac:dyDescent="0.2">
      <c r="A207" s="114" t="e">
        <f>IF(ISBLANK('Event summary'!#REF!),"",'Event summary'!#REF!)</f>
        <v>#REF!</v>
      </c>
      <c r="B207" s="115">
        <f>IF(ISBLANK('Event summary'!A207),"",'Event summary'!A207)</f>
        <v>207</v>
      </c>
      <c r="C207" s="115" t="str">
        <f>IF(ISBLANK('Event summary'!B207),"",'Event summary'!B207)</f>
        <v>אי עמידה בזמנים</v>
      </c>
      <c r="D207" s="116" t="str">
        <f>IF(ISBLANK('Event summary'!C207),"",'Event summary'!C207)</f>
        <v>אי עמידה בזמנים - תיק לא שוחרר בזמן לטיפול. המטופלת המתינה.</v>
      </c>
      <c r="E207" s="116" t="str">
        <f>IF(ISBLANK('Event summary'!D207),"",'Event summary'!D207)</f>
        <v>בישיבה קודמת הוחלט על תזכור של הצוות לגבי תיקים אשר צריכים להתחיל טיפול. תהליך זה מבוצע החל 06/2020. מועד הדיווח 12/2019.</v>
      </c>
      <c r="F207" s="117" t="str">
        <f>IF(ISBLANK('Event summary'!E207),"",'Event summary'!E207)</f>
        <v/>
      </c>
    </row>
    <row r="208" spans="1:6" ht="42.75" x14ac:dyDescent="0.2">
      <c r="A208" s="114" t="e">
        <f>IF(ISBLANK('Event summary'!#REF!),"",'Event summary'!#REF!)</f>
        <v>#REF!</v>
      </c>
      <c r="B208" s="115">
        <f>IF(ISBLANK('Event summary'!A208),"",'Event summary'!A208)</f>
        <v>208</v>
      </c>
      <c r="C208" s="115" t="str">
        <f>IF(ISBLANK('Event summary'!B208),"",'Event summary'!B208)</f>
        <v>אי עמידה בזמנים</v>
      </c>
      <c r="D208" s="116" t="str">
        <f>IF(ISBLANK('Event summary'!C208),"",'Event summary'!C208)</f>
        <v>אי עמידה בזמנים - תיק לא שוחרר בזמן לטיפול. המטופל המתין.</v>
      </c>
      <c r="E208" s="116" t="str">
        <f>IF(ISBLANK('Event summary'!D208),"",'Event summary'!D208)</f>
        <v>בישיבה קודמת הוחלט על תזכור של הצוות לגבי תיקים אשר צריכים להתחיל טיפול. תהליך זה מבוצע החל 06/2020. מועד הדיווח 12/2019.</v>
      </c>
      <c r="F208" s="117" t="str">
        <f>IF(ISBLANK('Event summary'!E208),"",'Event summary'!E208)</f>
        <v/>
      </c>
    </row>
    <row r="209" spans="1:6" ht="42.75" x14ac:dyDescent="0.2">
      <c r="A209" s="114" t="e">
        <f>IF(ISBLANK('Event summary'!#REF!),"",'Event summary'!#REF!)</f>
        <v>#REF!</v>
      </c>
      <c r="B209" s="115">
        <f>IF(ISBLANK('Event summary'!A209),"",'Event summary'!A209)</f>
        <v>209</v>
      </c>
      <c r="C209" s="115" t="str">
        <f>IF(ISBLANK('Event summary'!B209),"",'Event summary'!B209)</f>
        <v>אי עמידה בזמנים</v>
      </c>
      <c r="D209" s="116" t="str">
        <f>IF(ISBLANK('Event summary'!C209),"",'Event summary'!C209)</f>
        <v>אי עמידה בזמנים - תיק לא שוחרר בזמן לטיפול. המטופל המתין.</v>
      </c>
      <c r="E209" s="116" t="str">
        <f>IF(ISBLANK('Event summary'!D209),"",'Event summary'!D209)</f>
        <v>בישיבה קודמת הוחלט על תזכור של הצוות לגבי תיקים אשר צריכים להתחיל טיפול. תהליך זה מבוצע החל 06/2020. מועד הדיווח 12/2019.</v>
      </c>
      <c r="F209" s="117" t="str">
        <f>IF(ISBLANK('Event summary'!E209),"",'Event summary'!E209)</f>
        <v/>
      </c>
    </row>
    <row r="210" spans="1:6" ht="42.75" x14ac:dyDescent="0.2">
      <c r="A210" s="114" t="e">
        <f>IF(ISBLANK('Event summary'!#REF!),"",'Event summary'!#REF!)</f>
        <v>#REF!</v>
      </c>
      <c r="B210" s="115">
        <f>IF(ISBLANK('Event summary'!A210),"",'Event summary'!A210)</f>
        <v>210</v>
      </c>
      <c r="C210" s="115" t="str">
        <f>IF(ISBLANK('Event summary'!B210),"",'Event summary'!B210)</f>
        <v>כמעט סימון שגוי</v>
      </c>
      <c r="D210" s="116" t="str">
        <f>IF(ISBLANK('Event summary'!C210),"",'Event summary'!C210)</f>
        <v xml:space="preserve">כמעט סימון שגוי -  שד עם IMN + אקסילה - היה ספק בסימון - רופא בחיר שנה הסימון לסימון חדש </v>
      </c>
      <c r="E210" s="116" t="str">
        <f>IF(ISBLANK('Event summary'!D210),"",'Event summary'!D210)</f>
        <v>כריענון לצוות המתכנן נאמר שהליך בדיקה של הסימונים חייבת להיות מופנית ראשית לרופא המתכנן ואין להתייעץ עם רופא אחר לפני כן.</v>
      </c>
      <c r="F210" s="117" t="str">
        <f>IF(ISBLANK('Event summary'!E210),"",'Event summary'!E210)</f>
        <v/>
      </c>
    </row>
    <row r="211" spans="1:6" ht="42.75" x14ac:dyDescent="0.2">
      <c r="A211" s="114" t="e">
        <f>IF(ISBLANK('Event summary'!#REF!),"",'Event summary'!#REF!)</f>
        <v>#REF!</v>
      </c>
      <c r="B211" s="115">
        <f>IF(ISBLANK('Event summary'!A211),"",'Event summary'!A211)</f>
        <v>211</v>
      </c>
      <c r="C211" s="115" t="str">
        <f>IF(ISBLANK('Event summary'!B211),"",'Event summary'!B211)</f>
        <v>כמעט סימון שגוי</v>
      </c>
      <c r="D211" s="116" t="str">
        <f>IF(ISBLANK('Event summary'!C211),"",'Event summary'!C211)</f>
        <v>כמעט סימון שגוי - עמוד שדרה שגיעת סימון</v>
      </c>
      <c r="E211" s="116" t="str">
        <f>IF(ISBLANK('Event summary'!D211),"",'Event summary'!D211)</f>
        <v>כריענון לצוות המתכנן נאמר שהליך בדיקה של הסימונים חייבת להיות מופנית ראשית לרופא המתכנן ואין להתייעץ עם רופא אחר לפני כן.</v>
      </c>
      <c r="F211" s="117" t="str">
        <f>IF(ISBLANK('Event summary'!E211),"",'Event summary'!E211)</f>
        <v/>
      </c>
    </row>
    <row r="212" spans="1:6" ht="42.75" x14ac:dyDescent="0.2">
      <c r="A212" s="114" t="e">
        <f>IF(ISBLANK('Event summary'!#REF!),"",'Event summary'!#REF!)</f>
        <v>#REF!</v>
      </c>
      <c r="B212" s="115">
        <f>IF(ISBLANK('Event summary'!A212),"",'Event summary'!A212)</f>
        <v>212</v>
      </c>
      <c r="C212" s="115" t="str">
        <f>IF(ISBLANK('Event summary'!B212),"",'Event summary'!B212)</f>
        <v>מתן טיפול באופן שגוי</v>
      </c>
      <c r="D212" s="116" t="str">
        <f>IF(ISBLANK('Event summary'!C212),"",'Event summary'!C212)</f>
        <v xml:space="preserve">מתן טיפול באופן שגוי - עקב תקלה טכנית בטיפול שד לא נרשמו 45 MU ראשונים  מתוך 310 MU לטיפול הזה.  הוחלט על מתן השדה כולו כך שהמנה נתנה פעמיים </v>
      </c>
      <c r="E212" s="116" t="str">
        <f>IF(ISBLANK('Event summary'!D212),"",'Event summary'!D212)</f>
        <v>מחישוב השגיאה במנה עולה, שהשוני במנה האבסולוטית מהמרשם קטן מ- 5% לכל האיבר. מסקנות; ללא שינוי.</v>
      </c>
      <c r="F212" s="117" t="str">
        <f>IF(ISBLANK('Event summary'!E212),"",'Event summary'!E212)</f>
        <v/>
      </c>
    </row>
    <row r="213" spans="1:6" ht="57" x14ac:dyDescent="0.2">
      <c r="A213" s="114" t="e">
        <f>IF(ISBLANK('Event summary'!#REF!),"",'Event summary'!#REF!)</f>
        <v>#REF!</v>
      </c>
      <c r="B213" s="115">
        <f>IF(ISBLANK('Event summary'!A213),"",'Event summary'!A213)</f>
        <v>213</v>
      </c>
      <c r="C213" s="115" t="str">
        <f>IF(ISBLANK('Event summary'!B213),"",'Event summary'!B213)</f>
        <v>תקשורת לקויה</v>
      </c>
      <c r="D213" s="116" t="str">
        <f>IF(ISBLANK('Event summary'!C213),"",'Event summary'!C213)</f>
        <v xml:space="preserve">תקשורת לקויה - מטופל, הגיע והתיק לא היה מוכן. התורים שלv בוטלו, ולא נבנה care path חדש. </v>
      </c>
      <c r="E213" s="116" t="str">
        <f>IF(ISBLANK('Event summary'!D213),"",'Event summary'!D213)</f>
        <v>הקמת מייל ייעודי לזימון תורים שבו ניתן יהיה לתקשר דחיות ושינויים תכנוניים. בנוסף, יעשה שימוש במייל של הפיזיקה physics1@clalit.org.il לצורך העברת הודעות על שינויים במועדים של מטופלים. נוהל עבודה ייכתב ע"י צוות איכות.</v>
      </c>
      <c r="F213" s="117" t="str">
        <f>IF(ISBLANK('Event summary'!E213),"",'Event summary'!E213)</f>
        <v/>
      </c>
    </row>
    <row r="214" spans="1:6" ht="30" x14ac:dyDescent="0.2">
      <c r="A214" s="114" t="e">
        <f>IF(ISBLANK('Event summary'!#REF!),"",'Event summary'!#REF!)</f>
        <v>#REF!</v>
      </c>
      <c r="B214" s="115">
        <f>IF(ISBLANK('Event summary'!A214),"",'Event summary'!A214)</f>
        <v>214</v>
      </c>
      <c r="C214" s="115" t="str">
        <f>IF(ISBLANK('Event summary'!B214),"",'Event summary'!B214)</f>
        <v>מתן טיפול ללא בקרת איכות</v>
      </c>
      <c r="D214" s="116" t="str">
        <f>IF(ISBLANK('Event summary'!C214),"",'Event summary'!C214)</f>
        <v>מתן טיפול ללא בקרת איכות - תיק SBRT טופל ללא QA. ה- Care path שונה כדי שיוכל לקבל טיפול.</v>
      </c>
      <c r="E214" s="116" t="str">
        <f>IF(ISBLANK('Event summary'!D214),"",'Event summary'!D214)</f>
        <v>ע"פ הנהלים טיפולי SBRT,SRS לא יכולים להתחיל טיפול ללא השלמת תהליך בקרת איכות. יש להקפיד על הנוהל.</v>
      </c>
      <c r="F214" s="117" t="str">
        <f>IF(ISBLANK('Event summary'!E214),"",'Event summary'!E214)</f>
        <v/>
      </c>
    </row>
    <row r="215" spans="1:6" ht="114" x14ac:dyDescent="0.2">
      <c r="A215" s="114" t="e">
        <f>IF(ISBLANK('Event summary'!#REF!),"",'Event summary'!#REF!)</f>
        <v>#REF!</v>
      </c>
      <c r="B215" s="115">
        <f>IF(ISBLANK('Event summary'!A215),"",'Event summary'!A215)</f>
        <v>215</v>
      </c>
      <c r="C215" s="115" t="str">
        <f>IF(ISBLANK('Event summary'!B215),"",'Event summary'!B215)</f>
        <v>שגיאה בזיהוי מטופל</v>
      </c>
      <c r="D215" s="116" t="str">
        <f>IF(ISBLANK('Event summary'!C215),"",'Event summary'!C215)</f>
        <v>שגיאה בזיהוי מטופל - סריקה למטופלת אחת על מספר זיהוי של מטופל אחר</v>
      </c>
      <c r="E215" s="116" t="str">
        <f>IF(ISBLANK('Event summary'!D215),"",'Event summary'!D215)</f>
        <v>יש למשוך מטופלים מהאריה באופן אוטומטי ולא להזין ידנית. בימים אלו נעשית בדיקה של משיכת מטופלים ישירות מ- RIS.
יש לבצע וידוא של פרטי המטופל לפני ביצוע סריקה.
אין להחליף צוותים לפני סיום הטיפול במטופל. אם חייבים לצאת לפני, אז יש לבצע "פסק זמן" בו הצוות הראשון מתדרך את הצוות השני ועובר על פרטי המקרה בצורה מלאה; פרטי המטופל, פרטי הטיפול, גודל הסריקה, אמצעי הקיבוע ולאן להעביר את המטופל בסיום הטיפול.</v>
      </c>
      <c r="F215" s="117" t="str">
        <f>IF(ISBLANK('Event summary'!E215),"",'Event summary'!E215)</f>
        <v/>
      </c>
    </row>
    <row r="216" spans="1:6" ht="171" x14ac:dyDescent="0.2">
      <c r="A216" s="114" t="e">
        <f>IF(ISBLANK('Event summary'!#REF!),"",'Event summary'!#REF!)</f>
        <v>#REF!</v>
      </c>
      <c r="B216" s="115">
        <f>IF(ISBLANK('Event summary'!A216),"",'Event summary'!A216)</f>
        <v>216</v>
      </c>
      <c r="C216" s="115" t="str">
        <f>IF(ISBLANK('Event summary'!B216),"",'Event summary'!B216)</f>
        <v>מתן טיפול באופן שגוי</v>
      </c>
      <c r="D216" s="116" t="str">
        <f>IF(ISBLANK('Event summary'!C216),"",'Event summary'!C216)</f>
        <v>מתן טיפול באופן שגוי - השכבה שגויה של המטופל.  תזוזה עד 2 ס"מ בבטן.</v>
      </c>
      <c r="E216" s="116" t="str">
        <f>IF(ISBLANK('Event summary'!D216),"",'Event summary'!D216)</f>
        <v xml:space="preserve">מטרת הטיפול היא להקרין את השרשת הלימפטית לאחר ביצוע  השתלה במטופל. בהקרנה זו משפרים את הסיכויים של הגוף לקבל את השתל. 
1. השרשת הלימפטית מוקרנת ברובה בכל מקרה והמטרה מושגת על ע"י הטיפול המשולב.
2. המשמעות של החיבור בין אזורי הטיפול גם הוא זניח; אם נוצרת נקודה חמה\קרה מדובר בעד 4Gy במקום 2Gy (לפרקציה) באזור יחסית צר. 
עבור מטופלים באזור הבטן, יש צורך בהכנה מקדימה של עוגנים (Fiducial Markers)  שניתן לשייך לשתי הסריקות ולבצע התאמה בינהם.
</v>
      </c>
      <c r="F216" s="117" t="str">
        <f>IF(ISBLANK('Event summary'!E216),"",'Event summary'!E216)</f>
        <v/>
      </c>
    </row>
    <row r="217" spans="1:6" ht="85.5" x14ac:dyDescent="0.2">
      <c r="A217" s="114" t="e">
        <f>IF(ISBLANK('Event summary'!#REF!),"",'Event summary'!#REF!)</f>
        <v>#REF!</v>
      </c>
      <c r="B217" s="115">
        <f>IF(ISBLANK('Event summary'!A217),"",'Event summary'!A217)</f>
        <v>217</v>
      </c>
      <c r="C217" s="115" t="str">
        <f>IF(ISBLANK('Event summary'!B217),"",'Event summary'!B217)</f>
        <v>כמעט סימון שגוי</v>
      </c>
      <c r="D217" s="116" t="str">
        <f>IF(ISBLANK('Event summary'!C217),"",'Event summary'!C217)</f>
        <v xml:space="preserve">כמעט סימון שגוי - שינוי בסימון ברגע האחרון לאחר סיום תכנון הטיפול. </v>
      </c>
      <c r="E217" s="116" t="str">
        <f>IF(ISBLANK('Event summary'!D217),"",'Event summary'!D217)</f>
        <v>בפיזיקה נעשה מעקב על ביצוע תכנונים חוזרים והסיבה לביצועם. בכל שינוי במועד תכנון  ב- Care Path יש לידע את הפיזיקה. הועלתה הצעה להשמיש את המייל של physics1@clalit.org.il ובמקביל יש להגדיר מייל לתאום תורים לצורכי עדכונים על שינויים. השימוש במייל הינו במקום שימוש במדיה טלפונית בה לא ניתן לציין שמות מטופלים.</v>
      </c>
      <c r="F217" s="117" t="str">
        <f>IF(ISBLANK('Event summary'!E217),"",'Event summary'!E217)</f>
        <v/>
      </c>
    </row>
    <row r="218" spans="1:6" ht="71.25" x14ac:dyDescent="0.2">
      <c r="A218" s="114" t="e">
        <f>IF(ISBLANK('Event summary'!#REF!),"",'Event summary'!#REF!)</f>
        <v>#REF!</v>
      </c>
      <c r="B218" s="115">
        <f>IF(ISBLANK('Event summary'!A218),"",'Event summary'!A218)</f>
        <v>218</v>
      </c>
      <c r="C218" s="115" t="str">
        <f>IF(ISBLANK('Event summary'!B218),"",'Event summary'!B218)</f>
        <v>תיעוד לא תקין</v>
      </c>
      <c r="D218" s="116" t="str">
        <f>IF(ISBLANK('Event summary'!C218),"",'Event summary'!C218)</f>
        <v xml:space="preserve">תיעוד לא תקין - עקומת הנשימה של המטופלת הוכנסה לתעודת זהות עם שגיאה. המטופלת הגיעה לקבלת טיפול אך לא היה חיבור בין הסריקה לבין הנשימה.  </v>
      </c>
      <c r="E218" s="116" t="str">
        <f>IF(ISBLANK('Event summary'!D218),"",'Event summary'!D218)</f>
        <v>בעיית קישור בין עקומת הנשימה לסריקה יכול היה להימנע באמצעות הזנה במחשב הסימולציה והמחשב ה- RPM ברצף ובדיקה שניה של רנטגנאי נוסף. מרשם מהווה תיעוד רשמי של תכנית הטיפול. תיעוד של אמצעי קיבוע והנחיות נשימה הינן חיוניות לצורך תכנון טיפול נכון.</v>
      </c>
      <c r="F218" s="117" t="str">
        <f>IF(ISBLANK('Event summary'!E218),"",'Event summary'!E218)</f>
        <v/>
      </c>
    </row>
    <row r="219" spans="1:6" ht="42.75" x14ac:dyDescent="0.2">
      <c r="A219" s="114" t="e">
        <f>IF(ISBLANK('Event summary'!#REF!),"",'Event summary'!#REF!)</f>
        <v>#REF!</v>
      </c>
      <c r="B219" s="115">
        <f>IF(ISBLANK('Event summary'!A219),"",'Event summary'!A219)</f>
        <v>219</v>
      </c>
      <c r="C219" s="115" t="str">
        <f>IF(ISBLANK('Event summary'!B219),"",'Event summary'!B219)</f>
        <v>מתן טיפול באופן שגוי</v>
      </c>
      <c r="D219" s="116" t="str">
        <f>IF(ISBLANK('Event summary'!C219),"",'Event summary'!C219)</f>
        <v>מתן טיפול באופן שגוי - טופלה ללא בולוס עקב תכנון לקוי.</v>
      </c>
      <c r="E219" s="116" t="str">
        <f>IF(ISBLANK('Event summary'!D219),"",'Event summary'!D219)</f>
        <v>יש להקפיד להתאים את המרשמים לכל מקרה ומקרה. להקפיד לשאול את הרופא בכל תהיה ושאלה לפני ביצוע התכנון. אין לשחרר תיקים עם מרשמים שאינם תקינים.</v>
      </c>
      <c r="F219" s="117" t="str">
        <f>IF(ISBLANK('Event summary'!E219),"",'Event summary'!E219)</f>
        <v/>
      </c>
    </row>
    <row r="220" spans="1:6" ht="57" x14ac:dyDescent="0.2">
      <c r="A220" s="114" t="e">
        <f>IF(ISBLANK('Event summary'!#REF!),"",'Event summary'!#REF!)</f>
        <v>#REF!</v>
      </c>
      <c r="B220" s="115">
        <f>IF(ISBLANK('Event summary'!A220),"",'Event summary'!A220)</f>
        <v>220</v>
      </c>
      <c r="C220" s="115" t="str">
        <f>IF(ISBLANK('Event summary'!B220),"",'Event summary'!B220)</f>
        <v>תיעוד לא תקין</v>
      </c>
      <c r="D220" s="116" t="str">
        <f>IF(ISBLANK('Event summary'!C220),"",'Event summary'!C220)</f>
        <v>תיעוד לא תקין - קיימת אי התאמה בין המרשם בקמליון (3Gyx15) לבין הסימולציה בקונטאקט והמרשם באריה (3Gyx5). המינון הנכון למחלה הינו (3Gyx15) כפי שהיה כתוב בקמליון.</v>
      </c>
      <c r="E220" s="116" t="str">
        <f>IF(ISBLANK('Event summary'!D220),"",'Event summary'!D220)</f>
        <v>הועלתה אפשרות להוסיף ב- Care Path עוד קוביה של בדיקה של קמליון לאחר כתיבת מרשם, או, להוסיף את זה כבדיקה ב- checklist של המרשם.</v>
      </c>
      <c r="F220" s="117" t="str">
        <f>IF(ISBLANK('Event summary'!E220),"",'Event summary'!E220)</f>
        <v/>
      </c>
    </row>
    <row r="221" spans="1:6" ht="42.75" x14ac:dyDescent="0.2">
      <c r="A221" s="114" t="e">
        <f>IF(ISBLANK('Event summary'!#REF!),"",'Event summary'!#REF!)</f>
        <v>#REF!</v>
      </c>
      <c r="B221" s="115">
        <f>IF(ISBLANK('Event summary'!A221),"",'Event summary'!A221)</f>
        <v>221</v>
      </c>
      <c r="C221" s="115" t="str">
        <f>IF(ISBLANK('Event summary'!B221),"",'Event summary'!B221)</f>
        <v>תיעוד לא תקין</v>
      </c>
      <c r="D221" s="116" t="str">
        <f>IF(ISBLANK('Event summary'!C221),"",'Event summary'!C221)</f>
        <v>תיעוד לא תקין - עבור המטופלת נכתב מרשם לפרוסטטה עם בלוטות. מהטופלת קיבלה טיפול לשלפוחית.</v>
      </c>
      <c r="E221" s="116" t="str">
        <f>IF(ISBLANK('Event summary'!D221),"",'Event summary'!D221)</f>
        <v>יש להקפיד להתאים את המרשמים לכל מקרה ומקרה. להקפיד לשאול את הרופא בכל תהיה ושאלה לפני ביצוע התכנון. אין לשחרר תיקים עם מרשמים שאינם תקינים.</v>
      </c>
      <c r="F221" s="117" t="str">
        <f>IF(ISBLANK('Event summary'!E221),"",'Event summary'!E221)</f>
        <v/>
      </c>
    </row>
    <row r="222" spans="1:6" ht="57" x14ac:dyDescent="0.2">
      <c r="A222" s="114" t="e">
        <f>IF(ISBLANK('Event summary'!#REF!),"",'Event summary'!#REF!)</f>
        <v>#REF!</v>
      </c>
      <c r="B222" s="115">
        <f>IF(ISBLANK('Event summary'!A222),"",'Event summary'!A222)</f>
        <v>222</v>
      </c>
      <c r="C222" s="115" t="str">
        <f>IF(ISBLANK('Event summary'!B222),"",'Event summary'!B222)</f>
        <v>מתן טיפול באופן שגוי</v>
      </c>
      <c r="D222" s="116" t="str">
        <f>IF(ISBLANK('Event summary'!C222),"",'Event summary'!C222)</f>
        <v>מתן טיפול באופן שגוי - מטופל TBI קיבל טיפול ללא בולוס (ספוילר).</v>
      </c>
      <c r="E222" s="116" t="str">
        <f>IF(ISBLANK('Event summary'!D222),"",'Event summary'!D222)</f>
        <v>לאירוע אין משמעות קלינית והעור בטיפול כולו קיבל מנה של 11.7Gy במקום 12Gy המהווים תת מנה של 2.5% לעור עבור הטיפול כולו. יש להקפיד הקפדה ייתרה בפרוצדורות מיוחדות ובפרוצדורות אשר נעשות בתדירות נמוכה.</v>
      </c>
      <c r="F222" s="117" t="str">
        <f>IF(ISBLANK('Event summary'!E222),"",'Event summary'!E222)</f>
        <v/>
      </c>
    </row>
    <row r="223" spans="1:6" ht="42.75" x14ac:dyDescent="0.2">
      <c r="A223" s="114" t="e">
        <f>IF(ISBLANK('Event summary'!#REF!),"",'Event summary'!#REF!)</f>
        <v>#REF!</v>
      </c>
      <c r="B223" s="115">
        <f>IF(ISBLANK('Event summary'!A223),"",'Event summary'!A223)</f>
        <v>223</v>
      </c>
      <c r="C223" s="115" t="str">
        <f>IF(ISBLANK('Event summary'!B223),"",'Event summary'!B223)</f>
        <v>תכנון שגוי</v>
      </c>
      <c r="D223" s="116" t="str">
        <f>IF(ISBLANK('Event summary'!C223),"",'Event summary'!C223)</f>
        <v>תכנון שגוי - מטופלת קיבלה 18 טיפולים במאיץ 4 באנרגיה 18MV למרות החלטה גורפת נגד השימוש באנרגיה זו למאיצים 4,5.</v>
      </c>
      <c r="E223" s="116" t="str">
        <f>IF(ISBLANK('Event summary'!D223),"",'Event summary'!D223)</f>
        <v>האפשרות להקרין באנרגיה זו נסגרה עבור המאיצים 4 ו- 5.</v>
      </c>
      <c r="F223" s="117" t="str">
        <f>IF(ISBLANK('Event summary'!E223),"",'Event summary'!E223)</f>
        <v/>
      </c>
    </row>
    <row r="224" spans="1:6" ht="30" x14ac:dyDescent="0.2">
      <c r="A224" s="114" t="e">
        <f>IF(ISBLANK('Event summary'!#REF!),"",'Event summary'!#REF!)</f>
        <v>#REF!</v>
      </c>
      <c r="B224" s="115">
        <f>IF(ISBLANK('Event summary'!A224),"",'Event summary'!A224)</f>
        <v>224</v>
      </c>
      <c r="C224" s="115" t="str">
        <f>IF(ISBLANK('Event summary'!B224),"",'Event summary'!B224)</f>
        <v>סריקה לא תקינה</v>
      </c>
      <c r="D224" s="116" t="str">
        <f>IF(ISBLANK('Event summary'!C224),"",'Event summary'!C224)</f>
        <v>סריקה לא תקינה - סריקה קצרה, הנפח של הגידול מגיע לקצה הסריקה</v>
      </c>
      <c r="E224" s="116" t="str">
        <f>IF(ISBLANK('Event summary'!D224),"",'Event summary'!D224)</f>
        <v>יש להגדיר היטב את גודלי הסריקה והפרוטוקולים במהלך ישיבת הבוקר בסימולציה.</v>
      </c>
      <c r="F224" s="117" t="str">
        <f>IF(ISBLANK('Event summary'!E224),"",'Event summary'!E224)</f>
        <v/>
      </c>
    </row>
    <row r="225" spans="1:6" ht="85.5" x14ac:dyDescent="0.2">
      <c r="A225" s="114" t="e">
        <f>IF(ISBLANK('Event summary'!#REF!),"",'Event summary'!#REF!)</f>
        <v>#REF!</v>
      </c>
      <c r="B225" s="115">
        <f>IF(ISBLANK('Event summary'!A225),"",'Event summary'!A225)</f>
        <v>225</v>
      </c>
      <c r="C225" s="115" t="str">
        <f>IF(ISBLANK('Event summary'!B225),"",'Event summary'!B225)</f>
        <v>סריקה חוזרת</v>
      </c>
      <c r="D225" s="116" t="str">
        <f>IF(ISBLANK('Event summary'!C225),"",'Event summary'!C225)</f>
        <v>סריקה חוזרת - מטופלת לבית חזה עשתה סימולציה חוזרת לאחר שלא יכלה לבצע נשימה עמוקה. קיבלה טיפול באלקטרונים לאחר סימולציה חוזרת. מברור המקרה, המטופלת פיתחה דלקת ריאות ולכן לא יכלה לבצע נשימה עמוקה.</v>
      </c>
      <c r="E225" s="116" t="str">
        <f>IF(ISBLANK('Event summary'!D225),"",'Event summary'!D225)</f>
        <v>כללי ההתנהלות מול המטופלים וגם אנשי צוות אחרים הינן שאנו כצוות מגבים אחד את השני ומשתדלים לא להטיל אשמה. במקרים של טעות עלינו להביע צער ולמלא דו"ח למידה. במקרים שבהם יתכנו בעיות בסריקה של מטופלים על הרופא להיות נוכח בסימולציה לצורך ביצוע הסריקה. במקרים של סריקה חוזרת יש להעביר הנחיה כתובה על מהות הסריקה והסיבות לכך.</v>
      </c>
      <c r="F225" s="117" t="str">
        <f>IF(ISBLANK('Event summary'!E225),"",'Event summary'!E225)</f>
        <v/>
      </c>
    </row>
    <row r="226" spans="1:6" ht="45" x14ac:dyDescent="0.2">
      <c r="A226" s="114" t="e">
        <f>IF(ISBLANK('Event summary'!#REF!),"",'Event summary'!#REF!)</f>
        <v>#REF!</v>
      </c>
      <c r="B226" s="115">
        <f>IF(ISBLANK('Event summary'!A226),"",'Event summary'!A226)</f>
        <v>226</v>
      </c>
      <c r="C226" s="115" t="str">
        <f>IF(ISBLANK('Event summary'!B226),"",'Event summary'!B226)</f>
        <v>כמעט מתן טיפול ללא בקרת איכות</v>
      </c>
      <c r="D226" s="116" t="str">
        <f>IF(ISBLANK('Event summary'!C226),"",'Event summary'!C226)</f>
        <v>כמעט מתן טיפול ללא בקרת איכות - בפרקציה שניה לטיפול SBRT הוחלף הטיפול מטיפול דינאמי לטיפול VMAT. המטופלת הורדה מהשולחן כיוון שלא בוצעה מדידה לתכנית.</v>
      </c>
      <c r="E226" s="116" t="str">
        <f>IF(ISBLANK('Event summary'!D226),"",'Event summary'!D226)</f>
        <v>תיקי SBRT לא יגיעו לטיפול לפני RTTQA מסודר. RTTQA מסודר יעשה לאחר השלמת כל המשימות הקודמות בלבד. התאמה של Care Path לטיפולי SBRT/SRS.</v>
      </c>
      <c r="F226" s="117" t="str">
        <f>IF(ISBLANK('Event summary'!E226),"",'Event summary'!E226)</f>
        <v/>
      </c>
    </row>
    <row r="227" spans="1:6" ht="42.75" x14ac:dyDescent="0.2">
      <c r="A227" s="114" t="e">
        <f>IF(ISBLANK('Event summary'!#REF!),"",'Event summary'!#REF!)</f>
        <v>#REF!</v>
      </c>
      <c r="B227" s="115">
        <f>IF(ISBLANK('Event summary'!A227),"",'Event summary'!A227)</f>
        <v>227</v>
      </c>
      <c r="C227" s="115" t="str">
        <f>IF(ISBLANK('Event summary'!B227),"",'Event summary'!B227)</f>
        <v>תיעוד לא תקין</v>
      </c>
      <c r="D227" s="116" t="str">
        <f>IF(ISBLANK('Event summary'!C227),"",'Event summary'!C227)</f>
        <v>תיעוד לא תקין - מטופל הפנה את תשומת הלב של הצוות במהלך הטיפול השלישי לקוצב הלב שלו ושאל אם צריך לבצע ECG. לא היה תיעוד לקיום הקוצב בתכנון הטיפול.</v>
      </c>
      <c r="E227" s="116" t="str">
        <f>IF(ISBLANK('Event summary'!D227),"",'Event summary'!D227)</f>
        <v>תוסף משימה לבקרת איכות לבדיקת קיום קוצב. נכון להיום בנוהל הקיים יש לבצע ניתור בשלושת הטיפולים הראשונים. נוהל עבודה חדש בנושא קוצבי לב הובא למנהלי היחידה לצורך דיון ואשרור.</v>
      </c>
      <c r="F227" s="117" t="str">
        <f>IF(ISBLANK('Event summary'!E227),"",'Event summary'!E227)</f>
        <v/>
      </c>
    </row>
    <row r="228" spans="1:6" ht="57" x14ac:dyDescent="0.2">
      <c r="A228" s="114" t="e">
        <f>IF(ISBLANK('Event summary'!#REF!),"",'Event summary'!#REF!)</f>
        <v>#REF!</v>
      </c>
      <c r="B228" s="115">
        <f>IF(ISBLANK('Event summary'!A228),"",'Event summary'!A228)</f>
        <v>228</v>
      </c>
      <c r="C228" s="115" t="str">
        <f>IF(ISBLANK('Event summary'!B228),"",'Event summary'!B228)</f>
        <v>זימון תור לא מספק</v>
      </c>
      <c r="D228" s="116" t="str">
        <f>IF(ISBLANK('Event summary'!C228),"",'Event summary'!C228)</f>
        <v>זימון תור לא מספק - טיפול SBRT הוגדר כפליאציה עם תור קצר. הסריקה לא הועברה לאריה לאחר ביצוע הסריקה.</v>
      </c>
      <c r="E228" s="116" t="str">
        <f>IF(ISBLANK('Event summary'!D228),"",'Event summary'!D228)</f>
        <v>הוגדר מייל לשימוש הצוות לצורך שינויים בזימון תורים. המקרים בהם יש להשתמש במייל הינן: שינוי מספר מאיץ, ביצוע סימולציה חוזרת, שינוי מספר פרקציות ושינוי או ביטול מועד תחילת טיפול. המייל: BL2030421@clalit.org.il</v>
      </c>
      <c r="F228" s="117" t="str">
        <f>IF(ISBLANK('Event summary'!E228),"",'Event summary'!E228)</f>
        <v/>
      </c>
    </row>
    <row r="229" spans="1:6" ht="42.75" x14ac:dyDescent="0.2">
      <c r="A229" s="114" t="e">
        <f>IF(ISBLANK('Event summary'!#REF!),"",'Event summary'!#REF!)</f>
        <v>#REF!</v>
      </c>
      <c r="B229" s="115">
        <f>IF(ISBLANK('Event summary'!A229),"",'Event summary'!A229)</f>
        <v>229</v>
      </c>
      <c r="C229" s="115" t="str">
        <f>IF(ISBLANK('Event summary'!B229),"",'Event summary'!B229)</f>
        <v>סריקה לא תקינה</v>
      </c>
      <c r="D229" s="116" t="str">
        <f>IF(ISBLANK('Event summary'!C229),"",'Event summary'!C229)</f>
        <v>סריקה לא תקינה - עיוותים בסריקת CT במכשיר GE. כנראה עקב תנועה לא יציבה של מיטת המכשיר.</v>
      </c>
      <c r="E229" s="116" t="str">
        <f>IF(ISBLANK('Event summary'!D229),"",'Event summary'!D229)</f>
        <v>צוות הסימולציה והרופאים מתבקשים לשים לב ולהתריע על סריקות שאינן טובות ולבצע החלטה לגבי ההמשך. במקרה זה ניתן היה לחזור על הסריקה עם הסימולטור השני.</v>
      </c>
      <c r="F229" s="117" t="str">
        <f>IF(ISBLANK('Event summary'!E229),"",'Event summary'!E229)</f>
        <v/>
      </c>
    </row>
    <row r="230" spans="1:6" ht="57" x14ac:dyDescent="0.2">
      <c r="A230" s="114" t="e">
        <f>IF(ISBLANK('Event summary'!#REF!),"",'Event summary'!#REF!)</f>
        <v>#REF!</v>
      </c>
      <c r="B230" s="115">
        <f>IF(ISBLANK('Event summary'!A230),"",'Event summary'!A230)</f>
        <v>230</v>
      </c>
      <c r="C230" s="115" t="str">
        <f>IF(ISBLANK('Event summary'!B230),"",'Event summary'!B230)</f>
        <v>מתן טיפול באופן שגוי</v>
      </c>
      <c r="D230" s="116" t="str">
        <f>IF(ISBLANK('Event summary'!C230),"",'Event summary'!C230)</f>
        <v>מתן טיפול באופן שגוי - בטיפול הראשון לשד עם ובלי בולוס, המטופלת קיבלה טיפול ללא בולוס על התכנית של הבולוס.</v>
      </c>
      <c r="E230" s="116" t="str">
        <f>IF(ISBLANK('Event summary'!D230),"",'Event summary'!D230)</f>
        <v>יש להוריד פרקציה מהתכנית ללא בולוס ולהוסיף פרקציה לתכנית הבולוס ולטפל ע"פ התכנון. על הצוות לשמור על ערנות ולבחור את התכנית הנכונה לטיפול. בתכנון הטיפול יש לשייך את התכניות ב Plan Scheduling כך שרק התכנית הנכונה תפתח לטיפול.</v>
      </c>
      <c r="F230" s="117" t="str">
        <f>IF(ISBLANK('Event summary'!E230),"",'Event summary'!E230)</f>
        <v/>
      </c>
    </row>
    <row r="231" spans="1:6" ht="42.75" x14ac:dyDescent="0.2">
      <c r="A231" s="114" t="e">
        <f>IF(ISBLANK('Event summary'!#REF!),"",'Event summary'!#REF!)</f>
        <v>#REF!</v>
      </c>
      <c r="B231" s="115">
        <f>IF(ISBLANK('Event summary'!A231),"",'Event summary'!A231)</f>
        <v>231</v>
      </c>
      <c r="C231" s="115" t="str">
        <f>IF(ISBLANK('Event summary'!B231),"",'Event summary'!B231)</f>
        <v>תיעוד לא תקין</v>
      </c>
      <c r="D231" s="116" t="str">
        <f>IF(ISBLANK('Event summary'!C231),"",'Event summary'!C231)</f>
        <v>תיעוד לא תקין - בסימולציה של SBRT לא שונה האונקולוג הראשי וה- Care Path לא שוייך לרופא הנכון.</v>
      </c>
      <c r="E231" s="116" t="str">
        <f>IF(ISBLANK('Event summary'!D231),"",'Event summary'!D231)</f>
        <v>זימון תורים צריך לוודא שהרופא אליו הופנה הינו הרופא הנכון. במקרים של מטופלים דחופים תבוצע בדיקת שיוך ע"י הרנטגנאים בסימולציה. יש צורך לבטל רופאים שאינם קיימים יותר במערכת.</v>
      </c>
      <c r="F231" s="117" t="str">
        <f>IF(ISBLANK('Event summary'!E231),"",'Event summary'!E231)</f>
        <v/>
      </c>
    </row>
    <row r="232" spans="1:6" ht="85.5" x14ac:dyDescent="0.2">
      <c r="A232" s="114" t="e">
        <f>IF(ISBLANK('Event summary'!#REF!),"",'Event summary'!#REF!)</f>
        <v>#REF!</v>
      </c>
      <c r="B232" s="115">
        <f>IF(ISBLANK('Event summary'!A232),"",'Event summary'!A232)</f>
        <v>232</v>
      </c>
      <c r="C232" s="115" t="str">
        <f>IF(ISBLANK('Event summary'!B232),"",'Event summary'!B232)</f>
        <v>תיעוד לא תקין</v>
      </c>
      <c r="D232" s="116" t="str">
        <f>IF(ISBLANK('Event summary'!C232),"",'Event summary'!C232)</f>
        <v>תיעוד לא תקין - מקרה של SRS תוכנן ללא מרשם כתוב. היתה רק הודעת Whatsapp.</v>
      </c>
      <c r="E232" s="116" t="str">
        <f>IF(ISBLANK('Event summary'!D232),"",'Event summary'!D232)</f>
        <v>חל איסור לבצע תכנונים על בסיס הוראה מילולית. ישיבה של רופאים צריכה להתקיים ולדון באופן ביצוע תכנונים של SRS. רק הרופאים של הרדיותרפיה (רדיותרפיטים) רשאים לכתוב מרשמי קרינה. על כן אין לד"ר קנר הרשאה לחתום על מרשמים. הרופאים של היחידה צריכים להיות אקטיביים ומעורבים באופן התכנון של תיקי SRS.</v>
      </c>
      <c r="F232" s="117" t="str">
        <f>IF(ISBLANK('Event summary'!E232),"",'Event summary'!E232)</f>
        <v/>
      </c>
    </row>
    <row r="233" spans="1:6" ht="42.75" x14ac:dyDescent="0.2">
      <c r="A233" s="114" t="e">
        <f>IF(ISBLANK('Event summary'!#REF!),"",'Event summary'!#REF!)</f>
        <v>#REF!</v>
      </c>
      <c r="B233" s="115">
        <f>IF(ISBLANK('Event summary'!A233),"",'Event summary'!A233)</f>
        <v>233</v>
      </c>
      <c r="C233" s="115" t="str">
        <f>IF(ISBLANK('Event summary'!B233),"",'Event summary'!B233)</f>
        <v>מתן טיפול באופן שגוי</v>
      </c>
      <c r="D233" s="116" t="str">
        <f>IF(ISBLANK('Event summary'!C233),"",'Event summary'!C233)</f>
        <v>מתן טיפול באופן שגוי - שגיאה בכיול מנה לאנרגיה 18MV עבור מאיצים 4 ו- 5.</v>
      </c>
      <c r="E233" s="116" t="str">
        <f>IF(ISBLANK('Event summary'!D233),"",'Event summary'!D233)</f>
        <v>לא יעשה שימוש בקובץ חישוב ללא בדיקת הקובץ לשימוש קליני (Commissioning) באופן מסודר. מקרה זה דווח למשרד הבריאות וניהול סיכונים.</v>
      </c>
      <c r="F233" s="117" t="str">
        <f>IF(ISBLANK('Event summary'!E233),"",'Event summary'!E233)</f>
        <v/>
      </c>
    </row>
    <row r="234" spans="1:6" ht="28.5" x14ac:dyDescent="0.2">
      <c r="A234" s="114" t="e">
        <f>IF(ISBLANK('Event summary'!#REF!),"",'Event summary'!#REF!)</f>
        <v>#REF!</v>
      </c>
      <c r="B234" s="115">
        <f>IF(ISBLANK('Event summary'!A234),"",'Event summary'!A234)</f>
        <v>234</v>
      </c>
      <c r="C234" s="115" t="str">
        <f>IF(ISBLANK('Event summary'!B234),"",'Event summary'!B234)</f>
        <v>תכנון שגוי</v>
      </c>
      <c r="D234" s="116" t="str">
        <f>IF(ISBLANK('Event summary'!C234),"",'Event summary'!C234)</f>
        <v>תכנון שגוי - בהשכבה של מטופלת שד זוית הגנטרי בתכנון היתה נמוכה מדי (ML 65o).</v>
      </c>
      <c r="E234" s="116" t="str">
        <f>IF(ISBLANK('Event summary'!D234),"",'Event summary'!D234)</f>
        <v>יש לשים לב בתכנוני שד לא לעבור את זווית 60o או 300o ללא בדיקת הזווית במאיץ (Dry-Run).</v>
      </c>
      <c r="F234" s="117" t="str">
        <f>IF(ISBLANK('Event summary'!E234),"",'Event summary'!E234)</f>
        <v/>
      </c>
    </row>
    <row r="235" spans="1:6" ht="30" x14ac:dyDescent="0.2">
      <c r="A235" s="114" t="e">
        <f>IF(ISBLANK('Event summary'!#REF!),"",'Event summary'!#REF!)</f>
        <v>#REF!</v>
      </c>
      <c r="B235" s="115">
        <f>IF(ISBLANK('Event summary'!A235),"",'Event summary'!A235)</f>
        <v>235</v>
      </c>
      <c r="C235" s="115" t="str">
        <f>IF(ISBLANK('Event summary'!B235),"",'Event summary'!B235)</f>
        <v>מתן טיפול באופן שגוי</v>
      </c>
      <c r="D235" s="116" t="str">
        <f>IF(ISBLANK('Event summary'!C235),"",'Event summary'!C235)</f>
        <v>מתן טיפול באופן שגוי - סימון קליני למנה של 3Gy x 2 = 6Gy תוכנן וטופל ב- 6Gy לפרקציה. קיבל פרקציה אחת בלבד.</v>
      </c>
      <c r="E235" s="116" t="str">
        <f>IF(ISBLANK('Event summary'!D235),"",'Event summary'!D235)</f>
        <v>בסימון קליני יש לוודא במאיץ את המנה היומית ואת המנה הכללית. אין להשכיב את המטופל לפני שיש מרשם כתוב באריה.</v>
      </c>
      <c r="F235" s="117" t="str">
        <f>IF(ISBLANK('Event summary'!E235),"",'Event summary'!E235)</f>
        <v/>
      </c>
    </row>
    <row r="236" spans="1:6" ht="71.25" x14ac:dyDescent="0.2">
      <c r="A236" s="114" t="e">
        <f>IF(ISBLANK('Event summary'!#REF!),"",'Event summary'!#REF!)</f>
        <v>#REF!</v>
      </c>
      <c r="B236" s="115">
        <f>IF(ISBLANK('Event summary'!A236),"",'Event summary'!A236)</f>
        <v>236</v>
      </c>
      <c r="C236" s="115" t="str">
        <f>IF(ISBLANK('Event summary'!B236),"",'Event summary'!B236)</f>
        <v>אי עמידה בזמנים</v>
      </c>
      <c r="D236" s="116" t="str">
        <f>IF(ISBLANK('Event summary'!C236),"",'Event summary'!C236)</f>
        <v>אי עמידה בזמנים -  תיק TBI חד פעמי לא היה מוכן בזמן. תכנון בוצע כשהמטופל ממתין לטיפול. ה- Care Path לא היה סגור ולא הגיע לפיזיקה לתכנון.</v>
      </c>
      <c r="E236" s="116" t="str">
        <f>IF(ISBLANK('Event summary'!D236),"",'Event summary'!D236)</f>
        <v>על כלל התיקים לעבור QA עד הצהריים יום עבודה לפני הטיפול. אם לא ייחתם יחתום הרופא התורן. אם התיק אינו מוכן לאישור יש לשקול דחייה של התיק. עבור TBI שאינו ניתן לדחייה, יש לסיים תכנון באופן מיידי ולשחרר יום לפני הטיפול. רצוי לשחרר את התיק לפיזיקה עוד ביום הסימולציה.</v>
      </c>
      <c r="F236" s="117" t="str">
        <f>IF(ISBLANK('Event summary'!E236),"",'Event summary'!E236)</f>
        <v/>
      </c>
    </row>
    <row r="237" spans="1:6" ht="57" x14ac:dyDescent="0.2">
      <c r="A237" s="114" t="e">
        <f>IF(ISBLANK('Event summary'!#REF!),"",'Event summary'!#REF!)</f>
        <v>#REF!</v>
      </c>
      <c r="B237" s="115">
        <f>IF(ISBLANK('Event summary'!A237),"",'Event summary'!A237)</f>
        <v>237</v>
      </c>
      <c r="C237" s="115" t="str">
        <f>IF(ISBLANK('Event summary'!B237),"",'Event summary'!B237)</f>
        <v>תיעוד לא תקין</v>
      </c>
      <c r="D237" s="116" t="str">
        <f>IF(ISBLANK('Event summary'!C237),"",'Event summary'!C237)</f>
        <v xml:space="preserve">תיעוד לא תקין - חוסר התאמה בין הצד המתועד במרשם ושם התכנית לבין צד הטיפול. המטופל קיבל טיפול לצד הנכון, אך עבר את כל השלבים כולל כל הטיפולים. המקרה התגלה אחרי 3 חדשים. </v>
      </c>
      <c r="E237" s="116" t="str">
        <f>IF(ISBLANK('Event summary'!D237),"",'Event summary'!D237)</f>
        <v>השלבים בהם ניתן היה לעלות על הטעות הינן: תכנון פיזיקה, חתימת רופא, QA, חתימה שניה של פיזיקאי, RTTQA וכל יום במהלך הטיפול. יש להקפיד על ראיה ביקורתית של תכנונים וטיפולים על ידי כלל הצוות.</v>
      </c>
      <c r="F237" s="117" t="str">
        <f>IF(ISBLANK('Event summary'!E237),"",'Event summary'!E237)</f>
        <v/>
      </c>
    </row>
    <row r="238" spans="1:6" ht="85.5" x14ac:dyDescent="0.2">
      <c r="A238" s="114" t="e">
        <f>IF(ISBLANK('Event summary'!#REF!),"",'Event summary'!#REF!)</f>
        <v>#REF!</v>
      </c>
      <c r="B238" s="115">
        <f>IF(ISBLANK('Event summary'!A238),"",'Event summary'!A238)</f>
        <v>238</v>
      </c>
      <c r="C238" s="115" t="str">
        <f>IF(ISBLANK('Event summary'!B238),"",'Event summary'!B238)</f>
        <v>עבודה שלא על פי הנוהל</v>
      </c>
      <c r="D238" s="116" t="str">
        <f>IF(ISBLANK('Event summary'!C238),"",'Event summary'!C238)</f>
        <v>עבודה שלא על פי הנוהל - בישיבת QA נראה היה שאין חתימה של רופא על התיק. המקרה כנראה אושר בתחנת RayStation.</v>
      </c>
      <c r="E238" s="116" t="str">
        <f>IF(ISBLANK('Event summary'!D238),"",'Event summary'!D238)</f>
        <v>כל תיק תכנון קרינה מכיל שלוש חתימות שונות Reviewed חתום ע"י רופא, Planning Approve ע"י פיזיקאי מתכנן ו- Treatment Approve ע"י רנטגנאי QA. חתימות אלו הינן חלק מתיעוד הטיפול עבור תכנון ללא נייר ומאפשר לברר מי תכנן את התיק ואישר את מתן הטיפול עבור כל בירור עתידי. לכן יש לבצע חתימה מסודרת באריה.</v>
      </c>
      <c r="F238" s="117" t="str">
        <f>IF(ISBLANK('Event summary'!E238),"",'Event summary'!E238)</f>
        <v/>
      </c>
    </row>
    <row r="239" spans="1:6" ht="42.75" x14ac:dyDescent="0.2">
      <c r="A239" s="114" t="e">
        <f>IF(ISBLANK('Event summary'!#REF!),"",'Event summary'!#REF!)</f>
        <v>#REF!</v>
      </c>
      <c r="B239" s="115">
        <f>IF(ISBLANK('Event summary'!A239),"",'Event summary'!A239)</f>
        <v>239</v>
      </c>
      <c r="C239" s="115" t="str">
        <f>IF(ISBLANK('Event summary'!B239),"",'Event summary'!B239)</f>
        <v>תיעוד לא תקין</v>
      </c>
      <c r="D239" s="116" t="str">
        <f>IF(ISBLANK('Event summary'!C239),"",'Event summary'!C239)</f>
        <v>תיעוד לא תקין - קיימת סתירה בין שם התכנית והמרשם לאיזור המטופל. בתכנית והמרשם כתוב L2-L4 וטופל ל- L3-L5. המקרה נתגלה חודשיים אחרי הטיפול.</v>
      </c>
      <c r="E239" s="116" t="str">
        <f>IF(ISBLANK('Event summary'!D239),"",'Event summary'!D239)</f>
        <v>יש להקפיד על שם התכנית שתשקף את המרשם ואת הטיפול.</v>
      </c>
      <c r="F239" s="117" t="str">
        <f>IF(ISBLANK('Event summary'!E239),"",'Event summary'!E239)</f>
        <v/>
      </c>
    </row>
    <row r="240" spans="1:6" ht="28.5" x14ac:dyDescent="0.2">
      <c r="A240" s="114" t="e">
        <f>IF(ISBLANK('Event summary'!#REF!),"",'Event summary'!#REF!)</f>
        <v>#REF!</v>
      </c>
      <c r="B240" s="115">
        <f>IF(ISBLANK('Event summary'!A240),"",'Event summary'!A240)</f>
        <v>240</v>
      </c>
      <c r="C240" s="115" t="str">
        <f>IF(ISBLANK('Event summary'!B240),"",'Event summary'!B240)</f>
        <v>תיעוד לא תקין</v>
      </c>
      <c r="D240" s="116" t="str">
        <f>IF(ISBLANK('Event summary'!C240),"",'Event summary'!C240)</f>
        <v>תיעוד לא תקין - שם המרשם Retroperitoneal + Med עבור טיפול ב- Rt Lung.</v>
      </c>
      <c r="E240" s="116" t="str">
        <f>IF(ISBLANK('Event summary'!D240),"",'Event summary'!D240)</f>
        <v>יש להקפיד על שם התכנית שתשקף את המרשם ואת הטיפול.</v>
      </c>
      <c r="F240" s="117" t="str">
        <f>IF(ISBLANK('Event summary'!E240),"",'Event summary'!E240)</f>
        <v/>
      </c>
    </row>
    <row r="241" spans="1:6" x14ac:dyDescent="0.2">
      <c r="A241" s="114" t="e">
        <f>IF(ISBLANK('Event summary'!#REF!),"",'Event summary'!#REF!)</f>
        <v>#REF!</v>
      </c>
      <c r="B241" s="115">
        <f>IF(ISBLANK('Event summary'!A241),"",'Event summary'!A241)</f>
        <v>241</v>
      </c>
      <c r="C241" s="115" t="str">
        <f>IF(ISBLANK('Event summary'!B241),"",'Event summary'!B241)</f>
        <v/>
      </c>
      <c r="D241" s="116" t="str">
        <f>IF(ISBLANK('Event summary'!C241),"",'Event summary'!C241)</f>
        <v/>
      </c>
      <c r="E241" s="116" t="str">
        <f>IF(ISBLANK('Event summary'!D241),"",'Event summary'!D241)</f>
        <v/>
      </c>
      <c r="F241" s="117" t="str">
        <f>IF(ISBLANK('Event summary'!E241),"",'Event summary'!E241)</f>
        <v/>
      </c>
    </row>
    <row r="242" spans="1:6" ht="99.75" x14ac:dyDescent="0.2">
      <c r="A242" s="114" t="e">
        <f>IF(ISBLANK('Event summary'!#REF!),"",'Event summary'!#REF!)</f>
        <v>#REF!</v>
      </c>
      <c r="B242" s="115">
        <f>IF(ISBLANK('Event summary'!A242),"",'Event summary'!A242)</f>
        <v>242</v>
      </c>
      <c r="C242" s="115" t="str">
        <f>IF(ISBLANK('Event summary'!B242),"",'Event summary'!B242)</f>
        <v>סימון שגוי</v>
      </c>
      <c r="D242" s="116" t="str">
        <f>IF(ISBLANK('Event summary'!C242),"",'Event summary'!C242)</f>
        <v>סימון שגוי - סימון שלא לפי פרוטוקול וגם מרשם ללא הגבלות וצד.</v>
      </c>
      <c r="E242" s="116" t="str">
        <f>IF(ISBLANK('Event summary'!D242),"",'Event summary'!D242)</f>
        <v>עבור פרוטוקולים קליניים ישנן דרישות מיוחדות הכוללת את צורת הסימון ושמות מוגדרים לאיברים המסומנים וכן הגבלות מיוחדות לאיברים אלו. בהעדר סימון מתאים והגבלות מתאימות המקרה לא יוכל להיכלל במחקר ויוחרג. בטיפולים בעלי צד כמו טיפולי ריאות אין להניח שהצד שתוכנן הינו הצד הרצוי. על כן, חייבים לציין במרשם, באיבר המסומן ובשם התכנית את צד הטיפול לצורך מניעה של טיפול לצד שגוי.</v>
      </c>
      <c r="F242" s="117" t="str">
        <f>IF(ISBLANK('Event summary'!E242),"",'Event summary'!E242)</f>
        <v/>
      </c>
    </row>
    <row r="243" spans="1:6" ht="42.75" x14ac:dyDescent="0.2">
      <c r="A243" s="114" t="e">
        <f>IF(ISBLANK('Event summary'!#REF!),"",'Event summary'!#REF!)</f>
        <v>#REF!</v>
      </c>
      <c r="B243" s="115">
        <f>IF(ISBLANK('Event summary'!A243),"",'Event summary'!A243)</f>
        <v>243</v>
      </c>
      <c r="C243" s="115" t="str">
        <f>IF(ISBLANK('Event summary'!B243),"",'Event summary'!B243)</f>
        <v>סריקה לא תקינה</v>
      </c>
      <c r="D243" s="116" t="str">
        <f>IF(ISBLANK('Event summary'!C243),"",'Event summary'!C243)</f>
        <v>סריקה לא תקינה - במתקן שד נקבעו זויות שונות בין ימין לשמאל. סריקה שגויה בוצעה ב- 13/8/2020</v>
      </c>
      <c r="E243" s="116" t="str">
        <f>IF(ISBLANK('Event summary'!D243),"",'Event summary'!D243)</f>
        <v>יש להקפיד על בדיקה של אמצעי הקיבוע בטרם השימוש בו. יש להתאים את הפרמטרים לכל מטופל ולא להניח שהמתקן מכוון. מתקני שד חדשים הוזמנו לכל המאיצים והסימולציה.</v>
      </c>
      <c r="F243" s="117" t="str">
        <f>IF(ISBLANK('Event summary'!E243),"",'Event summary'!E243)</f>
        <v/>
      </c>
    </row>
    <row r="244" spans="1:6" ht="42.75" x14ac:dyDescent="0.2">
      <c r="A244" s="114" t="e">
        <f>IF(ISBLANK('Event summary'!#REF!),"",'Event summary'!#REF!)</f>
        <v>#REF!</v>
      </c>
      <c r="B244" s="115">
        <f>IF(ISBLANK('Event summary'!A244),"",'Event summary'!A244)</f>
        <v>244</v>
      </c>
      <c r="C244" s="115" t="str">
        <f>IF(ISBLANK('Event summary'!B244),"",'Event summary'!B244)</f>
        <v>סריקה לא תקינה</v>
      </c>
      <c r="D244" s="116" t="str">
        <f>IF(ISBLANK('Event summary'!C244),"",'Event summary'!C244)</f>
        <v>סריקה לא תקינה - במתקן שד נקבעו זויות שונות בין ימין לשמאל. סריקה שגויה בוצעה ב- 13/8/2020</v>
      </c>
      <c r="E244" s="116" t="str">
        <f>IF(ISBLANK('Event summary'!D244),"",'Event summary'!D244)</f>
        <v>יש להקפיד על בדיקה של אמצעי הקיבוע בטרם השימוש בו. יש להתאים את הפרמטרים לכל מטופל ולא להניח שהמתקן מכוון. מתקני שד חדשים הוזמנו לכל המאיצים והסימולציה.</v>
      </c>
      <c r="F244" s="117" t="str">
        <f>IF(ISBLANK('Event summary'!E244),"",'Event summary'!E244)</f>
        <v/>
      </c>
    </row>
    <row r="245" spans="1:6" ht="28.5" x14ac:dyDescent="0.2">
      <c r="A245" s="114" t="e">
        <f>IF(ISBLANK('Event summary'!#REF!),"",'Event summary'!#REF!)</f>
        <v>#REF!</v>
      </c>
      <c r="B245" s="115">
        <f>IF(ISBLANK('Event summary'!A245),"",'Event summary'!A245)</f>
        <v>245</v>
      </c>
      <c r="C245" s="115" t="str">
        <f>IF(ISBLANK('Event summary'!B245),"",'Event summary'!B245)</f>
        <v>תיעוד לא תקין</v>
      </c>
      <c r="D245" s="116" t="str">
        <f>IF(ISBLANK('Event summary'!C245),"",'Event summary'!C245)</f>
        <v>תיעוד לא תקין - רישום בקמליון ל- 4Gy x 5 בפועל קיבל 8Gy x 1.</v>
      </c>
      <c r="E245" s="116" t="str">
        <f>IF(ISBLANK('Event summary'!D245),"",'Event summary'!D245)</f>
        <v xml:space="preserve">בוצע שינוי בנוהל העבודה. </v>
      </c>
      <c r="F245" s="117" t="str">
        <f>IF(ISBLANK('Event summary'!E245),"",'Event summary'!E245)</f>
        <v/>
      </c>
    </row>
    <row r="246" spans="1:6" ht="57" x14ac:dyDescent="0.2">
      <c r="A246" s="114" t="e">
        <f>IF(ISBLANK('Event summary'!#REF!),"",'Event summary'!#REF!)</f>
        <v>#REF!</v>
      </c>
      <c r="B246" s="115">
        <f>IF(ISBLANK('Event summary'!A246),"",'Event summary'!A246)</f>
        <v>246</v>
      </c>
      <c r="C246" s="115" t="str">
        <f>IF(ISBLANK('Event summary'!B246),"",'Event summary'!B246)</f>
        <v>תקשורת לקויה</v>
      </c>
      <c r="D246" s="116" t="str">
        <f>IF(ISBLANK('Event summary'!C246),"",'Event summary'!C246)</f>
        <v xml:space="preserve">תקשורת לקויה -  מטופלת הגיעה לסימון קליני עם אבן אישית. הייתה סריקה וניתן היה לתכנן מראש. ה Care Path היה של סימון קליני האבן לא הוכנה מראש והתיק לא הגיע לפיזיקה לתכנון. </v>
      </c>
      <c r="E246" s="116" t="str">
        <f>IF(ISBLANK('Event summary'!D246),"",'Event summary'!D246)</f>
        <v>יש להקפיד על שימוש ב- Care Path מתאים. המרשם צריך להיכתב מראש ולפני השכבת המטופל על מיטת הטיפול. תווסף משימה ב Care Path לאבן אישית.</v>
      </c>
      <c r="F246" s="117" t="str">
        <f>IF(ISBLANK('Event summary'!E246),"",'Event summary'!E246)</f>
        <v/>
      </c>
    </row>
    <row r="247" spans="1:6" ht="42.75" x14ac:dyDescent="0.2">
      <c r="A247" s="114" t="e">
        <f>IF(ISBLANK('Event summary'!#REF!),"",'Event summary'!#REF!)</f>
        <v>#REF!</v>
      </c>
      <c r="B247" s="115">
        <f>IF(ISBLANK('Event summary'!A247),"",'Event summary'!A247)</f>
        <v>247</v>
      </c>
      <c r="C247" s="115" t="str">
        <f>IF(ISBLANK('Event summary'!B247),"",'Event summary'!B247)</f>
        <v>מתן טיפול באופן שגוי</v>
      </c>
      <c r="D247" s="116" t="str">
        <f>IF(ISBLANK('Event summary'!C247),"",'Event summary'!C247)</f>
        <v>מתן טיפול באופן שגוי - בטיפול 12/27 התגלה שלמטופלת קיים Vaclock לקיבוע של הידיים. לא  היה תעוד ב setup notes.</v>
      </c>
      <c r="E247" s="116" t="str">
        <f>IF(ISBLANK('Event summary'!D247),"",'Event summary'!D247)</f>
        <v>יש להקפיד על רישום ברור בקמליון בחלק של ה- note עם יש Vaclock. יש להסתכל על התמונות מהסימולציה שמופיעות בקמליון.</v>
      </c>
      <c r="F247" s="117" t="str">
        <f>IF(ISBLANK('Event summary'!E247),"",'Event summary'!E247)</f>
        <v/>
      </c>
    </row>
    <row r="248" spans="1:6" ht="28.5" x14ac:dyDescent="0.2">
      <c r="A248" s="114" t="e">
        <f>IF(ISBLANK('Event summary'!#REF!),"",'Event summary'!#REF!)</f>
        <v>#REF!</v>
      </c>
      <c r="B248" s="115">
        <f>IF(ISBLANK('Event summary'!A248),"",'Event summary'!A248)</f>
        <v>248</v>
      </c>
      <c r="C248" s="115" t="str">
        <f>IF(ISBLANK('Event summary'!B248),"",'Event summary'!B248)</f>
        <v>תיעוד לא תקין</v>
      </c>
      <c r="D248" s="116" t="str">
        <f>IF(ISBLANK('Event summary'!C248),"",'Event summary'!C248)</f>
        <v>תיעוד לא תקין - מרשם לפרוטוקול מחקרי ללא רישום מלא של ההגבלות לטיפול.</v>
      </c>
      <c r="E248" s="116" t="str">
        <f>IF(ISBLANK('Event summary'!D248),"",'Event summary'!D248)</f>
        <v>הנחיות מיוחדות צריכות להיכתב באופן מפורש וברור. ישנה חשיבות לכתיבה והתאמה של הערכים במרשם.</v>
      </c>
      <c r="F248" s="117" t="str">
        <f>IF(ISBLANK('Event summary'!E248),"",'Event summary'!E248)</f>
        <v/>
      </c>
    </row>
    <row r="249" spans="1:6" ht="57" x14ac:dyDescent="0.2">
      <c r="A249" s="114" t="e">
        <f>IF(ISBLANK('Event summary'!#REF!),"",'Event summary'!#REF!)</f>
        <v>#REF!</v>
      </c>
      <c r="B249" s="115">
        <f>IF(ISBLANK('Event summary'!A249),"",'Event summary'!A249)</f>
        <v>249</v>
      </c>
      <c r="C249" s="115" t="str">
        <f>IF(ISBLANK('Event summary'!B249),"",'Event summary'!B249)</f>
        <v>תקשורת לקויה</v>
      </c>
      <c r="D249" s="116" t="str">
        <f>IF(ISBLANK('Event summary'!C249),"",'Event summary'!C249)</f>
        <v>תקשורת לקויה - מקרה ברכיתרפיה לברונכוס הגיע לטיפול ללא תאום מראש. עקב כך הופסקו טיפולי קונטאקט.</v>
      </c>
      <c r="E249" s="116" t="str">
        <f>IF(ISBLANK('Event summary'!D249),"",'Event summary'!D249)</f>
        <v>שימוש בחדר הברכי יידרש בתאום עם ענת ג'רופי ומראש. החדר משמש גם לברכי גניקולוגי, ראש צוואר, ריאות, טיפולי קונטאקט, הכנסה של ג'ל לפרוסטטות וטיפולי אלפא DaRT. מייל יישלח לפיזיקה ולדיויד לאחר תיאום החדר.</v>
      </c>
      <c r="F249" s="117" t="str">
        <f>IF(ISBLANK('Event summary'!E249),"",'Event summary'!E249)</f>
        <v/>
      </c>
    </row>
    <row r="250" spans="1:6" ht="42.75" x14ac:dyDescent="0.2">
      <c r="A250" s="114" t="e">
        <f>IF(ISBLANK('Event summary'!#REF!),"",'Event summary'!#REF!)</f>
        <v>#REF!</v>
      </c>
      <c r="B250" s="115">
        <f>IF(ISBLANK('Event summary'!A250),"",'Event summary'!A250)</f>
        <v>250</v>
      </c>
      <c r="C250" s="115" t="str">
        <f>IF(ISBLANK('Event summary'!B250),"",'Event summary'!B250)</f>
        <v>מתן טיפול באופן שגוי</v>
      </c>
      <c r="D250" s="116" t="str">
        <f>IF(ISBLANK('Event summary'!C250),"",'Event summary'!C250)</f>
        <v>מתן טיפול באופן שגוי - בשיחה עם המטופל נאמר שקיבל טיפול לאגן ימין בפועל קיבל טיפול לצד שמאל. לא נמצא טופס הסכמה בקמליון.</v>
      </c>
      <c r="E250" s="116" t="str">
        <f>IF(ISBLANK('Event summary'!D250),"",'Event summary'!D250)</f>
        <v/>
      </c>
      <c r="F250" s="117" t="str">
        <f>IF(ISBLANK('Event summary'!E250),"",'Event summary'!E250)</f>
        <v/>
      </c>
    </row>
    <row r="251" spans="1:6" ht="28.5" x14ac:dyDescent="0.2">
      <c r="A251" s="114" t="e">
        <f>IF(ISBLANK('Event summary'!#REF!),"",'Event summary'!#REF!)</f>
        <v>#REF!</v>
      </c>
      <c r="B251" s="115">
        <f>IF(ISBLANK('Event summary'!A251),"",'Event summary'!A251)</f>
        <v>251</v>
      </c>
      <c r="C251" s="115" t="str">
        <f>IF(ISBLANK('Event summary'!B251),"",'Event summary'!B251)</f>
        <v>סימון שגוי</v>
      </c>
      <c r="D251" s="116" t="str">
        <f>IF(ISBLANK('Event summary'!C251),"",'Event summary'!C251)</f>
        <v>סימון שגוי - סימון שלא לפי פרוטוקול עבור שד + בלוטות וסופרה.</v>
      </c>
      <c r="E251" s="116" t="str">
        <f>IF(ISBLANK('Event summary'!D251),"",'Event summary'!D251)</f>
        <v xml:space="preserve">בתאריך  התקיימה הדרכה בנושא סימון שד לרופאים. </v>
      </c>
      <c r="F251" s="117" t="str">
        <f>IF(ISBLANK('Event summary'!E251),"",'Event summary'!E251)</f>
        <v/>
      </c>
    </row>
    <row r="252" spans="1:6" ht="71.25" x14ac:dyDescent="0.2">
      <c r="A252" s="114" t="e">
        <f>IF(ISBLANK('Event summary'!#REF!),"",'Event summary'!#REF!)</f>
        <v>#REF!</v>
      </c>
      <c r="B252" s="115">
        <f>IF(ISBLANK('Event summary'!A252),"",'Event summary'!A252)</f>
        <v>252</v>
      </c>
      <c r="C252" s="115" t="str">
        <f>IF(ISBLANK('Event summary'!B252),"",'Event summary'!B252)</f>
        <v>תיעוד לא תקין</v>
      </c>
      <c r="D252" s="116" t="str">
        <f>IF(ISBLANK('Event summary'!C252),"",'Event summary'!C252)</f>
        <v>תיעוד לא תקין - חוסר התאמה בין הצד המתואר במרשם ובטופס ההסכמה לבין צד הטיפול ושם התכנית. שתי תכניות משולבות עם SBRT, לא ברור עם הטיפול מתקבל במקביל או המשכי.</v>
      </c>
      <c r="E252" s="116" t="str">
        <f>IF(ISBLANK('Event summary'!D252),"",'Event summary'!D252)</f>
        <v>יש להקפיד לתעד את צד הטיפול בקמליון ובאריה בצורה נכונה. יש להעתיק את מרשם הקמליון לאריה ולוודא נכונות ע"י כל הצוותים. אם מתקיימת אי התאמה יש לפנות לרופא המטפל לתיקון הטעות במרשם ולוודא ביצוע. בטיפולים היברידיים (למשל SBRT + טיפול קונבנציונאלי) יש לתעד את כוונת התכנון והטיפול.</v>
      </c>
      <c r="F252" s="117" t="str">
        <f>IF(ISBLANK('Event summary'!E252),"",'Event summary'!E252)</f>
        <v/>
      </c>
    </row>
    <row r="253" spans="1:6" ht="57" x14ac:dyDescent="0.2">
      <c r="A253" s="114" t="e">
        <f>IF(ISBLANK('Event summary'!#REF!),"",'Event summary'!#REF!)</f>
        <v>#REF!</v>
      </c>
      <c r="B253" s="115">
        <f>IF(ISBLANK('Event summary'!A253),"",'Event summary'!A253)</f>
        <v>253</v>
      </c>
      <c r="C253" s="115" t="str">
        <f>IF(ISBLANK('Event summary'!B253),"",'Event summary'!B253)</f>
        <v>תיעוד לא תקין</v>
      </c>
      <c r="D253" s="116" t="str">
        <f>IF(ISBLANK('Event summary'!C253),"",'Event summary'!C253)</f>
        <v>תיעוד לא תקין - חוסר התאמה בין הצד המתועד במרשם והצד בשם של התכנית. שם התכנית שונתה לצד הנכון.</v>
      </c>
      <c r="E253" s="116" t="str">
        <f>IF(ISBLANK('Event summary'!D253),"",'Event summary'!D253)</f>
        <v>יש להקפיד לתעד את צד הטיפול בקמליון ובאריה בצורה נכונה. יש להעתיק את מרשם הקמליון לאריה ולוודא נכונות ע"י כל הצוותים. אם מתקיימת אי התאמה יש לפנות לרופא המטפל לתיקון הטעות במרשם ולוודא ביצוע.</v>
      </c>
      <c r="F253" s="117" t="str">
        <f>IF(ISBLANK('Event summary'!E253),"",'Event summary'!E253)</f>
        <v/>
      </c>
    </row>
    <row r="254" spans="1:6" ht="28.5" x14ac:dyDescent="0.2">
      <c r="A254" s="114" t="e">
        <f>IF(ISBLANK('Event summary'!#REF!),"",'Event summary'!#REF!)</f>
        <v>#REF!</v>
      </c>
      <c r="B254" s="115">
        <f>IF(ISBLANK('Event summary'!A254),"",'Event summary'!A254)</f>
        <v>254</v>
      </c>
      <c r="C254" s="115" t="str">
        <f>IF(ISBLANK('Event summary'!B254),"",'Event summary'!B254)</f>
        <v>תכנון שגוי</v>
      </c>
      <c r="D254" s="116" t="str">
        <f>IF(ISBLANK('Event summary'!C254),"",'Event summary'!C254)</f>
        <v>תכנון שגוי - תוכנית cw הגיע לQA ללא תוכנית עם בולוס</v>
      </c>
      <c r="E254" s="116" t="str">
        <f>IF(ISBLANK('Event summary'!D254),"",'Event summary'!D254)</f>
        <v>ע"פ ההנחיה תיקי תכנון צריכים להיות מוכנים לפחות יום לפני הטיפול עד שעת הצהריים.</v>
      </c>
      <c r="F254" s="117" t="str">
        <f>IF(ISBLANK('Event summary'!E254),"",'Event summary'!E254)</f>
        <v/>
      </c>
    </row>
    <row r="255" spans="1:6" ht="30" x14ac:dyDescent="0.2">
      <c r="A255" s="114" t="e">
        <f>IF(ISBLANK('Event summary'!#REF!),"",'Event summary'!#REF!)</f>
        <v>#REF!</v>
      </c>
      <c r="B255" s="115">
        <f>IF(ISBLANK('Event summary'!A255),"",'Event summary'!A255)</f>
        <v>255</v>
      </c>
      <c r="C255" s="115" t="str">
        <f>IF(ISBLANK('Event summary'!B255),"",'Event summary'!B255)</f>
        <v>שגיאה בזיהוי מטופל</v>
      </c>
      <c r="D255" s="116" t="str">
        <f>IF(ISBLANK('Event summary'!C255),"",'Event summary'!C255)</f>
        <v>שגיאה בזיהוי מטופל - שגיאה בזיהוי של המטופל גרם לסריקה שגויה של אזור הטיפול.  אזור הטיפול נסרק  שוב</v>
      </c>
      <c r="E255" s="116" t="str">
        <f>IF(ISBLANK('Event summary'!D255),"",'Event summary'!D255)</f>
        <v>יש להקפיד על ביצוע נוהל זיהוי מטופל.</v>
      </c>
      <c r="F255" s="117" t="str">
        <f>IF(ISBLANK('Event summary'!E255),"",'Event summary'!E255)</f>
        <v/>
      </c>
    </row>
    <row r="256" spans="1:6" ht="57" x14ac:dyDescent="0.2">
      <c r="A256" s="114" t="e">
        <f>IF(ISBLANK('Event summary'!#REF!),"",'Event summary'!#REF!)</f>
        <v>#REF!</v>
      </c>
      <c r="B256" s="115">
        <f>IF(ISBLANK('Event summary'!A256),"",'Event summary'!A256)</f>
        <v>256</v>
      </c>
      <c r="C256" s="115" t="str">
        <f>IF(ISBLANK('Event summary'!B256),"",'Event summary'!B256)</f>
        <v>מתן טיפול באופן שגוי</v>
      </c>
      <c r="D256" s="116" t="str">
        <f>IF(ISBLANK('Event summary'!C256),"",'Event summary'!C256)</f>
        <v>מתן טיפול באופן שגוי - בטיפול TBI שדה PA ניתן טיפול במרחק 960 ס"מ במקום 966 ס"מ עקב שגיאה בחישוב גובה המיטה. השגיאה עבור פרקציה 4% תת מנה. ו0.4% לטיפול כולו.</v>
      </c>
      <c r="E256" s="116" t="str">
        <f>IF(ISBLANK('Event summary'!D256),"",'Event summary'!D256)</f>
        <v>יש להקפיד על ביצוע בדיקה מקדימה (Dry Run). ביצוע בדיקה מעמיקה בטיפולים מורכבים על ידי פיזיקאי בכיר כולל בדיקת החישוב עצמו. ליווי של פיזיקאי בכיר ומנוסה לתכנון של פיזיקאי פחות מנוסה.</v>
      </c>
      <c r="F256" s="117" t="str">
        <f>IF(ISBLANK('Event summary'!E256),"",'Event summary'!E256)</f>
        <v/>
      </c>
    </row>
    <row r="257" spans="1:6" ht="28.5" x14ac:dyDescent="0.2">
      <c r="A257" s="114" t="e">
        <f>IF(ISBLANK('Event summary'!#REF!),"",'Event summary'!#REF!)</f>
        <v>#REF!</v>
      </c>
      <c r="B257" s="115">
        <f>IF(ISBLANK('Event summary'!A257),"",'Event summary'!A257)</f>
        <v>257</v>
      </c>
      <c r="C257" s="115" t="str">
        <f>IF(ISBLANK('Event summary'!B257),"",'Event summary'!B257)</f>
        <v>פגיעה במתקן</v>
      </c>
      <c r="D257" s="116" t="str">
        <f>IF(ISBLANK('Event summary'!C257),"",'Event summary'!C257)</f>
        <v>פגיעה במתקן - בזמן CBCT מלא הגנטרי פגע במתקן CIVCO.  המיטה הייתה במרכז.</v>
      </c>
      <c r="E257" s="116" t="str">
        <f>IF(ISBLANK('Event summary'!D257),"",'Event summary'!D257)</f>
        <v>יש לבדוק בחדר לפני ביצוע CBCT גם במצב של Couch Center.</v>
      </c>
      <c r="F257" s="117" t="str">
        <f>IF(ISBLANK('Event summary'!E257),"",'Event summary'!E257)</f>
        <v/>
      </c>
    </row>
    <row r="258" spans="1:6" ht="42.75" x14ac:dyDescent="0.2">
      <c r="A258" s="114" t="e">
        <f>IF(ISBLANK('Event summary'!#REF!),"",'Event summary'!#REF!)</f>
        <v>#REF!</v>
      </c>
      <c r="B258" s="115">
        <f>IF(ISBLANK('Event summary'!A258),"",'Event summary'!A258)</f>
        <v>258</v>
      </c>
      <c r="C258" s="115" t="str">
        <f>IF(ISBLANK('Event summary'!B258),"",'Event summary'!B258)</f>
        <v>מתן טיפול באופן שגוי</v>
      </c>
      <c r="D258" s="116" t="str">
        <f>IF(ISBLANK('Event summary'!C258),"",'Event summary'!C258)</f>
        <v>מתן טיפול באופן שגוי - שני טיפולים ראשונים ללא שימוש של vaclock and bionix.</v>
      </c>
      <c r="E258" s="116" t="str">
        <f>IF(ISBLANK('Event summary'!D258),"",'Event summary'!D258)</f>
        <v>יש לצלם בשלב הסימולציה את כל אמצעי הקיבוע ולתעד בקמליון. רנטגנאי בקרת איכות יתעד ב Setup Notes את הפרמטרים ואמצעי הקיבוע לצורך הטיפול.</v>
      </c>
      <c r="F258" s="117" t="str">
        <f>IF(ISBLANK('Event summary'!E258),"",'Event summary'!E258)</f>
        <v/>
      </c>
    </row>
    <row r="259" spans="1:6" ht="85.5" x14ac:dyDescent="0.2">
      <c r="A259" s="114" t="e">
        <f>IF(ISBLANK('Event summary'!#REF!),"",'Event summary'!#REF!)</f>
        <v>#REF!</v>
      </c>
      <c r="B259" s="115">
        <f>IF(ISBLANK('Event summary'!A259),"",'Event summary'!A259)</f>
        <v>259</v>
      </c>
      <c r="C259" s="115" t="str">
        <f>IF(ISBLANK('Event summary'!B259),"",'Event summary'!B259)</f>
        <v>מתן טיפול באופן שגוי</v>
      </c>
      <c r="D259" s="116" t="str">
        <f>IF(ISBLANK('Event summary'!C259),"",'Event summary'!C259)</f>
        <v>מתן טיפול באופן שגוי - עקב  תקלה טכנית במאיץ, נרשמו 38MU ב- arc הראשון. לאחר מכן ניתנו עוד 199MU כלומר, בפועל ניתנו 38+199MU. לאחר חזרת התקלה והחלפת המאיץ, ה- arc הראשון ניתן פעם נוספת (סה"כ 440MU). ה- Arc השני לא ניתן עקב מנה עודפת.ההבדל במנה הכוללת לטיפול &gt; 5%</v>
      </c>
      <c r="E259" s="116" t="str">
        <f>IF(ISBLANK('Event summary'!D259),"",'Event summary'!D259)</f>
        <v>במעבר מאיץ יש לסגור את התיק בצורה נכונה ולא דרך ה Service. לאחר הטיפול יש לוודא (בערך חצי שעה אחרי) שה- MU שהתקבלו אכן נרשמו במערכת.</v>
      </c>
      <c r="F259" s="117" t="str">
        <f>IF(ISBLANK('Event summary'!E259),"",'Event summary'!E259)</f>
        <v/>
      </c>
    </row>
    <row r="260" spans="1:6" ht="30" x14ac:dyDescent="0.2">
      <c r="A260" s="114" t="e">
        <f>IF(ISBLANK('Event summary'!#REF!),"",'Event summary'!#REF!)</f>
        <v>#REF!</v>
      </c>
      <c r="B260" s="115">
        <f>IF(ISBLANK('Event summary'!A260),"",'Event summary'!A260)</f>
        <v>260</v>
      </c>
      <c r="C260" s="115" t="str">
        <f>IF(ISBLANK('Event summary'!B260),"",'Event summary'!B260)</f>
        <v>מתן טיפול שלא על פי הפרוטוקול</v>
      </c>
      <c r="D260" s="116" t="str">
        <f>IF(ISBLANK('Event summary'!C260),"",'Event summary'!C260)</f>
        <v>מתן טיפול שלא על פי הפרוטוקול -  שימוש Vaclock של מטופל שונה עם שם זהה.</v>
      </c>
      <c r="E260" s="116" t="str">
        <f>IF(ISBLANK('Event summary'!D260),"",'Event summary'!D260)</f>
        <v>יש להמנע ככל הניתן לא לשבץ מטופלים עם שמות זהים באותו המאיץ. יש לבדוק תעודת זהות גם של ה- Vaclock.</v>
      </c>
      <c r="F260" s="117" t="str">
        <f>IF(ISBLANK('Event summary'!E260),"",'Event summary'!E260)</f>
        <v/>
      </c>
    </row>
    <row r="261" spans="1:6" ht="42.75" x14ac:dyDescent="0.2">
      <c r="A261" s="114" t="e">
        <f>IF(ISBLANK('Event summary'!#REF!),"",'Event summary'!#REF!)</f>
        <v>#REF!</v>
      </c>
      <c r="B261" s="115">
        <f>IF(ISBLANK('Event summary'!A261),"",'Event summary'!A261)</f>
        <v>261</v>
      </c>
      <c r="C261" s="115" t="str">
        <f>IF(ISBLANK('Event summary'!B261),"",'Event summary'!B261)</f>
        <v>מתן טיפול בהיעדר מרשם</v>
      </c>
      <c r="D261" s="116" t="str">
        <f>IF(ISBLANK('Event summary'!C261),"",'Event summary'!C261)</f>
        <v>מתן טיפול בהיעדר מרשם - טיפול ברכיתרפיה ללא מרשם באריה.</v>
      </c>
      <c r="E261" s="116" t="str">
        <f>IF(ISBLANK('Event summary'!D261),"",'Event summary'!D261)</f>
        <v>יש להשלים את ה- Care Path לכל טיפול. חייבת להיות חתימה של רופא ושני פיזיקאים באישור התכנית (נכון לברכי בלבד). יש להימנע מקורסים מיותרים בתכנון.</v>
      </c>
      <c r="F261" s="117" t="str">
        <f>IF(ISBLANK('Event summary'!E261),"",'Event summary'!E261)</f>
        <v/>
      </c>
    </row>
    <row r="262" spans="1:6" ht="42.75" x14ac:dyDescent="0.2">
      <c r="A262" s="114" t="e">
        <f>IF(ISBLANK('Event summary'!#REF!),"",'Event summary'!#REF!)</f>
        <v>#REF!</v>
      </c>
      <c r="B262" s="115">
        <f>IF(ISBLANK('Event summary'!A262),"",'Event summary'!A262)</f>
        <v>262</v>
      </c>
      <c r="C262" s="115" t="str">
        <f>IF(ISBLANK('Event summary'!B262),"",'Event summary'!B262)</f>
        <v>אי עמידה בזמנים</v>
      </c>
      <c r="D262" s="116" t="str">
        <f>IF(ISBLANK('Event summary'!C262),"",'Event summary'!C262)</f>
        <v>אי עמידה בזמנים - מטופל SBRT עם 2   מוקדים הגיע לחישוב לאחר ששהה בתכנון למעלה משבועיים לטיפול לאותו היום.</v>
      </c>
      <c r="E262" s="116" t="str">
        <f>IF(ISBLANK('Event summary'!D262),"",'Event summary'!D262)</f>
        <v/>
      </c>
      <c r="F262" s="117" t="str">
        <f>IF(ISBLANK('Event summary'!E262),"",'Event summary'!E262)</f>
        <v/>
      </c>
    </row>
    <row r="263" spans="1:6" ht="28.5" x14ac:dyDescent="0.2">
      <c r="A263" s="114" t="e">
        <f>IF(ISBLANK('Event summary'!#REF!),"",'Event summary'!#REF!)</f>
        <v>#REF!</v>
      </c>
      <c r="B263" s="115">
        <f>IF(ISBLANK('Event summary'!A263),"",'Event summary'!A263)</f>
        <v>263</v>
      </c>
      <c r="C263" s="115" t="str">
        <f>IF(ISBLANK('Event summary'!B263),"",'Event summary'!B263)</f>
        <v>תקשורת לקויה</v>
      </c>
      <c r="D263" s="116" t="str">
        <f>IF(ISBLANK('Event summary'!C263),"",'Event summary'!C263)</f>
        <v>תקשורת לקויה - מטופל לא הגיע לטיפול כיון שלא ידעו יש צורך להביא אותו.</v>
      </c>
      <c r="E263" s="116" t="str">
        <f>IF(ISBLANK('Event summary'!D263),"",'Event summary'!D263)</f>
        <v/>
      </c>
      <c r="F263" s="117" t="str">
        <f>IF(ISBLANK('Event summary'!E263),"",'Event summary'!E263)</f>
        <v/>
      </c>
    </row>
    <row r="264" spans="1:6" ht="28.5" x14ac:dyDescent="0.2">
      <c r="A264" s="114" t="e">
        <f>IF(ISBLANK('Event summary'!#REF!),"",'Event summary'!#REF!)</f>
        <v>#REF!</v>
      </c>
      <c r="B264" s="115">
        <f>IF(ISBLANK('Event summary'!A264),"",'Event summary'!A264)</f>
        <v>264</v>
      </c>
      <c r="C264" s="115" t="str">
        <f>IF(ISBLANK('Event summary'!B264),"",'Event summary'!B264)</f>
        <v>תיעוד לא תקין</v>
      </c>
      <c r="D264" s="116" t="str">
        <f>IF(ISBLANK('Event summary'!C264),"",'Event summary'!C264)</f>
        <v>תיעוד לא תקין - מטופל עם קוצב הגיע לטיפול דחוף. לא היה ידוע על הקוצב והתכנון נעשה עם אנרגיה גבוהה.</v>
      </c>
      <c r="E264" s="116" t="str">
        <f>IF(ISBLANK('Event summary'!D264),"",'Event summary'!D264)</f>
        <v/>
      </c>
      <c r="F264" s="117" t="str">
        <f>IF(ISBLANK('Event summary'!E264),"",'Event summary'!E264)</f>
        <v/>
      </c>
    </row>
    <row r="265" spans="1:6" ht="42.75" x14ac:dyDescent="0.2">
      <c r="A265" s="114" t="e">
        <f>IF(ISBLANK('Event summary'!#REF!),"",'Event summary'!#REF!)</f>
        <v>#REF!</v>
      </c>
      <c r="B265" s="115">
        <f>IF(ISBLANK('Event summary'!A265),"",'Event summary'!A265)</f>
        <v>265</v>
      </c>
      <c r="C265" s="115" t="str">
        <f>IF(ISBLANK('Event summary'!B265),"",'Event summary'!B265)</f>
        <v>תקשורת לקויה</v>
      </c>
      <c r="D265" s="116" t="str">
        <f>IF(ISBLANK('Event summary'!C265),"",'Event summary'!C265)</f>
        <v>תקשורת לקויה - מטופל הגיע לטיפול מתוך ידיעה שיקבל טיפול לריאה ימין בפועל היה צריך לקבל טיפול לצד שמאל + מיצר.</v>
      </c>
      <c r="E265" s="116" t="str">
        <f>IF(ISBLANK('Event summary'!D265),"",'Event summary'!D265)</f>
        <v/>
      </c>
      <c r="F265" s="117" t="str">
        <f>IF(ISBLANK('Event summary'!E265),"",'Event summary'!E265)</f>
        <v/>
      </c>
    </row>
    <row r="266" spans="1:6" ht="30" x14ac:dyDescent="0.2">
      <c r="A266" s="114" t="e">
        <f>IF(ISBLANK('Event summary'!#REF!),"",'Event summary'!#REF!)</f>
        <v>#REF!</v>
      </c>
      <c r="B266" s="115">
        <f>IF(ISBLANK('Event summary'!A266),"",'Event summary'!A266)</f>
        <v>266</v>
      </c>
      <c r="C266" s="115" t="str">
        <f>IF(ISBLANK('Event summary'!B266),"",'Event summary'!B266)</f>
        <v>מתן טיפול באופן שגוי</v>
      </c>
      <c r="D266" s="116" t="str">
        <f>IF(ISBLANK('Event summary'!C266),"",'Event summary'!C266)</f>
        <v>מתן טיפול באופן שגוי - מטופל קיבל 4 טיפולים לשלפוחית מלאה כאשר התכנון היה לשלפוחית ריקה.</v>
      </c>
      <c r="E266" s="116" t="str">
        <f>IF(ISBLANK('Event summary'!D266),"",'Event summary'!D266)</f>
        <v/>
      </c>
      <c r="F266" s="117" t="str">
        <f>IF(ISBLANK('Event summary'!E266),"",'Event summary'!E266)</f>
        <v/>
      </c>
    </row>
    <row r="267" spans="1:6" ht="28.5" x14ac:dyDescent="0.2">
      <c r="A267" s="114" t="e">
        <f>IF(ISBLANK('Event summary'!#REF!),"",'Event summary'!#REF!)</f>
        <v>#REF!</v>
      </c>
      <c r="B267" s="115">
        <f>IF(ISBLANK('Event summary'!A267),"",'Event summary'!A267)</f>
        <v>267</v>
      </c>
      <c r="C267" s="115" t="str">
        <f>IF(ISBLANK('Event summary'!B267),"",'Event summary'!B267)</f>
        <v>תיעוד לא תקין</v>
      </c>
      <c r="D267" s="116" t="str">
        <f>IF(ISBLANK('Event summary'!C267),"",'Event summary'!C267)</f>
        <v xml:space="preserve">תיעוד לא תקין - בתכנון SBRT לעמוד שדרה נכתב מרשם ללא הגבלות לאיברים בסיכון.  </v>
      </c>
      <c r="E267" s="116" t="str">
        <f>IF(ISBLANK('Event summary'!D267),"",'Event summary'!D267)</f>
        <v/>
      </c>
      <c r="F267" s="117" t="str">
        <f>IF(ISBLANK('Event summary'!E267),"",'Event summary'!E267)</f>
        <v/>
      </c>
    </row>
    <row r="268" spans="1:6" ht="42.75" x14ac:dyDescent="0.2">
      <c r="A268" s="114" t="e">
        <f>IF(ISBLANK('Event summary'!#REF!),"",'Event summary'!#REF!)</f>
        <v>#REF!</v>
      </c>
      <c r="B268" s="115">
        <f>IF(ISBLANK('Event summary'!A268),"",'Event summary'!A268)</f>
        <v>268</v>
      </c>
      <c r="C268" s="115" t="str">
        <f>IF(ISBLANK('Event summary'!B268),"",'Event summary'!B268)</f>
        <v>תקשורת לקויה</v>
      </c>
      <c r="D268" s="116" t="str">
        <f>IF(ISBLANK('Event summary'!C268),"",'Event summary'!C268)</f>
        <v>תקשורת לקויה - מטופלת הגיעה לטיפול. התיק לא היה מוכן ו- care path לא התקדם. הסימולציה נעשתה בתאריך 5/1/21 יום הטיפול 25/1/21.</v>
      </c>
      <c r="E268" s="116" t="str">
        <f>IF(ISBLANK('Event summary'!D268),"",'Event summary'!D268)</f>
        <v/>
      </c>
      <c r="F268" s="117" t="str">
        <f>IF(ISBLANK('Event summary'!E268),"",'Event summary'!E268)</f>
        <v/>
      </c>
    </row>
    <row r="269" spans="1:6" ht="28.5" x14ac:dyDescent="0.2">
      <c r="A269" s="114" t="e">
        <f>IF(ISBLANK('Event summary'!#REF!),"",'Event summary'!#REF!)</f>
        <v>#REF!</v>
      </c>
      <c r="B269" s="115">
        <f>IF(ISBLANK('Event summary'!A269),"",'Event summary'!A269)</f>
        <v>269</v>
      </c>
      <c r="C269" s="115" t="str">
        <f>IF(ISBLANK('Event summary'!B269),"",'Event summary'!B269)</f>
        <v>סימון שגוי</v>
      </c>
      <c r="D269" s="116" t="str">
        <f>IF(ISBLANK('Event summary'!C269),"",'Event summary'!C269)</f>
        <v>סימון שגוי - תיק לא עבר ישיבת QA עקב דימון שיגוי. המטופלת קבלה 5 טיפולים מבלי נעשה תיקון</v>
      </c>
      <c r="E269" s="116" t="str">
        <f>IF(ISBLANK('Event summary'!D269),"",'Event summary'!D269)</f>
        <v/>
      </c>
      <c r="F269" s="117" t="str">
        <f>IF(ISBLANK('Event summary'!E269),"",'Event summary'!E269)</f>
        <v/>
      </c>
    </row>
    <row r="270" spans="1:6" ht="30" x14ac:dyDescent="0.2">
      <c r="A270" s="114" t="e">
        <f>IF(ISBLANK('Event summary'!#REF!),"",'Event summary'!#REF!)</f>
        <v>#REF!</v>
      </c>
      <c r="B270" s="115">
        <f>IF(ISBLANK('Event summary'!A270),"",'Event summary'!A270)</f>
        <v>270</v>
      </c>
      <c r="C270" s="115" t="str">
        <f>IF(ISBLANK('Event summary'!B270),"",'Event summary'!B270)</f>
        <v>מתן טיפול באופן שגוי</v>
      </c>
      <c r="D270" s="116" t="str">
        <f>IF(ISBLANK('Event summary'!C270),"",'Event summary'!C270)</f>
        <v>מתן טיפול באופן שגוי - המטופל קבל 3 טיפולים SBRT ללא שימוש ב vaclock. היה פער בinterfield בין התכנון וטיפול .</v>
      </c>
      <c r="E270" s="116" t="str">
        <f>IF(ISBLANK('Event summary'!D270),"",'Event summary'!D270)</f>
        <v/>
      </c>
      <c r="F270" s="117" t="str">
        <f>IF(ISBLANK('Event summary'!E270),"",'Event summary'!E270)</f>
        <v/>
      </c>
    </row>
    <row r="271" spans="1:6" ht="28.5" x14ac:dyDescent="0.2">
      <c r="A271" s="114" t="e">
        <f>IF(ISBLANK('Event summary'!#REF!),"",'Event summary'!#REF!)</f>
        <v>#REF!</v>
      </c>
      <c r="B271" s="115">
        <f>IF(ISBLANK('Event summary'!A271),"",'Event summary'!A271)</f>
        <v>271</v>
      </c>
      <c r="C271" s="115" t="str">
        <f>IF(ISBLANK('Event summary'!B271),"",'Event summary'!B271)</f>
        <v>תיעוד לא תקין</v>
      </c>
      <c r="D271" s="116" t="str">
        <f>IF(ISBLANK('Event summary'!C271),"",'Event summary'!C271)</f>
        <v xml:space="preserve">תיעוד לא תקין - המטופלת קבלה 2 טיפולים ללא תאוד בקמליון.  תוקן בדיעבד. </v>
      </c>
      <c r="E271" s="116" t="str">
        <f>IF(ISBLANK('Event summary'!D271),"",'Event summary'!D271)</f>
        <v/>
      </c>
      <c r="F271" s="117" t="str">
        <f>IF(ISBLANK('Event summary'!E271),"",'Event summary'!E271)</f>
        <v/>
      </c>
    </row>
    <row r="272" spans="1:6" ht="30" x14ac:dyDescent="0.2">
      <c r="A272" s="114" t="e">
        <f>IF(ISBLANK('Event summary'!#REF!),"",'Event summary'!#REF!)</f>
        <v>#REF!</v>
      </c>
      <c r="B272" s="115">
        <f>IF(ISBLANK('Event summary'!A272),"",'Event summary'!A272)</f>
        <v>272</v>
      </c>
      <c r="C272" s="115" t="str">
        <f>IF(ISBLANK('Event summary'!B272),"",'Event summary'!B272)</f>
        <v>עבודה שלא על פי הנוהל</v>
      </c>
      <c r="D272" s="116" t="str">
        <f>IF(ISBLANK('Event summary'!C272),"",'Event summary'!C272)</f>
        <v>עבודה שלא לפי פרוטוקול - לאחר סימולציה לא נסגרה המשימה בcarepath. המקרה הגיע באיחור לחישוב</v>
      </c>
      <c r="E272" s="116" t="str">
        <f>IF(ISBLANK('Event summary'!D272),"",'Event summary'!D272)</f>
        <v/>
      </c>
      <c r="F272" s="117" t="str">
        <f>IF(ISBLANK('Event summary'!E272),"",'Event summary'!E272)</f>
        <v/>
      </c>
    </row>
    <row r="273" spans="1:6" ht="42.75" x14ac:dyDescent="0.2">
      <c r="A273" s="114" t="e">
        <f>IF(ISBLANK('Event summary'!#REF!),"",'Event summary'!#REF!)</f>
        <v>#REF!</v>
      </c>
      <c r="B273" s="115">
        <f>IF(ISBLANK('Event summary'!A273),"",'Event summary'!A273)</f>
        <v>273</v>
      </c>
      <c r="C273" s="115" t="str">
        <f>IF(ISBLANK('Event summary'!B273),"",'Event summary'!B273)</f>
        <v>תיעוד לא תקין</v>
      </c>
      <c r="D273" s="116" t="str">
        <f>IF(ISBLANK('Event summary'!C273),"",'Event summary'!C273)</f>
        <v>תיעוד לא תקין - מטופלת עם 2 מספרי זהות באריה.אחת מתעותות הזהות קיימת בקמליון עבור מטופל אחר.  באריה ת.ז אחת הכילה סריקה והשניה נתוני נשימה</v>
      </c>
      <c r="E273" s="116" t="str">
        <f>IF(ISBLANK('Event summary'!D273),"",'Event summary'!D273)</f>
        <v/>
      </c>
      <c r="F273" s="117" t="str">
        <f>IF(ISBLANK('Event summary'!E273),"",'Event summary'!E273)</f>
        <v/>
      </c>
    </row>
    <row r="274" spans="1:6" ht="28.5" x14ac:dyDescent="0.2">
      <c r="A274" s="114" t="e">
        <f>IF(ISBLANK('Event summary'!#REF!),"",'Event summary'!#REF!)</f>
        <v>#REF!</v>
      </c>
      <c r="B274" s="115">
        <f>IF(ISBLANK('Event summary'!A274),"",'Event summary'!A274)</f>
        <v>274</v>
      </c>
      <c r="C274" s="115" t="str">
        <f>IF(ISBLANK('Event summary'!B274),"",'Event summary'!B274)</f>
        <v>תיעוד לא תקין</v>
      </c>
      <c r="D274" s="116" t="str">
        <f>IF(ISBLANK('Event summary'!C274),"",'Event summary'!C274)</f>
        <v>תיעוד לא תקין- נכתב מרשם באריה ללא הוספת מרשם קמליון.</v>
      </c>
      <c r="E274" s="116" t="str">
        <f>IF(ISBLANK('Event summary'!D274),"",'Event summary'!D274)</f>
        <v/>
      </c>
      <c r="F274" s="117" t="str">
        <f>IF(ISBLANK('Event summary'!E274),"",'Event summary'!E274)</f>
        <v/>
      </c>
    </row>
    <row r="275" spans="1:6" ht="42.75" x14ac:dyDescent="0.2">
      <c r="A275" s="114" t="e">
        <f>IF(ISBLANK('Event summary'!#REF!),"",'Event summary'!#REF!)</f>
        <v>#REF!</v>
      </c>
      <c r="B275" s="115">
        <f>IF(ISBLANK('Event summary'!A275),"",'Event summary'!A275)</f>
        <v>275</v>
      </c>
      <c r="C275" s="115" t="str">
        <f>IF(ISBLANK('Event summary'!B275),"",'Event summary'!B275)</f>
        <v>כמעט ניתן טיפול שגוי</v>
      </c>
      <c r="D275" s="116" t="str">
        <f>IF(ISBLANK('Event summary'!C275),"",'Event summary'!C275)</f>
        <v>כמעט מתן טיפול באופן שגוי - מטופלת עברה סימולציה לשד + ריאה ימין+דמאל. בתאריך 9/2/21 הוחלט לא לטפל ריאות. למרות זאת לא היה שינוי בתכנון.</v>
      </c>
      <c r="E275" s="116" t="str">
        <f>IF(ISBLANK('Event summary'!D275),"",'Event summary'!D275)</f>
        <v/>
      </c>
      <c r="F275" s="117" t="str">
        <f>IF(ISBLANK('Event summary'!E275),"",'Event summary'!E275)</f>
        <v/>
      </c>
    </row>
    <row r="276" spans="1:6" ht="30" x14ac:dyDescent="0.2">
      <c r="A276" s="114" t="e">
        <f>IF(ISBLANK('Event summary'!#REF!),"",'Event summary'!#REF!)</f>
        <v>#REF!</v>
      </c>
      <c r="B276" s="115">
        <f>IF(ISBLANK('Event summary'!A276),"",'Event summary'!A276)</f>
        <v>276</v>
      </c>
      <c r="C276" s="115" t="str">
        <f>IF(ISBLANK('Event summary'!B276),"",'Event summary'!B276)</f>
        <v>אי עמידה בזמנים</v>
      </c>
      <c r="D276" s="116" t="str">
        <f>IF(ISBLANK('Event summary'!C276),"",'Event summary'!C276)</f>
        <v>אי עמידה בזמנים - המטופל המתין לטיפול 5.5 שעות</v>
      </c>
      <c r="E276" s="116" t="str">
        <f>IF(ISBLANK('Event summary'!D276),"",'Event summary'!D276)</f>
        <v/>
      </c>
      <c r="F276" s="117" t="str">
        <f>IF(ISBLANK('Event summary'!E276),"",'Event summary'!E276)</f>
        <v/>
      </c>
    </row>
    <row r="277" spans="1:6" ht="57" x14ac:dyDescent="0.2">
      <c r="A277" s="114" t="e">
        <f>IF(ISBLANK('Event summary'!#REF!),"",'Event summary'!#REF!)</f>
        <v>#REF!</v>
      </c>
      <c r="B277" s="115">
        <f>IF(ISBLANK('Event summary'!A277),"",'Event summary'!A277)</f>
        <v>277</v>
      </c>
      <c r="C277" s="115" t="str">
        <f>IF(ISBLANK('Event summary'!B277),"",'Event summary'!B277)</f>
        <v>מתן טיפול באופן שגוי</v>
      </c>
      <c r="D277" s="116" t="str">
        <f>IF(ISBLANK('Event summary'!C277),"",'Event summary'!C277)</f>
        <v>מתן טיפול באופן שגוי - על 15/3 התקבלה הודעה מהמאיץ שמטופלת קבלה  באותו היום(3/3/21) את הפרקציה האחרון של הטיפול והפרקציה הראשון של הבוסט. השגיאה 'הדוזימטרית הכוללת לטיפול של כ3%</v>
      </c>
      <c r="E277" s="116" t="str">
        <f>IF(ISBLANK('Event summary'!D277),"",'Event summary'!D277)</f>
        <v/>
      </c>
      <c r="F277" s="117" t="str">
        <f>IF(ISBLANK('Event summary'!E277),"",'Event summary'!E277)</f>
        <v/>
      </c>
    </row>
    <row r="278" spans="1:6" ht="42.75" x14ac:dyDescent="0.2">
      <c r="A278" s="114" t="e">
        <f>IF(ISBLANK('Event summary'!#REF!),"",'Event summary'!#REF!)</f>
        <v>#REF!</v>
      </c>
      <c r="B278" s="115">
        <f>IF(ISBLANK('Event summary'!A278),"",'Event summary'!A278)</f>
        <v>278</v>
      </c>
      <c r="C278" s="115" t="str">
        <f>IF(ISBLANK('Event summary'!B278),"",'Event summary'!B278)</f>
        <v>כמעט ניתן טיפול שגוי</v>
      </c>
      <c r="D278" s="116" t="str">
        <f>IF(ISBLANK('Event summary'!C278),"",'Event summary'!C278)</f>
        <v xml:space="preserve">כמעט מתן טיפול באופן שגוי- מטופלת הוזמנה לטיפול ביום רביעי כאשר נתבקש על יד הרופא שתתחיל על יום ראשון, 5 ימים רצוף. </v>
      </c>
      <c r="E278" s="116" t="str">
        <f>IF(ISBLANK('Event summary'!D278),"",'Event summary'!D278)</f>
        <v/>
      </c>
      <c r="F278" s="117" t="str">
        <f>IF(ISBLANK('Event summary'!E278),"",'Event summary'!E278)</f>
        <v/>
      </c>
    </row>
    <row r="279" spans="1:6" ht="30" x14ac:dyDescent="0.2">
      <c r="A279" s="114" t="e">
        <f>IF(ISBLANK('Event summary'!#REF!),"",'Event summary'!#REF!)</f>
        <v>#REF!</v>
      </c>
      <c r="B279" s="115">
        <f>IF(ISBLANK('Event summary'!A279),"",'Event summary'!A279)</f>
        <v>279</v>
      </c>
      <c r="C279" s="115" t="str">
        <f>IF(ISBLANK('Event summary'!B279),"",'Event summary'!B279)</f>
        <v>כמעט ניתן טיפול שגוי</v>
      </c>
      <c r="D279" s="116" t="str">
        <f>IF(ISBLANK('Event summary'!C279),"",'Event summary'!C279)</f>
        <v>כמעט שגיאה במתן טיפול תרופתי - מטופלת קבלה מרשם לcalciless על בסיס בדיקות דם ישנות</v>
      </c>
      <c r="E279" s="116" t="str">
        <f>IF(ISBLANK('Event summary'!D279),"",'Event summary'!D279)</f>
        <v/>
      </c>
      <c r="F279" s="117" t="str">
        <f>IF(ISBLANK('Event summary'!E279),"",'Event summary'!E279)</f>
        <v/>
      </c>
    </row>
    <row r="280" spans="1:6" ht="28.5" x14ac:dyDescent="0.2">
      <c r="A280" s="114" t="e">
        <f>IF(ISBLANK('Event summary'!#REF!),"",'Event summary'!#REF!)</f>
        <v>#REF!</v>
      </c>
      <c r="B280" s="115">
        <f>IF(ISBLANK('Event summary'!A280),"",'Event summary'!A280)</f>
        <v>280</v>
      </c>
      <c r="C280" s="115" t="str">
        <f>IF(ISBLANK('Event summary'!B280),"",'Event summary'!B280)</f>
        <v>תיעוד לא תקין</v>
      </c>
      <c r="D280" s="116" t="str">
        <f>IF(ISBLANK('Event summary'!C280),"",'Event summary'!C280)</f>
        <v>תיעוד לא תקין - מסמכים של מטופל אחד סרוק בתיק של מטופל שני</v>
      </c>
      <c r="E280" s="116" t="str">
        <f>IF(ISBLANK('Event summary'!D280),"",'Event summary'!D280)</f>
        <v/>
      </c>
      <c r="F280" s="117" t="str">
        <f>IF(ISBLANK('Event summary'!E280),"",'Event summary'!E280)</f>
        <v/>
      </c>
    </row>
    <row r="281" spans="1:6" ht="57" x14ac:dyDescent="0.2">
      <c r="A281" s="114" t="e">
        <f>IF(ISBLANK('Event summary'!#REF!),"",'Event summary'!#REF!)</f>
        <v>#REF!</v>
      </c>
      <c r="B281" s="115">
        <f>IF(ISBLANK('Event summary'!A281),"",'Event summary'!A281)</f>
        <v>281</v>
      </c>
      <c r="C281" s="115" t="str">
        <f>IF(ISBLANK('Event summary'!B281),"",'Event summary'!B281)</f>
        <v>מתן טיפול שלא על פי הפרוטוקול</v>
      </c>
      <c r="D281" s="116" t="str">
        <f>IF(ISBLANK('Event summary'!C281),"",'Event summary'!C281)</f>
        <v>מתן טיפול שלא על פי הפרוטוקול - מטופל לא הצליח להכנס לתווח הDIBH .  בשיחה עם פיזיקאית הומלץ להוריד המטופל בתאום עם הרופא לתכנן מחדש.  למרות הנחיה המטופל קבל טיפול.</v>
      </c>
      <c r="E281" s="116" t="str">
        <f>IF(ISBLANK('Event summary'!D281),"",'Event summary'!D281)</f>
        <v/>
      </c>
      <c r="F281" s="117" t="str">
        <f>IF(ISBLANK('Event summary'!E281),"",'Event summary'!E281)</f>
        <v/>
      </c>
    </row>
    <row r="282" spans="1:6" ht="28.5" x14ac:dyDescent="0.2">
      <c r="A282" s="114" t="e">
        <f>IF(ISBLANK('Event summary'!#REF!),"",'Event summary'!#REF!)</f>
        <v>#REF!</v>
      </c>
      <c r="B282" s="115">
        <f>IF(ISBLANK('Event summary'!A282),"",'Event summary'!A282)</f>
        <v>282</v>
      </c>
      <c r="C282" s="115" t="str">
        <f>IF(ISBLANK('Event summary'!B282),"",'Event summary'!B282)</f>
        <v>תיעוד לא תקין</v>
      </c>
      <c r="D282" s="116" t="str">
        <f>IF(ISBLANK('Event summary'!C282),"",'Event summary'!C282)</f>
        <v>תיעוד לא תקין - חוסר התאמה בין רישום בקמליון לבין המכתב שהופק ממנו</v>
      </c>
      <c r="E282" s="116" t="str">
        <f>IF(ISBLANK('Event summary'!D282),"",'Event summary'!D282)</f>
        <v/>
      </c>
      <c r="F282" s="117" t="str">
        <f>IF(ISBLANK('Event summary'!E282),"",'Event summary'!E282)</f>
        <v/>
      </c>
    </row>
    <row r="283" spans="1:6" ht="28.5" x14ac:dyDescent="0.2">
      <c r="A283" s="114" t="e">
        <f>IF(ISBLANK('Event summary'!#REF!),"",'Event summary'!#REF!)</f>
        <v>#REF!</v>
      </c>
      <c r="B283" s="115">
        <f>IF(ISBLANK('Event summary'!A283),"",'Event summary'!A283)</f>
        <v>283</v>
      </c>
      <c r="C283" s="115" t="str">
        <f>IF(ISBLANK('Event summary'!B283),"",'Event summary'!B283)</f>
        <v>תיעוד לא תקין</v>
      </c>
      <c r="D283" s="116" t="str">
        <f>IF(ISBLANK('Event summary'!C283),"",'Event summary'!C283)</f>
        <v xml:space="preserve">תיעוד לא תקין - למטופל נפתחו 2 קורסים עבור 2 מוקדי טיפול.  פוטציאל לטעות תיכנון. </v>
      </c>
      <c r="E283" s="116" t="str">
        <f>IF(ISBLANK('Event summary'!D283),"",'Event summary'!D283)</f>
        <v/>
      </c>
      <c r="F283" s="117" t="str">
        <f>IF(ISBLANK('Event summary'!E283),"",'Event summary'!E283)</f>
        <v/>
      </c>
    </row>
    <row r="284" spans="1:6" ht="28.5" x14ac:dyDescent="0.2">
      <c r="A284" s="114" t="e">
        <f>IF(ISBLANK('Event summary'!#REF!),"",'Event summary'!#REF!)</f>
        <v>#REF!</v>
      </c>
      <c r="B284" s="115">
        <f>IF(ISBLANK('Event summary'!A284),"",'Event summary'!A284)</f>
        <v>284</v>
      </c>
      <c r="C284" s="115" t="str">
        <f>IF(ISBLANK('Event summary'!B284),"",'Event summary'!B284)</f>
        <v>תיעוד לא תקין</v>
      </c>
      <c r="D284" s="116" t="str">
        <f>IF(ISBLANK('Event summary'!C284),"",'Event summary'!C284)</f>
        <v>תיעוד לא תקין - carepath  שגוי של מומחה ולא מתמחה.  הגיע לפיזיקה לפני שהמומחה ראה המקרה.</v>
      </c>
      <c r="E284" s="116" t="str">
        <f>IF(ISBLANK('Event summary'!D284),"",'Event summary'!D284)</f>
        <v/>
      </c>
      <c r="F284" s="117" t="str">
        <f>IF(ISBLANK('Event summary'!E284),"",'Event summary'!E284)</f>
        <v/>
      </c>
    </row>
    <row r="285" spans="1:6" ht="28.5" x14ac:dyDescent="0.2">
      <c r="A285" s="114" t="e">
        <f>IF(ISBLANK('Event summary'!#REF!),"",'Event summary'!#REF!)</f>
        <v>#REF!</v>
      </c>
      <c r="B285" s="115">
        <f>IF(ISBLANK('Event summary'!A285),"",'Event summary'!A285)</f>
        <v>285</v>
      </c>
      <c r="C285" s="115" t="str">
        <f>IF(ISBLANK('Event summary'!B285),"",'Event summary'!B285)</f>
        <v>תקשורת לקויה</v>
      </c>
      <c r="D285" s="116" t="str">
        <f>IF(ISBLANK('Event summary'!C285),"",'Event summary'!C285)</f>
        <v>תקשורת לקויה - מקרה SBRT הוקדם מתאריך 30/3 ל18/3 סימולציה נעשתה על 7/3/21</v>
      </c>
      <c r="E285" s="116" t="str">
        <f>IF(ISBLANK('Event summary'!D285),"",'Event summary'!D285)</f>
        <v/>
      </c>
      <c r="F285" s="117" t="str">
        <f>IF(ISBLANK('Event summary'!E285),"",'Event summary'!E285)</f>
        <v/>
      </c>
    </row>
    <row r="286" spans="1:6" x14ac:dyDescent="0.2">
      <c r="A286" s="114" t="e">
        <f>IF(ISBLANK('Event summary'!#REF!),"",'Event summary'!#REF!)</f>
        <v>#REF!</v>
      </c>
      <c r="B286" s="115">
        <f>IF(ISBLANK('Event summary'!A286),"",'Event summary'!A286)</f>
        <v>286</v>
      </c>
      <c r="C286" s="115" t="str">
        <f>IF(ISBLANK('Event summary'!B286),"",'Event summary'!B286)</f>
        <v>סימון שגוי</v>
      </c>
      <c r="D286" s="116" t="str">
        <f>IF(ISBLANK('Event summary'!C286),"",'Event summary'!C286)</f>
        <v>סימון שגוי- שד שמאל BH ללא ציור הלב</v>
      </c>
      <c r="E286" s="116" t="str">
        <f>IF(ISBLANK('Event summary'!D286),"",'Event summary'!D286)</f>
        <v/>
      </c>
      <c r="F286" s="117" t="str">
        <f>IF(ISBLANK('Event summary'!E286),"",'Event summary'!E286)</f>
        <v/>
      </c>
    </row>
    <row r="287" spans="1:6" ht="45" x14ac:dyDescent="0.2">
      <c r="A287" s="114" t="e">
        <f>IF(ISBLANK('Event summary'!#REF!),"",'Event summary'!#REF!)</f>
        <v>#REF!</v>
      </c>
      <c r="B287" s="115">
        <f>IF(ISBLANK('Event summary'!A287),"",'Event summary'!A287)</f>
        <v>287</v>
      </c>
      <c r="C287" s="115" t="str">
        <f>IF(ISBLANK('Event summary'!B287),"",'Event summary'!B287)</f>
        <v>תיק ללא אישורים מספקים</v>
      </c>
      <c r="D287" s="116" t="str">
        <f>IF(ISBLANK('Event summary'!C287),"",'Event summary'!C287)</f>
        <v xml:space="preserve">תיק ללא אישורים מספקים - תיק הגיע לישיבת QA ללא חתימת רופא בכיר. </v>
      </c>
      <c r="E287" s="116" t="str">
        <f>IF(ISBLANK('Event summary'!D287),"",'Event summary'!D287)</f>
        <v/>
      </c>
      <c r="F287" s="117" t="str">
        <f>IF(ISBLANK('Event summary'!E287),"",'Event summary'!E287)</f>
        <v/>
      </c>
    </row>
    <row r="288" spans="1:6" ht="28.5" x14ac:dyDescent="0.2">
      <c r="A288" s="114" t="e">
        <f>IF(ISBLANK('Event summary'!#REF!),"",'Event summary'!#REF!)</f>
        <v>#REF!</v>
      </c>
      <c r="B288" s="115">
        <f>IF(ISBLANK('Event summary'!A288),"",'Event summary'!A288)</f>
        <v>288</v>
      </c>
      <c r="C288" s="115" t="str">
        <f>IF(ISBLANK('Event summary'!B288),"",'Event summary'!B288)</f>
        <v>תקשורת לקויה</v>
      </c>
      <c r="D288" s="116" t="str">
        <f>IF(ISBLANK('Event summary'!C288),"",'Event summary'!C288)</f>
        <v>תקשורת לקויה - מטופל לקרינה + כימו לא נכנס לביקורת רופא ואחות במהלך הטיפולים. לא קיבל תורים לאחות/רופא</v>
      </c>
      <c r="E288" s="116" t="str">
        <f>IF(ISBLANK('Event summary'!D288),"",'Event summary'!D288)</f>
        <v/>
      </c>
      <c r="F288" s="117" t="str">
        <f>IF(ISBLANK('Event summary'!E288),"",'Event summary'!E288)</f>
        <v/>
      </c>
    </row>
    <row r="289" spans="1:6" ht="28.5" x14ac:dyDescent="0.2">
      <c r="A289" s="114" t="e">
        <f>IF(ISBLANK('Event summary'!#REF!),"",'Event summary'!#REF!)</f>
        <v>#REF!</v>
      </c>
      <c r="B289" s="115">
        <f>IF(ISBLANK('Event summary'!A289),"",'Event summary'!A289)</f>
        <v>289</v>
      </c>
      <c r="C289" s="115" t="str">
        <f>IF(ISBLANK('Event summary'!B289),"",'Event summary'!B289)</f>
        <v>חבלה גופנית</v>
      </c>
      <c r="D289" s="116" t="str">
        <f>IF(ISBLANK('Event summary'!C289),"",'Event summary'!C289)</f>
        <v>חבלה גופנית - מטופל נחבל במלתחות בדרכו לטיפול. המטופל פונה למיון.</v>
      </c>
      <c r="E289" s="116" t="str">
        <f>IF(ISBLANK('Event summary'!D289),"",'Event summary'!D289)</f>
        <v/>
      </c>
      <c r="F289" s="117" t="str">
        <f>IF(ISBLANK('Event summary'!E289),"",'Event summary'!E289)</f>
        <v/>
      </c>
    </row>
    <row r="290" spans="1:6" ht="30" x14ac:dyDescent="0.2">
      <c r="A290" s="114" t="e">
        <f>IF(ISBLANK('Event summary'!#REF!),"",'Event summary'!#REF!)</f>
        <v>#REF!</v>
      </c>
      <c r="B290" s="115">
        <f>IF(ISBLANK('Event summary'!A290),"",'Event summary'!A290)</f>
        <v>290</v>
      </c>
      <c r="C290" s="115" t="str">
        <f>IF(ISBLANK('Event summary'!B290),"",'Event summary'!B290)</f>
        <v>כמעט ניתן טיפול שגוי</v>
      </c>
      <c r="D290" s="116" t="str">
        <f>IF(ISBLANK('Event summary'!C290),"",'Event summary'!C290)</f>
        <v>כמעט ניתן טיפול שגוי - מטופל הגיע לטיפול עם בולוס אישי. הבולוס לא היה מוכן ולא היתה הערת setup.</v>
      </c>
      <c r="E290" s="116" t="str">
        <f>IF(ISBLANK('Event summary'!D290),"",'Event summary'!D290)</f>
        <v/>
      </c>
      <c r="F290" s="117" t="str">
        <f>IF(ISBLANK('Event summary'!E290),"",'Event summary'!E290)</f>
        <v/>
      </c>
    </row>
    <row r="291" spans="1:6" ht="57" x14ac:dyDescent="0.2">
      <c r="A291" s="114" t="e">
        <f>IF(ISBLANK('Event summary'!#REF!),"",'Event summary'!#REF!)</f>
        <v>#REF!</v>
      </c>
      <c r="B291" s="115">
        <f>IF(ISBLANK('Event summary'!A291),"",'Event summary'!A291)</f>
        <v>291</v>
      </c>
      <c r="C291" s="115" t="str">
        <f>IF(ISBLANK('Event summary'!B291),"",'Event summary'!B291)</f>
        <v>מתן טיפול באופן שגוי</v>
      </c>
      <c r="D291" s="116" t="str">
        <f>IF(ISBLANK('Event summary'!C291),"",'Event summary'!C291)</f>
        <v>מתן טיפול באופן שגוי - מטופל עם בולוס אישי בתוך המסיכה. במרשם צויין בולוס 0.5cm בכל טיפול. הבולוס אבד ולא ידוע כמה טיפולים קיבל ללא בולוס כיוון שאין התראה לחתימה על בולוס. קיבל 24 פרקציות עד כתיבת הדו"ח.</v>
      </c>
      <c r="E291" s="116" t="str">
        <f>IF(ISBLANK('Event summary'!D291),"",'Event summary'!D291)</f>
        <v/>
      </c>
      <c r="F291" s="117" t="str">
        <f>IF(ISBLANK('Event summary'!E291),"",'Event summary'!E291)</f>
        <v/>
      </c>
    </row>
    <row r="292" spans="1:6" ht="30" x14ac:dyDescent="0.2">
      <c r="A292" s="114" t="e">
        <f>IF(ISBLANK('Event summary'!#REF!),"",'Event summary'!#REF!)</f>
        <v>#REF!</v>
      </c>
      <c r="B292" s="115">
        <f>IF(ISBLANK('Event summary'!A292),"",'Event summary'!A292)</f>
        <v>292</v>
      </c>
      <c r="C292" s="115" t="str">
        <f>IF(ISBLANK('Event summary'!B292),"",'Event summary'!B292)</f>
        <v>שגיאה בזיהוי מטופל</v>
      </c>
      <c r="D292" s="116" t="str">
        <f>IF(ISBLANK('Event summary'!C292),"",'Event summary'!C292)</f>
        <v>שגיאה בזיהוי מטופל - מטופלת קיבלה זימון וטופס 17 לסימולציה על שם מטופלת אחרת.</v>
      </c>
      <c r="E292" s="116" t="str">
        <f>IF(ISBLANK('Event summary'!D292),"",'Event summary'!D292)</f>
        <v/>
      </c>
      <c r="F292" s="117" t="str">
        <f>IF(ISBLANK('Event summary'!E292),"",'Event summary'!E292)</f>
        <v/>
      </c>
    </row>
    <row r="293" spans="1:6" ht="42.75" x14ac:dyDescent="0.2">
      <c r="A293" s="114" t="e">
        <f>IF(ISBLANK('Event summary'!#REF!),"",'Event summary'!#REF!)</f>
        <v>#REF!</v>
      </c>
      <c r="B293" s="115">
        <f>IF(ISBLANK('Event summary'!A293),"",'Event summary'!A293)</f>
        <v>293</v>
      </c>
      <c r="C293" s="115" t="str">
        <f>IF(ISBLANK('Event summary'!B293),"",'Event summary'!B293)</f>
        <v>תקשורת לקויה</v>
      </c>
      <c r="D293" s="116" t="str">
        <f>IF(ISBLANK('Event summary'!C293),"",'Event summary'!C293)</f>
        <v>תקשורת לקויה - מטופלת שד ידעה על 16 טיפולים + בוסט כאשר בפועל תוכננה ל- 25 טיפולים +בוסט. בנוסף, תיעוד לא עקבי בין קמליון לאריה.</v>
      </c>
      <c r="E293" s="116" t="str">
        <f>IF(ISBLANK('Event summary'!D293),"",'Event summary'!D293)</f>
        <v/>
      </c>
      <c r="F293" s="117" t="str">
        <f>IF(ISBLANK('Event summary'!E293),"",'Event summary'!E293)</f>
        <v/>
      </c>
    </row>
    <row r="294" spans="1:6" ht="42.75" x14ac:dyDescent="0.2">
      <c r="A294" s="114" t="e">
        <f>IF(ISBLANK('Event summary'!#REF!),"",'Event summary'!#REF!)</f>
        <v>#REF!</v>
      </c>
      <c r="B294" s="115">
        <f>IF(ISBLANK('Event summary'!A294),"",'Event summary'!A294)</f>
        <v>294</v>
      </c>
      <c r="C294" s="115" t="str">
        <f>IF(ISBLANK('Event summary'!B294),"",'Event summary'!B294)</f>
        <v>מתן טיפול באופן שגוי</v>
      </c>
      <c r="D294" s="116" t="str">
        <f>IF(ISBLANK('Event summary'!C294),"",'Event summary'!C294)</f>
        <v>מתן טיפול באופן שגוי - מטופל קונטקט קיבל 2 טיפולים במנה שגויה במקום 5Gy קיבל 1.6Gy לפרקציה. המטופל קיבל השלמה לשארית הטיפולים.</v>
      </c>
      <c r="E294" s="116" t="str">
        <f>IF(ISBLANK('Event summary'!D294),"",'Event summary'!D294)</f>
        <v/>
      </c>
      <c r="F294" s="117" t="str">
        <f>IF(ISBLANK('Event summary'!E294),"",'Event summary'!E294)</f>
        <v/>
      </c>
    </row>
    <row r="295" spans="1:6" ht="28.5" x14ac:dyDescent="0.2">
      <c r="A295" s="114" t="e">
        <f>IF(ISBLANK('Event summary'!#REF!),"",'Event summary'!#REF!)</f>
        <v>#REF!</v>
      </c>
      <c r="B295" s="115">
        <f>IF(ISBLANK('Event summary'!A295),"",'Event summary'!A295)</f>
        <v>295</v>
      </c>
      <c r="C295" s="115" t="str">
        <f>IF(ISBLANK('Event summary'!B295),"",'Event summary'!B295)</f>
        <v>תיעוד לא תקין</v>
      </c>
      <c r="D295" s="116" t="str">
        <f>IF(ISBLANK('Event summary'!C295),"",'Event summary'!C295)</f>
        <v>תיעוד לא תקין -  שם המרשם בקמליון ללא צד. הטיפול SBRT לצד ימין.</v>
      </c>
      <c r="E295" s="116" t="str">
        <f>IF(ISBLANK('Event summary'!D295),"",'Event summary'!D295)</f>
        <v/>
      </c>
      <c r="F295" s="117" t="str">
        <f>IF(ISBLANK('Event summary'!E295),"",'Event summary'!E295)</f>
        <v/>
      </c>
    </row>
    <row r="296" spans="1:6" ht="30" x14ac:dyDescent="0.2">
      <c r="A296" s="114" t="e">
        <f>IF(ISBLANK('Event summary'!#REF!),"",'Event summary'!#REF!)</f>
        <v>#REF!</v>
      </c>
      <c r="B296" s="115">
        <f>IF(ISBLANK('Event summary'!A296),"",'Event summary'!A296)</f>
        <v>296</v>
      </c>
      <c r="C296" s="115" t="str">
        <f>IF(ISBLANK('Event summary'!B296),"",'Event summary'!B296)</f>
        <v>מיקום לא ניתן לשחזור</v>
      </c>
      <c r="D296" s="116" t="str">
        <f>IF(ISBLANK('Event summary'!C296),"",'Event summary'!C296)</f>
        <v>מיקום לא ניתן לשחזור - מיקום של BB מתחת למנג'טה כך שקיימת אי וודאות בגודל ההזזות למטופל.</v>
      </c>
      <c r="E296" s="116" t="str">
        <f>IF(ISBLANK('Event summary'!D296),"",'Event summary'!D296)</f>
        <v/>
      </c>
      <c r="F296" s="117" t="str">
        <f>IF(ISBLANK('Event summary'!E296),"",'Event summary'!E296)</f>
        <v/>
      </c>
    </row>
    <row r="297" spans="1:6" ht="57" x14ac:dyDescent="0.2">
      <c r="A297" s="114" t="e">
        <f>IF(ISBLANK('Event summary'!#REF!),"",'Event summary'!#REF!)</f>
        <v>#REF!</v>
      </c>
      <c r="B297" s="115">
        <f>IF(ISBLANK('Event summary'!A297),"",'Event summary'!A297)</f>
        <v>297</v>
      </c>
      <c r="C297" s="115" t="str">
        <f>IF(ISBLANK('Event summary'!B297),"",'Event summary'!B297)</f>
        <v>תיעוד לא תקין</v>
      </c>
      <c r="D297" s="116" t="str">
        <f>IF(ISBLANK('Event summary'!C297),"",'Event summary'!C297)</f>
        <v>תיעוד לא תקין  -  עקב רישום שגוי של הזזות, בוצעו שתי סריקות CBCT. בנוסף, עקב תקשורת לקויה בין הצוותים המידע לא הועבר הלאה ובוצעו שתי סריקות CBCT גם בפרציה הבאה.</v>
      </c>
      <c r="E297" s="116" t="str">
        <f>IF(ISBLANK('Event summary'!D297),"",'Event summary'!D297)</f>
        <v/>
      </c>
      <c r="F297" s="117" t="str">
        <f>IF(ISBLANK('Event summary'!E297),"",'Event summary'!E297)</f>
        <v/>
      </c>
    </row>
    <row r="298" spans="1:6" ht="30" x14ac:dyDescent="0.2">
      <c r="A298" s="114" t="e">
        <f>IF(ISBLANK('Event summary'!#REF!),"",'Event summary'!#REF!)</f>
        <v>#REF!</v>
      </c>
      <c r="B298" s="115">
        <f>IF(ISBLANK('Event summary'!A298),"",'Event summary'!A298)</f>
        <v>298</v>
      </c>
      <c r="C298" s="115" t="str">
        <f>IF(ISBLANK('Event summary'!B298),"",'Event summary'!B298)</f>
        <v>זימון תור לא מספק</v>
      </c>
      <c r="D298" s="116" t="str">
        <f>IF(ISBLANK('Event summary'!C298),"",'Event summary'!C298)</f>
        <v>זימון תור לא מספק - מטופלת לא קיבלה תורים לאחות קרינה לכן לא קיבלה טיפול לפצע יכל היה לגרום לסיבוכים.</v>
      </c>
      <c r="E298" s="116" t="str">
        <f>IF(ISBLANK('Event summary'!D298),"",'Event summary'!D298)</f>
        <v/>
      </c>
      <c r="F298" s="117" t="str">
        <f>IF(ISBLANK('Event summary'!E298),"",'Event summary'!E298)</f>
        <v/>
      </c>
    </row>
    <row r="299" spans="1:6" ht="30" x14ac:dyDescent="0.2">
      <c r="A299" s="114" t="e">
        <f>IF(ISBLANK('Event summary'!#REF!),"",'Event summary'!#REF!)</f>
        <v>#REF!</v>
      </c>
      <c r="B299" s="115">
        <f>IF(ISBLANK('Event summary'!A299),"",'Event summary'!A299)</f>
        <v>299</v>
      </c>
      <c r="C299" s="115" t="str">
        <f>IF(ISBLANK('Event summary'!B299),"",'Event summary'!B299)</f>
        <v>זימון תור לא מספק</v>
      </c>
      <c r="D299" s="116" t="str">
        <f>IF(ISBLANK('Event summary'!C299),"",'Event summary'!C299)</f>
        <v>זימון תור לא מספק - מטופלת לא קיבלה תורים לאחות קרינה לכן לא קיבלה טיפול נכון לאיזון כאבים.</v>
      </c>
      <c r="E299" s="116" t="str">
        <f>IF(ISBLANK('Event summary'!D299),"",'Event summary'!D299)</f>
        <v/>
      </c>
      <c r="F299" s="117" t="str">
        <f>IF(ISBLANK('Event summary'!E299),"",'Event summary'!E299)</f>
        <v/>
      </c>
    </row>
    <row r="300" spans="1:6" ht="42.75" x14ac:dyDescent="0.2">
      <c r="A300" s="114" t="e">
        <f>IF(ISBLANK('Event summary'!#REF!),"",'Event summary'!#REF!)</f>
        <v>#REF!</v>
      </c>
      <c r="B300" s="115">
        <f>IF(ISBLANK('Event summary'!A300),"",'Event summary'!A300)</f>
        <v>300</v>
      </c>
      <c r="C300" s="115" t="str">
        <f>IF(ISBLANK('Event summary'!B300),"",'Event summary'!B300)</f>
        <v>תיעוד לא תקין</v>
      </c>
      <c r="D300" s="116" t="str">
        <f>IF(ISBLANK('Event summary'!C300),"",'Event summary'!C300)</f>
        <v>תיעוד לא תקין - במהלך הטיפול השני נתגלה ששם התכנית Rt Lung עבור טיפול לצד שמאל. השגיאה הינה בשם התכנית ולא בתכנון.</v>
      </c>
      <c r="E300" s="116" t="str">
        <f>IF(ISBLANK('Event summary'!D300),"",'Event summary'!D300)</f>
        <v/>
      </c>
      <c r="F300" s="117" t="str">
        <f>IF(ISBLANK('Event summary'!E300),"",'Event summary'!E300)</f>
        <v/>
      </c>
    </row>
    <row r="301" spans="1:6" ht="30" x14ac:dyDescent="0.2">
      <c r="A301" s="114" t="e">
        <f>IF(ISBLANK('Event summary'!#REF!),"",'Event summary'!#REF!)</f>
        <v>#REF!</v>
      </c>
      <c r="B301" s="115">
        <f>IF(ISBLANK('Event summary'!A301),"",'Event summary'!A301)</f>
        <v>301</v>
      </c>
      <c r="C301" s="115" t="str">
        <f>IF(ISBLANK('Event summary'!B301),"",'Event summary'!B301)</f>
        <v>זימון תור לא מספק</v>
      </c>
      <c r="D301" s="116" t="str">
        <f>IF(ISBLANK('Event summary'!C301),"",'Event summary'!C301)</f>
        <v>זימון תור לא מספק - למטופל לא נפתח ביקור רופא לפני זימון לסימולציה.</v>
      </c>
      <c r="E301" s="116" t="str">
        <f>IF(ISBLANK('Event summary'!D301),"",'Event summary'!D301)</f>
        <v/>
      </c>
      <c r="F301" s="117" t="str">
        <f>IF(ISBLANK('Event summary'!E301),"",'Event summary'!E301)</f>
        <v/>
      </c>
    </row>
    <row r="302" spans="1:6" ht="42.75" x14ac:dyDescent="0.2">
      <c r="A302" s="114" t="e">
        <f>IF(ISBLANK('Event summary'!#REF!),"",'Event summary'!#REF!)</f>
        <v>#REF!</v>
      </c>
      <c r="B302" s="115">
        <f>IF(ISBLANK('Event summary'!A302),"",'Event summary'!A302)</f>
        <v>302</v>
      </c>
      <c r="C302" s="115" t="str">
        <f>IF(ISBLANK('Event summary'!B302),"",'Event summary'!B302)</f>
        <v>תיעוד לא תקין</v>
      </c>
      <c r="D302" s="116" t="str">
        <f>IF(ISBLANK('Event summary'!C302),"",'Event summary'!C302)</f>
        <v>תיעוד לא תקין - מטופלת הציגה אישור מקרדיולוג שאינו מפורט מספיק לצורך מתן הטיפול. בנוסף, לא היה תיעוד על קיום קוצב לב.</v>
      </c>
      <c r="E302" s="116" t="str">
        <f>IF(ISBLANK('Event summary'!D302),"",'Event summary'!D302)</f>
        <v/>
      </c>
      <c r="F302" s="117" t="str">
        <f>IF(ISBLANK('Event summary'!E302),"",'Event summary'!E302)</f>
        <v/>
      </c>
    </row>
    <row r="303" spans="1:6" ht="30" x14ac:dyDescent="0.2">
      <c r="A303" s="114" t="e">
        <f>IF(ISBLANK('Event summary'!#REF!),"",'Event summary'!#REF!)</f>
        <v>#REF!</v>
      </c>
      <c r="B303" s="115">
        <f>IF(ISBLANK('Event summary'!A303),"",'Event summary'!A303)</f>
        <v>303</v>
      </c>
      <c r="C303" s="115" t="str">
        <f>IF(ISBLANK('Event summary'!B303),"",'Event summary'!B303)</f>
        <v>זימון תור לא מספק</v>
      </c>
      <c r="D303" s="116" t="str">
        <f>IF(ISBLANK('Event summary'!C303),"",'Event summary'!C303)</f>
        <v>זימון תור לא מספק - מטופלת הגיע לסוף ההקרנות ללא ביקור אצל אחות. לא קיבלה טיפול מתאים לפצע.</v>
      </c>
      <c r="E303" s="116" t="str">
        <f>IF(ISBLANK('Event summary'!D303),"",'Event summary'!D303)</f>
        <v/>
      </c>
      <c r="F303" s="117" t="str">
        <f>IF(ISBLANK('Event summary'!E303),"",'Event summary'!E303)</f>
        <v/>
      </c>
    </row>
    <row r="304" spans="1:6" ht="57" x14ac:dyDescent="0.2">
      <c r="A304" s="114" t="e">
        <f>IF(ISBLANK('Event summary'!#REF!),"",'Event summary'!#REF!)</f>
        <v>#REF!</v>
      </c>
      <c r="B304" s="115">
        <f>IF(ISBLANK('Event summary'!A304),"",'Event summary'!A304)</f>
        <v>304</v>
      </c>
      <c r="C304" s="115" t="str">
        <f>IF(ISBLANK('Event summary'!B304),"",'Event summary'!B304)</f>
        <v>תיעוד לא תקין</v>
      </c>
      <c r="D304" s="116" t="str">
        <f>IF(ISBLANK('Event summary'!C304),"",'Event summary'!C304)</f>
        <v>תיעוד לא תקין -  מטופל SRT מנה של 5Gy x 5, בקמליון כתוב 3 פעמים בשבוע. באריה 5 פעמים בשבוע.  המטופל קבל 5 פעמים בשבוע.</v>
      </c>
      <c r="E304" s="116" t="str">
        <f>IF(ISBLANK('Event summary'!D304),"",'Event summary'!D304)</f>
        <v>רופאים יוודאו התאמה בין המרשמים בקמליון ובאריה. בשלב אישור התכנית יעדכן הרופא את הקמליון אם קיים צורך. פיזיקאי מתכנן יפתח את המרשם המלא באריה ויבדוק גם שהתדירות תואמת את הטיפול.</v>
      </c>
      <c r="F304" s="117" t="str">
        <f>IF(ISBLANK('Event summary'!E304),"",'Event summary'!E304)</f>
        <v/>
      </c>
    </row>
    <row r="305" spans="1:6" ht="57" x14ac:dyDescent="0.2">
      <c r="A305" s="114" t="e">
        <f>IF(ISBLANK('Event summary'!#REF!),"",'Event summary'!#REF!)</f>
        <v>#REF!</v>
      </c>
      <c r="B305" s="115">
        <f>IF(ISBLANK('Event summary'!A305),"",'Event summary'!A305)</f>
        <v>305</v>
      </c>
      <c r="C305" s="115" t="str">
        <f>IF(ISBLANK('Event summary'!B305),"",'Event summary'!B305)</f>
        <v>תיעוד לא תקין</v>
      </c>
      <c r="D305" s="116" t="str">
        <f>IF(ISBLANK('Event summary'!C305),"",'Event summary'!C305)</f>
        <v>תיעוד לא תקין - אי התאמה בין המנה שרשומה בקמליון  18Gy x 1 לבין המרשם באריה 20Gy x 1.</v>
      </c>
      <c r="E305" s="116" t="str">
        <f>IF(ISBLANK('Event summary'!D305),"",'Event summary'!D305)</f>
        <v>רופאים יוודאו התאמה בין המרשמים בקמליון ובאריה. בשלב אישור התכנית יעדכן הרופא את הקמליון אם קיים צורך. פיזיקאי מתכנן יפתח את המרשם המלא באריה ויבדוק גם שהתדירות תואמת את הטיפול.</v>
      </c>
      <c r="F305" s="117" t="str">
        <f>IF(ISBLANK('Event summary'!E305),"",'Event summary'!E305)</f>
        <v/>
      </c>
    </row>
    <row r="306" spans="1:6" ht="30" x14ac:dyDescent="0.2">
      <c r="A306" s="114" t="e">
        <f>IF(ISBLANK('Event summary'!#REF!),"",'Event summary'!#REF!)</f>
        <v>#REF!</v>
      </c>
      <c r="B306" s="115">
        <f>IF(ISBLANK('Event summary'!A306),"",'Event summary'!A306)</f>
        <v>306</v>
      </c>
      <c r="C306" s="115" t="str">
        <f>IF(ISBLANK('Event summary'!B306),"",'Event summary'!B306)</f>
        <v>סריקה לא תקינה</v>
      </c>
      <c r="D306" s="116" t="str">
        <f>IF(ISBLANK('Event summary'!C306),"",'Event summary'!C306)</f>
        <v>סריקה לא תקינה- סימון נגמר בחתך האחרון של הCT. הרופא אישר את התוכנית.</v>
      </c>
      <c r="E306" s="116" t="str">
        <f>IF(ISBLANK('Event summary'!D306),"",'Event summary'!D306)</f>
        <v xml:space="preserve"> ישנו תהליך חדש בו מגדירים את גבולות הסריקה. תתבצע בחינה של היישום.</v>
      </c>
      <c r="F306" s="117" t="str">
        <f>IF(ISBLANK('Event summary'!E306),"",'Event summary'!E306)</f>
        <v/>
      </c>
    </row>
    <row r="307" spans="1:6" ht="30" x14ac:dyDescent="0.2">
      <c r="A307" s="114" t="e">
        <f>IF(ISBLANK('Event summary'!#REF!),"",'Event summary'!#REF!)</f>
        <v>#REF!</v>
      </c>
      <c r="B307" s="115">
        <f>IF(ISBLANK('Event summary'!A307),"",'Event summary'!A307)</f>
        <v>307</v>
      </c>
      <c r="C307" s="115" t="str">
        <f>IF(ISBLANK('Event summary'!B307),"",'Event summary'!B307)</f>
        <v>סריקה לא תקינה</v>
      </c>
      <c r="D307" s="116" t="str">
        <f>IF(ISBLANK('Event summary'!C307),"",'Event summary'!C307)</f>
        <v>סריקה לא תקינה- סימון נגמר בחתך האחרון של הCT. הרופא אישר את התוכנית.</v>
      </c>
      <c r="E307" s="116" t="str">
        <f>IF(ISBLANK('Event summary'!D307),"",'Event summary'!D307)</f>
        <v>ישנו תהליך חדש בו מגדירים את גבולות הסריקה. תתבצע בחינה של היישום.</v>
      </c>
      <c r="F307" s="117" t="str">
        <f>IF(ISBLANK('Event summary'!E307),"",'Event summary'!E307)</f>
        <v/>
      </c>
    </row>
    <row r="308" spans="1:6" ht="71.25" x14ac:dyDescent="0.2">
      <c r="A308" s="114" t="e">
        <f>IF(ISBLANK('Event summary'!#REF!),"",'Event summary'!#REF!)</f>
        <v>#REF!</v>
      </c>
      <c r="B308" s="115">
        <f>IF(ISBLANK('Event summary'!A308),"",'Event summary'!A308)</f>
        <v>308</v>
      </c>
      <c r="C308" s="115" t="str">
        <f>IF(ISBLANK('Event summary'!B308),"",'Event summary'!B308)</f>
        <v>תיעוד לא תקין</v>
      </c>
      <c r="D308" s="116" t="str">
        <f>IF(ISBLANK('Event summary'!C308),"",'Event summary'!C308)</f>
        <v xml:space="preserve">תיעוד לא תקין - מטופל הגיע ולא היה מרשם כתוב. הרופא נתן הוראות בעל פה. </v>
      </c>
      <c r="E308" s="116" t="str">
        <f>IF(ISBLANK('Event summary'!D308),"",'Event summary'!D308)</f>
        <v>לא יקבלו הוראות בע"פ. כל מרשם באריה יהיה מלווה במרשם קמליון תואם. יהיה העתק של המרשם מהקמליון במרשם אריה. אי ביצוע ההנחיה תעצור את תכנון התיק והטיפול ידחה בהתאם.דחיית טיפולים תעשה ע"י הרופא המטפל. במידה ויהיה סירוב לדחות את התיק ידווח המקרה לד"ר אלון.</v>
      </c>
      <c r="F308" s="117" t="str">
        <f>IF(ISBLANK('Event summary'!E308),"",'Event summary'!E308)</f>
        <v/>
      </c>
    </row>
    <row r="309" spans="1:6" ht="71.25" x14ac:dyDescent="0.2">
      <c r="A309" s="114" t="e">
        <f>IF(ISBLANK('Event summary'!#REF!),"",'Event summary'!#REF!)</f>
        <v>#REF!</v>
      </c>
      <c r="B309" s="115">
        <f>IF(ISBLANK('Event summary'!A309),"",'Event summary'!A309)</f>
        <v>309</v>
      </c>
      <c r="C309" s="115" t="str">
        <f>IF(ISBLANK('Event summary'!B309),"",'Event summary'!B309)</f>
        <v>מתן טיפול בהיעדר מרשם</v>
      </c>
      <c r="D309" s="116" t="str">
        <f>IF(ISBLANK('Event summary'!C309),"",'Event summary'!C309)</f>
        <v>מתן טיפול בהיעדר מרשם - תיק תוכנן ללא מרשם בקמליון</v>
      </c>
      <c r="E309" s="116" t="str">
        <f>IF(ISBLANK('Event summary'!D309),"",'Event summary'!D309)</f>
        <v>לא יקבלו הוראות בע"פ. כל מרשם באריה יהיה מלווה במרשם קמליון תואם. יהיה העתק של המרשם מהקמליון במרשם אריה. אי ביצוע ההנחיה תעצור את תכנון התיק והטיפול ידחה בהתאם.דחיית טיפולים תעשה ע"י הרופא המטפל. במידה ויהיה סירוב לדחות את התיק ידווח המקרה לד"ר אלון.</v>
      </c>
      <c r="F309" s="117" t="str">
        <f>IF(ISBLANK('Event summary'!E309),"",'Event summary'!E309)</f>
        <v/>
      </c>
    </row>
    <row r="310" spans="1:6" ht="71.25" x14ac:dyDescent="0.2">
      <c r="A310" s="114" t="e">
        <f>IF(ISBLANK('Event summary'!#REF!),"",'Event summary'!#REF!)</f>
        <v>#REF!</v>
      </c>
      <c r="B310" s="115">
        <f>IF(ISBLANK('Event summary'!A310),"",'Event summary'!A310)</f>
        <v>310</v>
      </c>
      <c r="C310" s="115" t="str">
        <f>IF(ISBLANK('Event summary'!B310),"",'Event summary'!B310)</f>
        <v>מתן טיפול בהיעדר מרשם</v>
      </c>
      <c r="D310" s="116" t="str">
        <f>IF(ISBLANK('Event summary'!C310),"",'Event summary'!C310)</f>
        <v>מתן טיפול בהיעדר מרשם - תיק תוכנן ללא מרשם בקמליון</v>
      </c>
      <c r="E310" s="116" t="str">
        <f>IF(ISBLANK('Event summary'!D310),"",'Event summary'!D310)</f>
        <v>לא יקבלו הוראות בע"פ. כל מרשם באריה יהיה מלווה במרשם קמליון תואם. יהיה העתק של המרשם מהקמליון במרשם אריה. אי ביצוע ההנחיה תעצור את תכנון התיק והטיפול ידחה בהתאם.דחיית טיפולים תעשה ע"י הרופא המטפל. במידה ויהיה סירוב לדחות את התיק ידווח המקרה לד"ר אלון.</v>
      </c>
      <c r="F310" s="117" t="str">
        <f>IF(ISBLANK('Event summary'!E310),"",'Event summary'!E310)</f>
        <v/>
      </c>
    </row>
    <row r="311" spans="1:6" ht="42.75" x14ac:dyDescent="0.2">
      <c r="A311" s="114" t="e">
        <f>IF(ISBLANK('Event summary'!#REF!),"",'Event summary'!#REF!)</f>
        <v>#REF!</v>
      </c>
      <c r="B311" s="115">
        <f>IF(ISBLANK('Event summary'!A311),"",'Event summary'!A311)</f>
        <v>311</v>
      </c>
      <c r="C311" s="115" t="str">
        <f>IF(ISBLANK('Event summary'!B311),"",'Event summary'!B311)</f>
        <v>שגיאה בזיהוי מטופל</v>
      </c>
      <c r="D311" s="116" t="str">
        <f>IF(ISBLANK('Event summary'!C311),"",'Event summary'!C311)</f>
        <v>שגיאה בזיהוי מטופל - מטופל נסרק תחת שם של מטופל אחר.  בוצעה סריקה נוספת תחת השם הנכון.</v>
      </c>
      <c r="E311" s="116" t="str">
        <f>IF(ISBLANK('Event summary'!D311),"",'Event summary'!D311)</f>
        <v>יבוצע זיהו מטופל ע"פ נוהל זיהוי מטופל. בשני אמצעים שונים. זיהוי המטופל יעשה גם ע"י הרנטגנאי שבקונסולה. חל איסור להעלות מטופל על בסיס מדבקות בלבד.</v>
      </c>
      <c r="F311" s="117" t="str">
        <f>IF(ISBLANK('Event summary'!E311),"",'Event summary'!E311)</f>
        <v/>
      </c>
    </row>
    <row r="312" spans="1:6" ht="30" x14ac:dyDescent="0.2">
      <c r="A312" s="114" t="e">
        <f>IF(ISBLANK('Event summary'!#REF!),"",'Event summary'!#REF!)</f>
        <v>#REF!</v>
      </c>
      <c r="B312" s="115">
        <f>IF(ISBLANK('Event summary'!A312),"",'Event summary'!A312)</f>
        <v>312</v>
      </c>
      <c r="C312" s="115" t="str">
        <f>IF(ISBLANK('Event summary'!B312),"",'Event summary'!B312)</f>
        <v>סריקה לא תקינה</v>
      </c>
      <c r="D312" s="116" t="str">
        <f>IF(ISBLANK('Event summary'!C312),"",'Event summary'!C312)</f>
        <v>סריקה לא תקינה - מקרה SBRT בכבד עם סריקה חלקית של הכבד למרות הנחיה של הרופא לביצוע הסריקה.</v>
      </c>
      <c r="E312" s="116" t="str">
        <f>IF(ISBLANK('Event summary'!D312),"",'Event summary'!D312)</f>
        <v>ישנו תהליך חדש בו מגדירים את גבולות הסריקה. תתבצע בחינה של היישום.</v>
      </c>
      <c r="F312" s="117" t="str">
        <f>IF(ISBLANK('Event summary'!E312),"",'Event summary'!E312)</f>
        <v/>
      </c>
    </row>
    <row r="313" spans="1:6" ht="42.75" x14ac:dyDescent="0.2">
      <c r="A313" s="114" t="e">
        <f>IF(ISBLANK('Event summary'!#REF!),"",'Event summary'!#REF!)</f>
        <v>#REF!</v>
      </c>
      <c r="B313" s="115">
        <f>IF(ISBLANK('Event summary'!A313),"",'Event summary'!A313)</f>
        <v>313</v>
      </c>
      <c r="C313" s="115" t="str">
        <f>IF(ISBLANK('Event summary'!B313),"",'Event summary'!B313)</f>
        <v>תיעוד לא תקין</v>
      </c>
      <c r="D313" s="116" t="str">
        <f>IF(ISBLANK('Event summary'!C313),"",'Event summary'!C313)</f>
        <v>תיעוד לא תקין - בפרוטוקול של הקמליון המנה 24Gy חד פעמי. במרשם של אריה ה- PTV ל- 24Gy וה- GTV ל-  29Gy. מה צריך להיות כתוב ואיך?</v>
      </c>
      <c r="E313" s="116" t="str">
        <f>IF(ISBLANK('Event summary'!D313),"",'Event summary'!D313)</f>
        <v xml:space="preserve">המרשם של הקמליון צריך להתאים למנה של ה- PTV. </v>
      </c>
      <c r="F313" s="117" t="str">
        <f>IF(ISBLANK('Event summary'!E313),"",'Event summary'!E313)</f>
        <v/>
      </c>
    </row>
    <row r="314" spans="1:6" ht="30" x14ac:dyDescent="0.2">
      <c r="A314" s="114" t="e">
        <f>IF(ISBLANK('Event summary'!#REF!),"",'Event summary'!#REF!)</f>
        <v>#REF!</v>
      </c>
      <c r="B314" s="115">
        <f>IF(ISBLANK('Event summary'!A314),"",'Event summary'!A314)</f>
        <v>314</v>
      </c>
      <c r="C314" s="115" t="str">
        <f>IF(ISBLANK('Event summary'!B314),"",'Event summary'!B314)</f>
        <v>אי עמידה בזמנים</v>
      </c>
      <c r="D314" s="116" t="str">
        <f>IF(ISBLANK('Event summary'!C314),"",'Event summary'!C314)</f>
        <v>חוסר זמינות של רופאים לקבלת מטופלים דחופים ואישור התכנונים שלהם.</v>
      </c>
      <c r="E314" s="116" t="str">
        <f>IF(ISBLANK('Event summary'!D314),"",'Event summary'!D314)</f>
        <v>יש לבצע מעקב על QFlow עבור מטופלים דחופים</v>
      </c>
      <c r="F314" s="117" t="str">
        <f>IF(ISBLANK('Event summary'!E314),"",'Event summary'!E314)</f>
        <v/>
      </c>
    </row>
    <row r="315" spans="1:6" ht="42.75" x14ac:dyDescent="0.2">
      <c r="A315" s="114" t="e">
        <f>IF(ISBLANK('Event summary'!#REF!),"",'Event summary'!#REF!)</f>
        <v>#REF!</v>
      </c>
      <c r="B315" s="115">
        <f>IF(ISBLANK('Event summary'!A315),"",'Event summary'!A315)</f>
        <v>315</v>
      </c>
      <c r="C315" s="115" t="str">
        <f>IF(ISBLANK('Event summary'!B315),"",'Event summary'!B315)</f>
        <v>תיעוד לא תקין</v>
      </c>
      <c r="D315" s="116" t="str">
        <f>IF(ISBLANK('Event summary'!C315),"",'Event summary'!C315)</f>
        <v>תיעוד לא תקין - בפרוטוקול של הקמליון המנה 7Gyx5=35Gy. במרשם של אריה ה- PTV ל- 7Gyx5=35Gy וה- GTV ל-  7.5Gyx5=37.5Gy. מה צריך להיות כתוב ואיך?</v>
      </c>
      <c r="E315" s="116" t="str">
        <f>IF(ISBLANK('Event summary'!D315),"",'Event summary'!D315)</f>
        <v xml:space="preserve">המרשם של הקמליון צריך להתאים למנה של ה- PTV. </v>
      </c>
      <c r="F315" s="117" t="str">
        <f>IF(ISBLANK('Event summary'!E315),"",'Event summary'!E315)</f>
        <v/>
      </c>
    </row>
    <row r="316" spans="1:6" ht="57" x14ac:dyDescent="0.2">
      <c r="A316" s="114" t="e">
        <f>IF(ISBLANK('Event summary'!#REF!),"",'Event summary'!#REF!)</f>
        <v>#REF!</v>
      </c>
      <c r="B316" s="115">
        <f>IF(ISBLANK('Event summary'!A316),"",'Event summary'!A316)</f>
        <v>316</v>
      </c>
      <c r="C316" s="115" t="str">
        <f>IF(ISBLANK('Event summary'!B316),"",'Event summary'!B316)</f>
        <v>כמעט ניתן טיפול שגוי</v>
      </c>
      <c r="D316" s="116" t="str">
        <f>IF(ISBLANK('Event summary'!C316),"",'Event summary'!C316)</f>
        <v>כמעט ניתן טיפול שגוי - מטופלת הגיעה לסימולציה עם הכנה להזרקת חומר ניגוד. לשאלת הרופא על רגישות ליוד נאמר שסובלת מאסטמה. המטופלת עברה סימולציה ללא חומר ניגוד.</v>
      </c>
      <c r="E316" s="116" t="str">
        <f>IF(ISBLANK('Event summary'!D316),"",'Event summary'!D316)</f>
        <v>רופא בכיר צריך לוודא רגישויות של מטופלים לחומר ניגוד וכן לאשר את ההזרקה.</v>
      </c>
      <c r="F316" s="117" t="str">
        <f>IF(ISBLANK('Event summary'!E316),"",'Event summary'!E316)</f>
        <v/>
      </c>
    </row>
    <row r="317" spans="1:6" ht="42.75" x14ac:dyDescent="0.2">
      <c r="A317" s="114" t="e">
        <f>IF(ISBLANK('Event summary'!#REF!),"",'Event summary'!#REF!)</f>
        <v>#REF!</v>
      </c>
      <c r="B317" s="115">
        <f>IF(ISBLANK('Event summary'!A317),"",'Event summary'!A317)</f>
        <v>317</v>
      </c>
      <c r="C317" s="115" t="str">
        <f>IF(ISBLANK('Event summary'!B317),"",'Event summary'!B317)</f>
        <v>זימון תור לא מספק</v>
      </c>
      <c r="D317" s="116" t="str">
        <f>IF(ISBLANK('Event summary'!C317),"",'Event summary'!C317)</f>
        <v>זימון תור לא מספק - מטופל לא קיבל זימון לאחות/רופא במהלך הטיפולים. נכנס לאחות רק לאחר 12 טיפולים מתוך 20. המטופל הביע אי שביעות רצון מהטיפול.</v>
      </c>
      <c r="E317" s="116" t="str">
        <f>IF(ISBLANK('Event summary'!D317),"",'Event summary'!D317)</f>
        <v>באחריות משה לבדוק תהליך זימון תורים וביצוע מעקב.</v>
      </c>
      <c r="F317" s="117" t="str">
        <f>IF(ISBLANK('Event summary'!E317),"",'Event summary'!E317)</f>
        <v/>
      </c>
    </row>
    <row r="318" spans="1:6" ht="42.75" x14ac:dyDescent="0.2">
      <c r="A318" s="114" t="e">
        <f>IF(ISBLANK('Event summary'!#REF!),"",'Event summary'!#REF!)</f>
        <v>#REF!</v>
      </c>
      <c r="B318" s="115">
        <f>IF(ISBLANK('Event summary'!A318),"",'Event summary'!A318)</f>
        <v>318</v>
      </c>
      <c r="C318" s="115" t="str">
        <f>IF(ISBLANK('Event summary'!B318),"",'Event summary'!B318)</f>
        <v>שגיאה בזיהוי מטופל</v>
      </c>
      <c r="D318" s="116" t="str">
        <f>IF(ISBLANK('Event summary'!C318),"",'Event summary'!C318)</f>
        <v>שגיאה בזיהוי מטופל - מטופלת הגיעה לביקורת אחות עם מדבקות של מטופל אחר.</v>
      </c>
      <c r="E318" s="116" t="str">
        <f>IF(ISBLANK('Event summary'!D318),"",'Event summary'!D318)</f>
        <v>ביצוע הדרכה של כלל הצוות; פיזיקאים, רופאים, רנטגנאים, אחיות ומזכירות על נוהל זיהוי מטופל. כולל החתמת הצוות על ביצוע ההדרכה.</v>
      </c>
      <c r="F318" s="117" t="str">
        <f>IF(ISBLANK('Event summary'!E318),"",'Event summary'!E318)</f>
        <v/>
      </c>
    </row>
    <row r="319" spans="1:6" ht="30" x14ac:dyDescent="0.2">
      <c r="A319" s="114" t="e">
        <f>IF(ISBLANK('Event summary'!#REF!),"",'Event summary'!#REF!)</f>
        <v>#REF!</v>
      </c>
      <c r="B319" s="115">
        <f>IF(ISBLANK('Event summary'!A319),"",'Event summary'!A319)</f>
        <v>319</v>
      </c>
      <c r="C319" s="115" t="str">
        <f>IF(ISBLANK('Event summary'!B319),"",'Event summary'!B319)</f>
        <v>זימון תור לא מספק</v>
      </c>
      <c r="D319" s="116" t="str">
        <f>IF(ISBLANK('Event summary'!C319),"",'Event summary'!C319)</f>
        <v>זימון תור לא מספק - מטופלת הגיעה לטיפול קרינה ללא תור לטיפול כימו.</v>
      </c>
      <c r="E319" s="116" t="str">
        <f>IF(ISBLANK('Event summary'!D319),"",'Event summary'!D319)</f>
        <v>יש לבקש ולתעד טיפול כימי במהלך הקבלה הרפואית.</v>
      </c>
      <c r="F319" s="117">
        <f>IF(ISBLANK('Event summary'!E319),"",'Event summary'!E319)</f>
        <v>44516</v>
      </c>
    </row>
    <row r="320" spans="1:6" ht="42.75" x14ac:dyDescent="0.2">
      <c r="A320" s="114" t="e">
        <f>IF(ISBLANK('Event summary'!#REF!),"",'Event summary'!#REF!)</f>
        <v>#REF!</v>
      </c>
      <c r="B320" s="115">
        <f>IF(ISBLANK('Event summary'!A320),"",'Event summary'!A320)</f>
        <v>320</v>
      </c>
      <c r="C320" s="115" t="str">
        <f>IF(ISBLANK('Event summary'!B320),"",'Event summary'!B320)</f>
        <v>היעדר מרשם</v>
      </c>
      <c r="D320" s="116" t="str">
        <f>IF(ISBLANK('Event summary'!C320),"",'Event summary'!C320)</f>
        <v>היעדר מרשם - העדר מרשם לבוסט שד. חוסר התאמה בין קמליון לאריה. המטופלת שאלה על הבוסט בתום הטיפול אחרון לשד. עבר את כל הבקרות.</v>
      </c>
      <c r="E320" s="116" t="str">
        <f>IF(ISBLANK('Event summary'!D320),"",'Event summary'!D320)</f>
        <v/>
      </c>
      <c r="F320" s="117" t="str">
        <f>IF(ISBLANK('Event summary'!E320),"",'Event summary'!E320)</f>
        <v/>
      </c>
    </row>
    <row r="321" spans="1:6" ht="57" x14ac:dyDescent="0.2">
      <c r="A321" s="114" t="e">
        <f>IF(ISBLANK('Event summary'!#REF!),"",'Event summary'!#REF!)</f>
        <v>#REF!</v>
      </c>
      <c r="B321" s="115">
        <f>IF(ISBLANK('Event summary'!A321),"",'Event summary'!A321)</f>
        <v>321</v>
      </c>
      <c r="C321" s="115" t="str">
        <f>IF(ISBLANK('Event summary'!B321),"",'Event summary'!B321)</f>
        <v>תיעוד לא תקין</v>
      </c>
      <c r="D321" s="116" t="str">
        <f>IF(ISBLANK('Event summary'!C321),"",'Event summary'!C321)</f>
        <v xml:space="preserve">רישום לקוי - מרשם קמליון נכתב למנה של 54Gy למוח. לאחר תכנון פוצל הטיפול לשני נפחים ל- 36Gy+18Gy=54Gy. האם יש צורך לפצל גם את המרשם של הקמליון כאשר המנה הכוללת זהה. </v>
      </c>
      <c r="E321" s="116" t="str">
        <f>IF(ISBLANK('Event summary'!D321),"",'Event summary'!D321)</f>
        <v>יש לתאם ישיבת רופאים לקביעה ותאום על אופן כתיבת מרשם בקמליון. נוכחות פיזיקאי ראשי רצויה בישיבה. יש לתאם שינויים בקמליון בהתאם להחלטות הישיבה.</v>
      </c>
      <c r="F321" s="117">
        <f>IF(ISBLANK('Event summary'!E321),"",'Event summary'!E321)</f>
        <v>44516</v>
      </c>
    </row>
    <row r="322" spans="1:6" ht="85.5" x14ac:dyDescent="0.2">
      <c r="A322" s="114" t="e">
        <f>IF(ISBLANK('Event summary'!#REF!),"",'Event summary'!#REF!)</f>
        <v>#REF!</v>
      </c>
      <c r="B322" s="115">
        <f>IF(ISBLANK('Event summary'!A322),"",'Event summary'!A322)</f>
        <v>322</v>
      </c>
      <c r="C322" s="115" t="str">
        <f>IF(ISBLANK('Event summary'!B322),"",'Event summary'!B322)</f>
        <v>תיעוד לא תקין</v>
      </c>
      <c r="D322" s="116" t="str">
        <f>IF(ISBLANK('Event summary'!C322),"",'Event summary'!C322)</f>
        <v xml:space="preserve">רישום לקוי - מרשם אריה נכתב במקור למנה של 50Gy למפשאה ואגן ימין עם סמוליציה נוספת לאחר 40Gy ויתכנות לתוספת מנה של 10Gy . לאחר התוספת התקבלה דרישה למרשם של 60Gy במקום 50Gy+10Gy. בפועל טופל על 50Gy+10Gy. האם יש צורך לפצל גם את המרשם של הקמליון כאשר המנה הכוללת זהה. </v>
      </c>
      <c r="E322" s="116" t="str">
        <f>IF(ISBLANK('Event summary'!D322),"",'Event summary'!D322)</f>
        <v>יש לתאם ישיבת רופאים לקביעה ותאום על אופן כתיבת מרשם בקמליון. נוכחות פיזיקאי ראשי רצויה בישיבה. יש לתאם שינויים בקמליון בהתאם להחלטות הישיבה.</v>
      </c>
      <c r="F322" s="117">
        <f>IF(ISBLANK('Event summary'!E322),"",'Event summary'!E322)</f>
        <v>44516</v>
      </c>
    </row>
    <row r="323" spans="1:6" ht="42.75" x14ac:dyDescent="0.2">
      <c r="A323" s="114" t="e">
        <f>IF(ISBLANK('Event summary'!#REF!),"",'Event summary'!#REF!)</f>
        <v>#REF!</v>
      </c>
      <c r="B323" s="115">
        <f>IF(ISBLANK('Event summary'!A323),"",'Event summary'!A323)</f>
        <v>323</v>
      </c>
      <c r="C323" s="115" t="str">
        <f>IF(ISBLANK('Event summary'!B323),"",'Event summary'!B323)</f>
        <v>תכנון שגוי</v>
      </c>
      <c r="D323" s="116" t="str">
        <f>IF(ISBLANK('Event summary'!C323),"",'Event summary'!C323)</f>
        <v>תכנון שגוי - קרינה פליאטיבית לשד עם בולוס תוכנן ללא בולוס. עבר את כל בקרות האיכות וקיבלה טיפול אחד ללא בולוס.</v>
      </c>
      <c r="E323" s="116" t="str">
        <f>IF(ISBLANK('Event summary'!D323),"",'Event summary'!D323)</f>
        <v>יש להקפיד על ההנחיות הכתובות במרשם. בבקרות האיכות (חתימה שניה, חתימת רופא, QA, RTTQ) יש לקרוא ולבדוק את ההנחיות הכתובות במרשם.</v>
      </c>
      <c r="F323" s="117">
        <f>IF(ISBLANK('Event summary'!E323),"",'Event summary'!E323)</f>
        <v>44516</v>
      </c>
    </row>
    <row r="324" spans="1:6" ht="42.75" x14ac:dyDescent="0.2">
      <c r="A324" s="114" t="e">
        <f>IF(ISBLANK('Event summary'!#REF!),"",'Event summary'!#REF!)</f>
        <v>#REF!</v>
      </c>
      <c r="B324" s="115">
        <f>IF(ISBLANK('Event summary'!A324),"",'Event summary'!A324)</f>
        <v>324</v>
      </c>
      <c r="C324" s="115" t="str">
        <f>IF(ISBLANK('Event summary'!B324),"",'Event summary'!B324)</f>
        <v>תיעוד לא תקין</v>
      </c>
      <c r="D324" s="116" t="str">
        <f>IF(ISBLANK('Event summary'!C324),"",'Event summary'!C324)</f>
        <v>תיעוד לא תקין - אי התאמה בתדירות הטיפול בין מרשם אריה לקמליון. המטופל היה צריך לקבל 5 טיפולים בשבוע. המטופל ידע על 3 פעמים בשבוע. המטופל סירב להגיע יום אחרי יום.</v>
      </c>
      <c r="E324" s="116" t="str">
        <f>IF(ISBLANK('Event summary'!D324),"",'Event summary'!D324)</f>
        <v>הקפדה על כתיבת מרשם וכן לתקשר שינויים טיפוליים עם הצוות והמטופל.</v>
      </c>
      <c r="F324" s="117">
        <f>IF(ISBLANK('Event summary'!E324),"",'Event summary'!E324)</f>
        <v>44516</v>
      </c>
    </row>
    <row r="325" spans="1:6" ht="42.75" x14ac:dyDescent="0.2">
      <c r="A325" s="114" t="e">
        <f>IF(ISBLANK('Event summary'!#REF!),"",'Event summary'!#REF!)</f>
        <v>#REF!</v>
      </c>
      <c r="B325" s="115">
        <f>IF(ISBLANK('Event summary'!A325),"",'Event summary'!A325)</f>
        <v>325</v>
      </c>
      <c r="C325" s="115" t="str">
        <f>IF(ISBLANK('Event summary'!B325),"",'Event summary'!B325)</f>
        <v>היעדר מרשם</v>
      </c>
      <c r="D325" s="116" t="str">
        <f>IF(ISBLANK('Event summary'!C325),"",'Event summary'!C325)</f>
        <v>היעדר מרשם - העדר מרשם לבוסט שד. חוסר התאמה בין קמליון לאריה. התגלה בשלב בקרת איכות רנטגנאים (RTTQA).</v>
      </c>
      <c r="E325" s="116" t="str">
        <f>IF(ISBLANK('Event summary'!D325),"",'Event summary'!D325)</f>
        <v>הקפדה על כתיבת מרשם וכן לתקשר שינויים טיפוליים עם הצוות והמטופל.</v>
      </c>
      <c r="F325" s="117">
        <f>IF(ISBLANK('Event summary'!E325),"",'Event summary'!E325)</f>
        <v>44516</v>
      </c>
    </row>
    <row r="326" spans="1:6" ht="42.75" x14ac:dyDescent="0.2">
      <c r="A326" s="114" t="e">
        <f>IF(ISBLANK('Event summary'!#REF!),"",'Event summary'!#REF!)</f>
        <v>#REF!</v>
      </c>
      <c r="B326" s="115">
        <f>IF(ISBLANK('Event summary'!A326),"",'Event summary'!A326)</f>
        <v>326</v>
      </c>
      <c r="C326" s="115" t="str">
        <f>IF(ISBLANK('Event summary'!B326),"",'Event summary'!B326)</f>
        <v>סריקה לא תקינה</v>
      </c>
      <c r="D326" s="116" t="str">
        <f>IF(ISBLANK('Event summary'!C326),"",'Event summary'!C326)</f>
        <v>סריקה לא תקינה - ביצוע סריקה ארוכה עבור שני מוקדים מרוחקים. ללא הקפדה על עקרון ALARA.</v>
      </c>
      <c r="E326" s="116" t="str">
        <f>IF(ISBLANK('Event summary'!D326),"",'Event summary'!D326)</f>
        <v>הנחיות הרופא לאופן הסריקה צריך להיעשות תוך הקפדה על עקרון As Low As Reasonably Achievable (ALARA) . כלומר, לא להקרין נפחים מיותרים וכן, גודל חתכים סבירים.</v>
      </c>
      <c r="F326" s="117">
        <f>IF(ISBLANK('Event summary'!E326),"",'Event summary'!E326)</f>
        <v>44516</v>
      </c>
    </row>
    <row r="327" spans="1:6" ht="30" x14ac:dyDescent="0.2">
      <c r="A327" s="114" t="e">
        <f>IF(ISBLANK('Event summary'!#REF!),"",'Event summary'!#REF!)</f>
        <v>#REF!</v>
      </c>
      <c r="B327" s="115">
        <f>IF(ISBLANK('Event summary'!A327),"",'Event summary'!A327)</f>
        <v>327</v>
      </c>
      <c r="C327" s="115" t="str">
        <f>IF(ISBLANK('Event summary'!B327),"",'Event summary'!B327)</f>
        <v>שגיאה בזיהוי מטופל</v>
      </c>
      <c r="D327" s="116" t="str">
        <f>IF(ISBLANK('Event summary'!C327),"",'Event summary'!C327)</f>
        <v>שגיאה בזיהוי מטופל - נתונים של מטופל אחר נסרקו לתיק הקמליון של המטופל.</v>
      </c>
      <c r="E327" s="116" t="str">
        <f>IF(ISBLANK('Event summary'!D327),"",'Event summary'!D327)</f>
        <v>יש להקפיד במיוחד על זיהוי נכון של המטופלים וכן משנה זהירות בהזנה של נתונים לתיק המטופל.</v>
      </c>
      <c r="F327" s="117">
        <f>IF(ISBLANK('Event summary'!E327),"",'Event summary'!E327)</f>
        <v>44516</v>
      </c>
    </row>
    <row r="328" spans="1:6" ht="57" x14ac:dyDescent="0.2">
      <c r="A328" s="114" t="e">
        <f>IF(ISBLANK('Event summary'!#REF!),"",'Event summary'!#REF!)</f>
        <v>#REF!</v>
      </c>
      <c r="B328" s="115">
        <f>IF(ISBLANK('Event summary'!A328),"",'Event summary'!A328)</f>
        <v>328</v>
      </c>
      <c r="C328" s="115" t="str">
        <f>IF(ISBLANK('Event summary'!B328),"",'Event summary'!B328)</f>
        <v>תיעוד לא תקין</v>
      </c>
      <c r="D328" s="116" t="str">
        <f>IF(ISBLANK('Event summary'!C328),"",'Event summary'!C328)</f>
        <v>תיעוד לא תקין- נכתב מרשם באריה ללא הוספת מרשם קמליון. רופא סירב להוסיף את המרשם לאריה. בנוסף, היתה אי התאמה בין המרשמים. הרופא תיקן את הקמליון אך לא את האריה.</v>
      </c>
      <c r="E328" s="116" t="str">
        <f>IF(ISBLANK('Event summary'!D328),"",'Event summary'!D328)</f>
        <v>הקפדה על כתיבת מרשם וכן לתקשר שינויים טיפוליים עם הצוות והמטופל.</v>
      </c>
      <c r="F328" s="117">
        <f>IF(ISBLANK('Event summary'!E328),"",'Event summary'!E328)</f>
        <v>44516</v>
      </c>
    </row>
    <row r="329" spans="1:6" ht="57" x14ac:dyDescent="0.2">
      <c r="A329" s="114" t="e">
        <f>IF(ISBLANK('Event summary'!#REF!),"",'Event summary'!#REF!)</f>
        <v>#REF!</v>
      </c>
      <c r="B329" s="115">
        <f>IF(ISBLANK('Event summary'!A329),"",'Event summary'!A329)</f>
        <v>329</v>
      </c>
      <c r="C329" s="115" t="str">
        <f>IF(ISBLANK('Event summary'!B329),"",'Event summary'!B329)</f>
        <v>תיעוד לא תקין</v>
      </c>
      <c r="D329" s="116" t="str">
        <f>IF(ISBLANK('Event summary'!C329),"",'Event summary'!C329)</f>
        <v>רישום לקוי - שכתוב מרשם שלא לצורך בקמליון. בקמליון נכתב 20x2.75Gy=55Gy. נדרש לשנות ל- 2.75Gyx(14+6)=38.5Gy+16.5Gy=55Gy. עבור תכנית + בוסט.</v>
      </c>
      <c r="E329" s="116" t="str">
        <f>IF(ISBLANK('Event summary'!D329),"",'Event summary'!D329)</f>
        <v>יש לתאם ישיבת רופאים לקביעה ותאום על אופן כתיבת מרשם בקמליון. נוכחות פיזיקאי ראשי רצויה בישיבה. יש לתאם שינויים בקמליון בהתאם להחלטות הישיבה.</v>
      </c>
      <c r="F329" s="117">
        <f>IF(ISBLANK('Event summary'!E329),"",'Event summary'!E329)</f>
        <v>44516</v>
      </c>
    </row>
    <row r="330" spans="1:6" ht="28.5" x14ac:dyDescent="0.2">
      <c r="A330" s="114" t="e">
        <f>IF(ISBLANK('Event summary'!#REF!),"",'Event summary'!#REF!)</f>
        <v>#REF!</v>
      </c>
      <c r="B330" s="115">
        <f>IF(ISBLANK('Event summary'!A330),"",'Event summary'!A330)</f>
        <v>330</v>
      </c>
      <c r="C330" s="115" t="str">
        <f>IF(ISBLANK('Event summary'!B330),"",'Event summary'!B330)</f>
        <v>תקשורת לקויה</v>
      </c>
      <c r="D330" s="116" t="str">
        <f>IF(ISBLANK('Event summary'!C330),"",'Event summary'!C330)</f>
        <v>תקשורת לקויה - מטופל המתין למעלה משעה וחצי כיוון שלא הוכנס ל- Qflow לביקורת רופא.</v>
      </c>
      <c r="E330" s="116" t="str">
        <f>IF(ISBLANK('Event summary'!D330),"",'Event summary'!D330)</f>
        <v xml:space="preserve">להקפיד על תקשורת מלאה בין הסקטורים. אם מבחינים שיש מטופל שממתין ללא צורך, יש לברר את הסיבה ולהביא פתרון. </v>
      </c>
      <c r="F330" s="117">
        <f>IF(ISBLANK('Event summary'!E330),"",'Event summary'!E330)</f>
        <v>44516</v>
      </c>
    </row>
    <row r="331" spans="1:6" ht="42.75" x14ac:dyDescent="0.2">
      <c r="A331" s="114" t="e">
        <f>IF(ISBLANK('Event summary'!#REF!),"",'Event summary'!#REF!)</f>
        <v>#REF!</v>
      </c>
      <c r="B331" s="115">
        <f>IF(ISBLANK('Event summary'!A331),"",'Event summary'!A331)</f>
        <v>331</v>
      </c>
      <c r="C331" s="115" t="str">
        <f>IF(ISBLANK('Event summary'!B331),"",'Event summary'!B331)</f>
        <v>תיעוד לא תקין</v>
      </c>
      <c r="D331" s="116" t="str">
        <f>IF(ISBLANK('Event summary'!C331),"",'Event summary'!C331)</f>
        <v>תיעוד לא תקין - מטופלת הפנתה את תשומת הלב של הצוות במהלך הטיפול הרביעי לקוצב הלב שלה. היה תיעוד לקיום הקוצב בקבלה בלבד.</v>
      </c>
      <c r="E331" s="116" t="str">
        <f>IF(ISBLANK('Event summary'!D331),"",'Event summary'!D331)</f>
        <v>תיעוד קוצב הינו מחייב בעת כתיבת המרשם בקמליון. יש לתעד גם באריה. הנחיות מלאות לאופן הכתיבה יינתנו בהמשך.</v>
      </c>
      <c r="F331" s="117">
        <f>IF(ISBLANK('Event summary'!E331),"",'Event summary'!E331)</f>
        <v>44516</v>
      </c>
    </row>
    <row r="332" spans="1:6" ht="28.5" x14ac:dyDescent="0.2">
      <c r="A332" s="114" t="e">
        <f>IF(ISBLANK('Event summary'!#REF!),"",'Event summary'!#REF!)</f>
        <v>#REF!</v>
      </c>
      <c r="B332" s="115">
        <f>IF(ISBLANK('Event summary'!A332),"",'Event summary'!A332)</f>
        <v>332</v>
      </c>
      <c r="C332" s="115" t="str">
        <f>IF(ISBLANK('Event summary'!B332),"",'Event summary'!B332)</f>
        <v>תיעוד לא תקין</v>
      </c>
      <c r="D332" s="116" t="str">
        <f>IF(ISBLANK('Event summary'!C332),"",'Event summary'!C332)</f>
        <v>תיעוד לא תקין - מטופל עם קוצב הגיע לטיפול. לא היה ידוע על הקוצב.</v>
      </c>
      <c r="E332" s="116" t="str">
        <f>IF(ISBLANK('Event summary'!D332),"",'Event summary'!D332)</f>
        <v>תיעוד קוצב הינו מחייב בעת כתיבת המרשם בקמליון. יש לתעד גם באריה. הנחיות מלאות לאופן הכתיבה יינתנו בהמשך.</v>
      </c>
      <c r="F332" s="117">
        <f>IF(ISBLANK('Event summary'!E332),"",'Event summary'!E332)</f>
        <v>44516</v>
      </c>
    </row>
    <row r="333" spans="1:6" ht="42.75" x14ac:dyDescent="0.2">
      <c r="A333" s="114" t="e">
        <f>IF(ISBLANK('Event summary'!#REF!),"",'Event summary'!#REF!)</f>
        <v>#REF!</v>
      </c>
      <c r="B333" s="115">
        <f>IF(ISBLANK('Event summary'!A333),"",'Event summary'!A333)</f>
        <v>333</v>
      </c>
      <c r="C333" s="115" t="str">
        <f>IF(ISBLANK('Event summary'!B333),"",'Event summary'!B333)</f>
        <v>תקשורת לקויה</v>
      </c>
      <c r="D333" s="116" t="str">
        <f>IF(ISBLANK('Event summary'!C333),"",'Event summary'!C333)</f>
        <v>תקשורת לקויה - מטופל נשלח לסימולציה חוזרת ע"י רופא לפני טיפול עקב שבר. המידע לא הועבר לצוות המטפל, תורים, פיזיקה, QA.</v>
      </c>
      <c r="E333" s="116" t="str">
        <f>IF(ISBLANK('Event summary'!D333),"",'Event summary'!D333)</f>
        <v>באחריות מבצע השינוי לדווח לגורמים הרלבנטיים.</v>
      </c>
      <c r="F333" s="117">
        <f>IF(ISBLANK('Event summary'!E333),"",'Event summary'!E333)</f>
        <v>44516</v>
      </c>
    </row>
    <row r="334" spans="1:6" ht="30" x14ac:dyDescent="0.2">
      <c r="A334" s="114" t="e">
        <f>IF(ISBLANK('Event summary'!#REF!),"",'Event summary'!#REF!)</f>
        <v>#REF!</v>
      </c>
      <c r="B334" s="115">
        <f>IF(ISBLANK('Event summary'!A334),"",'Event summary'!A334)</f>
        <v>334</v>
      </c>
      <c r="C334" s="115" t="str">
        <f>IF(ISBLANK('Event summary'!B334),"",'Event summary'!B334)</f>
        <v>סריקה לא תקינה</v>
      </c>
      <c r="D334" s="116" t="str">
        <f>IF(ISBLANK('Event summary'!C334),"",'Event summary'!C334)</f>
        <v>סריקה לא תקינה - ביצוע סריקה עם רקטום מלא.</v>
      </c>
      <c r="E334" s="116" t="str">
        <f>IF(ISBLANK('Event summary'!D334),"",'Event summary'!D334)</f>
        <v>לא ישוחרר מטופל מסימולציה לפני שרופא ראה ואישר את הסריקה.</v>
      </c>
      <c r="F334" s="117">
        <f>IF(ISBLANK('Event summary'!E334),"",'Event summary'!E334)</f>
        <v>44474</v>
      </c>
    </row>
    <row r="335" spans="1:6" ht="30" x14ac:dyDescent="0.2">
      <c r="A335" s="114" t="e">
        <f>IF(ISBLANK('Event summary'!#REF!),"",'Event summary'!#REF!)</f>
        <v>#REF!</v>
      </c>
      <c r="B335" s="115">
        <f>IF(ISBLANK('Event summary'!A335),"",'Event summary'!A335)</f>
        <v>335</v>
      </c>
      <c r="C335" s="115" t="str">
        <f>IF(ISBLANK('Event summary'!B335),"",'Event summary'!B335)</f>
        <v>מתן טיפול שלא על פי הפרוטוקול</v>
      </c>
      <c r="D335" s="116" t="str">
        <f>IF(ISBLANK('Event summary'!C335),"",'Event summary'!C335)</f>
        <v>מתן טיפול שלא על פי הפרוטוקול - מטופלת קיבלה טיפול ללא קסלודה</v>
      </c>
      <c r="E335" s="116" t="str">
        <f>IF(ISBLANK('Event summary'!D335),"",'Event summary'!D335)</f>
        <v>רופא יתעד בקמליון טיפולים נוספים.</v>
      </c>
      <c r="F335" s="117">
        <f>IF(ISBLANK('Event summary'!E335),"",'Event summary'!E335)</f>
        <v>44474</v>
      </c>
    </row>
    <row r="336" spans="1:6" ht="30" x14ac:dyDescent="0.2">
      <c r="A336" s="114" t="e">
        <f>IF(ISBLANK('Event summary'!#REF!),"",'Event summary'!#REF!)</f>
        <v>#REF!</v>
      </c>
      <c r="B336" s="115">
        <f>IF(ISBLANK('Event summary'!A336),"",'Event summary'!A336)</f>
        <v>336</v>
      </c>
      <c r="C336" s="115" t="str">
        <f>IF(ISBLANK('Event summary'!B336),"",'Event summary'!B336)</f>
        <v>מתן טיפול באופן שגוי</v>
      </c>
      <c r="D336" s="116" t="str">
        <f>IF(ISBLANK('Event summary'!C336),"",'Event summary'!C336)</f>
        <v xml:space="preserve">מתן טיפול באופן שגוי - מטופל קיבל 5 טיפולים עם בולוס כאשר היה צריך לקבל לסירוגין עם ובלי בולוס. </v>
      </c>
      <c r="E336" s="116" t="str">
        <f>IF(ISBLANK('Event summary'!D336),"",'Event summary'!D336)</f>
        <v xml:space="preserve">באחריות רופא ליידע את הפיזיקה על תכנון לא סטנדרטי. </v>
      </c>
      <c r="F336" s="117">
        <f>IF(ISBLANK('Event summary'!E336),"",'Event summary'!E336)</f>
        <v>44474</v>
      </c>
    </row>
    <row r="337" spans="1:6" ht="71.25" x14ac:dyDescent="0.2">
      <c r="A337" s="114" t="e">
        <f>IF(ISBLANK('Event summary'!#REF!),"",'Event summary'!#REF!)</f>
        <v>#REF!</v>
      </c>
      <c r="B337" s="115">
        <f>IF(ISBLANK('Event summary'!A337),"",'Event summary'!A337)</f>
        <v>337</v>
      </c>
      <c r="C337" s="115" t="str">
        <f>IF(ISBLANK('Event summary'!B337),"",'Event summary'!B337)</f>
        <v>מתן טיפול שלא על פי הפרוטוקול</v>
      </c>
      <c r="D337" s="116" t="str">
        <f>IF(ISBLANK('Event summary'!C337),"",'Event summary'!C337)</f>
        <v>מתן טיפול שלא על פי הפרוטוקול  - תיק לא עבר QA איבר בריא לא סומן , וגם לא ניתנה הגבלה לאיבר. התיק תוכנן מחדש ביום הטיפול וניתן ללא מדידות. מקרה SBRT</v>
      </c>
      <c r="E337" s="116" t="str">
        <f>IF(ISBLANK('Event summary'!D337),"",'Event summary'!D337)</f>
        <v>כאשר תכנית אינה עוברת QA יש לשייך את Update Care Path לרופא והפיזיקאי באחריות הפיזיקה לעדכן. כמו כן יש לידע את הרופא על מהות השינויים באחריות רופא ה QA וכן לתעד אותם בהערות של ה Update Care Path. יש לרכז רשימת הגבלות לאיברים בסיכון של היחידה ולא להשתמש בטבלאות אחרות.</v>
      </c>
      <c r="F337" s="117">
        <f>IF(ISBLANK('Event summary'!E337),"",'Event summary'!E337)</f>
        <v>44474</v>
      </c>
    </row>
    <row r="338" spans="1:6" ht="28.5" x14ac:dyDescent="0.2">
      <c r="A338" s="114" t="e">
        <f>IF(ISBLANK('Event summary'!#REF!),"",'Event summary'!#REF!)</f>
        <v>#REF!</v>
      </c>
      <c r="B338" s="115">
        <f>IF(ISBLANK('Event summary'!A338),"",'Event summary'!A338)</f>
        <v>338</v>
      </c>
      <c r="C338" s="115" t="str">
        <f>IF(ISBLANK('Event summary'!B338),"",'Event summary'!B338)</f>
        <v>מרשם שגוי</v>
      </c>
      <c r="D338" s="116" t="str">
        <f>IF(ISBLANK('Event summary'!C338),"",'Event summary'!C338)</f>
        <v xml:space="preserve">מרשם שגוי-חוסר התאמה בין קמיליון ואריה - מוקד צווארי התווסף למרשם בקמליון לאחר תחילת הטיפולים </v>
      </c>
      <c r="E338" s="116" t="str">
        <f>IF(ISBLANK('Event summary'!D338),"",'Event summary'!D338)</f>
        <v>תתקיים ישיבת רופאים לקביעת קריטריונים לכתיבת מרשם. רצויה נוכחות של פיזיקאי ראשי בישיבה.</v>
      </c>
      <c r="F338" s="117">
        <f>IF(ISBLANK('Event summary'!E338),"",'Event summary'!E338)</f>
        <v>44474</v>
      </c>
    </row>
    <row r="339" spans="1:6" ht="42.75" x14ac:dyDescent="0.2">
      <c r="A339" s="114" t="e">
        <f>IF(ISBLANK('Event summary'!#REF!),"",'Event summary'!#REF!)</f>
        <v>#REF!</v>
      </c>
      <c r="B339" s="115">
        <f>IF(ISBLANK('Event summary'!A339),"",'Event summary'!A339)</f>
        <v>339</v>
      </c>
      <c r="C339" s="115" t="str">
        <f>IF(ISBLANK('Event summary'!B339),"",'Event summary'!B339)</f>
        <v>העברת מידע</v>
      </c>
      <c r="D339" s="116" t="str">
        <f>IF(ISBLANK('Event summary'!C339),"",'Event summary'!C339)</f>
        <v xml:space="preserve">העברת מידע - חתום ע"י רופא כplanning approved במקום reviewed. עקב כך, לא עבר delta shift לטיפול. עבר בקרת איכות פיזיקאי  ורנטגנאי ללא תיקון. </v>
      </c>
      <c r="E339" s="116" t="str">
        <f>IF(ISBLANK('Event summary'!D339),"",'Event summary'!D339)</f>
        <v>הפיזיקאי המתכנן ישלח Delta Shift בתום התכנון לפני חתימה שניה של פיזיקאי. פיזיקאי המבצע חתימה שניה יוודא קיום הזזות.</v>
      </c>
      <c r="F339" s="117">
        <f>IF(ISBLANK('Event summary'!E339),"",'Event summary'!E339)</f>
        <v>44474</v>
      </c>
    </row>
    <row r="340" spans="1:6" ht="28.5" x14ac:dyDescent="0.2">
      <c r="A340" s="114" t="e">
        <f>IF(ISBLANK('Event summary'!#REF!),"",'Event summary'!#REF!)</f>
        <v>#REF!</v>
      </c>
      <c r="B340" s="115">
        <f>IF(ISBLANK('Event summary'!A340),"",'Event summary'!A340)</f>
        <v>340</v>
      </c>
      <c r="C340" s="115" t="str">
        <f>IF(ISBLANK('Event summary'!B340),"",'Event summary'!B340)</f>
        <v>תכנון שגוי</v>
      </c>
      <c r="D340" s="116" t="str">
        <f>IF(ISBLANK('Event summary'!C340),"",'Event summary'!C340)</f>
        <v>תכנון שגוי - מטופלת לזרוע ימין עם הזזת מיטה גדולה. גנטרי ירד מצד לא נכון, כמאט פגע במטופלת</v>
      </c>
      <c r="E340" s="116" t="str">
        <f>IF(ISBLANK('Event summary'!D340),"",'Event summary'!D340)</f>
        <v>יש להקפיד לבדוק כיווני גנטרי בשלב התכנון ובקרות האיכות. בעת פגיעה של גנטרי יש לידע גם את הפיזיקה בדבר האירוע.</v>
      </c>
      <c r="F340" s="117">
        <f>IF(ISBLANK('Event summary'!E340),"",'Event summary'!E340)</f>
        <v>44474</v>
      </c>
    </row>
    <row r="341" spans="1:6" ht="28.5" x14ac:dyDescent="0.2">
      <c r="A341" s="114" t="e">
        <f>IF(ISBLANK('Event summary'!#REF!),"",'Event summary'!#REF!)</f>
        <v>#REF!</v>
      </c>
      <c r="B341" s="115">
        <f>IF(ISBLANK('Event summary'!A341),"",'Event summary'!A341)</f>
        <v>341</v>
      </c>
      <c r="C341" s="115" t="str">
        <f>IF(ISBLANK('Event summary'!B341),"",'Event summary'!B341)</f>
        <v>תקשורת לקויה</v>
      </c>
      <c r="D341" s="116" t="str">
        <f>IF(ISBLANK('Event summary'!C341),"",'Event summary'!C341)</f>
        <v>תקשורת לקויה - מרשם כתוב לטיפול עם פוטונים לבד, ומקרה צריך אלקטרונים. עבר מאיצים עד שעל מאיץ מתאים</v>
      </c>
      <c r="E341" s="116" t="str">
        <f>IF(ISBLANK('Event summary'!D341),"",'Event summary'!D341)</f>
        <v>בתכנון דחוף עם אלקטרונים יש לוודא זמינות של מאיץ 2 שאין SRS\SBRT באותו הזמן. אם לא זמין יש לתכנן למאיצים 4\5.</v>
      </c>
      <c r="F341" s="117">
        <f>IF(ISBLANK('Event summary'!E341),"",'Event summary'!E341)</f>
        <v>44474</v>
      </c>
    </row>
    <row r="342" spans="1:6" ht="42.75" x14ac:dyDescent="0.2">
      <c r="A342" s="114" t="e">
        <f>IF(ISBLANK('Event summary'!#REF!),"",'Event summary'!#REF!)</f>
        <v>#REF!</v>
      </c>
      <c r="B342" s="115">
        <f>IF(ISBLANK('Event summary'!A342),"",'Event summary'!A342)</f>
        <v>342</v>
      </c>
      <c r="C342" s="115" t="str">
        <f>IF(ISBLANK('Event summary'!B342),"",'Event summary'!B342)</f>
        <v>סריקה לא תקינה</v>
      </c>
      <c r="D342" s="116" t="str">
        <f>IF(ISBLANK('Event summary'!C342),"",'Event summary'!C342)</f>
        <v>סריקה לא תקינה -CT לאגן, הסריקה כללה את כל הגוף מהצוואר עד אמצע הירכיים.</v>
      </c>
      <c r="E342" s="116" t="str">
        <f>IF(ISBLANK('Event summary'!D342),"",'Event summary'!D342)</f>
        <v>הנחיות הרופא לאופן הסריקה צריך להיעשות תוך הקפדה על עקרון As Low As Reasonably Achievable (ALARA) . כלומר, לא להקרין נפחים מיותרים וכן, גודל חתכים סבירים.</v>
      </c>
      <c r="F342" s="117">
        <f>IF(ISBLANK('Event summary'!E342),"",'Event summary'!E342)</f>
        <v>44516</v>
      </c>
    </row>
    <row r="343" spans="1:6" ht="71.25" x14ac:dyDescent="0.2">
      <c r="A343" s="114" t="e">
        <f>IF(ISBLANK('Event summary'!#REF!),"",'Event summary'!#REF!)</f>
        <v>#REF!</v>
      </c>
      <c r="B343" s="115">
        <f>IF(ISBLANK('Event summary'!A343),"",'Event summary'!A343)</f>
        <v>343</v>
      </c>
      <c r="C343" s="115" t="str">
        <f>IF(ISBLANK('Event summary'!B343),"",'Event summary'!B343)</f>
        <v>תקשורת לקויה</v>
      </c>
      <c r="D343" s="116" t="str">
        <f>IF(ISBLANK('Event summary'!C343),"",'Event summary'!C343)</f>
        <v>תקשורת לקויה - שינויים מרובים בתאריך  הטיפול + בזמני הטיפול למטופל. שינוי נעשה ב- ATD ולא באריה. קבל תזכורת למועד טיפול שגוי</v>
      </c>
      <c r="E343" s="116" t="str">
        <f>IF(ISBLANK('Event summary'!D343),"",'Event summary'!D343)</f>
        <v>יש להקפיד על תקשורת בין סקטורים על שינויים במועדי תכנון. על מבצע השינוי ליידע את המזכירות. המזכירות תיידע את זימון תורים ו- RTTQA לגבי השינויים. RTTQA תיידע את הפיזיקה והמאיצים לפי הצורך התכנוני. בטיפולים דחופים בקצ"תים לעיתים יש צורך בקביעה של מאיץ לתכנון. יש לקבוע רנטגנאי תורן בכל קצ"ת.</v>
      </c>
      <c r="F343" s="117">
        <f>IF(ISBLANK('Event summary'!E343),"",'Event summary'!E343)</f>
        <v>44531</v>
      </c>
    </row>
    <row r="344" spans="1:6" ht="71.25" x14ac:dyDescent="0.2">
      <c r="A344" s="114" t="e">
        <f>IF(ISBLANK('Event summary'!#REF!),"",'Event summary'!#REF!)</f>
        <v>#REF!</v>
      </c>
      <c r="B344" s="115">
        <f>IF(ISBLANK('Event summary'!A344),"",'Event summary'!A344)</f>
        <v>344</v>
      </c>
      <c r="C344" s="115" t="str">
        <f>IF(ISBLANK('Event summary'!B344),"",'Event summary'!B344)</f>
        <v>תקשורת לקויה</v>
      </c>
      <c r="D344" s="116" t="str">
        <f>IF(ISBLANK('Event summary'!C344),"",'Event summary'!C344)</f>
        <v xml:space="preserve">תקשורת לקויה - מטפלת לטיפול דחוף המתינה לטיפול. לא דווח לאיזה מאיץ לתכנן וכן המאיץ לא עודכן על הטיפול. </v>
      </c>
      <c r="E344" s="116" t="str">
        <f>IF(ISBLANK('Event summary'!D344),"",'Event summary'!D344)</f>
        <v>יש להקפיד על תקשורת בין סקטורים על שינויים במועדי תכנון. על מבצע השינוי ליידע את המזכירות. המזכירות תיידע את זימון תורים ו- RTTQA לגבי השינויים. RTTQA תיידע את הפיזיקה והמאיצים לפי הצורך התכנוני. בטיפולים דחופים בקצ"תים לעיתים יש צורך בקביעה של מאיץ לתכנון. יש לקבוע רנטגנאי תורן בכל קצ"ת.</v>
      </c>
      <c r="F344" s="117">
        <f>IF(ISBLANK('Event summary'!E344),"",'Event summary'!E344)</f>
        <v>44531</v>
      </c>
    </row>
    <row r="345" spans="1:6" ht="30" x14ac:dyDescent="0.2">
      <c r="A345" s="114" t="e">
        <f>IF(ISBLANK('Event summary'!#REF!),"",'Event summary'!#REF!)</f>
        <v>#REF!</v>
      </c>
      <c r="B345" s="115">
        <f>IF(ISBLANK('Event summary'!A345),"",'Event summary'!A345)</f>
        <v>345</v>
      </c>
      <c r="C345" s="115" t="str">
        <f>IF(ISBLANK('Event summary'!B345),"",'Event summary'!B345)</f>
        <v>אי עמידה בזמנים</v>
      </c>
      <c r="D345" s="116" t="str">
        <f>IF(ISBLANK('Event summary'!C345),"",'Event summary'!C345)</f>
        <v>אי עמידה בזמנים - ,תיק הגיע לפיזיקה אחרי דחיה עם יומיים חישוב ל- SBRT.</v>
      </c>
      <c r="E345" s="116" t="str">
        <f>IF(ISBLANK('Event summary'!D345),"",'Event summary'!D345)</f>
        <v>בעת דחיה של מועד טיפול למטופל יש לתת לפחות 3 ימי עבודה לפיזיקה לשם תכנון התיק ועל מנת שלא יפגע באיכות התכנון.</v>
      </c>
      <c r="F345" s="117">
        <f>IF(ISBLANK('Event summary'!E345),"",'Event summary'!E345)</f>
        <v>44531</v>
      </c>
    </row>
    <row r="346" spans="1:6" ht="42.75" x14ac:dyDescent="0.2">
      <c r="A346" s="114" t="e">
        <f>IF(ISBLANK('Event summary'!#REF!),"",'Event summary'!#REF!)</f>
        <v>#REF!</v>
      </c>
      <c r="B346" s="115">
        <f>IF(ISBLANK('Event summary'!A346),"",'Event summary'!A346)</f>
        <v>346</v>
      </c>
      <c r="C346" s="115" t="str">
        <f>IF(ISBLANK('Event summary'!B346),"",'Event summary'!B346)</f>
        <v>עבודה שלא על פי הנוהל</v>
      </c>
      <c r="D346" s="116" t="str">
        <f>IF(ISBLANK('Event summary'!C346),"",'Event summary'!C346)</f>
        <v>עבודה שלא על פי הנוהל - סימון נעשה על BH עם עקומת נשימה לא תקינה.</v>
      </c>
      <c r="E346" s="116" t="str">
        <f>IF(ISBLANK('Event summary'!D346),"",'Event summary'!D346)</f>
        <v>במהלך סריקות שד יש לבצע גם BH (עצירת נשימה) וגם FB (נשימה חופשית). אם המטופלת אינה מסוגלת לבצע עצירת נשימה כמו שצריך יש ליידע את הרופא ולבקש שייתכנן על ה- FB</v>
      </c>
      <c r="F346" s="117">
        <f>IF(ISBLANK('Event summary'!E346),"",'Event summary'!E346)</f>
        <v>44531</v>
      </c>
    </row>
    <row r="347" spans="1:6" ht="42.75" x14ac:dyDescent="0.2">
      <c r="A347" s="114" t="e">
        <f>IF(ISBLANK('Event summary'!#REF!),"",'Event summary'!#REF!)</f>
        <v>#REF!</v>
      </c>
      <c r="B347" s="115">
        <f>IF(ISBLANK('Event summary'!A347),"",'Event summary'!A347)</f>
        <v>347</v>
      </c>
      <c r="C347" s="115" t="str">
        <f>IF(ISBLANK('Event summary'!B347),"",'Event summary'!B347)</f>
        <v>עבודה שלא על פי הנוהל</v>
      </c>
      <c r="D347" s="116" t="str">
        <f>IF(ISBLANK('Event summary'!C347),"",'Event summary'!C347)</f>
        <v>עבודה שלא על פי הנוהל - סימון נעשה על BH עם עקומת נשימה לא תקינה.</v>
      </c>
      <c r="E347" s="116" t="str">
        <f>IF(ISBLANK('Event summary'!D347),"",'Event summary'!D347)</f>
        <v>במהלך סריקות שד יש לבצע גם BH (עצירת נשימה) וגם FB (נשימה חופשית). אם המטופלת אינה מסוגלת לבצע עצירת נשימה כמו שצריך יש ליידע את הרופא ולבקש שייתכנן על ה- FB</v>
      </c>
      <c r="F347" s="117">
        <f>IF(ISBLANK('Event summary'!E347),"",'Event summary'!E347)</f>
        <v>44531</v>
      </c>
    </row>
    <row r="348" spans="1:6" ht="42.75" x14ac:dyDescent="0.2">
      <c r="A348" s="114" t="e">
        <f>IF(ISBLANK('Event summary'!#REF!),"",'Event summary'!#REF!)</f>
        <v>#REF!</v>
      </c>
      <c r="B348" s="115">
        <f>IF(ISBLANK('Event summary'!A348),"",'Event summary'!A348)</f>
        <v>348</v>
      </c>
      <c r="C348" s="115" t="str">
        <f>IF(ISBLANK('Event summary'!B348),"",'Event summary'!B348)</f>
        <v>אי עמידה בזמנים</v>
      </c>
      <c r="D348" s="116" t="str">
        <f>IF(ISBLANK('Event summary'!C348),"",'Event summary'!C348)</f>
        <v>עיכוב במתן טיפול- מוזמן לקבלה ב- 14:00 וסימולציה ב- 15:00. סיום הקבלה לפי קמליון בשעה 16:22. בדו"ח נאמר 17:15 וסימולציה בשעה 18:00 עבור טיפול ח"פ.</v>
      </c>
      <c r="E348" s="116" t="str">
        <f>IF(ISBLANK('Event summary'!D348),"",'Event summary'!D348)</f>
        <v>מטופלים שאינם מגיעים בזמן לטיפול יתקבלו לטיפול ולא ידחו. מועד הטיפול יהיה לאחר שהמטופלים שבתור יקבלו את הטיפול שלהם בזמן ותהיה רגיעה במאיץ.</v>
      </c>
      <c r="F348" s="117">
        <f>IF(ISBLANK('Event summary'!E348),"",'Event summary'!E348)</f>
        <v>44531</v>
      </c>
    </row>
    <row r="349" spans="1:6" ht="30" x14ac:dyDescent="0.2">
      <c r="A349" s="114" t="e">
        <f>IF(ISBLANK('Event summary'!#REF!),"",'Event summary'!#REF!)</f>
        <v>#REF!</v>
      </c>
      <c r="B349" s="115">
        <f>IF(ISBLANK('Event summary'!A349),"",'Event summary'!A349)</f>
        <v>349</v>
      </c>
      <c r="C349" s="115" t="str">
        <f>IF(ISBLANK('Event summary'!B349),"",'Event summary'!B349)</f>
        <v>כמעט ניתן טיפול שגוי</v>
      </c>
      <c r="D349" s="116" t="str">
        <f>IF(ISBLANK('Event summary'!C349),"",'Event summary'!C349)</f>
        <v>כמעט ניתן טיפול שגוי - בוצע תכנון על סריקה ישנה. התוכנית אושרה והועברה לטיפול במאיץ. נעצר לפני מתן הטיפול.</v>
      </c>
      <c r="E349" s="116" t="str">
        <f>IF(ISBLANK('Event summary'!D349),"",'Event summary'!D349)</f>
        <v xml:space="preserve">בעת סריקה של CT, יש לשנות את השם של הסריקה במקום CT_1 לתאריך הסריקה למניעה של שימוש בסריקות ישנות. </v>
      </c>
      <c r="F349" s="117">
        <f>IF(ISBLANK('Event summary'!E349),"",'Event summary'!E349)</f>
        <v>44531</v>
      </c>
    </row>
    <row r="350" spans="1:6" ht="28.5" x14ac:dyDescent="0.2">
      <c r="A350" s="114" t="e">
        <f>IF(ISBLANK('Event summary'!#REF!),"",'Event summary'!#REF!)</f>
        <v>#REF!</v>
      </c>
      <c r="B350" s="115">
        <f>IF(ISBLANK('Event summary'!A350),"",'Event summary'!A350)</f>
        <v>350</v>
      </c>
      <c r="C350" s="115" t="str">
        <f>IF(ISBLANK('Event summary'!B350),"",'Event summary'!B350)</f>
        <v>העברת מידע</v>
      </c>
      <c r="D350" s="116" t="str">
        <f>IF(ISBLANK('Event summary'!C350),"",'Event summary'!C350)</f>
        <v>העברת מידע - מטופלת הגיעה לסימולציה ללא טופס 17 ונשלחה הביתה. המידע לא הועבר לסימולציה.</v>
      </c>
      <c r="E350" s="116" t="str">
        <f>IF(ISBLANK('Event summary'!D350),"",'Event summary'!D350)</f>
        <v>שליחה של מטופל הביתה (דחית הטיפול) תעשה באישור רופא בלבד.</v>
      </c>
      <c r="F350" s="117">
        <f>IF(ISBLANK('Event summary'!E350),"",'Event summary'!E350)</f>
        <v>44531</v>
      </c>
    </row>
    <row r="351" spans="1:6" ht="30" x14ac:dyDescent="0.2">
      <c r="A351" s="114" t="e">
        <f>IF(ISBLANK('Event summary'!#REF!),"",'Event summary'!#REF!)</f>
        <v>#REF!</v>
      </c>
      <c r="B351" s="115">
        <f>IF(ISBLANK('Event summary'!A351),"",'Event summary'!A351)</f>
        <v>351</v>
      </c>
      <c r="C351" s="115" t="str">
        <f>IF(ISBLANK('Event summary'!B351),"",'Event summary'!B351)</f>
        <v>אי עמידה בזמנים</v>
      </c>
      <c r="D351" s="116" t="str">
        <f>IF(ISBLANK('Event summary'!C351),"",'Event summary'!C351)</f>
        <v>עיכוב במתן טיפול- מוזמן לקבלה ב- 14:00 וסימולציה ב- 15:30. סיום הקבלה בשעה 17:00 וסימולציה בשעה 17:15.</v>
      </c>
      <c r="E351" s="116" t="str">
        <f>IF(ISBLANK('Event summary'!D351),"",'Event summary'!D351)</f>
        <v xml:space="preserve">להקפיד על תקשורת מלאה בין הסקטורים. אם מבחינים שיש מטופל שממתין ללא צורך, יש לברר את הסיבה ולהביא פתרון. </v>
      </c>
      <c r="F351" s="117">
        <f>IF(ISBLANK('Event summary'!E351),"",'Event summary'!E351)</f>
        <v>44531</v>
      </c>
    </row>
    <row r="352" spans="1:6" ht="28.5" x14ac:dyDescent="0.2">
      <c r="A352" s="114" t="e">
        <f>IF(ISBLANK('Event summary'!#REF!),"",'Event summary'!#REF!)</f>
        <v>#REF!</v>
      </c>
      <c r="B352" s="115">
        <f>IF(ISBLANK('Event summary'!A352),"",'Event summary'!A352)</f>
        <v>352</v>
      </c>
      <c r="C352" s="115" t="str">
        <f>IF(ISBLANK('Event summary'!B352),"",'Event summary'!B352)</f>
        <v>תכנון שגוי</v>
      </c>
      <c r="D352" s="116" t="str">
        <f>IF(ISBLANK('Event summary'!C352),"",'Event summary'!C352)</f>
        <v>תכנון שגוי - תוכנן אגן באנרגיה 18x למאיצים 4/5. טופלה רק לבלוטות עד תיקון התוכנית ליום המחרת.</v>
      </c>
      <c r="E352" s="116" t="str">
        <f>IF(ISBLANK('Event summary'!D352),"",'Event summary'!D352)</f>
        <v>בוטלו האנרגיות הלא רלוונטיות בבחירת שדות הטיפול.</v>
      </c>
      <c r="F352" s="117">
        <f>IF(ISBLANK('Event summary'!E352),"",'Event summary'!E352)</f>
        <v>44531</v>
      </c>
    </row>
    <row r="353" spans="1:6" ht="85.5" x14ac:dyDescent="0.2">
      <c r="A353" s="114" t="e">
        <f>IF(ISBLANK('Event summary'!#REF!),"",'Event summary'!#REF!)</f>
        <v>#REF!</v>
      </c>
      <c r="B353" s="115">
        <f>IF(ISBLANK('Event summary'!A353),"",'Event summary'!A353)</f>
        <v>353</v>
      </c>
      <c r="C353" s="115" t="str">
        <f>IF(ISBLANK('Event summary'!B353),"",'Event summary'!B353)</f>
        <v>העברת מידע</v>
      </c>
      <c r="D353" s="116" t="str">
        <f>IF(ISBLANK('Event summary'!C353),"",'Event summary'!C353)</f>
        <v>העברת מידע - מקרה שלא עבר QA ויש update care path המידע לא הועבר למאיץ או לרופא המטפל. המטופלת הגיעה לטיפול ונעשה RTT QA במאיץ וקיבלה טיפול ללא תיקון התכנית בהתאם להמלצות QA.</v>
      </c>
      <c r="E353" s="116" t="str">
        <f>IF(ISBLANK('Event summary'!D353),"",'Event summary'!D353)</f>
        <v>בישיבת QA יש לייצר דו"ח בקרת איכות אשר יכלול את המקרים שנידונו, עבר/לא עבר ומה הם השינויים הדרושים. עבור כל שינוי בתכנון יש ליצור קשר עם הרופא המתכנן וליידע אותו יש ליידע גם פיזיקאי בעת הצורך. הדו"ח יועבר ל RTTQA. נוכחות RTTQA רצויה במהלך הישיבות. בנוסף, צריך לשנות את ה Care Path שישויך לפיזיקה, באחריות דימה לבצע.</v>
      </c>
      <c r="F353" s="117">
        <f>IF(ISBLANK('Event summary'!E353),"",'Event summary'!E353)</f>
        <v>44531</v>
      </c>
    </row>
    <row r="354" spans="1:6" ht="85.5" x14ac:dyDescent="0.2">
      <c r="A354" s="114" t="e">
        <f>IF(ISBLANK('Event summary'!#REF!),"",'Event summary'!#REF!)</f>
        <v>#REF!</v>
      </c>
      <c r="B354" s="115">
        <f>IF(ISBLANK('Event summary'!A354),"",'Event summary'!A354)</f>
        <v>354</v>
      </c>
      <c r="C354" s="115" t="str">
        <f>IF(ISBLANK('Event summary'!B354),"",'Event summary'!B354)</f>
        <v>העברת מידע</v>
      </c>
      <c r="D354" s="116" t="str">
        <f>IF(ISBLANK('Event summary'!C354),"",'Event summary'!C354)</f>
        <v xml:space="preserve">העברת מידע - מקרה שלא עבר QA ויש update care path המידע לא הועבר לרופא או לפיזיקאי המטפל לצורך תיקון התכנון. </v>
      </c>
      <c r="E354" s="116" t="str">
        <f>IF(ISBLANK('Event summary'!D354),"",'Event summary'!D354)</f>
        <v>בישיבת QA יש לייצר דו"ח בקרת איכות אשר יכלול את המקרים שנידונו, עבר/לא עבר ומה הם השינויים הדרושים. עבור כל שינוי בתכנון יש ליצור קשר עם הרופא המתכנן וליידע אותו יש ליידע גם פיזיקאי בעת הצורך. הדו"ח יועבר ל RTTQA. נוכחות RTTQA רצויה במהלך הישיבות. בנוסף, צריך לשנות את ה Care Path שישויך לפיזיקה, באחריות דימה לבצע.</v>
      </c>
      <c r="F354" s="117">
        <f>IF(ISBLANK('Event summary'!E354),"",'Event summary'!E354)</f>
        <v>44531</v>
      </c>
    </row>
    <row r="355" spans="1:6" ht="28.5" x14ac:dyDescent="0.2">
      <c r="A355" s="114" t="e">
        <f>IF(ISBLANK('Event summary'!#REF!),"",'Event summary'!#REF!)</f>
        <v>#REF!</v>
      </c>
      <c r="B355" s="115">
        <f>IF(ISBLANK('Event summary'!A355),"",'Event summary'!A355)</f>
        <v>355</v>
      </c>
      <c r="C355" s="115" t="str">
        <f>IF(ISBLANK('Event summary'!B355),"",'Event summary'!B355)</f>
        <v>תיעוד לא תקין</v>
      </c>
      <c r="D355" s="116" t="str">
        <f>IF(ISBLANK('Event summary'!C355),"",'Event summary'!C355)</f>
        <v>תיעוד לא תקין - מרשם חתום ע"י מתמחה ולא רופא בכיר.</v>
      </c>
      <c r="E355" s="116" t="str">
        <f>IF(ISBLANK('Event summary'!D355),"",'Event summary'!D355)</f>
        <v>יש להקפיד על כתיבה וחתימה על מרשמים ע"י רופא בכיר. יש לבדוק שאין הרשאות למתמחים לחתום.</v>
      </c>
      <c r="F355" s="117">
        <f>IF(ISBLANK('Event summary'!E355),"",'Event summary'!E355)</f>
        <v>44531</v>
      </c>
    </row>
    <row r="356" spans="1:6" ht="28.5" x14ac:dyDescent="0.2">
      <c r="A356" s="114" t="e">
        <f>IF(ISBLANK('Event summary'!#REF!),"",'Event summary'!#REF!)</f>
        <v>#REF!</v>
      </c>
      <c r="B356" s="115">
        <f>IF(ISBLANK('Event summary'!A356),"",'Event summary'!A356)</f>
        <v>356</v>
      </c>
      <c r="C356" s="115" t="str">
        <f>IF(ISBLANK('Event summary'!B356),"",'Event summary'!B356)</f>
        <v>תכנון שגוי</v>
      </c>
      <c r="D356" s="116" t="str">
        <f>IF(ISBLANK('Event summary'!C356),"",'Event summary'!C356)</f>
        <v>תכנון שגוי - תוכנית וסריקה נעשו על קורס ישן.</v>
      </c>
      <c r="E356" s="116" t="str">
        <f>IF(ISBLANK('Event summary'!D356),"",'Event summary'!D356)</f>
        <v>יש להקפיד על פתיחת קורס חדש וסגירה של קורס ישן. יתכנו תוכניות ישנות שהמטופל לא קיבל על קורסים ישנים.</v>
      </c>
      <c r="F356" s="117">
        <f>IF(ISBLANK('Event summary'!E356),"",'Event summary'!E356)</f>
        <v>44531</v>
      </c>
    </row>
    <row r="357" spans="1:6" ht="28.5" x14ac:dyDescent="0.2">
      <c r="A357" s="114" t="e">
        <f>IF(ISBLANK('Event summary'!#REF!),"",'Event summary'!#REF!)</f>
        <v>#REF!</v>
      </c>
      <c r="B357" s="115">
        <f>IF(ISBLANK('Event summary'!A357),"",'Event summary'!A357)</f>
        <v>357</v>
      </c>
      <c r="C357" s="115" t="str">
        <f>IF(ISBLANK('Event summary'!B357),"",'Event summary'!B357)</f>
        <v>תיעוד לא תקין</v>
      </c>
      <c r="D357" s="116" t="str">
        <f>IF(ISBLANK('Event summary'!C357),"",'Event summary'!C357)</f>
        <v>תיעוד לא תקין - מטופלת קבלה ברכיתרפיה 3 פעמים ללא חתימת רופא על המרשם.</v>
      </c>
      <c r="E357" s="116" t="str">
        <f>IF(ISBLANK('Event summary'!D357),"",'Event summary'!D357)</f>
        <v>יש להקפיד על כתיבה וחתימה על מרשמים ע"י רופא בכיר. יש לבדוק שאין הרשאות למתמחים לחתום.</v>
      </c>
      <c r="F357" s="117">
        <f>IF(ISBLANK('Event summary'!E357),"",'Event summary'!E357)</f>
        <v>44531</v>
      </c>
    </row>
    <row r="358" spans="1:6" ht="28.5" x14ac:dyDescent="0.2">
      <c r="A358" s="114" t="e">
        <f>IF(ISBLANK('Event summary'!#REF!),"",'Event summary'!#REF!)</f>
        <v>#REF!</v>
      </c>
      <c r="B358" s="115">
        <f>IF(ISBLANK('Event summary'!A358),"",'Event summary'!A358)</f>
        <v>358</v>
      </c>
      <c r="C358" s="115" t="str">
        <f>IF(ISBLANK('Event summary'!B358),"",'Event summary'!B358)</f>
        <v>תכנון שגוי</v>
      </c>
      <c r="D358" s="116" t="str">
        <f>IF(ISBLANK('Event summary'!C358),"",'Event summary'!C358)</f>
        <v>תכנון שגוי - גנטרי ירד ללא אקסטנסיה, סיבוב מיטה מסוכן,(כמעט פגע המטופל)  תיק מוכן ברגע האחרון</v>
      </c>
      <c r="E358" s="116" t="str">
        <f>IF(ISBLANK('Event summary'!D358),"",'Event summary'!D358)</f>
        <v>בשלב התכנון יש להקפיד על Extended, בחתימה שניה ובקרת איכות להקפיד על בדיקה של Extended.</v>
      </c>
      <c r="F358" s="117">
        <f>IF(ISBLANK('Event summary'!E358),"",'Event summary'!E358)</f>
        <v>44531</v>
      </c>
    </row>
    <row r="359" spans="1:6" ht="30" x14ac:dyDescent="0.2">
      <c r="A359" s="114" t="e">
        <f>IF(ISBLANK('Event summary'!#REF!),"",'Event summary'!#REF!)</f>
        <v>#REF!</v>
      </c>
      <c r="B359" s="115">
        <f>IF(ISBLANK('Event summary'!A359),"",'Event summary'!A359)</f>
        <v>359</v>
      </c>
      <c r="C359" s="115" t="str">
        <f>IF(ISBLANK('Event summary'!B359),"",'Event summary'!B359)</f>
        <v>שגיאה בזיהוי מטופל</v>
      </c>
      <c r="D359" s="116" t="str">
        <f>IF(ISBLANK('Event summary'!C359),"",'Event summary'!C359)</f>
        <v>שגיאה בזיהוי מטופל - החלפת סיפרה בתועדת זהות של מטופל.</v>
      </c>
      <c r="E359" s="116" t="str">
        <f>IF(ISBLANK('Event summary'!D359),"",'Event summary'!D359)</f>
        <v>תינתן הדרכה למזכירות על עבודה באריה. ממשק בין קמליון לאריה עדיין בעבודה. כשיהיה פרטי המטופלים יועברו ללא הקלדה ידנית.</v>
      </c>
      <c r="F359" s="117">
        <f>IF(ISBLANK('Event summary'!E359),"",'Event summary'!E359)</f>
        <v>44612</v>
      </c>
    </row>
    <row r="360" spans="1:6" ht="28.5" x14ac:dyDescent="0.2">
      <c r="A360" s="114" t="e">
        <f>IF(ISBLANK('Event summary'!#REF!),"",'Event summary'!#REF!)</f>
        <v>#REF!</v>
      </c>
      <c r="B360" s="115">
        <f>IF(ISBLANK('Event summary'!A360),"",'Event summary'!A360)</f>
        <v>360</v>
      </c>
      <c r="C360" s="115" t="str">
        <f>IF(ISBLANK('Event summary'!B360),"",'Event summary'!B360)</f>
        <v>תקשורת לקויה</v>
      </c>
      <c r="D360" s="116" t="str">
        <f>IF(ISBLANK('Event summary'!C360),"",'Event summary'!C360)</f>
        <v>תקשורת לקויה - 4 מקרים שההסכמה לטיפול לא נלקחה מחדר רופא לסריקה בקמליון למשך למעלה משבוע.</v>
      </c>
      <c r="E360" s="116" t="str">
        <f>IF(ISBLANK('Event summary'!D360),"",'Event summary'!D360)</f>
        <v>יש להקפיד על לקיחת הטפסים על בסיס יומי.</v>
      </c>
      <c r="F360" s="117">
        <f>IF(ISBLANK('Event summary'!E360),"",'Event summary'!E360)</f>
        <v>44612</v>
      </c>
    </row>
    <row r="361" spans="1:6" ht="57" x14ac:dyDescent="0.2">
      <c r="A361" s="114" t="e">
        <f>IF(ISBLANK('Event summary'!#REF!),"",'Event summary'!#REF!)</f>
        <v>#REF!</v>
      </c>
      <c r="B361" s="115">
        <f>IF(ISBLANK('Event summary'!A361),"",'Event summary'!A361)</f>
        <v>361</v>
      </c>
      <c r="C361" s="115" t="str">
        <f>IF(ISBLANK('Event summary'!B361),"",'Event summary'!B361)</f>
        <v>מתן טיפול שלא על פי הפרוטוקול</v>
      </c>
      <c r="D361" s="116" t="str">
        <f>IF(ISBLANK('Event summary'!C361),"",'Event summary'!C361)</f>
        <v>מתן טיפול שלא על פי הפרוטוקול - מקרה של SBRT טופל ללא vaclock  לכל 3 הטיפולים.</v>
      </c>
      <c r="E361" s="116" t="str">
        <f>IF(ISBLANK('Event summary'!D361),"",'Event summary'!D361)</f>
        <v>להקפיד על צילום המטופלים, תיבדק אפשרות לרכוש מצלמת WEB אשר תעביר את הצילומים לאריה. יעשה סקר ספרות על קיבועים והבליעה שלהם. תכתב מדיניות בנושא קיבועים ותתקיים ישיבה בנושא.</v>
      </c>
      <c r="F361" s="117">
        <f>IF(ISBLANK('Event summary'!E361),"",'Event summary'!E361)</f>
        <v>44612</v>
      </c>
    </row>
    <row r="362" spans="1:6" ht="42.75" x14ac:dyDescent="0.2">
      <c r="A362" s="114" t="e">
        <f>IF(ISBLANK('Event summary'!#REF!),"",'Event summary'!#REF!)</f>
        <v>#REF!</v>
      </c>
      <c r="B362" s="115">
        <f>IF(ISBLANK('Event summary'!A362),"",'Event summary'!A362)</f>
        <v>362</v>
      </c>
      <c r="C362" s="115" t="str">
        <f>IF(ISBLANK('Event summary'!B362),"",'Event summary'!B362)</f>
        <v>כמעט ניתן טיפול שגוי</v>
      </c>
      <c r="D362" s="116" t="str">
        <f>IF(ISBLANK('Event summary'!C362),"",'Event summary'!C362)</f>
        <v>כמעט ניתן טיפול שגוי - אי התאמה בין שם מרשם באריה ואזור הטיפול. עקב כך כמעט ניתן טיפול חופף. קיימת גם אי התאמה בשם התכנית בין אריה לקמליון.</v>
      </c>
      <c r="E362" s="116" t="str">
        <f>IF(ISBLANK('Event summary'!D362),"",'Event summary'!D362)</f>
        <v>בקבלה של מטופל חוזר יש להסתכל על התכניות הקודמות ולא רק על התיאור בקמליון.</v>
      </c>
      <c r="F362" s="117">
        <f>IF(ISBLANK('Event summary'!E362),"",'Event summary'!E362)</f>
        <v>44612</v>
      </c>
    </row>
    <row r="363" spans="1:6" ht="28.5" x14ac:dyDescent="0.2">
      <c r="A363" s="114" t="e">
        <f>IF(ISBLANK('Event summary'!#REF!),"",'Event summary'!#REF!)</f>
        <v>#REF!</v>
      </c>
      <c r="B363" s="115">
        <f>IF(ISBLANK('Event summary'!A363),"",'Event summary'!A363)</f>
        <v>363</v>
      </c>
      <c r="C363" s="115" t="str">
        <f>IF(ISBLANK('Event summary'!B363),"",'Event summary'!B363)</f>
        <v>תיעוד לא תקין</v>
      </c>
      <c r="D363" s="116" t="str">
        <f>IF(ISBLANK('Event summary'!C363),"",'Event summary'!C363)</f>
        <v>תיעוד לא תקין - עבור אותה מטופלת קיבלה 2 מספרי זהות  באריה - טעות במספר זהות.</v>
      </c>
      <c r="E363" s="116" t="str">
        <f>IF(ISBLANK('Event summary'!D363),"",'Event summary'!D363)</f>
        <v>תינתן הדרכה למזכירות על עבודה באריה. ממשק בין קמליון לאריה עדיין בעבודה. כשיהיה פרטי המטופלים יועברו ללא הקלדה ידנית.</v>
      </c>
      <c r="F363" s="117">
        <f>IF(ISBLANK('Event summary'!E363),"",'Event summary'!E363)</f>
        <v>44612</v>
      </c>
    </row>
    <row r="364" spans="1:6" ht="28.5" x14ac:dyDescent="0.2">
      <c r="A364" s="114" t="e">
        <f>IF(ISBLANK('Event summary'!#REF!),"",'Event summary'!#REF!)</f>
        <v>#REF!</v>
      </c>
      <c r="B364" s="115">
        <f>IF(ISBLANK('Event summary'!A364),"",'Event summary'!A364)</f>
        <v>364</v>
      </c>
      <c r="C364" s="115" t="str">
        <f>IF(ISBLANK('Event summary'!B364),"",'Event summary'!B364)</f>
        <v>תיעוד לא תקין</v>
      </c>
      <c r="D364" s="116" t="str">
        <f>IF(ISBLANK('Event summary'!C364),"",'Event summary'!C364)</f>
        <v>תיעוד לא תקין - עבור אותה מטופלת קיבלה 2 מספרי זהות  באריה - בלי ועם במספר ביקורת.</v>
      </c>
      <c r="E364" s="116" t="str">
        <f>IF(ISBLANK('Event summary'!D364),"",'Event summary'!D364)</f>
        <v>תינתן הדרכה למזכירות על עבודה באריה. ממשק בין קמליון לאריה עדיין בעבודה. כשיהיה פרטי המטופלים יועברו ללא הקלדה ידנית.</v>
      </c>
      <c r="F364" s="117">
        <f>IF(ISBLANK('Event summary'!E364),"",'Event summary'!E364)</f>
        <v>44612</v>
      </c>
    </row>
    <row r="365" spans="1:6" ht="42.75" x14ac:dyDescent="0.2">
      <c r="A365" s="114" t="e">
        <f>IF(ISBLANK('Event summary'!#REF!),"",'Event summary'!#REF!)</f>
        <v>#REF!</v>
      </c>
      <c r="B365" s="115">
        <f>IF(ISBLANK('Event summary'!A365),"",'Event summary'!A365)</f>
        <v>365</v>
      </c>
      <c r="C365" s="115" t="str">
        <f>IF(ISBLANK('Event summary'!B365),"",'Event summary'!B365)</f>
        <v>העברת מידע</v>
      </c>
      <c r="D365" s="116" t="str">
        <f>IF(ISBLANK('Event summary'!C365),"",'Event summary'!C365)</f>
        <v>העברת מידע - 16 טפסי הסכמה חתומים מתאריך 26/12/21 עד 9/1/22 טרם הועברו למזכירות לצורך סריקה לתיק המטופלים.</v>
      </c>
      <c r="E365" s="116" t="str">
        <f>IF(ISBLANK('Event summary'!D365),"",'Event summary'!D365)</f>
        <v>יש להקפיד על לקיחת הטפסים על בסיס יומי.</v>
      </c>
      <c r="F365" s="117">
        <f>IF(ISBLANK('Event summary'!E365),"",'Event summary'!E365)</f>
        <v>44612</v>
      </c>
    </row>
    <row r="366" spans="1:6" ht="42.75" x14ac:dyDescent="0.2">
      <c r="A366" s="114" t="e">
        <f>IF(ISBLANK('Event summary'!#REF!),"",'Event summary'!#REF!)</f>
        <v>#REF!</v>
      </c>
      <c r="B366" s="115">
        <f>IF(ISBLANK('Event summary'!A366),"",'Event summary'!A366)</f>
        <v>366</v>
      </c>
      <c r="C366" s="115" t="str">
        <f>IF(ISBLANK('Event summary'!B366),"",'Event summary'!B366)</f>
        <v>סריקה לא תקינה</v>
      </c>
      <c r="D366" s="116" t="str">
        <f>IF(ISBLANK('Event summary'!C366),"",'Event summary'!C366)</f>
        <v>סריקת לא תקינה - CT ראש צוואר עם ארטיפקטים ללא תיקון SEMAR. כאשר נתגלה לא ניתן היה לשחזר את  הסריקה עם SEMAR כיוון שהסריקה כבר נמחקה מה- Toshiba.</v>
      </c>
      <c r="E366" s="116" t="str">
        <f>IF(ISBLANK('Event summary'!D366),"",'Event summary'!D366)</f>
        <v>להקפיד על עבודה לפי פרוטוקול. ירועננו הפרוטוקולים של הסיטי ותתקיים ישיבה בנושא. קיימת בעיה בקמליון רנטגנאים לא רואים את ההנחיות של הרופאים.</v>
      </c>
      <c r="F366" s="117">
        <f>IF(ISBLANK('Event summary'!E366),"",'Event summary'!E366)</f>
        <v>44612</v>
      </c>
    </row>
    <row r="367" spans="1:6" ht="42.75" x14ac:dyDescent="0.2">
      <c r="A367" s="114" t="e">
        <f>IF(ISBLANK('Event summary'!#REF!),"",'Event summary'!#REF!)</f>
        <v>#REF!</v>
      </c>
      <c r="B367" s="115">
        <f>IF(ISBLANK('Event summary'!A367),"",'Event summary'!A367)</f>
        <v>367</v>
      </c>
      <c r="C367" s="115" t="str">
        <f>IF(ISBLANK('Event summary'!B367),"",'Event summary'!B367)</f>
        <v>סריקה לא תקינה</v>
      </c>
      <c r="D367" s="116" t="str">
        <f>IF(ISBLANK('Event summary'!C367),"",'Event summary'!C367)</f>
        <v>סריקה לא תקינה - GBM  נסרק עם מסיכה קצרה.</v>
      </c>
      <c r="E367" s="116" t="str">
        <f>IF(ISBLANK('Event summary'!D367),"",'Event summary'!D367)</f>
        <v>להקפיד על עבודה לפי פרוטוקול. ירועננו הפרוטוקולים של הסיטי ותתקיים ישיבה בנושא. קיימת בעיה בקמליון רנטגנאים לא רואים את ההנחיות של הרופאים.</v>
      </c>
      <c r="F367" s="117">
        <f>IF(ISBLANK('Event summary'!E367),"",'Event summary'!E367)</f>
        <v>44612</v>
      </c>
    </row>
    <row r="368" spans="1:6" ht="28.5" x14ac:dyDescent="0.2">
      <c r="A368" s="114" t="e">
        <f>IF(ISBLANK('Event summary'!#REF!),"",'Event summary'!#REF!)</f>
        <v>#REF!</v>
      </c>
      <c r="B368" s="115">
        <f>IF(ISBLANK('Event summary'!A368),"",'Event summary'!A368)</f>
        <v>368</v>
      </c>
      <c r="C368" s="115" t="str">
        <f>IF(ISBLANK('Event summary'!B368),"",'Event summary'!B368)</f>
        <v>תיעוד לא תקין</v>
      </c>
      <c r="D368" s="116" t="str">
        <f>IF(ISBLANK('Event summary'!C368),"",'Event summary'!C368)</f>
        <v>תיעוד לא תקין -  נפתחה למטופלת בקמליון ביקור ללא נוכחות במקום ביקור רופא - עקב כך נוצרו מספר בעיות עם הקבלה.</v>
      </c>
      <c r="E368" s="116" t="str">
        <f>IF(ISBLANK('Event summary'!D368),"",'Event summary'!D368)</f>
        <v>יש לוודא קבלה מסודרת של כל המטופלים במזכירות.</v>
      </c>
      <c r="F368" s="117">
        <f>IF(ISBLANK('Event summary'!E368),"",'Event summary'!E368)</f>
        <v>44612</v>
      </c>
    </row>
    <row r="369" spans="1:6" ht="28.5" x14ac:dyDescent="0.2">
      <c r="A369" s="114" t="e">
        <f>IF(ISBLANK('Event summary'!#REF!),"",'Event summary'!#REF!)</f>
        <v>#REF!</v>
      </c>
      <c r="B369" s="115">
        <f>IF(ISBLANK('Event summary'!A369),"",'Event summary'!A369)</f>
        <v>369</v>
      </c>
      <c r="C369" s="115" t="str">
        <f>IF(ISBLANK('Event summary'!B369),"",'Event summary'!B369)</f>
        <v>תיעוד לא תקין</v>
      </c>
      <c r="D369" s="116" t="str">
        <f>IF(ISBLANK('Event summary'!C369),"",'Event summary'!C369)</f>
        <v>תיעוד לא תקין - חוסר התאמה בין רשום בקמליון לתוכניות שד עם SIB לבין מרשם אריה. הבוסט אינו רשום כראוי.</v>
      </c>
      <c r="E369" s="116" t="str">
        <f>IF(ISBLANK('Event summary'!D369),"",'Event summary'!D369)</f>
        <v>יוצאו הנחיות לכתיבת מרשם</v>
      </c>
      <c r="F369" s="117">
        <f>IF(ISBLANK('Event summary'!E369),"",'Event summary'!E369)</f>
        <v>44612</v>
      </c>
    </row>
    <row r="370" spans="1:6" ht="30" x14ac:dyDescent="0.2">
      <c r="A370" s="114" t="e">
        <f>IF(ISBLANK('Event summary'!#REF!),"",'Event summary'!#REF!)</f>
        <v>#REF!</v>
      </c>
      <c r="B370" s="115">
        <f>IF(ISBLANK('Event summary'!A370),"",'Event summary'!A370)</f>
        <v>370</v>
      </c>
      <c r="C370" s="115" t="str">
        <f>IF(ISBLANK('Event summary'!B370),"",'Event summary'!B370)</f>
        <v>שגיאת Care Path</v>
      </c>
      <c r="D370" s="116" t="str">
        <f>IF(ISBLANK('Event summary'!C370),"",'Event summary'!C370)</f>
        <v>שגיאת care path -  יש בעיה עם update care path  שמאפשר טיפול ללא תיקון של התוכנית.</v>
      </c>
      <c r="E370" s="116" t="str">
        <f>IF(ISBLANK('Event summary'!D370),"",'Event summary'!D370)</f>
        <v>Update care path יושייך גם לפיזיקה.</v>
      </c>
      <c r="F370" s="117">
        <f>IF(ISBLANK('Event summary'!E370),"",'Event summary'!E370)</f>
        <v>44612</v>
      </c>
    </row>
    <row r="371" spans="1:6" ht="42.75" x14ac:dyDescent="0.2">
      <c r="A371" s="114" t="e">
        <f>IF(ISBLANK('Event summary'!#REF!),"",'Event summary'!#REF!)</f>
        <v>#REF!</v>
      </c>
      <c r="B371" s="115">
        <f>IF(ISBLANK('Event summary'!A371),"",'Event summary'!A371)</f>
        <v>371</v>
      </c>
      <c r="C371" s="115" t="str">
        <f>IF(ISBLANK('Event summary'!B371),"",'Event summary'!B371)</f>
        <v>סריקה לא תקינה</v>
      </c>
      <c r="D371" s="116" t="str">
        <f>IF(ISBLANK('Event summary'!C371),"",'Event summary'!C371)</f>
        <v>סריקה לא תקינה - בוצעה סריקה על מתקן שד שאינו מאוזן. נדרשה סימולציה חוזרת.</v>
      </c>
      <c r="E371" s="116" t="str">
        <f>IF(ISBLANK('Event summary'!D371),"",'Event summary'!D371)</f>
        <v>להקפיד על עבודה לפי פרוטוקול. ירועננו הפרוטוקולים של הסיטי ותתקיים ישיבה בנושא. קיימת בעיה בקמליון רנטגנאים לא רואים את ההנחיות של הרופאים.</v>
      </c>
      <c r="F371" s="117">
        <f>IF(ISBLANK('Event summary'!E371),"",'Event summary'!E371)</f>
        <v>44612</v>
      </c>
    </row>
    <row r="372" spans="1:6" ht="42.75" x14ac:dyDescent="0.2">
      <c r="A372" s="114" t="e">
        <f>IF(ISBLANK('Event summary'!#REF!),"",'Event summary'!#REF!)</f>
        <v>#REF!</v>
      </c>
      <c r="B372" s="115">
        <f>IF(ISBLANK('Event summary'!A372),"",'Event summary'!A372)</f>
        <v>372</v>
      </c>
      <c r="C372" s="115" t="str">
        <f>IF(ISBLANK('Event summary'!B372),"",'Event summary'!B372)</f>
        <v>סריקה לא תקינה</v>
      </c>
      <c r="D372" s="116" t="str">
        <f>IF(ISBLANK('Event summary'!C372),"",'Event summary'!C372)</f>
        <v>סריקה לא תקינה - סימולציה שאינה מותאמת נכון אין מספק מרחק בתחתית הסריקה ומרחק גדול בחלק העליון שלה.</v>
      </c>
      <c r="E372" s="116" t="str">
        <f>IF(ISBLANK('Event summary'!D372),"",'Event summary'!D372)</f>
        <v>להקפיד על עבודה לפי פרוטוקול. ירועננו הפרוטוקולים של הסיטי ותתקיים ישיבה בנושא. קיימת בעיה בקמליון רנטגנאים לא רואים את ההנחיות של הרופאים.</v>
      </c>
      <c r="F372" s="117">
        <f>IF(ISBLANK('Event summary'!E372),"",'Event summary'!E372)</f>
        <v>44612</v>
      </c>
    </row>
    <row r="373" spans="1:6" ht="42.75" x14ac:dyDescent="0.2">
      <c r="A373" s="114" t="e">
        <f>IF(ISBLANK('Event summary'!#REF!),"",'Event summary'!#REF!)</f>
        <v>#REF!</v>
      </c>
      <c r="B373" s="115">
        <f>IF(ISBLANK('Event summary'!A373),"",'Event summary'!A373)</f>
        <v>373</v>
      </c>
      <c r="C373" s="115" t="str">
        <f>IF(ISBLANK('Event summary'!B373),"",'Event summary'!B373)</f>
        <v>סריקה לא תקינה</v>
      </c>
      <c r="D373" s="116" t="str">
        <f>IF(ISBLANK('Event summary'!C373),"",'Event summary'!C373)</f>
        <v>סריקה לא תקינה - שימוש לא נכון באמצעי קיבוע. אי שימוש ב- SEMAR.</v>
      </c>
      <c r="E373" s="116" t="str">
        <f>IF(ISBLANK('Event summary'!D373),"",'Event summary'!D373)</f>
        <v>להקפיד על עבודה לפי פרוטוקול. ירועננו הפרוטוקולים של הסיטי ותתקיים ישיבה בנושא. קיימת בעיה בקמליון רנטגנאים לא רואים את ההנחיות של הרופאים.</v>
      </c>
      <c r="F373" s="117">
        <f>IF(ISBLANK('Event summary'!E373),"",'Event summary'!E373)</f>
        <v>44612</v>
      </c>
    </row>
    <row r="374" spans="1:6" ht="42.75" x14ac:dyDescent="0.2">
      <c r="A374" s="114" t="e">
        <f>IF(ISBLANK('Event summary'!#REF!),"",'Event summary'!#REF!)</f>
        <v>#REF!</v>
      </c>
      <c r="B374" s="115">
        <f>IF(ISBLANK('Event summary'!A374),"",'Event summary'!A374)</f>
        <v>374</v>
      </c>
      <c r="C374" s="115" t="str">
        <f>IF(ISBLANK('Event summary'!B374),"",'Event summary'!B374)</f>
        <v>סריקה לא תקינה</v>
      </c>
      <c r="D374" s="116" t="str">
        <f>IF(ISBLANK('Event summary'!C374),"",'Event summary'!C374)</f>
        <v>סריקה לא תקינה - סימולציה שאינה מותאמת נכון . הסריקה עם מרחק גדול בחלק העליון שלה.</v>
      </c>
      <c r="E374" s="116" t="str">
        <f>IF(ISBLANK('Event summary'!D374),"",'Event summary'!D374)</f>
        <v>להקפיד על עבודה לפי פרוטוקול. ירועננו הפרוטוקולים של הסיטי ותתקיים ישיבה בנושא. קיימת בעיה בקמליון רנטגנאים לא רואים את ההנחיות של הרופאים.</v>
      </c>
      <c r="F374" s="117">
        <f>IF(ISBLANK('Event summary'!E374),"",'Event summary'!E374)</f>
        <v>44612</v>
      </c>
    </row>
    <row r="375" spans="1:6" ht="42.75" x14ac:dyDescent="0.2">
      <c r="A375" s="114" t="e">
        <f>IF(ISBLANK('Event summary'!#REF!),"",'Event summary'!#REF!)</f>
        <v>#REF!</v>
      </c>
      <c r="B375" s="115">
        <f>IF(ISBLANK('Event summary'!A375),"",'Event summary'!A375)</f>
        <v>375</v>
      </c>
      <c r="C375" s="115" t="str">
        <f>IF(ISBLANK('Event summary'!B375),"",'Event summary'!B375)</f>
        <v>סריקה לא תקינה</v>
      </c>
      <c r="D375" s="116" t="str">
        <f>IF(ISBLANK('Event summary'!C375),"",'Event summary'!C375)</f>
        <v>סריקה לא תקינה - סריקה ארוכה ללא צורך.</v>
      </c>
      <c r="E375" s="116" t="str">
        <f>IF(ISBLANK('Event summary'!D375),"",'Event summary'!D375)</f>
        <v>להקפיד על עבודה לפי פרוטוקול. ירועננו הפרוטוקולים של הסיטי ותתקיים ישיבה בנושא. קיימת בעיה בקמליון רנטגנאים לא רואים את ההנחיות של הרופאים.</v>
      </c>
      <c r="F375" s="117">
        <f>IF(ISBLANK('Event summary'!E375),"",'Event summary'!E375)</f>
        <v>44612</v>
      </c>
    </row>
    <row r="376" spans="1:6" ht="42.75" x14ac:dyDescent="0.2">
      <c r="A376" s="114" t="e">
        <f>IF(ISBLANK('Event summary'!#REF!),"",'Event summary'!#REF!)</f>
        <v>#REF!</v>
      </c>
      <c r="B376" s="115">
        <f>IF(ISBLANK('Event summary'!A376),"",'Event summary'!A376)</f>
        <v>376</v>
      </c>
      <c r="C376" s="115" t="str">
        <f>IF(ISBLANK('Event summary'!B376),"",'Event summary'!B376)</f>
        <v>סריקה לא תקינה</v>
      </c>
      <c r="D376" s="116" t="str">
        <f>IF(ISBLANK('Event summary'!C376),"",'Event summary'!C376)</f>
        <v>סריקה לא תקינה - מטופלת הושכבה עקום. נדרשה סימולציה חוזרת.</v>
      </c>
      <c r="E376" s="116" t="str">
        <f>IF(ISBLANK('Event summary'!D376),"",'Event summary'!D376)</f>
        <v>להקפיד על עבודה לפי פרוטוקול. ירועננו הפרוטוקולים של הסיטי ותתקיים ישיבה בנושא. קיימת בעיה בקמליון רנטגנאים לא רואים את ההנחיות של הרופאים.</v>
      </c>
      <c r="F376" s="117">
        <f>IF(ISBLANK('Event summary'!E376),"",'Event summary'!E376)</f>
        <v>44612</v>
      </c>
    </row>
    <row r="377" spans="1:6" ht="28.5" x14ac:dyDescent="0.2">
      <c r="A377" s="114" t="e">
        <f>IF(ISBLANK('Event summary'!#REF!),"",'Event summary'!#REF!)</f>
        <v>#REF!</v>
      </c>
      <c r="B377" s="115">
        <f>IF(ISBLANK('Event summary'!A377),"",'Event summary'!A377)</f>
        <v>377</v>
      </c>
      <c r="C377" s="115" t="str">
        <f>IF(ISBLANK('Event summary'!B377),"",'Event summary'!B377)</f>
        <v>תכנון שגוי</v>
      </c>
      <c r="D377" s="116" t="str">
        <f>IF(ISBLANK('Event summary'!C377),"",'Event summary'!C377)</f>
        <v>תכנון שגוי -  ציור ושדות סומנו על CT ישן (מלפני חצי שנה).</v>
      </c>
      <c r="E377" s="116" t="str">
        <f>IF(ISBLANK('Event summary'!D377),"",'Event summary'!D377)</f>
        <v>במהלך ייבוא של סריקה מה- CT ישונו שמות הסריקות לתאריך הסריקה.</v>
      </c>
      <c r="F377" s="117">
        <f>IF(ISBLANK('Event summary'!E377),"",'Event summary'!E377)</f>
        <v>44612</v>
      </c>
    </row>
    <row r="378" spans="1:6" ht="42.75" x14ac:dyDescent="0.2">
      <c r="A378" s="114" t="e">
        <f>IF(ISBLANK('Event summary'!#REF!),"",'Event summary'!#REF!)</f>
        <v>#REF!</v>
      </c>
      <c r="B378" s="115">
        <f>IF(ISBLANK('Event summary'!A378),"",'Event summary'!A378)</f>
        <v>378</v>
      </c>
      <c r="C378" s="115" t="str">
        <f>IF(ISBLANK('Event summary'!B378),"",'Event summary'!B378)</f>
        <v>מתן טיפול שלא על פי הפרוטוקול</v>
      </c>
      <c r="D378" s="116" t="str">
        <f>IF(ISBLANK('Event summary'!C378),"",'Event summary'!C378)</f>
        <v>מתן טיפול שלא על פי הפרוטוקול -  מטופלת לקרינה פליאטיבית קבלה טיפול באותו יום למרות שהכוונה היתה לטיפול ביום אחר.</v>
      </c>
      <c r="E378" s="116" t="str">
        <f>IF(ISBLANK('Event summary'!D378),"",'Event summary'!D378)</f>
        <v>שיוך המטופלים יהיו לרופא שקיבל אותם והוא יתכנן את המקרה. עבור מטופלים אשר מתקבלים וגם עוברים סימולציה באותו היום, במשרד יוסיפו "קבלה+ סימולציה".</v>
      </c>
      <c r="F378" s="117">
        <f>IF(ISBLANK('Event summary'!E378),"",'Event summary'!E378)</f>
        <v>44626</v>
      </c>
    </row>
    <row r="379" spans="1:6" ht="57" x14ac:dyDescent="0.2">
      <c r="A379" s="114" t="e">
        <f>IF(ISBLANK('Event summary'!#REF!),"",'Event summary'!#REF!)</f>
        <v>#REF!</v>
      </c>
      <c r="B379" s="115">
        <f>IF(ISBLANK('Event summary'!A379),"",'Event summary'!A379)</f>
        <v>379</v>
      </c>
      <c r="C379" s="115" t="str">
        <f>IF(ISBLANK('Event summary'!B379),"",'Event summary'!B379)</f>
        <v>העברת מידע</v>
      </c>
      <c r="D379" s="116" t="str">
        <f>IF(ISBLANK('Event summary'!C379),"",'Event summary'!C379)</f>
        <v>העברת מידע - בהחלטה רפואית שונתה תוכנית  לטיפול ללא ספייסר. המדע לא הועבר למטופל על ידי הרופא המטפל.</v>
      </c>
      <c r="E379" s="116" t="str">
        <f>IF(ISBLANK('Event summary'!D379),"",'Event summary'!D379)</f>
        <v>עבור שינוי בתכנית טיפול, יהיה באחריות הרופא המטפל ליידע את המטופל על אופי השינוי. עבור שינוי במועד טיפול ברגע האחרון, יהיה הרופא אחראי ליידע את המטופל. אחרת ניתן לבקש ממזכירות לתאם עם המטופל את השינוי.</v>
      </c>
      <c r="F379" s="117">
        <f>IF(ISBLANK('Event summary'!E379),"",'Event summary'!E379)</f>
        <v>44626</v>
      </c>
    </row>
    <row r="380" spans="1:6" ht="28.5" x14ac:dyDescent="0.2">
      <c r="A380" s="114" t="e">
        <f>IF(ISBLANK('Event summary'!#REF!),"",'Event summary'!#REF!)</f>
        <v>#REF!</v>
      </c>
      <c r="B380" s="115">
        <f>IF(ISBLANK('Event summary'!A380),"",'Event summary'!A380)</f>
        <v>380</v>
      </c>
      <c r="C380" s="115" t="str">
        <f>IF(ISBLANK('Event summary'!B380),"",'Event summary'!B380)</f>
        <v>תיעוד לא תקין</v>
      </c>
      <c r="D380" s="116" t="str">
        <f>IF(ISBLANK('Event summary'!C380),"",'Event summary'!C380)</f>
        <v>תיעוד לא תקין - נפתח ביקור ללא נוכחות במקום ביקור עם נוכחות. לכן לא ניתן  היה לבצע קבלה באופן מלא.</v>
      </c>
      <c r="E380" s="116" t="str">
        <f>IF(ISBLANK('Event summary'!D380),"",'Event summary'!D380)</f>
        <v>יש לוודא קבלה מסודרת של כל המטופלים במזכירות.</v>
      </c>
      <c r="F380" s="117">
        <f>IF(ISBLANK('Event summary'!E380),"",'Event summary'!E380)</f>
        <v>44612</v>
      </c>
    </row>
    <row r="381" spans="1:6" ht="28.5" x14ac:dyDescent="0.2">
      <c r="A381" s="114" t="e">
        <f>IF(ISBLANK('Event summary'!#REF!),"",'Event summary'!#REF!)</f>
        <v>#REF!</v>
      </c>
      <c r="B381" s="115">
        <f>IF(ISBLANK('Event summary'!A381),"",'Event summary'!A381)</f>
        <v>381</v>
      </c>
      <c r="C381" s="115" t="str">
        <f>IF(ISBLANK('Event summary'!B381),"",'Event summary'!B381)</f>
        <v>העברת מידע</v>
      </c>
      <c r="D381" s="116" t="str">
        <f>IF(ISBLANK('Event summary'!C381),"",'Event summary'!C381)</f>
        <v>העברת מידע - מספר מקרים לא הועברה סריקה לאריה מהסימולטור באותו יום.</v>
      </c>
      <c r="E381" s="116" t="str">
        <f>IF(ISBLANK('Event summary'!D381),"",'Event summary'!D381)</f>
        <v>יבוצע ריענון הנוהל.</v>
      </c>
      <c r="F381" s="117">
        <f>IF(ISBLANK('Event summary'!E381),"",'Event summary'!E381)</f>
        <v>44626</v>
      </c>
    </row>
    <row r="382" spans="1:6" ht="42.75" x14ac:dyDescent="0.2">
      <c r="A382" s="114" t="e">
        <f>IF(ISBLANK('Event summary'!#REF!),"",'Event summary'!#REF!)</f>
        <v>#REF!</v>
      </c>
      <c r="B382" s="115">
        <f>IF(ISBLANK('Event summary'!A382),"",'Event summary'!A382)</f>
        <v>382</v>
      </c>
      <c r="C382" s="115" t="str">
        <f>IF(ISBLANK('Event summary'!B382),"",'Event summary'!B382)</f>
        <v>סריקה לא תקינה</v>
      </c>
      <c r="D382" s="116" t="str">
        <f>IF(ISBLANK('Event summary'!C382),"",'Event summary'!C382)</f>
        <v>סריקה לא תקינה - במהלך סימולציה עם BH, ניתן לראות שהנשימה אינה עמוקה מספיק.</v>
      </c>
      <c r="E382" s="116" t="str">
        <f>IF(ISBLANK('Event summary'!D382),"",'Event summary'!D382)</f>
        <v>יש להקפיד בכל שלב על תשומת לב למקרה ולבחון בעין ביקורתית את התכנון. אם משהו לא נראה טוב יש להתייעץ ואף לעצור את המשך התכנון אם צריך.</v>
      </c>
      <c r="F382" s="117">
        <f>IF(ISBLANK('Event summary'!E382),"",'Event summary'!E382)</f>
        <v>44626</v>
      </c>
    </row>
    <row r="383" spans="1:6" ht="57" x14ac:dyDescent="0.2">
      <c r="A383" s="114" t="e">
        <f>IF(ISBLANK('Event summary'!#REF!),"",'Event summary'!#REF!)</f>
        <v>#REF!</v>
      </c>
      <c r="B383" s="115">
        <f>IF(ISBLANK('Event summary'!A383),"",'Event summary'!A383)</f>
        <v>383</v>
      </c>
      <c r="C383" s="115" t="str">
        <f>IF(ISBLANK('Event summary'!B383),"",'Event summary'!B383)</f>
        <v>שגיאה בזיהוי מטופל</v>
      </c>
      <c r="D383" s="116" t="str">
        <f>IF(ISBLANK('Event summary'!C383),"",'Event summary'!C383)</f>
        <v>שגיאה בזיהוי מטופל - סריקה של מטופל שוייכה לתיק של מטופל אחר.</v>
      </c>
      <c r="E383" s="116" t="str">
        <f>IF(ISBLANK('Event summary'!D383),"",'Event summary'!D383)</f>
        <v>יש לפעול לפי נוהל העבודה בסימולציה ונהל זיהוי מטופל. אין להזין פרטים ללא וידוא של פרטי המטופל. בפרט יש לוודא שהמטופל ששוכב על המיטה תואם את המטופל שפתוח בעמדת הסריקה (טושיבה) ובאריה.</v>
      </c>
      <c r="F383" s="117">
        <f>IF(ISBLANK('Event summary'!E383),"",'Event summary'!E383)</f>
        <v>44626</v>
      </c>
    </row>
    <row r="384" spans="1:6" ht="42.75" x14ac:dyDescent="0.2">
      <c r="A384" s="114" t="e">
        <f>IF(ISBLANK('Event summary'!#REF!),"",'Event summary'!#REF!)</f>
        <v>#REF!</v>
      </c>
      <c r="B384" s="115">
        <f>IF(ISBLANK('Event summary'!A384),"",'Event summary'!A384)</f>
        <v>384</v>
      </c>
      <c r="C384" s="115" t="str">
        <f>IF(ISBLANK('Event summary'!B384),"",'Event summary'!B384)</f>
        <v>סימון שגוי</v>
      </c>
      <c r="D384" s="116" t="str">
        <f>IF(ISBLANK('Event summary'!C384),"",'Event summary'!C384)</f>
        <v>סימון שגוי- לאחר תיכנון טיפולת נתגלה שהיה צריך לתכנן על נשימה חופשית ולא  BH. בסימון החדש היו הפרשים גדולים בסימון</v>
      </c>
      <c r="E384" s="116" t="str">
        <f>IF(ISBLANK('Event summary'!D384),"",'Event summary'!D384)</f>
        <v>אופן הסימון של הבוסט בטיפולי שד ייבדק מול ספרות עדכנית.</v>
      </c>
      <c r="F384" s="117">
        <f>IF(ISBLANK('Event summary'!E384),"",'Event summary'!E384)</f>
        <v>44626</v>
      </c>
    </row>
    <row r="385" spans="1:6" ht="71.25" x14ac:dyDescent="0.2">
      <c r="A385" s="114" t="e">
        <f>IF(ISBLANK('Event summary'!#REF!),"",'Event summary'!#REF!)</f>
        <v>#REF!</v>
      </c>
      <c r="B385" s="115">
        <f>IF(ISBLANK('Event summary'!A385),"",'Event summary'!A385)</f>
        <v>385</v>
      </c>
      <c r="C385" s="115" t="str">
        <f>IF(ISBLANK('Event summary'!B385),"",'Event summary'!B385)</f>
        <v>סריקה לא תקינה</v>
      </c>
      <c r="D385" s="116" t="str">
        <f>IF(ISBLANK('Event summary'!C385),"",'Event summary'!C385)</f>
        <v>סריקה לא תקינה - המטופלת לא הושכבה במנח מאוזן יותר מ 4.5 מעלות ROLL.
ההגבלה במאיץ היא 3 מעלות. זוהי גם הגבלה אשר מביאה את המטופל להרגשה של חוסר יציבות בשכיבה ואפשרות של תזוזה.</v>
      </c>
      <c r="E385" s="116" t="str">
        <f>IF(ISBLANK('Event summary'!D385),"",'Event summary'!D385)</f>
        <v>במהלך השכבת המטופל יש להקפיד על כל הפרטים ובפרט לשים לב לפרמטרים של הקיבועים ולצורת השכיבה עליהם.</v>
      </c>
      <c r="F385" s="117">
        <f>IF(ISBLANK('Event summary'!E385),"",'Event summary'!E385)</f>
        <v>44626</v>
      </c>
    </row>
    <row r="386" spans="1:6" ht="30" x14ac:dyDescent="0.2">
      <c r="A386" s="114" t="e">
        <f>IF(ISBLANK('Event summary'!#REF!),"",'Event summary'!#REF!)</f>
        <v>#REF!</v>
      </c>
      <c r="B386" s="115">
        <f>IF(ISBLANK('Event summary'!A386),"",'Event summary'!A386)</f>
        <v>386</v>
      </c>
      <c r="C386" s="115" t="str">
        <f>IF(ISBLANK('Event summary'!B386),"",'Event summary'!B386)</f>
        <v>סריקה לא תקינה</v>
      </c>
      <c r="D386" s="116" t="str">
        <f>IF(ISBLANK('Event summary'!C386),"",'Event summary'!C386)</f>
        <v>סריקה לא תקינה - סריקה ארוכה ללא צורך.</v>
      </c>
      <c r="E386" s="116" t="str">
        <f>IF(ISBLANK('Event summary'!D386),"",'Event summary'!D386)</f>
        <v>אורך הסריקה בהחלטת הרופא. בעמוד שדרה, נדרשת נקודת מוצא לשם ספירה נכונה של החוליות.</v>
      </c>
      <c r="F386" s="117">
        <f>IF(ISBLANK('Event summary'!E386),"",'Event summary'!E386)</f>
        <v>44626</v>
      </c>
    </row>
    <row r="387" spans="1:6" ht="57" x14ac:dyDescent="0.2">
      <c r="A387" s="114" t="e">
        <f>IF(ISBLANK('Event summary'!#REF!),"",'Event summary'!#REF!)</f>
        <v>#REF!</v>
      </c>
      <c r="B387" s="115">
        <f>IF(ISBLANK('Event summary'!A387),"",'Event summary'!A387)</f>
        <v>387</v>
      </c>
      <c r="C387" s="115" t="str">
        <f>IF(ISBLANK('Event summary'!B387),"",'Event summary'!B387)</f>
        <v>סריקה לא תקינה</v>
      </c>
      <c r="D387" s="116" t="str">
        <f>IF(ISBLANK('Event summary'!C387),"",'Event summary'!C387)</f>
        <v>סריקה לא תקינה - מבדיקה לפני תכנון ניתן לראות כי המטופלת שוכבת ברוטציה על מתקן השד דבר אשר יקשה מאוד של שחזור ההשכבה בטיפול. כתוצאה מכך מנח הידיים אינו סימטרי כפי שניתן לראות.</v>
      </c>
      <c r="E387" s="116" t="str">
        <f>IF(ISBLANK('Event summary'!D387),"",'Event summary'!D387)</f>
        <v>במהלך השכבת המטופל יש להקפיד על כל הפרטים ובפרט לשים לב לפרמטרים של הקיבועים ולצורת השכיבה עליהם.</v>
      </c>
      <c r="F387" s="117">
        <f>IF(ISBLANK('Event summary'!E387),"",'Event summary'!E387)</f>
        <v>44626</v>
      </c>
    </row>
    <row r="388" spans="1:6" ht="57" x14ac:dyDescent="0.2">
      <c r="A388" s="114" t="e">
        <f>IF(ISBLANK('Event summary'!#REF!),"",'Event summary'!#REF!)</f>
        <v>#REF!</v>
      </c>
      <c r="B388" s="115">
        <f>IF(ISBLANK('Event summary'!A388),"",'Event summary'!A388)</f>
        <v>388</v>
      </c>
      <c r="C388" s="115" t="str">
        <f>IF(ISBLANK('Event summary'!B388),"",'Event summary'!B388)</f>
        <v>חוסר תשומת לב</v>
      </c>
      <c r="D388" s="116" t="str">
        <f>IF(ISBLANK('Event summary'!C388),"",'Event summary'!C388)</f>
        <v>חוסר תשומת לב - התוכנית התקבלה לחתימה שניה ובה נצפתה בעייה בסימולצייה שעלולה לפגום במיקום הסימון של הגידול (GTV) ובנפח הכולל וכן בהתאמת המיקום במאיץ.</v>
      </c>
      <c r="E388" s="116" t="str">
        <f>IF(ISBLANK('Event summary'!D388),"",'Event summary'!D388)</f>
        <v> המקרה נסרק (רנטגנאים), סומן (רופא) ותוכנן (פיזיקאי) למרות שהסריקה אינה איכותית. יש להקפיד בכל שלב על תשומת לב למקרה ולבחון בעין ביקורתית את התכנון. אם משהו לא נראה טוב יש להתייעץ ואף לעצור את המשך התכנון אם צריך.</v>
      </c>
      <c r="F388" s="117">
        <f>IF(ISBLANK('Event summary'!E388),"",'Event summary'!E388)</f>
        <v>44626</v>
      </c>
    </row>
    <row r="389" spans="1:6" ht="57" x14ac:dyDescent="0.2">
      <c r="A389" s="114" t="e">
        <f>IF(ISBLANK('Event summary'!#REF!),"",'Event summary'!#REF!)</f>
        <v>#REF!</v>
      </c>
      <c r="B389" s="115">
        <f>IF(ISBLANK('Event summary'!A389),"",'Event summary'!A389)</f>
        <v>389</v>
      </c>
      <c r="C389" s="115" t="str">
        <f>IF(ISBLANK('Event summary'!B389),"",'Event summary'!B389)</f>
        <v>תיעוד לא תקין</v>
      </c>
      <c r="D389" s="116" t="str">
        <f>IF(ISBLANK('Event summary'!C389),"",'Event summary'!C389)</f>
        <v xml:space="preserve">תיעוד לא תקין - 1 מ4 מרשים לא היה חתום ועל כן לא תוכנן. הרופא לא נשאל על המרשם הרביעי ולכן היה צורך לתכנן מחדש על מנת להוסיף את המוקד הנוסף. הטיפול נדחה עקב כך. </v>
      </c>
      <c r="E389" s="116" t="str">
        <f>IF(ISBLANK('Event summary'!D389),"",'Event summary'!D389)</f>
        <v>במקרים מורכבים יש צורך בתקשורת ישירה בין הצוותים. על הרופא להציג את המקרה והדרישות המיוחדות מהפיזיקאי המתכנן. על הפיזיקאי המתכנן נדרש לבקש הבהרות מהרופא עבור כל סוגיה לא פתורה. </v>
      </c>
      <c r="F389" s="117">
        <f>IF(ISBLANK('Event summary'!E389),"",'Event summary'!E389)</f>
        <v>44626</v>
      </c>
    </row>
    <row r="390" spans="1:6" ht="42.75" x14ac:dyDescent="0.2">
      <c r="A390" s="114" t="e">
        <f>IF(ISBLANK('Event summary'!#REF!),"",'Event summary'!#REF!)</f>
        <v>#REF!</v>
      </c>
      <c r="B390" s="115">
        <f>IF(ISBLANK('Event summary'!A390),"",'Event summary'!A390)</f>
        <v>390</v>
      </c>
      <c r="C390" s="115" t="str">
        <f>IF(ISBLANK('Event summary'!B390),"",'Event summary'!B390)</f>
        <v>סימון שגוי</v>
      </c>
      <c r="D390" s="116" t="str">
        <f>IF(ISBLANK('Event summary'!C390),"",'Event summary'!C390)</f>
        <v>סימון שגוי - בסימון המקורי סימון יותר מ3 חוליות. בקשה לרופא לבדוק התיק שוב לאחר בדיקה תוקן הסימון ונשלח לחישוב חוזר.</v>
      </c>
      <c r="E390" s="116" t="str">
        <f>IF(ISBLANK('Event summary'!D390),"",'Event summary'!D390)</f>
        <v>יש להקפיד בכל שלב על תשומת לב למקרה ולבחון בעין ביקורתית את התכנון. אם משהו לא נראה טוב יש להתייעץ ואף לעצור את המשך התכנון אם צריך.</v>
      </c>
      <c r="F390" s="117">
        <f>IF(ISBLANK('Event summary'!E390),"",'Event summary'!E390)</f>
        <v>44626</v>
      </c>
    </row>
    <row r="391" spans="1:6" ht="45" x14ac:dyDescent="0.2">
      <c r="A391" s="114" t="e">
        <f>IF(ISBLANK('Event summary'!#REF!),"",'Event summary'!#REF!)</f>
        <v>#REF!</v>
      </c>
      <c r="B391" s="115">
        <f>IF(ISBLANK('Event summary'!A391),"",'Event summary'!A391)</f>
        <v>391</v>
      </c>
      <c r="C391" s="115" t="str">
        <f>IF(ISBLANK('Event summary'!B391),"",'Event summary'!B391)</f>
        <v>תיק ללא אישורים מספקים</v>
      </c>
      <c r="D391" s="116" t="str">
        <f>IF(ISBLANK('Event summary'!C391),"",'Event summary'!C391)</f>
        <v xml:space="preserve">תיק ללא אישורים מספקים - מטופל הגיעה לסימולציה מתוכננת. בפועל קבל 2 סימולציות + טיפול עם טופס 17 אחד בלבד במקום 3. </v>
      </c>
      <c r="E391" s="116" t="str">
        <f>IF(ISBLANK('Event summary'!D391),"",'Event summary'!D391)</f>
        <v>יבוצעו ההדרכות הבאות: לרופאים על התחייבויות וקודים. לרנטגנאים על סריקה מרובת מוקדים למטופלים מקופות זרות.</v>
      </c>
      <c r="F391" s="117">
        <f>IF(ISBLANK('Event summary'!E391),"",'Event summary'!E391)</f>
        <v>44647</v>
      </c>
    </row>
    <row r="392" spans="1:6" ht="28.5" x14ac:dyDescent="0.2">
      <c r="A392" s="114" t="e">
        <f>IF(ISBLANK('Event summary'!#REF!),"",'Event summary'!#REF!)</f>
        <v>#REF!</v>
      </c>
      <c r="B392" s="115">
        <f>IF(ISBLANK('Event summary'!A392),"",'Event summary'!A392)</f>
        <v>392</v>
      </c>
      <c r="C392" s="115" t="str">
        <f>IF(ISBLANK('Event summary'!B392),"",'Event summary'!B392)</f>
        <v>מרשם שגוי</v>
      </c>
      <c r="D392" s="116" t="str">
        <f>IF(ISBLANK('Event summary'!C392),"",'Event summary'!C392)</f>
        <v>מרשם שגוי - לתכנון דופן חזה ימין, שויך מרשם של שד+ SIB</v>
      </c>
      <c r="E392" s="116" t="str">
        <f>IF(ISBLANK('Event summary'!D392),"",'Event summary'!D392)</f>
        <v>במסגרת פרוייקט סטנדרטיזציה של המרשמים יאוחדו המרשמים של שד ובית חזה.</v>
      </c>
      <c r="F392" s="117">
        <f>IF(ISBLANK('Event summary'!E392),"",'Event summary'!E392)</f>
        <v>44647</v>
      </c>
    </row>
    <row r="393" spans="1:6" ht="42.75" x14ac:dyDescent="0.2">
      <c r="A393" s="114" t="e">
        <f>IF(ISBLANK('Event summary'!#REF!),"",'Event summary'!#REF!)</f>
        <v>#REF!</v>
      </c>
      <c r="B393" s="115">
        <f>IF(ISBLANK('Event summary'!A393),"",'Event summary'!A393)</f>
        <v>393</v>
      </c>
      <c r="C393" s="115" t="str">
        <f>IF(ISBLANK('Event summary'!B393),"",'Event summary'!B393)</f>
        <v>תקשורת לקויה</v>
      </c>
      <c r="D393" s="116" t="str">
        <f>IF(ISBLANK('Event summary'!C393),"",'Event summary'!C393)</f>
        <v>תקשורת לקויה -  מטופלת הגיעה לטיפול  ברכי ברונכוס. ניתן אישור לפרוצדורה על ידי מנהל היחידה אך המידע לא אבר לרנטגנאים.</v>
      </c>
      <c r="E393" s="116" t="str">
        <f>IF(ISBLANK('Event summary'!D393),"",'Event summary'!D393)</f>
        <v>כל טיפולי ברכיתרפיה לברונכוס הוקפאו עד הודעה חדשה של מנהל היחידה ד"ר לימון.</v>
      </c>
      <c r="F393" s="117">
        <f>IF(ISBLANK('Event summary'!E393),"",'Event summary'!E393)</f>
        <v>44647</v>
      </c>
    </row>
    <row r="394" spans="1:6" ht="30" x14ac:dyDescent="0.2">
      <c r="A394" s="114" t="e">
        <f>IF(ISBLANK('Event summary'!#REF!),"",'Event summary'!#REF!)</f>
        <v>#REF!</v>
      </c>
      <c r="B394" s="115">
        <f>IF(ISBLANK('Event summary'!A394),"",'Event summary'!A394)</f>
        <v>394</v>
      </c>
      <c r="C394" s="115" t="str">
        <f>IF(ISBLANK('Event summary'!B394),"",'Event summary'!B394)</f>
        <v>מתן טיפול שלא על פי הפרוטוקול</v>
      </c>
      <c r="D394" s="116" t="str">
        <f>IF(ISBLANK('Event summary'!C394),"",'Event summary'!C394)</f>
        <v>מתן טיפול שלא על פי הפרוטוקול - מטופלת קבלה טיפול ללא חתימות של רופא ופיזיקאי נוסף(חתימה שניה)</v>
      </c>
      <c r="E394" s="116" t="str">
        <f>IF(ISBLANK('Event summary'!D394),"",'Event summary'!D394)</f>
        <v>תתקיים ישיבה על נוהל עבודה של ברכיתרפיה.</v>
      </c>
      <c r="F394" s="117">
        <f>IF(ISBLANK('Event summary'!E394),"",'Event summary'!E394)</f>
        <v>44647</v>
      </c>
    </row>
    <row r="395" spans="1:6" ht="30" x14ac:dyDescent="0.2">
      <c r="A395" s="114" t="e">
        <f>IF(ISBLANK('Event summary'!#REF!),"",'Event summary'!#REF!)</f>
        <v>#REF!</v>
      </c>
      <c r="B395" s="115">
        <f>IF(ISBLANK('Event summary'!A395),"",'Event summary'!A395)</f>
        <v>395</v>
      </c>
      <c r="C395" s="115" t="str">
        <f>IF(ISBLANK('Event summary'!B395),"",'Event summary'!B395)</f>
        <v>מתן טיפול באופן שגוי</v>
      </c>
      <c r="D395" s="116" t="str">
        <f>IF(ISBLANK('Event summary'!C395),"",'Event summary'!C395)</f>
        <v>מתן טיפול באופן שגוי - מטופל קבל הטיפול הראשון ללא vaclock.  לא היה תעוד מספק בset up notes</v>
      </c>
      <c r="E395" s="116" t="str">
        <f>IF(ISBLANK('Event summary'!D395),"",'Event summary'!D395)</f>
        <v>יתקיים דיון על הדרישות והאינפורמציה הרצויה לצורך תכנון הניתנות מהסימולציה.</v>
      </c>
      <c r="F395" s="117">
        <f>IF(ISBLANK('Event summary'!E395),"",'Event summary'!E395)</f>
        <v>44647</v>
      </c>
    </row>
    <row r="396" spans="1:6" ht="42.75" x14ac:dyDescent="0.2">
      <c r="A396" s="114" t="e">
        <f>IF(ISBLANK('Event summary'!#REF!),"",'Event summary'!#REF!)</f>
        <v>#REF!</v>
      </c>
      <c r="B396" s="115">
        <f>IF(ISBLANK('Event summary'!A396),"",'Event summary'!A396)</f>
        <v>396</v>
      </c>
      <c r="C396" s="115" t="str">
        <f>IF(ISBLANK('Event summary'!B396),"",'Event summary'!B396)</f>
        <v>סריקה לא תקינה</v>
      </c>
      <c r="D396" s="116" t="str">
        <f>IF(ISBLANK('Event summary'!C396),"",'Event summary'!C396)</f>
        <v>סריקה לא תקינה - מטופל נסרק עם רקטום מלא.</v>
      </c>
      <c r="E396" s="116" t="str">
        <f>IF(ISBLANK('Event summary'!D396),"",'Event summary'!D396)</f>
        <v>תבוצע בדיקה של דרישות סימולציה לכל תחום מול הרופא הרלבנטי. בנוסף, רופא יידרש לאשר סימולציות לפני הורדת המטופל.</v>
      </c>
      <c r="F396" s="117">
        <f>IF(ISBLANK('Event summary'!E396),"",'Event summary'!E396)</f>
        <v>44647</v>
      </c>
    </row>
    <row r="397" spans="1:6" ht="42.75" x14ac:dyDescent="0.2">
      <c r="A397" s="114" t="e">
        <f>IF(ISBLANK('Event summary'!#REF!),"",'Event summary'!#REF!)</f>
        <v>#REF!</v>
      </c>
      <c r="B397" s="115">
        <f>IF(ISBLANK('Event summary'!A397),"",'Event summary'!A397)</f>
        <v>397</v>
      </c>
      <c r="C397" s="115" t="str">
        <f>IF(ISBLANK('Event summary'!B397),"",'Event summary'!B397)</f>
        <v>סריקה לא תקינה</v>
      </c>
      <c r="D397" s="116" t="str">
        <f>IF(ISBLANK('Event summary'!C397),"",'Event summary'!C397)</f>
        <v>סריקה לא תקינה - נסריקה לSBRT אגן עם ידיים בשדה</v>
      </c>
      <c r="E397" s="116" t="str">
        <f>IF(ISBLANK('Event summary'!D397),"",'Event summary'!D397)</f>
        <v>יתקיים דיון על הדרישות והאינפורמציה הרצויה לצורך תכנון הניתנות מהסימולציה. רופא יציין לצורך הסימולציה אם המקרה יתוכנן כפליאציה או ב- SBRT.</v>
      </c>
      <c r="F397" s="117">
        <f>IF(ISBLANK('Event summary'!E397),"",'Event summary'!E397)</f>
        <v>44647</v>
      </c>
    </row>
    <row r="398" spans="1:6" ht="30" x14ac:dyDescent="0.2">
      <c r="A398" s="114" t="e">
        <f>IF(ISBLANK('Event summary'!#REF!),"",'Event summary'!#REF!)</f>
        <v>#REF!</v>
      </c>
      <c r="B398" s="115">
        <f>IF(ISBLANK('Event summary'!A398),"",'Event summary'!A398)</f>
        <v>398</v>
      </c>
      <c r="C398" s="115" t="str">
        <f>IF(ISBLANK('Event summary'!B398),"",'Event summary'!B398)</f>
        <v>סריקה לא תקינה</v>
      </c>
      <c r="D398" s="116" t="str">
        <f>IF(ISBLANK('Event summary'!C398),"",'Event summary'!C398)</f>
        <v>סריקה לא תקינה - ארטפקטים בסריקה בסימולטור GE</v>
      </c>
      <c r="E398" s="116" t="str">
        <f>IF(ISBLANK('Event summary'!D398),"",'Event summary'!D398)</f>
        <v>הוצאה הנחייה לא לבצע סימולציות ב GE עד תיקון איכות התמונה. יקבעו נהלי בדיקות איכות לסימולטורים.</v>
      </c>
      <c r="F398" s="117">
        <f>IF(ISBLANK('Event summary'!E398),"",'Event summary'!E398)</f>
        <v>44647</v>
      </c>
    </row>
    <row r="399" spans="1:6" ht="42.75" x14ac:dyDescent="0.2">
      <c r="A399" s="114" t="e">
        <f>IF(ISBLANK('Event summary'!#REF!),"",'Event summary'!#REF!)</f>
        <v>#REF!</v>
      </c>
      <c r="B399" s="115">
        <f>IF(ISBLANK('Event summary'!A399),"",'Event summary'!A399)</f>
        <v>399</v>
      </c>
      <c r="C399" s="115" t="str">
        <f>IF(ISBLANK('Event summary'!B399),"",'Event summary'!B399)</f>
        <v>העברת מידע</v>
      </c>
      <c r="D399" s="116" t="str">
        <f>IF(ISBLANK('Event summary'!C399),"",'Event summary'!C399)</f>
        <v>העברת מידע - תיק דחוף נתקע בשלב של קביעת תור כיוון שבצהריים אין רנטגנאי תורים</v>
      </c>
      <c r="E399" s="116" t="str">
        <f>IF(ISBLANK('Event summary'!D399),"",'Event summary'!D399)</f>
        <v>לא נקבלה החלטה בנושא של קביעת מאיץ לדחופים. ה- Care Path של המקרים הדחופים לא יכול להכיל רכיב זימון תור שעוצר את זרימת התכנון ועל כן צריך להימצא במקביל למסלול.</v>
      </c>
      <c r="F399" s="117">
        <f>IF(ISBLANK('Event summary'!E399),"",'Event summary'!E399)</f>
        <v>44647</v>
      </c>
    </row>
    <row r="400" spans="1:6" ht="28.5" x14ac:dyDescent="0.2">
      <c r="A400" s="114" t="e">
        <f>IF(ISBLANK('Event summary'!#REF!),"",'Event summary'!#REF!)</f>
        <v>#REF!</v>
      </c>
      <c r="B400" s="115">
        <f>IF(ISBLANK('Event summary'!A400),"",'Event summary'!A400)</f>
        <v>400</v>
      </c>
      <c r="C400" s="115" t="str">
        <f>IF(ISBLANK('Event summary'!B400),"",'Event summary'!B400)</f>
        <v>תכנון שגוי</v>
      </c>
      <c r="D400" s="116" t="str">
        <f>IF(ISBLANK('Event summary'!C400),"",'Event summary'!C400)</f>
        <v>תכנון שגוי - לא ניתן היה לטפל בשדה PA עבור מטופלת עקב גובה המיטה. הטיפול לא הושלם.</v>
      </c>
      <c r="E400" s="116" t="str">
        <f>IF(ISBLANK('Event summary'!D400),"",'Event summary'!D400)</f>
        <v/>
      </c>
      <c r="F400" s="117">
        <f>IF(ISBLANK('Event summary'!E400),"",'Event summary'!E400)</f>
        <v>44675</v>
      </c>
    </row>
    <row r="401" spans="1:6" ht="30" x14ac:dyDescent="0.2">
      <c r="A401" s="114" t="e">
        <f>IF(ISBLANK('Event summary'!#REF!),"",'Event summary'!#REF!)</f>
        <v>#REF!</v>
      </c>
      <c r="B401" s="115">
        <f>IF(ISBLANK('Event summary'!A401),"",'Event summary'!A401)</f>
        <v>401</v>
      </c>
      <c r="C401" s="115" t="str">
        <f>IF(ISBLANK('Event summary'!B401),"",'Event summary'!B401)</f>
        <v>אי עמידה בזמנים</v>
      </c>
      <c r="D401" s="116" t="str">
        <f>IF(ISBLANK('Event summary'!C401),"",'Event summary'!C401)</f>
        <v>אי עמידה בזמנים - מטופלת דחופה המתינה כ 4.5 שעות עד טיפול.</v>
      </c>
      <c r="E401" s="116" t="str">
        <f>IF(ISBLANK('Event summary'!D401),"",'Event summary'!D401)</f>
        <v/>
      </c>
      <c r="F401" s="117">
        <f>IF(ISBLANK('Event summary'!E401),"",'Event summary'!E401)</f>
        <v>44675</v>
      </c>
    </row>
    <row r="402" spans="1:6" ht="30" x14ac:dyDescent="0.2">
      <c r="A402" s="114" t="e">
        <f>IF(ISBLANK('Event summary'!#REF!),"",'Event summary'!#REF!)</f>
        <v>#REF!</v>
      </c>
      <c r="B402" s="115">
        <f>IF(ISBLANK('Event summary'!A402),"",'Event summary'!A402)</f>
        <v>402</v>
      </c>
      <c r="C402" s="115" t="str">
        <f>IF(ISBLANK('Event summary'!B402),"",'Event summary'!B402)</f>
        <v>סריקה לא תקינה</v>
      </c>
      <c r="D402" s="116" t="str">
        <f>IF(ISBLANK('Event summary'!C402),"",'Event summary'!C402)</f>
        <v>סריקה לא תקינה - עבור טיפול SBRT, המטופל נסרק ללא מיטה.</v>
      </c>
      <c r="E402" s="116" t="str">
        <f>IF(ISBLANK('Event summary'!D402),"",'Event summary'!D402)</f>
        <v/>
      </c>
      <c r="F402" s="117">
        <f>IF(ISBLANK('Event summary'!E402),"",'Event summary'!E402)</f>
        <v>44675</v>
      </c>
    </row>
    <row r="403" spans="1:6" ht="42.75" x14ac:dyDescent="0.2">
      <c r="A403" s="114" t="e">
        <f>IF(ISBLANK('Event summary'!#REF!),"",'Event summary'!#REF!)</f>
        <v>#REF!</v>
      </c>
      <c r="B403" s="115">
        <f>IF(ISBLANK('Event summary'!A403),"",'Event summary'!A403)</f>
        <v>403</v>
      </c>
      <c r="C403" s="115" t="str">
        <f>IF(ISBLANK('Event summary'!B403),"",'Event summary'!B403)</f>
        <v>זימון תור לא מספק</v>
      </c>
      <c r="D403" s="116" t="str">
        <f>IF(ISBLANK('Event summary'!C403),"",'Event summary'!C403)</f>
        <v>זימון תור לא מספק - המטופלת קיבלה טיפול ב 9:20 וביקורת רופא ב 13:30. בפועל הועברה ב QFLOW  אחרונה בתור והמתינה כשעתיים לקבלת רופא.</v>
      </c>
      <c r="E403" s="116" t="str">
        <f>IF(ISBLANK('Event summary'!D403),"",'Event summary'!D403)</f>
        <v>מתבצע תהליך איחד יחידות. בתהליך זה יהיה מסלול אוטומטי של זימונים (למשל מאיץ + רופא). לא ניתן להחליף את סדר הפעולות. יתבצע בימים הקרובים.</v>
      </c>
      <c r="F403" s="117">
        <f>IF(ISBLANK('Event summary'!E403),"",'Event summary'!E403)</f>
        <v>44696</v>
      </c>
    </row>
    <row r="404" spans="1:6" ht="28.5" x14ac:dyDescent="0.2">
      <c r="A404" s="114" t="e">
        <f>IF(ISBLANK('Event summary'!#REF!),"",'Event summary'!#REF!)</f>
        <v>#REF!</v>
      </c>
      <c r="B404" s="115">
        <f>IF(ISBLANK('Event summary'!A404),"",'Event summary'!A404)</f>
        <v>404</v>
      </c>
      <c r="C404" s="115" t="str">
        <f>IF(ISBLANK('Event summary'!B404),"",'Event summary'!B404)</f>
        <v>תקשורת לקויה</v>
      </c>
      <c r="D404" s="116" t="str">
        <f>IF(ISBLANK('Event summary'!C404),"",'Event summary'!C404)</f>
        <v>תקשורת לקויה - התיק נדחה בחודש, הצוות הרלוונטי לא קיבל עדכון על השינוי.</v>
      </c>
      <c r="E404" s="116" t="str">
        <f>IF(ISBLANK('Event summary'!D404),"",'Event summary'!D404)</f>
        <v/>
      </c>
      <c r="F404" s="117">
        <f>IF(ISBLANK('Event summary'!E404),"",'Event summary'!E404)</f>
        <v>44675</v>
      </c>
    </row>
    <row r="405" spans="1:6" ht="42.75" x14ac:dyDescent="0.2">
      <c r="A405" s="114" t="e">
        <f>IF(ISBLANK('Event summary'!#REF!),"",'Event summary'!#REF!)</f>
        <v>#REF!</v>
      </c>
      <c r="B405" s="115">
        <f>IF(ISBLANK('Event summary'!A405),"",'Event summary'!A405)</f>
        <v>405</v>
      </c>
      <c r="C405" s="115" t="str">
        <f>IF(ISBLANK('Event summary'!B405),"",'Event summary'!B405)</f>
        <v>סריקה חוזרת</v>
      </c>
      <c r="D405" s="116" t="str">
        <f>IF(ISBLANK('Event summary'!C405),"",'Event summary'!C405)</f>
        <v>סריקה חוזרת -המטופל היה צריך להסרק עם שלפוחית מלאה ורקטום מרוקן. נסרק שלוש פעמים כאשר הרקטום אינו מתרוקן. הרופא קבע סימולציה חוזרת עם חוקן.</v>
      </c>
      <c r="E405" s="116" t="str">
        <f>IF(ISBLANK('Event summary'!D405),"",'Event summary'!D405)</f>
        <v/>
      </c>
      <c r="F405" s="117">
        <f>IF(ISBLANK('Event summary'!E405),"",'Event summary'!E405)</f>
        <v>44675</v>
      </c>
    </row>
    <row r="406" spans="1:6" ht="42.75" x14ac:dyDescent="0.2">
      <c r="A406" s="114" t="e">
        <f>IF(ISBLANK('Event summary'!#REF!),"",'Event summary'!#REF!)</f>
        <v>#REF!</v>
      </c>
      <c r="B406" s="115">
        <f>IF(ISBLANK('Event summary'!A406),"",'Event summary'!A406)</f>
        <v>406</v>
      </c>
      <c r="C406" s="115" t="str">
        <f>IF(ISBLANK('Event summary'!B406),"",'Event summary'!B406)</f>
        <v>העברת מידע</v>
      </c>
      <c r="D406" s="116" t="str">
        <f>IF(ISBLANK('Event summary'!C406),"",'Event summary'!C406)</f>
        <v>העברת מידע - המטופל הוזמן לביקור רופא ב 14:15 עם תור למאיץ ב- 18:20. בפועל המאיץ קרא למטופל לפני הביקור לרופא ולא הוחזר ב Qflow לרופא. המטופל המתין הרבה זמן.</v>
      </c>
      <c r="E406" s="116" t="str">
        <f>IF(ISBLANK('Event summary'!D406),"",'Event summary'!D406)</f>
        <v>מתבצע תהליך איחד יחידות. בתהליך זה יהיה מסלול אוטומטי של זימונים (למשל מאיץ + רופא). לא ניתן להחליף את סדר הפעולות. יתבצע בימים הקרובים.</v>
      </c>
      <c r="F406" s="117">
        <f>IF(ISBLANK('Event summary'!E406),"",'Event summary'!E406)</f>
        <v>44696</v>
      </c>
    </row>
    <row r="407" spans="1:6" ht="45" x14ac:dyDescent="0.2">
      <c r="A407" s="114" t="e">
        <f>IF(ISBLANK('Event summary'!#REF!),"",'Event summary'!#REF!)</f>
        <v>#REF!</v>
      </c>
      <c r="B407" s="115">
        <f>IF(ISBLANK('Event summary'!A407),"",'Event summary'!A407)</f>
        <v>407</v>
      </c>
      <c r="C407" s="115" t="str">
        <f>IF(ISBLANK('Event summary'!B407),"",'Event summary'!B407)</f>
        <v>תיק ללא אישורים מספקים</v>
      </c>
      <c r="D407" s="116" t="str">
        <f>IF(ISBLANK('Event summary'!C407),"",'Event summary'!C407)</f>
        <v>תיק ללא אישורים מספקים - אותו רופא חתם גם על התכנון וגם על בקרת האיכות.</v>
      </c>
      <c r="E407" s="116" t="str">
        <f>IF(ISBLANK('Event summary'!D407),"",'Event summary'!D407)</f>
        <v/>
      </c>
      <c r="F407" s="117">
        <f>IF(ISBLANK('Event summary'!E407),"",'Event summary'!E407)</f>
        <v>44675</v>
      </c>
    </row>
    <row r="408" spans="1:6" ht="30" x14ac:dyDescent="0.2">
      <c r="A408" s="114" t="e">
        <f>IF(ISBLANK('Event summary'!#REF!),"",'Event summary'!#REF!)</f>
        <v>#REF!</v>
      </c>
      <c r="B408" s="115">
        <f>IF(ISBLANK('Event summary'!A408),"",'Event summary'!A408)</f>
        <v>408</v>
      </c>
      <c r="C408" s="115" t="str">
        <f>IF(ISBLANK('Event summary'!B408),"",'Event summary'!B408)</f>
        <v>מתן טיפול בהיעדר מרשם</v>
      </c>
      <c r="D408" s="116" t="str">
        <f>IF(ISBLANK('Event summary'!C408),"",'Event summary'!C408)</f>
        <v>מתן טיפול בהיעדר מרשם - מטופלת קיבלה טיפול אינטראופרטיבי (IORT) ללא מרשם באריה.</v>
      </c>
      <c r="E408" s="116" t="str">
        <f>IF(ISBLANK('Event summary'!D408),"",'Event summary'!D408)</f>
        <v/>
      </c>
      <c r="F408" s="117">
        <f>IF(ISBLANK('Event summary'!E408),"",'Event summary'!E408)</f>
        <v>44675</v>
      </c>
    </row>
    <row r="409" spans="1:6" ht="28.5" x14ac:dyDescent="0.2">
      <c r="A409" s="114" t="e">
        <f>IF(ISBLANK('Event summary'!#REF!),"",'Event summary'!#REF!)</f>
        <v>#REF!</v>
      </c>
      <c r="B409" s="115">
        <f>IF(ISBLANK('Event summary'!A409),"",'Event summary'!A409)</f>
        <v>409</v>
      </c>
      <c r="C409" s="115" t="str">
        <f>IF(ISBLANK('Event summary'!B409),"",'Event summary'!B409)</f>
        <v>סימון שגוי</v>
      </c>
      <c r="D409" s="116" t="str">
        <f>IF(ISBLANK('Event summary'!C409),"",'Event summary'!C409)</f>
        <v>סימון שגוי - סימון לא עקבי מקשה על ביצוע חישוב ועמידה בהגבלות.</v>
      </c>
      <c r="E409" s="116" t="str">
        <f>IF(ISBLANK('Event summary'!D409),"",'Event summary'!D409)</f>
        <v/>
      </c>
      <c r="F409" s="117">
        <f>IF(ISBLANK('Event summary'!E409),"",'Event summary'!E409)</f>
        <v>44675</v>
      </c>
    </row>
    <row r="410" spans="1:6" ht="28.5" x14ac:dyDescent="0.2">
      <c r="A410" s="114" t="e">
        <f>IF(ISBLANK('Event summary'!#REF!),"",'Event summary'!#REF!)</f>
        <v>#REF!</v>
      </c>
      <c r="B410" s="115">
        <f>IF(ISBLANK('Event summary'!A410),"",'Event summary'!A410)</f>
        <v>410</v>
      </c>
      <c r="C410" s="115" t="str">
        <f>IF(ISBLANK('Event summary'!B410),"",'Event summary'!B410)</f>
        <v>חבלה גופנית</v>
      </c>
      <c r="D410" s="116" t="str">
        <f>IF(ISBLANK('Event summary'!C410),"",'Event summary'!C410)</f>
        <v>חבלה גופנית - מטופלת דחופה שברה את יד ימין לאחר סימולציה ולפני הטיפול.</v>
      </c>
      <c r="E410" s="116" t="str">
        <f>IF(ISBLANK('Event summary'!D410),"",'Event summary'!D410)</f>
        <v/>
      </c>
      <c r="F410" s="117">
        <f>IF(ISBLANK('Event summary'!E410),"",'Event summary'!E410)</f>
        <v>44675</v>
      </c>
    </row>
    <row r="411" spans="1:6" x14ac:dyDescent="0.2">
      <c r="A411" s="114" t="e">
        <f>IF(ISBLANK('Event summary'!#REF!),"",'Event summary'!#REF!)</f>
        <v>#REF!</v>
      </c>
      <c r="B411" s="115">
        <f>IF(ISBLANK('Event summary'!A411),"",'Event summary'!A411)</f>
        <v>411</v>
      </c>
      <c r="C411" s="115" t="str">
        <f>IF(ISBLANK('Event summary'!B411),"",'Event summary'!B411)</f>
        <v>תיעוד לא תקין</v>
      </c>
      <c r="D411" s="116" t="str">
        <f>IF(ISBLANK('Event summary'!C411),"",'Event summary'!C411)</f>
        <v>תיעוד לא תקין - מרשם נכתב על קורס ישן עם טיפול קודם.</v>
      </c>
      <c r="E411" s="116" t="str">
        <f>IF(ISBLANK('Event summary'!D411),"",'Event summary'!D411)</f>
        <v/>
      </c>
      <c r="F411" s="117">
        <f>IF(ISBLANK('Event summary'!E411),"",'Event summary'!E411)</f>
        <v>44675</v>
      </c>
    </row>
    <row r="412" spans="1:6" x14ac:dyDescent="0.2">
      <c r="A412" s="114" t="e">
        <f>IF(ISBLANK('Event summary'!#REF!),"",'Event summary'!#REF!)</f>
        <v>#REF!</v>
      </c>
      <c r="B412" s="115">
        <f>IF(ISBLANK('Event summary'!A412),"",'Event summary'!A412)</f>
        <v>412</v>
      </c>
      <c r="C412" s="115" t="str">
        <f>IF(ISBLANK('Event summary'!B412),"",'Event summary'!B412)</f>
        <v>תכנון שגוי</v>
      </c>
      <c r="D412" s="116" t="str">
        <f>IF(ISBLANK('Event summary'!C412),"",'Event summary'!C412)</f>
        <v>תכנון שגוי - תכנית טיפול תוכננה בקצב מנה נמוך 60 MU/min.</v>
      </c>
      <c r="E412" s="116" t="str">
        <f>IF(ISBLANK('Event summary'!D412),"",'Event summary'!D412)</f>
        <v/>
      </c>
      <c r="F412" s="117">
        <f>IF(ISBLANK('Event summary'!E412),"",'Event summary'!E412)</f>
        <v>44675</v>
      </c>
    </row>
    <row r="413" spans="1:6" ht="28.5" x14ac:dyDescent="0.2">
      <c r="A413" s="114" t="e">
        <f>IF(ISBLANK('Event summary'!#REF!),"",'Event summary'!#REF!)</f>
        <v>#REF!</v>
      </c>
      <c r="B413" s="115">
        <f>IF(ISBLANK('Event summary'!A413),"",'Event summary'!A413)</f>
        <v>413</v>
      </c>
      <c r="C413" s="115" t="str">
        <f>IF(ISBLANK('Event summary'!B413),"",'Event summary'!B413)</f>
        <v>תכנון שגוי</v>
      </c>
      <c r="D413" s="116" t="str">
        <f>IF(ISBLANK('Event summary'!C413),"",'Event summary'!C413)</f>
        <v>תכנון שגוי - כל ה- setup fields נוצרו עם סיבוב מיטה של 270. חתימה שניה לא עצר את התיק.</v>
      </c>
      <c r="E413" s="116" t="str">
        <f>IF(ISBLANK('Event summary'!D413),"",'Event summary'!D413)</f>
        <v>עבודת הפיזיקה תתבצע עם טמפלט מסודר למרבית התכנונים.</v>
      </c>
      <c r="F413" s="117">
        <f>IF(ISBLANK('Event summary'!E413),"",'Event summary'!E413)</f>
        <v>44745</v>
      </c>
    </row>
    <row r="414" spans="1:6" ht="42.75" x14ac:dyDescent="0.2">
      <c r="A414" s="114" t="e">
        <f>IF(ISBLANK('Event summary'!#REF!),"",'Event summary'!#REF!)</f>
        <v>#REF!</v>
      </c>
      <c r="B414" s="115">
        <f>IF(ISBLANK('Event summary'!A414),"",'Event summary'!A414)</f>
        <v>414</v>
      </c>
      <c r="C414" s="115" t="str">
        <f>IF(ISBLANK('Event summary'!B414),"",'Event summary'!B414)</f>
        <v>היעדר תיעוד</v>
      </c>
      <c r="D414" s="116" t="str">
        <f>IF(ISBLANK('Event summary'!C414),"",'Event summary'!C414)</f>
        <v>היעדר תיעוד - טיפול במאיץ לא נרשם בקמליון גם לאחר שיחה בין הרופא לרנטגנאי במאיץ.</v>
      </c>
      <c r="E414" s="116" t="str">
        <f>IF(ISBLANK('Event summary'!D414),"",'Event summary'!D414)</f>
        <v>ממשקים של קמליון, ATD ואריה נמצאים בעבודה. מטרת הממשק לסנכרן את העברת המידע בצורה אוטומטית ככל הניתן בין המערכות.</v>
      </c>
      <c r="F414" s="117">
        <f>IF(ISBLANK('Event summary'!E414),"",'Event summary'!E414)</f>
        <v>44710</v>
      </c>
    </row>
    <row r="415" spans="1:6" ht="28.5" x14ac:dyDescent="0.2">
      <c r="A415" s="114" t="e">
        <f>IF(ISBLANK('Event summary'!#REF!),"",'Event summary'!#REF!)</f>
        <v>#REF!</v>
      </c>
      <c r="B415" s="115">
        <f>IF(ISBLANK('Event summary'!A415),"",'Event summary'!A415)</f>
        <v>415</v>
      </c>
      <c r="C415" s="115" t="str">
        <f>IF(ISBLANK('Event summary'!B415),"",'Event summary'!B415)</f>
        <v>תקשורת לקויה</v>
      </c>
      <c r="D415" s="116" t="str">
        <f>IF(ISBLANK('Event summary'!C415),"",'Event summary'!C415)</f>
        <v>תקשורת לקויה - מטופל המתין זמן ממושך כיוון שהוכנס ליומן לא נכון ב Qflow.</v>
      </c>
      <c r="E415" s="116" t="str">
        <f>IF(ISBLANK('Event summary'!D415),"",'Event summary'!D415)</f>
        <v>טעות אנוש אין הנחיות מיוחדות.</v>
      </c>
      <c r="F415" s="117">
        <f>IF(ISBLANK('Event summary'!E415),"",'Event summary'!E415)</f>
        <v>44745</v>
      </c>
    </row>
    <row r="416" spans="1:6" ht="42.75" x14ac:dyDescent="0.2">
      <c r="A416" s="114" t="e">
        <f>IF(ISBLANK('Event summary'!#REF!),"",'Event summary'!#REF!)</f>
        <v>#REF!</v>
      </c>
      <c r="B416" s="115">
        <f>IF(ISBLANK('Event summary'!A416),"",'Event summary'!A416)</f>
        <v>416</v>
      </c>
      <c r="C416" s="115" t="str">
        <f>IF(ISBLANK('Event summary'!B416),"",'Event summary'!B416)</f>
        <v>סריקה לא תקינה</v>
      </c>
      <c r="D416" s="116" t="str">
        <f>IF(ISBLANK('Event summary'!C416),"",'Event summary'!C416)</f>
        <v>סריקה לא תקינה - ילדה קיבלה סריקה חוזרת כיוון שהסריקה הראשונה לא היתה ארוכה מספיק.</v>
      </c>
      <c r="E416" s="116" t="str">
        <f>IF(ISBLANK('Event summary'!D416),"",'Event summary'!D416)</f>
        <v>במקרה של ילדים בהרדמה יש לקרוא לרופא לבדיקת הסריקה לפני הורדת המטופל. יש לבדוק שיחת איזה מידע צריכים לקבל במעבר משניידר (גודל הסריקה הדרושה).</v>
      </c>
      <c r="F416" s="117">
        <f>IF(ISBLANK('Event summary'!E416),"",'Event summary'!E416)</f>
        <v>44710</v>
      </c>
    </row>
    <row r="417" spans="1:6" ht="28.5" x14ac:dyDescent="0.2">
      <c r="A417" s="114" t="e">
        <f>IF(ISBLANK('Event summary'!#REF!),"",'Event summary'!#REF!)</f>
        <v>#REF!</v>
      </c>
      <c r="B417" s="115">
        <f>IF(ISBLANK('Event summary'!A417),"",'Event summary'!A417)</f>
        <v>417</v>
      </c>
      <c r="C417" s="115" t="str">
        <f>IF(ISBLANK('Event summary'!B417),"",'Event summary'!B417)</f>
        <v>תיעוד לא תקין</v>
      </c>
      <c r="D417" s="116" t="str">
        <f>IF(ISBLANK('Event summary'!C417),"",'Event summary'!C417)</f>
        <v>תיעוד לא תקין - שגיאה בהזנה של ת.ז. במקום 32325923 נכתב 3232593 (חסרה הסיפרה 2).</v>
      </c>
      <c r="E417" s="116" t="str">
        <f>IF(ISBLANK('Event summary'!D417),"",'Event summary'!D417)</f>
        <v>פרוייקט ממשקים בין תכנות נמצע בעבודה. יתקיימו הדרכות צוות המזכירות על אריה. תבוצע בדיקה מדוע ה Care Path אינו תואם.</v>
      </c>
      <c r="F417" s="117">
        <f>IF(ISBLANK('Event summary'!E417),"",'Event summary'!E417)</f>
        <v>44696</v>
      </c>
    </row>
    <row r="418" spans="1:6" ht="42.75" x14ac:dyDescent="0.2">
      <c r="A418" s="114" t="e">
        <f>IF(ISBLANK('Event summary'!#REF!),"",'Event summary'!#REF!)</f>
        <v>#REF!</v>
      </c>
      <c r="B418" s="115">
        <f>IF(ISBLANK('Event summary'!A418),"",'Event summary'!A418)</f>
        <v>418</v>
      </c>
      <c r="C418" s="115" t="str">
        <f>IF(ISBLANK('Event summary'!B418),"",'Event summary'!B418)</f>
        <v>תכנון שגוי</v>
      </c>
      <c r="D418" s="116" t="str">
        <f>IF(ISBLANK('Event summary'!C418),"",'Event summary'!C418)</f>
        <v>שגיאה בתהליך תכנון - קיבל טיפול באלקטרונים בטרילוג'י. לא ניתן לראות מנות בתכנית (היתה תכנית עם מנות מחושבת למאיץ אחר כדי להדגים כיסוי, בסטטוס rejected).</v>
      </c>
      <c r="E418" s="116" t="str">
        <f>IF(ISBLANK('Event summary'!D418),"",'Event summary'!D418)</f>
        <v>ניתן להמשיך לתכנן למאיץ 3 ללא איזודוזות.</v>
      </c>
      <c r="F418" s="117">
        <f>IF(ISBLANK('Event summary'!E418),"",'Event summary'!E418)</f>
        <v>44696</v>
      </c>
    </row>
    <row r="419" spans="1:6" ht="42.75" x14ac:dyDescent="0.2">
      <c r="A419" s="114" t="e">
        <f>IF(ISBLANK('Event summary'!#REF!),"",'Event summary'!#REF!)</f>
        <v>#REF!</v>
      </c>
      <c r="B419" s="115">
        <f>IF(ISBLANK('Event summary'!A419),"",'Event summary'!A419)</f>
        <v>419</v>
      </c>
      <c r="C419" s="115" t="str">
        <f>IF(ISBLANK('Event summary'!B419),"",'Event summary'!B419)</f>
        <v>תקשורת לקויה</v>
      </c>
      <c r="D419" s="116" t="str">
        <f>IF(ISBLANK('Event summary'!C419),"",'Event summary'!C419)</f>
        <v>תקשורת לקויה – בעקבות שינוי תכנית טיפול אשר בוצע ברגע האחרון וחוסר תקשורת בין הצוותים, המטופלת הורדה מהשולחן.</v>
      </c>
      <c r="E419" s="116" t="str">
        <f>IF(ISBLANK('Event summary'!D419),"",'Event summary'!D419)</f>
        <v>במהלך שינויים בתכנון יש ליידע את הצוות הרלבנטי ואת המטופל. יבוצעו ישיבות QA בפיזיקה בנוכחות פיזיקאי ו- RTTQA.</v>
      </c>
      <c r="F419" s="117">
        <f>IF(ISBLANK('Event summary'!E419),"",'Event summary'!E419)</f>
        <v>44696</v>
      </c>
    </row>
    <row r="420" spans="1:6" ht="57" x14ac:dyDescent="0.2">
      <c r="A420" s="114" t="e">
        <f>IF(ISBLANK('Event summary'!#REF!),"",'Event summary'!#REF!)</f>
        <v>#REF!</v>
      </c>
      <c r="B420" s="115">
        <f>IF(ISBLANK('Event summary'!A420),"",'Event summary'!A420)</f>
        <v>420</v>
      </c>
      <c r="C420" s="115" t="str">
        <f>IF(ISBLANK('Event summary'!B420),"",'Event summary'!B420)</f>
        <v>תכנון שגוי</v>
      </c>
      <c r="D420" s="116" t="str">
        <f>IF(ISBLANK('Event summary'!C420),"",'Event summary'!C420)</f>
        <v>תכנון שגוי - למטופלת מרשם למנה כוללת של 6Gy בשתי פרקציות. בפועל המטופלת קיבלה את המנה הכוללת 6Gy בפרקציה אחת. המקרה דווח כאירוע לניהול סיכונים ומשרד הבריאות.</v>
      </c>
      <c r="E420" s="116" t="str">
        <f>IF(ISBLANK('Event summary'!D420),"",'Event summary'!D420)</f>
        <v>לא היתה בקרה נוספת. יש לבצע Time out. סימון קליני צריך להתבצע ע"י רופא + רנטגנאי/פיזיקאי במהלך קבלת המטופל אצל הרופא. הרנטגנאי צריך לעבור ביחד עם הפיזיקאי במאיץ על התכנית. כולל קריאה קפדנית של המרשם.</v>
      </c>
      <c r="F420" s="117">
        <f>IF(ISBLANK('Event summary'!E420),"",'Event summary'!E420)</f>
        <v>44696</v>
      </c>
    </row>
    <row r="421" spans="1:6" ht="57" x14ac:dyDescent="0.2">
      <c r="A421" s="114" t="e">
        <f>IF(ISBLANK('Event summary'!#REF!),"",'Event summary'!#REF!)</f>
        <v>#REF!</v>
      </c>
      <c r="B421" s="115">
        <f>IF(ISBLANK('Event summary'!A421),"",'Event summary'!A421)</f>
        <v>421</v>
      </c>
      <c r="C421" s="115" t="str">
        <f>IF(ISBLANK('Event summary'!B421),"",'Event summary'!B421)</f>
        <v>תכנון שגוי</v>
      </c>
      <c r="D421" s="116" t="str">
        <f>IF(ISBLANK('Event summary'!C421),"",'Event summary'!C421)</f>
        <v>תכנון שגוי - מטופלת הורדה מהשולחן עקב כמעט פגיעה של הגנטרי במטופלת והמיטה.</v>
      </c>
      <c r="E421" s="116" t="str">
        <f>IF(ISBLANK('Event summary'!D421),"",'Event summary'!D421)</f>
        <v>יש להנחות את הפיזיקאים עבור מקרי דופלקס להוריד את מרכז הטיפול (עבור מרכז משותף). פיזיקאי יעריך אם טיפול צפוי להיות ארוך מדי לצורך BH. רופא יבצע הערכת יכולת של מטופל לביצוע נשימה עמוקה במהלך הקבלה של המטופלת.</v>
      </c>
      <c r="F421" s="117">
        <f>IF(ISBLANK('Event summary'!E421),"",'Event summary'!E421)</f>
        <v>44710</v>
      </c>
    </row>
    <row r="422" spans="1:6" ht="30" x14ac:dyDescent="0.2">
      <c r="A422" s="114" t="e">
        <f>IF(ISBLANK('Event summary'!#REF!),"",'Event summary'!#REF!)</f>
        <v>#REF!</v>
      </c>
      <c r="B422" s="115">
        <f>IF(ISBLANK('Event summary'!A422),"",'Event summary'!A422)</f>
        <v>422</v>
      </c>
      <c r="C422" s="115" t="str">
        <f>IF(ISBLANK('Event summary'!B422),"",'Event summary'!B422)</f>
        <v>זימון תור לא מספק</v>
      </c>
      <c r="D422" s="116" t="str">
        <f>IF(ISBLANK('Event summary'!C422),"",'Event summary'!C422)</f>
        <v>זימון תור לא מספק - ריבוי התחלות טיפול לאחר השבתת מאיץ.</v>
      </c>
      <c r="E422" s="116" t="str">
        <f>IF(ISBLANK('Event summary'!D422),"",'Event summary'!D422)</f>
        <v>יש לבחון כיצד ליעל את אופן זרימת המטופלים לאחר טיפולים במאיץ.</v>
      </c>
      <c r="F422" s="117">
        <f>IF(ISBLANK('Event summary'!E422),"",'Event summary'!E422)</f>
        <v>44710</v>
      </c>
    </row>
    <row r="423" spans="1:6" ht="42.75" x14ac:dyDescent="0.2">
      <c r="A423" s="114" t="e">
        <f>IF(ISBLANK('Event summary'!#REF!),"",'Event summary'!#REF!)</f>
        <v>#REF!</v>
      </c>
      <c r="B423" s="115">
        <f>IF(ISBLANK('Event summary'!A423),"",'Event summary'!A423)</f>
        <v>423</v>
      </c>
      <c r="C423" s="115" t="str">
        <f>IF(ISBLANK('Event summary'!B423),"",'Event summary'!B423)</f>
        <v>בעיות קיבוע</v>
      </c>
      <c r="D423" s="116" t="str">
        <f>IF(ISBLANK('Event summary'!C423),"",'Event summary'!C423)</f>
        <v>בעיות קיבוע - מקרה Craniospinal Irradiation עם השכבה על CIVCO, VACLOCK AND BIONIX. ההשכבה  אינה נוחה ובטוחה למטופל.</v>
      </c>
      <c r="E423" s="116" t="str">
        <f>IF(ISBLANK('Event summary'!D423),"",'Event summary'!D423)</f>
        <v>להוציא דף הנחיות ל CNS לרנטגנאים. ההנחיות יכללו קיבועים ואופן ההשכבה של המטופל. יש להקפיד שסימולציות וטיפולים יבוצעו באותם תנאים.</v>
      </c>
      <c r="F423" s="117">
        <f>IF(ISBLANK('Event summary'!E423),"",'Event summary'!E423)</f>
        <v>44710</v>
      </c>
    </row>
    <row r="424" spans="1:6" ht="42.75" x14ac:dyDescent="0.2">
      <c r="A424" s="114" t="e">
        <f>IF(ISBLANK('Event summary'!#REF!),"",'Event summary'!#REF!)</f>
        <v>#REF!</v>
      </c>
      <c r="B424" s="115">
        <f>IF(ISBLANK('Event summary'!A424),"",'Event summary'!A424)</f>
        <v>424</v>
      </c>
      <c r="C424" s="115" t="str">
        <f>IF(ISBLANK('Event summary'!B424),"",'Event summary'!B424)</f>
        <v>מתן טיפול שלא על פי הפרוטוקול</v>
      </c>
      <c r="D424" s="116" t="str">
        <f>IF(ISBLANK('Event summary'!C424),"",'Event summary'!C424)</f>
        <v>מתן טיפול שלא על פי הפרוטוקול - מטופלת הושכבה באמצעות KV-KV כאשר בהוראת הרופא נתבקשו לבצע CBCT.</v>
      </c>
      <c r="E424" s="116" t="str">
        <f>IF(ISBLANK('Event summary'!D424),"",'Event summary'!D424)</f>
        <v>יש לבצע בדיקה של נהלי דימות במכון.</v>
      </c>
      <c r="F424" s="117">
        <f>IF(ISBLANK('Event summary'!E424),"",'Event summary'!E424)</f>
        <v>44710</v>
      </c>
    </row>
    <row r="425" spans="1:6" ht="42.75" x14ac:dyDescent="0.2">
      <c r="A425" s="114" t="e">
        <f>IF(ISBLANK('Event summary'!#REF!),"",'Event summary'!#REF!)</f>
        <v>#REF!</v>
      </c>
      <c r="B425" s="115">
        <f>IF(ISBLANK('Event summary'!A425),"",'Event summary'!A425)</f>
        <v>425</v>
      </c>
      <c r="C425" s="115" t="str">
        <f>IF(ISBLANK('Event summary'!B425),"",'Event summary'!B425)</f>
        <v xml:space="preserve">שגיאה טכנית </v>
      </c>
      <c r="D425" s="116" t="str">
        <f>IF(ISBLANK('Event summary'!C425),"",'Event summary'!C425)</f>
        <v>שגיאה טכנית - בתום טיפול לא ניתן היה להכנס לחדר המאיץ ולהוריד את המטופלת מהמיטה עקב תקיעה של הדלת. לא ניתן היה לפתוח את הדלת גם באמצעות פתיחת החירום.</v>
      </c>
      <c r="E425" s="116" t="str">
        <f>IF(ISBLANK('Event summary'!D425),"",'Event summary'!D425)</f>
        <v xml:space="preserve">תבוצע הדרכת חירום לפתיחת מאיצים. תתקיים פגישה עם אב הבית בכדי לסדר את עניין ההחזקה של המאיצים. יש למנות אחראי במכון אשר יתאם ויעקוב אחר על קיום הבדיקות התקופתיות. </v>
      </c>
      <c r="F425" s="117">
        <f>IF(ISBLANK('Event summary'!E425),"",'Event summary'!E425)</f>
        <v>44710</v>
      </c>
    </row>
    <row r="426" spans="1:6" ht="57" x14ac:dyDescent="0.2">
      <c r="A426" s="114" t="e">
        <f>IF(ISBLANK('Event summary'!#REF!),"",'Event summary'!#REF!)</f>
        <v>#REF!</v>
      </c>
      <c r="B426" s="115">
        <f>IF(ISBLANK('Event summary'!A426),"",'Event summary'!A426)</f>
        <v>426</v>
      </c>
      <c r="C426" s="115" t="str">
        <f>IF(ISBLANK('Event summary'!B426),"",'Event summary'!B426)</f>
        <v>חוסר תשומת לב</v>
      </c>
      <c r="D426" s="116" t="str">
        <f>IF(ISBLANK('Event summary'!C426),"",'Event summary'!C426)</f>
        <v>חוסר תשומת לב - במהלך הטיפול השלישי נתגלה ממצא חדש בצילום CBCT. בדיעבד ממצא זה היה גם בשני הטיפולים הקודמים. המטופל נשלח לסימולציה חוזרת.</v>
      </c>
      <c r="E426" s="116" t="str">
        <f>IF(ISBLANK('Event summary'!D426),"",'Event summary'!D426)</f>
        <v>הרופא המטפל ראה את ה CBCT אך הניח שמדובר בדלקת ולא גידול. המקרה יוצג לרופאים וישלח כדו"ח אירוע ליחידת ניהול סיכונים. ע"פ הנחיות של ASTRO ל- SBRT הטיפול צריך להתקיים עד שבועיים אחרי הסימולציה. במקרה זה משך הזמן היה חודש.</v>
      </c>
      <c r="F426" s="117">
        <f>IF(ISBLANK('Event summary'!E426),"",'Event summary'!E426)</f>
        <v>44710</v>
      </c>
    </row>
    <row r="427" spans="1:6" ht="30" x14ac:dyDescent="0.2">
      <c r="A427" s="114" t="e">
        <f>IF(ISBLANK('Event summary'!#REF!),"",'Event summary'!#REF!)</f>
        <v>#REF!</v>
      </c>
      <c r="B427" s="115">
        <f>IF(ISBLANK('Event summary'!A427),"",'Event summary'!A427)</f>
        <v>427</v>
      </c>
      <c r="C427" s="115" t="str">
        <f>IF(ISBLANK('Event summary'!B427),"",'Event summary'!B427)</f>
        <v>אי עמידה בזמנים</v>
      </c>
      <c r="D427" s="116" t="str">
        <f>IF(ISBLANK('Event summary'!C427),"",'Event summary'!C427)</f>
        <v>אי עמידה בזמנים - מטופל דחוף ממתין הרבה זמן . (מ 15:00 עד 19:45). Carepath לא עבר ולא נכתב מרשם.</v>
      </c>
      <c r="E427" s="116" t="str">
        <f>IF(ISBLANK('Event summary'!D427),"",'Event summary'!D427)</f>
        <v>יש לכתוב נהל דחופים עם הרופאים.</v>
      </c>
      <c r="F427" s="117">
        <f>IF(ISBLANK('Event summary'!E427),"",'Event summary'!E427)</f>
        <v>44710</v>
      </c>
    </row>
    <row r="428" spans="1:6" ht="42.75" x14ac:dyDescent="0.2">
      <c r="A428" s="114" t="e">
        <f>IF(ISBLANK('Event summary'!#REF!),"",'Event summary'!#REF!)</f>
        <v>#REF!</v>
      </c>
      <c r="B428" s="115">
        <f>IF(ISBLANK('Event summary'!A428),"",'Event summary'!A428)</f>
        <v>428</v>
      </c>
      <c r="C428" s="115" t="str">
        <f>IF(ISBLANK('Event summary'!B428),"",'Event summary'!B428)</f>
        <v>שגיאה בזיהוי מטופל</v>
      </c>
      <c r="D428" s="116" t="str">
        <f>IF(ISBLANK('Event summary'!C428),"",'Event summary'!C428)</f>
        <v xml:space="preserve">שגיאה בזיהוי מטופל - מספר זהות שגוי עם מספר נוסף באמצע. </v>
      </c>
      <c r="E428" s="116" t="str">
        <f>IF(ISBLANK('Event summary'!D428),"",'Event summary'!D428)</f>
        <v>ממשקים של קמליון, ATD ואריה נמצאים בעבודה. מטרת הממשק לסנכרן את העברת המידע בצורה אוטומטית ככל הניתן בין המערכות.</v>
      </c>
      <c r="F428" s="117">
        <f>IF(ISBLANK('Event summary'!E428),"",'Event summary'!E428)</f>
        <v>44731</v>
      </c>
    </row>
    <row r="429" spans="1:6" ht="42.75" x14ac:dyDescent="0.2">
      <c r="A429" s="114" t="e">
        <f>IF(ISBLANK('Event summary'!#REF!),"",'Event summary'!#REF!)</f>
        <v>#REF!</v>
      </c>
      <c r="B429" s="115">
        <f>IF(ISBLANK('Event summary'!A429),"",'Event summary'!A429)</f>
        <v>429</v>
      </c>
      <c r="C429" s="115" t="str">
        <f>IF(ISBLANK('Event summary'!B429),"",'Event summary'!B429)</f>
        <v>תכנון שגוי</v>
      </c>
      <c r="D429" s="116" t="str">
        <f>IF(ISBLANK('Event summary'!C429),"",'Event summary'!C429)</f>
        <v>שגיאה בתהליך תכנון - מטופל תוכנן למאיץ שגוי.</v>
      </c>
      <c r="E429" s="116" t="str">
        <f>IF(ISBLANK('Event summary'!D429),"",'Event summary'!D429)</f>
        <v>יש להנחות פיזיקאים להקפיד לשנות מאיץ עם שדות מוכנים מראש. עבור מקרי פרוסטטה בהקשר של הכנת המטופלים, הם יקבלו הנחיות שתיה חוקן בהודעת טקסט קצרה.</v>
      </c>
      <c r="F429" s="117">
        <f>IF(ISBLANK('Event summary'!E429),"",'Event summary'!E429)</f>
        <v>44731</v>
      </c>
    </row>
    <row r="430" spans="1:6" ht="42.75" x14ac:dyDescent="0.2">
      <c r="A430" s="114" t="e">
        <f>IF(ISBLANK('Event summary'!#REF!),"",'Event summary'!#REF!)</f>
        <v>#REF!</v>
      </c>
      <c r="B430" s="115">
        <f>IF(ISBLANK('Event summary'!A430),"",'Event summary'!A430)</f>
        <v>430</v>
      </c>
      <c r="C430" s="115" t="str">
        <f>IF(ISBLANK('Event summary'!B430),"",'Event summary'!B430)</f>
        <v>תכנון שגוי</v>
      </c>
      <c r="D430" s="116" t="str">
        <f>IF(ISBLANK('Event summary'!C430),"",'Event summary'!C430)</f>
        <v>שגיאה בתהליך תכנון - מטופל תוכנן למאיץ שגוי.</v>
      </c>
      <c r="E430" s="116" t="str">
        <f>IF(ISBLANK('Event summary'!D430),"",'Event summary'!D430)</f>
        <v>יש להנחות פיזיקאים להקפיד לשנות מאיץ עם שדות מוכנים מראש. עבור מקרי פרוסטטה בהקשר של הכנת המטופלים, הם יקבלו הנחיות שתיה חוקן בהודעת טקסט קצרה.</v>
      </c>
      <c r="F430" s="117">
        <f>IF(ISBLANK('Event summary'!E430),"",'Event summary'!E430)</f>
        <v>44731</v>
      </c>
    </row>
    <row r="431" spans="1:6" ht="30" x14ac:dyDescent="0.2">
      <c r="A431" s="114" t="e">
        <f>IF(ISBLANK('Event summary'!#REF!),"",'Event summary'!#REF!)</f>
        <v>#REF!</v>
      </c>
      <c r="B431" s="115">
        <f>IF(ISBLANK('Event summary'!A431),"",'Event summary'!A431)</f>
        <v>431</v>
      </c>
      <c r="C431" s="115" t="str">
        <f>IF(ISBLANK('Event summary'!B431),"",'Event summary'!B431)</f>
        <v>שגיאת Care Path</v>
      </c>
      <c r="D431" s="116" t="str">
        <f>IF(ISBLANK('Event summary'!C431),"",'Event summary'!C431)</f>
        <v xml:space="preserve">שגיאת care path -  תכנון דחוף לא הגיע לפיזיקה עקב care path   שגוי. לא נשלחה הודעה בדחופים. </v>
      </c>
      <c r="E431" s="116" t="str">
        <f>IF(ISBLANK('Event summary'!D431),"",'Event summary'!D431)</f>
        <v>עדכון CP באחריות רנטגנאים.</v>
      </c>
      <c r="F431" s="117">
        <f>IF(ISBLANK('Event summary'!E431),"",'Event summary'!E431)</f>
        <v>44731</v>
      </c>
    </row>
    <row r="432" spans="1:6" ht="28.5" x14ac:dyDescent="0.2">
      <c r="A432" s="114" t="e">
        <f>IF(ISBLANK('Event summary'!#REF!),"",'Event summary'!#REF!)</f>
        <v>#REF!</v>
      </c>
      <c r="B432" s="115">
        <f>IF(ISBLANK('Event summary'!A432),"",'Event summary'!A432)</f>
        <v>432</v>
      </c>
      <c r="C432" s="115" t="str">
        <f>IF(ISBLANK('Event summary'!B432),"",'Event summary'!B432)</f>
        <v>העברת מידע</v>
      </c>
      <c r="D432" s="116" t="str">
        <f>IF(ISBLANK('Event summary'!C432),"",'Event summary'!C432)</f>
        <v>העברת מידע - מטופל נשלח לביתו למרות בקשה לקבלו באופן מיידי.</v>
      </c>
      <c r="E432" s="116" t="str">
        <f>IF(ISBLANK('Event summary'!D432),"",'Event summary'!D432)</f>
        <v>להעביר בקשות גם באמצעות המייל של המזכירות וגם בעל פה.</v>
      </c>
      <c r="F432" s="117">
        <f>IF(ISBLANK('Event summary'!E432),"",'Event summary'!E432)</f>
        <v>44731</v>
      </c>
    </row>
    <row r="433" spans="1:6" ht="42.75" x14ac:dyDescent="0.2">
      <c r="A433" s="114" t="e">
        <f>IF(ISBLANK('Event summary'!#REF!),"",'Event summary'!#REF!)</f>
        <v>#REF!</v>
      </c>
      <c r="B433" s="115">
        <f>IF(ISBLANK('Event summary'!A433),"",'Event summary'!A433)</f>
        <v>433</v>
      </c>
      <c r="C433" s="115" t="str">
        <f>IF(ISBLANK('Event summary'!B433),"",'Event summary'!B433)</f>
        <v>תקשורת לקויה</v>
      </c>
      <c r="D433" s="116" t="str">
        <f>IF(ISBLANK('Event summary'!C433),"",'Event summary'!C433)</f>
        <v>תקשורת לקויה - המטופלת לא הופיע ברשימה של ה- ATD ולכן, לא הוצגה בישיבת הבוקר. בנוסף, הרופא לא נקרא לסימולציה לסימון, למרות בקשה מפורשת.</v>
      </c>
      <c r="E433" s="116" t="str">
        <f>IF(ISBLANK('Event summary'!D433),"",'Event summary'!D433)</f>
        <v>הנחיות לסימולציה בקמליון נמצע בעבודה.</v>
      </c>
      <c r="F433" s="117">
        <f>IF(ISBLANK('Event summary'!E433),"",'Event summary'!E433)</f>
        <v>44731</v>
      </c>
    </row>
    <row r="434" spans="1:6" ht="42.75" x14ac:dyDescent="0.2">
      <c r="A434" s="114" t="e">
        <f>IF(ISBLANK('Event summary'!#REF!),"",'Event summary'!#REF!)</f>
        <v>#REF!</v>
      </c>
      <c r="B434" s="115">
        <f>IF(ISBLANK('Event summary'!A434),"",'Event summary'!A434)</f>
        <v>434</v>
      </c>
      <c r="C434" s="115" t="str">
        <f>IF(ISBLANK('Event summary'!B434),"",'Event summary'!B434)</f>
        <v>זימון תור לא מספק</v>
      </c>
      <c r="D434" s="116" t="str">
        <f>IF(ISBLANK('Event summary'!C434),"",'Event summary'!C434)</f>
        <v>זימון תור לא מספק - מטופל עבר קבלה בתאריך 2/5/2022 אך לא קיבל זימון לסימולציה בזמן סביר. נתגלה בתאריך 29/5/2022.</v>
      </c>
      <c r="E434" s="116" t="str">
        <f>IF(ISBLANK('Event summary'!D434),"",'Event summary'!D434)</f>
        <v>טעות אנוש אין הנחיות מיוחדות.</v>
      </c>
      <c r="F434" s="117">
        <f>IF(ISBLANK('Event summary'!E434),"",'Event summary'!E434)</f>
        <v>44731</v>
      </c>
    </row>
    <row r="435" spans="1:6" ht="30" x14ac:dyDescent="0.2">
      <c r="A435" s="114" t="e">
        <f>IF(ISBLANK('Event summary'!#REF!),"",'Event summary'!#REF!)</f>
        <v>#REF!</v>
      </c>
      <c r="B435" s="115">
        <f>IF(ISBLANK('Event summary'!A435),"",'Event summary'!A435)</f>
        <v>435</v>
      </c>
      <c r="C435" s="115" t="str">
        <f>IF(ISBLANK('Event summary'!B435),"",'Event summary'!B435)</f>
        <v>סריקה לא תקינה</v>
      </c>
      <c r="D435" s="116" t="str">
        <f>IF(ISBLANK('Event summary'!C435),"",'Event summary'!C435)</f>
        <v>סריקה לא תקינה - סריקת 4D לא תקינה. עקומת הנשימה אינה טובה וכן שחזור הפאזות אינו טוב.</v>
      </c>
      <c r="E435" s="116" t="str">
        <f>IF(ISBLANK('Event summary'!D435),"",'Event summary'!D435)</f>
        <v xml:space="preserve">יקבע אחראי סימולציה אשר חלק מתפקידיו יהיה לוודא את איכות התכנון. פירוט המלא של התפקיד ייכתב בנוהל עבודה. </v>
      </c>
      <c r="F435" s="117">
        <f>IF(ISBLANK('Event summary'!E435),"",'Event summary'!E435)</f>
        <v>44731</v>
      </c>
    </row>
    <row r="436" spans="1:6" ht="42.75" x14ac:dyDescent="0.2">
      <c r="A436" s="114" t="e">
        <f>IF(ISBLANK('Event summary'!#REF!),"",'Event summary'!#REF!)</f>
        <v>#REF!</v>
      </c>
      <c r="B436" s="115">
        <f>IF(ISBLANK('Event summary'!A436),"",'Event summary'!A436)</f>
        <v>436</v>
      </c>
      <c r="C436" s="115" t="str">
        <f>IF(ISBLANK('Event summary'!B436),"",'Event summary'!B436)</f>
        <v>בעיות קיבוע</v>
      </c>
      <c r="D436" s="116" t="str">
        <f>IF(ISBLANK('Event summary'!C436),"",'Event summary'!C436)</f>
        <v>בעיות קיבוע - מטופל הושכב על גבי vaclock בזוית 8 מעלות  מאהציר את האופקי וגרם לשגיאה בין המנה המתוכננת למנה בטיפול</v>
      </c>
      <c r="E436" s="116" t="str">
        <f>IF(ISBLANK('Event summary'!D436),"",'Event summary'!D436)</f>
        <v>משתדלים לייתר את השימוש בואקלוק. לא יעשה שימוש בואקלוק עבור טיפולים באיזור הבטן והאגן.</v>
      </c>
      <c r="F436" s="117">
        <f>IF(ISBLANK('Event summary'!E436),"",'Event summary'!E436)</f>
        <v>44745</v>
      </c>
    </row>
    <row r="437" spans="1:6" ht="57" x14ac:dyDescent="0.2">
      <c r="A437" s="114" t="e">
        <f>IF(ISBLANK('Event summary'!#REF!),"",'Event summary'!#REF!)</f>
        <v>#REF!</v>
      </c>
      <c r="B437" s="115">
        <f>IF(ISBLANK('Event summary'!A437),"",'Event summary'!A437)</f>
        <v>437</v>
      </c>
      <c r="C437" s="115" t="str">
        <f>IF(ISBLANK('Event summary'!B437),"",'Event summary'!B437)</f>
        <v>אי ביצוע הנחיה (מטופלים)</v>
      </c>
      <c r="D437" s="116" t="str">
        <f>IF(ISBLANK('Event summary'!C437),"",'Event summary'!C437)</f>
        <v>אי ביצוע הנחיה (מטופלים) - חוסר יכולת לבצע הנחיות רופא. המטופלת להצליחה לבצע נשימה עמוקה. תוכנן מחדש על נשימה חופשית.</v>
      </c>
      <c r="E437" s="116" t="str">
        <f>IF(ISBLANK('Event summary'!D437),"",'Event summary'!D437)</f>
        <v>רופא ואחות יבצעו הערכת יכולת של מטופל לביצוע נשימה עמוקה במהלך הקבלה של המטופלת. אם הוחלט לטפל בנשימה חופשית אז יש לתעד בקמליון. בנוסף, אם בוצעה סריקה גם של BH והוחלט לא לטפל, לא תשלח הסריקה לאריה.</v>
      </c>
      <c r="F437" s="117">
        <f>IF(ISBLANK('Event summary'!E437),"",'Event summary'!E437)</f>
        <v>44745</v>
      </c>
    </row>
    <row r="438" spans="1:6" ht="30" x14ac:dyDescent="0.2">
      <c r="A438" s="114" t="e">
        <f>IF(ISBLANK('Event summary'!#REF!),"",'Event summary'!#REF!)</f>
        <v>#REF!</v>
      </c>
      <c r="B438" s="115">
        <f>IF(ISBLANK('Event summary'!A438),"",'Event summary'!A438)</f>
        <v>438</v>
      </c>
      <c r="C438" s="115" t="str">
        <f>IF(ISBLANK('Event summary'!B438),"",'Event summary'!B438)</f>
        <v>מתן טיפול באופן שגוי</v>
      </c>
      <c r="D438" s="116" t="str">
        <f>IF(ISBLANK('Event summary'!C438),"",'Event summary'!C438)</f>
        <v>מתן טיפול באופן שגוי - מטופלת קיבלה 4 טיפולים ללא Vaclock.</v>
      </c>
      <c r="E438" s="116" t="str">
        <f>IF(ISBLANK('Event summary'!D438),"",'Event summary'!D438)</f>
        <v>יש להקפיד לתעד את הקיבועים בסימולציה. רכישת מצלמה בתהליך.</v>
      </c>
      <c r="F438" s="117">
        <f>IF(ISBLANK('Event summary'!E438),"",'Event summary'!E438)</f>
        <v>44745</v>
      </c>
    </row>
    <row r="439" spans="1:6" ht="57" x14ac:dyDescent="0.2">
      <c r="A439" s="114" t="e">
        <f>IF(ISBLANK('Event summary'!#REF!),"",'Event summary'!#REF!)</f>
        <v>#REF!</v>
      </c>
      <c r="B439" s="115">
        <f>IF(ISBLANK('Event summary'!A439),"",'Event summary'!A439)</f>
        <v>439</v>
      </c>
      <c r="C439" s="115" t="str">
        <f>IF(ISBLANK('Event summary'!B439),"",'Event summary'!B439)</f>
        <v>תכנון שגוי</v>
      </c>
      <c r="D439" s="116" t="str">
        <f>IF(ISBLANK('Event summary'!C439),"",'Event summary'!C439)</f>
        <v>תכנון שגוי - עבור טיפול ב Extended SSD נעשה פיצול של שדות טיפול לשתי תכניות שונות. המטופלת קיבלה במקום 2Gy לשדה 4Gy לכל שדה למשך 1.5 פרקציות מתוך 5 פרקציות. הטיפול הופסק.</v>
      </c>
      <c r="E439" s="116" t="str">
        <f>IF(ISBLANK('Event summary'!D439),"",'Event summary'!D439)</f>
        <v>ייכתב נוהל בנושא פיצול תוכניות. תיכנונים לחתימת רופא יגיעו כשהם מוכנים בכל ההיבטים. ממתמחים ילוו באופן מלא. דו"ח נשלח למשרד הבריאות.</v>
      </c>
      <c r="F439" s="117">
        <f>IF(ISBLANK('Event summary'!E439),"",'Event summary'!E439)</f>
        <v>44731</v>
      </c>
    </row>
    <row r="440" spans="1:6" ht="42.75" x14ac:dyDescent="0.2">
      <c r="A440" s="114" t="e">
        <f>IF(ISBLANK('Event summary'!#REF!),"",'Event summary'!#REF!)</f>
        <v>#REF!</v>
      </c>
      <c r="B440" s="115">
        <f>IF(ISBLANK('Event summary'!A440),"",'Event summary'!A440)</f>
        <v>440</v>
      </c>
      <c r="C440" s="115" t="str">
        <f>IF(ISBLANK('Event summary'!B440),"",'Event summary'!B440)</f>
        <v>מתן טיפול באופן שגוי</v>
      </c>
      <c r="D440" s="116" t="str">
        <f>IF(ISBLANK('Event summary'!C440),"",'Event summary'!C440)</f>
        <v>מתן טיפול באופן שגוי - מטופל קבל טיפול אחד עם מסיכה ישנה.</v>
      </c>
      <c r="E440" s="116" t="str">
        <f>IF(ISBLANK('Event summary'!D440),"",'Event summary'!D440)</f>
        <v>במהלך סימולציה חוזרת של מטופל חדש יש להשמיד את המסיכה הישנה ולציין את המסיכה החדשה. יש לתעד בקמליון. עבור מטופלים שכבר בטיפול יש להקפיד על תיעוד.</v>
      </c>
      <c r="F440" s="117">
        <f>IF(ISBLANK('Event summary'!E440),"",'Event summary'!E440)</f>
        <v>44745</v>
      </c>
    </row>
    <row r="441" spans="1:6" ht="30" x14ac:dyDescent="0.2">
      <c r="A441" s="114" t="e">
        <f>IF(ISBLANK('Event summary'!#REF!),"",'Event summary'!#REF!)</f>
        <v>#REF!</v>
      </c>
      <c r="B441" s="115">
        <f>IF(ISBLANK('Event summary'!A441),"",'Event summary'!A441)</f>
        <v>441</v>
      </c>
      <c r="C441" s="115" t="str">
        <f>IF(ISBLANK('Event summary'!B441),"",'Event summary'!B441)</f>
        <v>מתן טיפול שלא על פי הפרוטוקול</v>
      </c>
      <c r="D441" s="116" t="str">
        <f>IF(ISBLANK('Event summary'!C441),"",'Event summary'!C441)</f>
        <v>מטופל קיבל 3 מוקדים יום אחרי יום במקום לסרוגין.</v>
      </c>
      <c r="E441" s="116" t="str">
        <f>IF(ISBLANK('Event summary'!D441),"",'Event summary'!D441)</f>
        <v>תקבע מדיניות של SBRT הפרקצוינה תצוין גם בקמליון וגם באריה.</v>
      </c>
      <c r="F441" s="117">
        <f>IF(ISBLANK('Event summary'!E441),"",'Event summary'!E441)</f>
        <v>44745</v>
      </c>
    </row>
    <row r="442" spans="1:6" ht="42.75" x14ac:dyDescent="0.2">
      <c r="A442" s="114" t="e">
        <f>IF(ISBLANK('Event summary'!#REF!),"",'Event summary'!#REF!)</f>
        <v>#REF!</v>
      </c>
      <c r="B442" s="115">
        <f>IF(ISBLANK('Event summary'!A442),"",'Event summary'!A442)</f>
        <v>442</v>
      </c>
      <c r="C442" s="115" t="str">
        <f>IF(ISBLANK('Event summary'!B442),"",'Event summary'!B442)</f>
        <v>שגיאה בזיהוי מטופל</v>
      </c>
      <c r="D442" s="116" t="str">
        <f>IF(ISBLANK('Event summary'!C442),"",'Event summary'!C442)</f>
        <v>שגיאה בזיהוי מטופל - שגיאה ברישום תעודת זהות למטופל באריה כתוב 2239380 במקום 22393808</v>
      </c>
      <c r="E442" s="116" t="str">
        <f>IF(ISBLANK('Event summary'!D442),"",'Event summary'!D442)</f>
        <v>ממשקים של קמליון, ATD ואריה נמצאים בעבודה. מטרת הממשק לסנכרן את העברת המידע בצורה אוטומטית ככל הניתן בין המערכות.</v>
      </c>
      <c r="F442" s="117">
        <f>IF(ISBLANK('Event summary'!E442),"",'Event summary'!E442)</f>
        <v>44745</v>
      </c>
    </row>
    <row r="443" spans="1:6" ht="28.5" x14ac:dyDescent="0.2">
      <c r="A443" s="114" t="e">
        <f>IF(ISBLANK('Event summary'!#REF!),"",'Event summary'!#REF!)</f>
        <v>#REF!</v>
      </c>
      <c r="B443" s="115">
        <f>IF(ISBLANK('Event summary'!A443),"",'Event summary'!A443)</f>
        <v>443</v>
      </c>
      <c r="C443" s="115" t="str">
        <f>IF(ISBLANK('Event summary'!B443),"",'Event summary'!B443)</f>
        <v>תקשורת לקויה</v>
      </c>
      <c r="D443" s="116" t="str">
        <f>IF(ISBLANK('Event summary'!C443),"",'Event summary'!C443)</f>
        <v>מטופל זומן לרופא ללא שהיה צורך. המטופל התקבל אצל הרופא ונבדק על מנת שלא ירגיש שהגיע ללא תכלית.</v>
      </c>
      <c r="E443" s="116" t="str">
        <f>IF(ISBLANK('Event summary'!D443),"",'Event summary'!D443)</f>
        <v>טעות אנוש אין הנחיות מיוחדות.</v>
      </c>
      <c r="F443" s="117">
        <f>IF(ISBLANK('Event summary'!E443),"",'Event summary'!E443)</f>
        <v>44745</v>
      </c>
    </row>
    <row r="444" spans="1:6" ht="30" x14ac:dyDescent="0.2">
      <c r="A444" s="114" t="e">
        <f>IF(ISBLANK('Event summary'!#REF!),"",'Event summary'!#REF!)</f>
        <v>#REF!</v>
      </c>
      <c r="B444" s="115">
        <f>IF(ISBLANK('Event summary'!A444),"",'Event summary'!A444)</f>
        <v>444</v>
      </c>
      <c r="C444" s="115" t="str">
        <f>IF(ISBLANK('Event summary'!B444),"",'Event summary'!B444)</f>
        <v>מתן טיפול באופן שגוי</v>
      </c>
      <c r="D444" s="116" t="str">
        <f>IF(ISBLANK('Event summary'!C444),"",'Event summary'!C444)</f>
        <v>מתן טיפול באופן שגוי - מטופל קיבל טיפול עם בולוס ב AP במקום בולוס ב AP וב- PA</v>
      </c>
      <c r="E444" s="116" t="str">
        <f>IF(ISBLANK('Event summary'!D444),"",'Event summary'!D444)</f>
        <v>לא שמים בולוס ב PA</v>
      </c>
      <c r="F444" s="117">
        <f>IF(ISBLANK('Event summary'!E444),"",'Event summary'!E444)</f>
        <v>44815</v>
      </c>
    </row>
    <row r="445" spans="1:6" ht="30" x14ac:dyDescent="0.2">
      <c r="A445" s="114" t="e">
        <f>IF(ISBLANK('Event summary'!#REF!),"",'Event summary'!#REF!)</f>
        <v>#REF!</v>
      </c>
      <c r="B445" s="115">
        <f>IF(ISBLANK('Event summary'!A445),"",'Event summary'!A445)</f>
        <v>445</v>
      </c>
      <c r="C445" s="115" t="str">
        <f>IF(ISBLANK('Event summary'!B445),"",'Event summary'!B445)</f>
        <v>מתן טיפול באופן שגוי</v>
      </c>
      <c r="D445" s="116" t="str">
        <f>IF(ISBLANK('Event summary'!C445),"",'Event summary'!C445)</f>
        <v>מתן טיפול באופן שגוי - המטופל קיבל טיפול ראשון עם מסיכה ישנה.</v>
      </c>
      <c r="E445" s="116" t="str">
        <f>IF(ISBLANK('Event summary'!D445),"",'Event summary'!D445)</f>
        <v>יש לתעד בקמליון ולזרוק את המסיכה הישנה.</v>
      </c>
      <c r="F445" s="117">
        <f>IF(ISBLANK('Event summary'!E445),"",'Event summary'!E445)</f>
        <v>44815</v>
      </c>
    </row>
    <row r="446" spans="1:6" ht="57" x14ac:dyDescent="0.2">
      <c r="A446" s="114" t="e">
        <f>IF(ISBLANK('Event summary'!#REF!),"",'Event summary'!#REF!)</f>
        <v>#REF!</v>
      </c>
      <c r="B446" s="115">
        <f>IF(ISBLANK('Event summary'!A446),"",'Event summary'!A446)</f>
        <v>446</v>
      </c>
      <c r="C446" s="115" t="str">
        <f>IF(ISBLANK('Event summary'!B446),"",'Event summary'!B446)</f>
        <v>תקשורת לקויה</v>
      </c>
      <c r="D446" s="116" t="str">
        <f>IF(ISBLANK('Event summary'!C446),"",'Event summary'!C446)</f>
        <v>תקשורת לקויה - המטופלת קיבלה הדרכה על SBRT ל 5 פרקציות. היא ידעה על 30 טיפולים (מכתב סיכום מתאריך 20/6/22). נעשה שינוי ללא ידוע של המטופלת ל 15 פרקציות (מכתב סיכום מתאריך 20/7/22).</v>
      </c>
      <c r="E446" s="116" t="str">
        <f>IF(ISBLANK('Event summary'!D446),"",'Event summary'!D446)</f>
        <v>עקב שינויים בתכנות רופא לא עדכן את המטופל באופי השינוי. יש לעדכן מטופלים על שינויי תכנון - באחריות הרופא המטפל.</v>
      </c>
      <c r="F446" s="117">
        <f>IF(ISBLANK('Event summary'!E446),"",'Event summary'!E446)</f>
        <v>44787</v>
      </c>
    </row>
    <row r="447" spans="1:6" ht="28.5" x14ac:dyDescent="0.2">
      <c r="A447" s="114" t="e">
        <f>IF(ISBLANK('Event summary'!#REF!),"",'Event summary'!#REF!)</f>
        <v>#REF!</v>
      </c>
      <c r="B447" s="115">
        <f>IF(ISBLANK('Event summary'!A447),"",'Event summary'!A447)</f>
        <v>447</v>
      </c>
      <c r="C447" s="115" t="str">
        <f>IF(ISBLANK('Event summary'!B447),"",'Event summary'!B447)</f>
        <v>תקשורת לקויה</v>
      </c>
      <c r="D447" s="116" t="str">
        <f>IF(ISBLANK('Event summary'!C447),"",'Event summary'!C447)</f>
        <v>תקשורת לקויה - למטופל יש נפרוסטומים ושקית שתן. למרות זאת נתנו הנחיות למילוי השלפוחית.</v>
      </c>
      <c r="E447" s="116" t="str">
        <f>IF(ISBLANK('Event summary'!D447),"",'Event summary'!D447)</f>
        <v xml:space="preserve">הנחיות לסימולציה בקמליון נמצע בעבודה. רופא נתן הוראות סוטרות בקמליון ללא מילוי בישיבת סימוליה עם מילוי. </v>
      </c>
      <c r="F447" s="117">
        <f>IF(ISBLANK('Event summary'!E447),"",'Event summary'!E447)</f>
        <v>44787</v>
      </c>
    </row>
    <row r="448" spans="1:6" ht="28.5" x14ac:dyDescent="0.2">
      <c r="A448" s="114" t="e">
        <f>IF(ISBLANK('Event summary'!#REF!),"",'Event summary'!#REF!)</f>
        <v>#REF!</v>
      </c>
      <c r="B448" s="115">
        <f>IF(ISBLANK('Event summary'!A448),"",'Event summary'!A448)</f>
        <v>448</v>
      </c>
      <c r="C448" s="115" t="str">
        <f>IF(ISBLANK('Event summary'!B448),"",'Event summary'!B448)</f>
        <v>העברת מידע</v>
      </c>
      <c r="D448" s="116" t="str">
        <f>IF(ISBLANK('Event summary'!C448),"",'Event summary'!C448)</f>
        <v>העברת מידע - תכנון לא היה מוכן כיוון שלא סגרו את הקוביה של הסימולציה ב- Care Path.</v>
      </c>
      <c r="E448" s="116" t="str">
        <f>IF(ISBLANK('Event summary'!D448),"",'Event summary'!D448)</f>
        <v>לשקול לעבוד באמצעות עמוד בית באריה. בסיום משמרת יש לבדוק את שארית הסימולציות עם נסגרו.</v>
      </c>
      <c r="F448" s="117">
        <f>IF(ISBLANK('Event summary'!E448),"",'Event summary'!E448)</f>
        <v>44787</v>
      </c>
    </row>
    <row r="449" spans="1:6" ht="42.75" x14ac:dyDescent="0.2">
      <c r="A449" s="114" t="e">
        <f>IF(ISBLANK('Event summary'!#REF!),"",'Event summary'!#REF!)</f>
        <v>#REF!</v>
      </c>
      <c r="B449" s="115">
        <f>IF(ISBLANK('Event summary'!A449),"",'Event summary'!A449)</f>
        <v>449</v>
      </c>
      <c r="C449" s="115" t="str">
        <f>IF(ISBLANK('Event summary'!B449),"",'Event summary'!B449)</f>
        <v>צוות חסר</v>
      </c>
      <c r="D449" s="116" t="str">
        <f>IF(ISBLANK('Event summary'!C449),"",'Event summary'!C449)</f>
        <v>צוות חסר - במהלך טיפול בברכיתרפיה האחות יצאה לפני תום הטיפול.</v>
      </c>
      <c r="E449" s="116" t="str">
        <f>IF(ISBLANK('Event summary'!D449),"",'Event summary'!D449)</f>
        <v>בכל טיפול בברכיתרפיה הצוות המטפל יישאר עד תום הטיפול. תתבצע קבלה מסודרת לכל מקרה ברכי הכוללת קבלה סיעודית. המטופלים יזומנו לקבלה לפני יום הביצוע.</v>
      </c>
      <c r="F449" s="117">
        <f>IF(ISBLANK('Event summary'!E449),"",'Event summary'!E449)</f>
        <v>44787</v>
      </c>
    </row>
    <row r="450" spans="1:6" ht="42.75" x14ac:dyDescent="0.2">
      <c r="A450" s="114" t="e">
        <f>IF(ISBLANK('Event summary'!#REF!),"",'Event summary'!#REF!)</f>
        <v>#REF!</v>
      </c>
      <c r="B450" s="115">
        <f>IF(ISBLANK('Event summary'!A450),"",'Event summary'!A450)</f>
        <v>450</v>
      </c>
      <c r="C450" s="115" t="str">
        <f>IF(ISBLANK('Event summary'!B450),"",'Event summary'!B450)</f>
        <v>תקשורת לקויה</v>
      </c>
      <c r="D450" s="116" t="str">
        <f>IF(ISBLANK('Event summary'!C450),"",'Event summary'!C450)</f>
        <v>תקשורת לקויה - מטופל תוכנן למאיץ אחר כיוון שגודל השדה גדול מדי. הצוות הרלבנטי לא יודע בדבר השינוי ולא הותאמו התורים.</v>
      </c>
      <c r="E450" s="116" t="str">
        <f>IF(ISBLANK('Event summary'!D450),"",'Event summary'!D450)</f>
        <v>יש ליידע זימון תורים בכל שינוי מאיץ או מועד טיפול. כמו כן על זימון תורים ליידע שינויי מועד טיפול לצוות המתכנן.</v>
      </c>
      <c r="F450" s="117">
        <f>IF(ISBLANK('Event summary'!E450),"",'Event summary'!E450)</f>
        <v>44787</v>
      </c>
    </row>
    <row r="451" spans="1:6" ht="57" x14ac:dyDescent="0.2">
      <c r="A451" s="114" t="e">
        <f>IF(ISBLANK('Event summary'!#REF!),"",'Event summary'!#REF!)</f>
        <v>#REF!</v>
      </c>
      <c r="B451" s="115">
        <f>IF(ISBLANK('Event summary'!A451),"",'Event summary'!A451)</f>
        <v>451</v>
      </c>
      <c r="C451" s="115" t="str">
        <f>IF(ISBLANK('Event summary'!B451),"",'Event summary'!B451)</f>
        <v>סריקה לא תקינה</v>
      </c>
      <c r="D451" s="116" t="str">
        <f>IF(ISBLANK('Event summary'!C451),"",'Event summary'!C451)</f>
        <v>סריקה לא תקינה - מטופלת נסרקה בסימולציה כאשר היא מסובבת.</v>
      </c>
      <c r="E451" s="116" t="str">
        <f>IF(ISBLANK('Event summary'!D451),"",'Event summary'!D451)</f>
        <v>המטופלת לא יכלה לישר את היד באופן שניתן יהיה לסרוק אותה ללא הטיה. כאשר סורקים מטופל על הרנטגאי לתעד מצבים בו יש קושי בהשכבת המטופל. תיבדק אפשרות של הוספת הערות בקמליון.</v>
      </c>
      <c r="F451" s="117">
        <f>IF(ISBLANK('Event summary'!E451),"",'Event summary'!E451)</f>
        <v>44787</v>
      </c>
    </row>
    <row r="452" spans="1:6" ht="30" x14ac:dyDescent="0.2">
      <c r="A452" s="114" t="e">
        <f>IF(ISBLANK('Event summary'!#REF!),"",'Event summary'!#REF!)</f>
        <v>#REF!</v>
      </c>
      <c r="B452" s="115">
        <f>IF(ISBLANK('Event summary'!A452),"",'Event summary'!A452)</f>
        <v>452</v>
      </c>
      <c r="C452" s="115" t="str">
        <f>IF(ISBLANK('Event summary'!B452),"",'Event summary'!B452)</f>
        <v>סריקה לא תקינה</v>
      </c>
      <c r="D452" s="116" t="str">
        <f>IF(ISBLANK('Event summary'!C452),"",'Event summary'!C452)</f>
        <v>סריקה לא תקינה - מטופל נסרק בתנוחה לא אפקית.</v>
      </c>
      <c r="E452" s="116" t="str">
        <f>IF(ISBLANK('Event summary'!D452),"",'Event summary'!D452)</f>
        <v>כאשר סורקים מטופל על הרנטגאי לתעד מצבים בו יש קושי בהשכבת המטופל. תיבדק אפשרות של הוספת הערות בקמליון.</v>
      </c>
      <c r="F452" s="117">
        <f>IF(ISBLANK('Event summary'!E452),"",'Event summary'!E452)</f>
        <v>44787</v>
      </c>
    </row>
    <row r="453" spans="1:6" ht="42.75" x14ac:dyDescent="0.2">
      <c r="A453" s="114" t="e">
        <f>IF(ISBLANK('Event summary'!#REF!),"",'Event summary'!#REF!)</f>
        <v>#REF!</v>
      </c>
      <c r="B453" s="115">
        <f>IF(ISBLANK('Event summary'!A453),"",'Event summary'!A453)</f>
        <v>453</v>
      </c>
      <c r="C453" s="115" t="str">
        <f>IF(ISBLANK('Event summary'!B453),"",'Event summary'!B453)</f>
        <v>עומס יתר</v>
      </c>
      <c r="D453" s="116" t="str">
        <f>IF(ISBLANK('Event summary'!C453),"",'Event summary'!C453)</f>
        <v>עומס יתר - עומס יתר על רופא במהלך הססיה; סימולציה מהבוקר, 5 קבלות, סימון קליני, מטופל דחוף ושתי מסיכות SRS.</v>
      </c>
      <c r="E453" s="116" t="str">
        <f>IF(ISBLANK('Event summary'!D453),"",'Event summary'!D453)</f>
        <v>מ 15:00 - 16:00 יהיו 2 סלוטים ל מסיכות SRS.</v>
      </c>
      <c r="F453" s="117">
        <f>IF(ISBLANK('Event summary'!E453),"",'Event summary'!E453)</f>
        <v>44815</v>
      </c>
    </row>
    <row r="454" spans="1:6" ht="28.5" x14ac:dyDescent="0.2">
      <c r="A454" s="114" t="e">
        <f>IF(ISBLANK('Event summary'!#REF!),"",'Event summary'!#REF!)</f>
        <v>#REF!</v>
      </c>
      <c r="B454" s="115">
        <f>IF(ISBLANK('Event summary'!A454),"",'Event summary'!A454)</f>
        <v>454</v>
      </c>
      <c r="C454" s="115" t="str">
        <f>IF(ISBLANK('Event summary'!B454),"",'Event summary'!B454)</f>
        <v>תקשורת לקויה</v>
      </c>
      <c r="D454" s="116" t="str">
        <f>IF(ISBLANK('Event summary'!C454),"",'Event summary'!C454)</f>
        <v>תקשורת לקויה - מטופלת לא ראתה אחות עד הטיפול האחרון. היו תורים אך המטופלת לא נקראה לאחות.</v>
      </c>
      <c r="E454" s="116" t="str">
        <f>IF(ISBLANK('Event summary'!D454),"",'Event summary'!D454)</f>
        <v>מטופלים צריכים לעבור בין תחנות באמצעות QFLOW ולא באמצעות המדבקות.</v>
      </c>
      <c r="F454" s="117">
        <f>IF(ISBLANK('Event summary'!E454),"",'Event summary'!E454)</f>
        <v>44815</v>
      </c>
    </row>
    <row r="455" spans="1:6" ht="30" x14ac:dyDescent="0.2">
      <c r="A455" s="114" t="e">
        <f>IF(ISBLANK('Event summary'!#REF!),"",'Event summary'!#REF!)</f>
        <v>#REF!</v>
      </c>
      <c r="B455" s="115">
        <f>IF(ISBLANK('Event summary'!A455),"",'Event summary'!A455)</f>
        <v>455</v>
      </c>
      <c r="C455" s="115" t="str">
        <f>IF(ISBLANK('Event summary'!B455),"",'Event summary'!B455)</f>
        <v>סריקה לא תקינה</v>
      </c>
      <c r="D455" s="116" t="str">
        <f>IF(ISBLANK('Event summary'!C455),"",'Event summary'!C455)</f>
        <v>סריקה לא תקינה - מיקום הסנטר אינו תואם טיפול לשד + בלוטות.</v>
      </c>
      <c r="E455" s="116" t="str">
        <f>IF(ISBLANK('Event summary'!D455),"",'Event summary'!D455)</f>
        <v>יש להקפיד על פרוטוקול סימולציה. תהיה הרחבה של הנחיות לסימולציה.</v>
      </c>
      <c r="F455" s="117">
        <f>IF(ISBLANK('Event summary'!E455),"",'Event summary'!E455)</f>
        <v>44815</v>
      </c>
    </row>
    <row r="456" spans="1:6" ht="30" x14ac:dyDescent="0.2">
      <c r="A456" s="114" t="e">
        <f>IF(ISBLANK('Event summary'!#REF!),"",'Event summary'!#REF!)</f>
        <v>#REF!</v>
      </c>
      <c r="B456" s="115">
        <f>IF(ISBLANK('Event summary'!A456),"",'Event summary'!A456)</f>
        <v>456</v>
      </c>
      <c r="C456" s="115" t="str">
        <f>IF(ISBLANK('Event summary'!B456),"",'Event summary'!B456)</f>
        <v>סריקה לא תקינה</v>
      </c>
      <c r="D456" s="116" t="str">
        <f>IF(ISBLANK('Event summary'!C456),"",'Event summary'!C456)</f>
        <v>סריקה לא תקינה - סריקה לא מספיק ארוכה.</v>
      </c>
      <c r="E456" s="116" t="str">
        <f>IF(ISBLANK('Event summary'!D456),"",'Event summary'!D456)</f>
        <v>יש להקפיד על פרוטוקול סימולציה. תהיה הרחבה של הנחיות לסימולציה.</v>
      </c>
      <c r="F456" s="117">
        <f>IF(ISBLANK('Event summary'!E456),"",'Event summary'!E456)</f>
        <v>44815</v>
      </c>
    </row>
    <row r="457" spans="1:6" ht="28.5" x14ac:dyDescent="0.2">
      <c r="A457" s="114" t="e">
        <f>IF(ISBLANK('Event summary'!#REF!),"",'Event summary'!#REF!)</f>
        <v>#REF!</v>
      </c>
      <c r="B457" s="115">
        <f>IF(ISBLANK('Event summary'!A457),"",'Event summary'!A457)</f>
        <v>457</v>
      </c>
      <c r="C457" s="115" t="str">
        <f>IF(ISBLANK('Event summary'!B457),"",'Event summary'!B457)</f>
        <v>תקשורת לקויה</v>
      </c>
      <c r="D457" s="116" t="str">
        <f>IF(ISBLANK('Event summary'!C457),"",'Event summary'!C457)</f>
        <v>תקשורת לקויה - מטופל SRS הגיע לסימולציה לא היה תיעוד מספק. לא נשלח מייל ולא הופיע ב ATD. כן היה זימון באריה.</v>
      </c>
      <c r="E457" s="116" t="str">
        <f>IF(ISBLANK('Event summary'!D457),"",'Event summary'!D457)</f>
        <v>אין הנחיות מיוחדות</v>
      </c>
      <c r="F457" s="117">
        <f>IF(ISBLANK('Event summary'!E457),"",'Event summary'!E457)</f>
        <v>44815</v>
      </c>
    </row>
    <row r="458" spans="1:6" ht="28.5" x14ac:dyDescent="0.2">
      <c r="A458" s="114" t="e">
        <f>IF(ISBLANK('Event summary'!#REF!),"",'Event summary'!#REF!)</f>
        <v>#REF!</v>
      </c>
      <c r="B458" s="115">
        <f>IF(ISBLANK('Event summary'!A458),"",'Event summary'!A458)</f>
        <v>458</v>
      </c>
      <c r="C458" s="115" t="str">
        <f>IF(ISBLANK('Event summary'!B458),"",'Event summary'!B458)</f>
        <v>תקשורת לקויה</v>
      </c>
      <c r="D458" s="116" t="str">
        <f>IF(ISBLANK('Event summary'!C458),"",'Event summary'!C458)</f>
        <v xml:space="preserve">תקשורת לקויה - המטופלת המתינה זמן רב לסימולציה כיוון שהאחיות לא קיבלו את המטופלת בזמן ולא שיחררו לסימולציה. </v>
      </c>
      <c r="E458" s="116" t="str">
        <f>IF(ISBLANK('Event summary'!D458),"",'Event summary'!D458)</f>
        <v>אחיות יעבדו עם QFLOW בקבלת מטופלים.</v>
      </c>
      <c r="F458" s="117">
        <f>IF(ISBLANK('Event summary'!E458),"",'Event summary'!E458)</f>
        <v>44815</v>
      </c>
    </row>
    <row r="459" spans="1:6" ht="28.5" x14ac:dyDescent="0.2">
      <c r="A459" s="114" t="e">
        <f>IF(ISBLANK('Event summary'!#REF!),"",'Event summary'!#REF!)</f>
        <v>#REF!</v>
      </c>
      <c r="B459" s="115">
        <f>IF(ISBLANK('Event summary'!A459),"",'Event summary'!A459)</f>
        <v>459</v>
      </c>
      <c r="C459" s="115" t="str">
        <f>IF(ISBLANK('Event summary'!B459),"",'Event summary'!B459)</f>
        <v>תקשורת לקויה</v>
      </c>
      <c r="D459" s="116" t="str">
        <f>IF(ISBLANK('Event summary'!C459),"",'Event summary'!C459)</f>
        <v>תקשורת לקויה - המטופל ידע על 5 פרקציות כאשר בפועל היה צריך לקבל 20 פרקציות.</v>
      </c>
      <c r="E459" s="116" t="str">
        <f>IF(ISBLANK('Event summary'!D459),"",'Event summary'!D459)</f>
        <v>רופא צריך להתקשר למטופל כאשר נעשים שינויים בתכנון.</v>
      </c>
      <c r="F459" s="117">
        <f>IF(ISBLANK('Event summary'!E459),"",'Event summary'!E459)</f>
        <v>44815</v>
      </c>
    </row>
    <row r="460" spans="1:6" ht="28.5" x14ac:dyDescent="0.2">
      <c r="A460" s="114" t="e">
        <f>IF(ISBLANK('Event summary'!#REF!),"",'Event summary'!#REF!)</f>
        <v>#REF!</v>
      </c>
      <c r="B460" s="115">
        <f>IF(ISBLANK('Event summary'!A460),"",'Event summary'!A460)</f>
        <v>460</v>
      </c>
      <c r="C460" s="115" t="str">
        <f>IF(ISBLANK('Event summary'!B460),"",'Event summary'!B460)</f>
        <v>תקשורת לקויה</v>
      </c>
      <c r="D460" s="116" t="str">
        <f>IF(ISBLANK('Event summary'!C460),"",'Event summary'!C460)</f>
        <v>תקשורת לקויה - מקרה לאחר חתימה, הוחזר לרופא פעם נוספת ללא הסבר.</v>
      </c>
      <c r="E460" s="116" t="str">
        <f>IF(ISBLANK('Event summary'!D460),"",'Event summary'!D460)</f>
        <v xml:space="preserve">יש להקפיד על תקשורת נאותה בין מטפלים. פיזיקאי ירשום הערה על מהות השינויים שביצע. </v>
      </c>
      <c r="F460" s="117">
        <f>IF(ISBLANK('Event summary'!E460),"",'Event summary'!E460)</f>
        <v>44815</v>
      </c>
    </row>
    <row r="461" spans="1:6" ht="30" x14ac:dyDescent="0.2">
      <c r="A461" s="114" t="e">
        <f>IF(ISBLANK('Event summary'!#REF!),"",'Event summary'!#REF!)</f>
        <v>#REF!</v>
      </c>
      <c r="B461" s="115">
        <f>IF(ISBLANK('Event summary'!A461),"",'Event summary'!A461)</f>
        <v>461</v>
      </c>
      <c r="C461" s="115" t="str">
        <f>IF(ISBLANK('Event summary'!B461),"",'Event summary'!B461)</f>
        <v>מתן טיפול באופן שגוי</v>
      </c>
      <c r="D461" s="116" t="str">
        <f>IF(ISBLANK('Event summary'!C461),"",'Event summary'!C461)</f>
        <v xml:space="preserve">מתן טיפול באופן שגוי - מטופלת קיבלה 5 טיפולים לאחר ניקור עם שינוי מורפולוגי מהותי. </v>
      </c>
      <c r="E461" s="116" t="str">
        <f>IF(ISBLANK('Event summary'!D461),"",'Event summary'!D461)</f>
        <v>רופא ראה ואישר המשך טיפולים. בישיבה הוחלט שהיתה טעות בשיקול דעת רפואי.</v>
      </c>
      <c r="F461" s="117">
        <f>IF(ISBLANK('Event summary'!E461),"",'Event summary'!E461)</f>
        <v>44815</v>
      </c>
    </row>
    <row r="462" spans="1:6" ht="42.75" x14ac:dyDescent="0.2">
      <c r="A462" s="114" t="e">
        <f>IF(ISBLANK('Event summary'!#REF!),"",'Event summary'!#REF!)</f>
        <v>#REF!</v>
      </c>
      <c r="B462" s="115">
        <f>IF(ISBLANK('Event summary'!A462),"",'Event summary'!A462)</f>
        <v>462</v>
      </c>
      <c r="C462" s="115" t="str">
        <f>IF(ISBLANK('Event summary'!B462),"",'Event summary'!B462)</f>
        <v>סריקה לא תקינה</v>
      </c>
      <c r="D462" s="116" t="str">
        <f>IF(ISBLANK('Event summary'!C462),"",'Event summary'!C462)</f>
        <v>סריקה לא תקינה - המטופלת נסרקה סריקה חוזרת עם שלפוחית ריקה. תבוצע סימולציה נוספת. המטופלת תקבל 5 פרקציות עם סמולציה זו עד תכנון הסימולציה החדשה.</v>
      </c>
      <c r="E462" s="116" t="str">
        <f>IF(ISBLANK('Event summary'!D462),"",'Event summary'!D462)</f>
        <v>לא הועברה הנחיה למילוי שלפוחית ולכן לא בוצע. על הרנטגנאי לשים לב ולשאול אם חסרים הנחיות.</v>
      </c>
      <c r="F462" s="117">
        <f>IF(ISBLANK('Event summary'!E462),"",'Event summary'!E462)</f>
        <v>44815</v>
      </c>
    </row>
    <row r="463" spans="1:6" ht="30" x14ac:dyDescent="0.2">
      <c r="A463" s="114" t="e">
        <f>IF(ISBLANK('Event summary'!#REF!),"",'Event summary'!#REF!)</f>
        <v>#REF!</v>
      </c>
      <c r="B463" s="115">
        <f>IF(ISBLANK('Event summary'!A463),"",'Event summary'!A463)</f>
        <v>463</v>
      </c>
      <c r="C463" s="115" t="str">
        <f>IF(ISBLANK('Event summary'!B463),"",'Event summary'!B463)</f>
        <v>שגיאה בזיהוי מטופל</v>
      </c>
      <c r="D463" s="116" t="str">
        <f>IF(ISBLANK('Event summary'!C463),"",'Event summary'!C463)</f>
        <v>שגיאה בזיהוי - נלקח דם ממטופל עם מדבקה של מטופל אחר.</v>
      </c>
      <c r="E463" s="116" t="str">
        <f>IF(ISBLANK('Event summary'!D463),"",'Event summary'!D463)</f>
        <v>יחודדו נוהל זיהוי מטופל. יכתב דו"ח ארוע.</v>
      </c>
      <c r="F463" s="117">
        <f>IF(ISBLANK('Event summary'!E463),"",'Event summary'!E463)</f>
        <v>44815</v>
      </c>
    </row>
    <row r="464" spans="1:6" ht="28.5" x14ac:dyDescent="0.2">
      <c r="A464" s="114" t="e">
        <f>IF(ISBLANK('Event summary'!#REF!),"",'Event summary'!#REF!)</f>
        <v>#REF!</v>
      </c>
      <c r="B464" s="115">
        <f>IF(ISBLANK('Event summary'!A464),"",'Event summary'!A464)</f>
        <v>464</v>
      </c>
      <c r="C464" s="115" t="str">
        <f>IF(ISBLANK('Event summary'!B464),"",'Event summary'!B464)</f>
        <v>תקשורת לקויה</v>
      </c>
      <c r="D464" s="116" t="str">
        <f>IF(ISBLANK('Event summary'!C464),"",'Event summary'!C464)</f>
        <v>תקשורת לקויה - המטופלת המתינה זמן רב לפני הטיפול בהמתנה לאחות.</v>
      </c>
      <c r="E464" s="116" t="str">
        <f>IF(ISBLANK('Event summary'!D464),"",'Event summary'!D464)</f>
        <v>תקשורת בין מטפלים. רנטגנאים יידעו את המזכירות להכניס הערה ב QFLOW.</v>
      </c>
      <c r="F464" s="117">
        <f>IF(ISBLANK('Event summary'!E464),"",'Event summary'!E464)</f>
        <v>44815</v>
      </c>
    </row>
    <row r="465" spans="1:10" ht="71.25" x14ac:dyDescent="0.2">
      <c r="A465" s="114" t="e">
        <f>IF(ISBLANK('Event summary'!#REF!),"",'Event summary'!#REF!)</f>
        <v>#REF!</v>
      </c>
      <c r="B465" s="115">
        <f>IF(ISBLANK('Event summary'!A465),"",'Event summary'!A465)</f>
        <v>465</v>
      </c>
      <c r="C465" s="115" t="str">
        <f>IF(ISBLANK('Event summary'!B465),"",'Event summary'!B465)</f>
        <v>תקשורת לקויה</v>
      </c>
      <c r="D465" s="116" t="str">
        <f>IF(ISBLANK('Event summary'!C465),"",'Event summary'!C465)</f>
        <v>תקשורת לקויה - תכנית טיפול שונתה מ 3Gy x 10 ל- 3Gy x 5 ו- 5Gy x 2. המידע לא הועבר למאיץ ול- RTTQA. בנוסף, הייתה אי הבנה לגבי התכנון החדש אם הוא יינתן בהמשך לפרקציות שהתקבלו או במקומם. בפועל תוכננו 7 פרקציות לטיפול במקום 5.</v>
      </c>
      <c r="E465" s="116" t="str">
        <f>IF(ISBLANK('Event summary'!D465),"",'Event summary'!D465)</f>
        <v>יוקם צוות תיאום (חמ"ל) אשר מטרתו להעביר את האינפורמציה הרלבנטית על שינויים בתכנון של מטופלים אל הצוותים הרלבנטיים. הצוות יכלול רנטגנאים ומזכירות. תקשורת בין מטפלים. הרופא המטפל ישוחח עם המתכנן והחמ"ל באופן ישיר על שינוי ומהות השינוי.</v>
      </c>
      <c r="F465" s="117">
        <f>IF(ISBLANK('Event summary'!E465),"",'Event summary'!E465)</f>
        <v>44857</v>
      </c>
      <c r="G465" s="33" t="s">
        <v>920</v>
      </c>
      <c r="H465" s="57" t="s">
        <v>929</v>
      </c>
      <c r="J465" s="120" t="s">
        <v>1143</v>
      </c>
    </row>
    <row r="466" spans="1:10" ht="42.75" x14ac:dyDescent="0.2">
      <c r="A466" s="114" t="e">
        <f>IF(ISBLANK('Event summary'!#REF!),"",'Event summary'!#REF!)</f>
        <v>#REF!</v>
      </c>
      <c r="B466" s="115">
        <f>IF(ISBLANK('Event summary'!A466),"",'Event summary'!A466)</f>
        <v>466</v>
      </c>
      <c r="C466" s="115" t="str">
        <f>IF(ISBLANK('Event summary'!B466),"",'Event summary'!B466)</f>
        <v>תקשורת לקויה</v>
      </c>
      <c r="D466" s="116" t="str">
        <f>IF(ISBLANK('Event summary'!C466),"",'Event summary'!C466)</f>
        <v>תקשורת לקויה - מטופל לקרינה דחופה נשלח לביתו. המידע על כך לא הועבר לסימולציה ולכן שלחו אותו לצורך קביעת תור בהמשך ע"י זימון תורים. היה תור ב QFLOW לטיפול.</v>
      </c>
      <c r="E466" s="116" t="str">
        <f>IF(ISBLANK('Event summary'!D466),"",'Event summary'!D466)</f>
        <v>יש לעדכן את הווטסאפ וכן יש לתעד בקשה לטיפול באותו היום בשלב הקבלה.</v>
      </c>
      <c r="F466" s="117">
        <f>IF(ISBLANK('Event summary'!E466),"",'Event summary'!E466)</f>
        <v>44857</v>
      </c>
      <c r="G466" s="73" t="s">
        <v>921</v>
      </c>
      <c r="H466" s="57" t="s">
        <v>966</v>
      </c>
      <c r="J466" s="120" t="s">
        <v>1138</v>
      </c>
    </row>
    <row r="467" spans="1:10" ht="42.75" x14ac:dyDescent="0.2">
      <c r="A467" s="114" t="e">
        <f>IF(ISBLANK('Event summary'!#REF!),"",'Event summary'!#REF!)</f>
        <v>#REF!</v>
      </c>
      <c r="B467" s="115">
        <f>IF(ISBLANK('Event summary'!A467),"",'Event summary'!A467)</f>
        <v>467</v>
      </c>
      <c r="C467" s="115" t="str">
        <f>IF(ISBLANK('Event summary'!B467),"",'Event summary'!B467)</f>
        <v>עומס יתר</v>
      </c>
      <c r="D467" s="116" t="str">
        <f>IF(ISBLANK('Event summary'!C467),"",'Event summary'!C467)</f>
        <v>עומס יתר - עומס יתר על רופא מתמחה במהלך יום העבודה; נדרש לבצע בו זמנית 2 קבלות במרפאה, לבדוק את בדיקות הדם של מטופלי הקרינה ושתי קבלות לסימולציה.</v>
      </c>
      <c r="E467" s="116" t="str">
        <f>IF(ISBLANK('Event summary'!D467),"",'Event summary'!D467)</f>
        <v>ייבדק אופן השיבוץ של המתמחים. מטופלים דחופים יוזמנו לפחות שעתיים לפני מועד הטיפול.</v>
      </c>
      <c r="F467" s="117">
        <f>IF(ISBLANK('Event summary'!E467),"",'Event summary'!E467)</f>
        <v>44857</v>
      </c>
      <c r="G467" s="57" t="s">
        <v>922</v>
      </c>
      <c r="H467" s="57" t="s">
        <v>1141</v>
      </c>
      <c r="J467" s="120" t="s">
        <v>1139</v>
      </c>
    </row>
    <row r="468" spans="1:10" ht="42.75" x14ac:dyDescent="0.2">
      <c r="A468" s="114" t="e">
        <f>IF(ISBLANK('Event summary'!#REF!),"",'Event summary'!#REF!)</f>
        <v>#REF!</v>
      </c>
      <c r="B468" s="115">
        <f>IF(ISBLANK('Event summary'!A468),"",'Event summary'!A468)</f>
        <v>468</v>
      </c>
      <c r="C468" s="115" t="str">
        <f>IF(ISBLANK('Event summary'!B468),"",'Event summary'!B468)</f>
        <v>תקשורת לקויה</v>
      </c>
      <c r="D468" s="116" t="str">
        <f>IF(ISBLANK('Event summary'!C468),"",'Event summary'!C468)</f>
        <v>תקשורת לקויה - מטופל נדרש לקבל קרינה דחופה הגיע ללא אפוטרופוס (PS4). לכן לא ניתן היה לחתום על הסכמה לטיפול והמטופל הוחזר למחלקה.</v>
      </c>
      <c r="E468" s="116" t="str">
        <f>IF(ISBLANK('Event summary'!D468),"",'Event summary'!D468)</f>
        <v>במקרה ואין אופוטרופוס יש לכנס 3 רופאים לצורך החתמה על הסכמה מדעת.</v>
      </c>
      <c r="F468" s="117">
        <f>IF(ISBLANK('Event summary'!E468),"",'Event summary'!E468)</f>
        <v>44857</v>
      </c>
      <c r="G468" s="57" t="s">
        <v>923</v>
      </c>
      <c r="H468" s="57" t="s">
        <v>924</v>
      </c>
      <c r="J468" s="120" t="s">
        <v>1140</v>
      </c>
    </row>
    <row r="469" spans="1:10" ht="42.75" x14ac:dyDescent="0.2">
      <c r="A469" s="114" t="e">
        <f>IF(ISBLANK('Event summary'!#REF!),"",'Event summary'!#REF!)</f>
        <v>#REF!</v>
      </c>
      <c r="B469" s="115">
        <f>IF(ISBLANK('Event summary'!A469),"",'Event summary'!A469)</f>
        <v>469</v>
      </c>
      <c r="C469" s="115" t="str">
        <f>IF(ISBLANK('Event summary'!B469),"",'Event summary'!B469)</f>
        <v>תקשורת לקויה</v>
      </c>
      <c r="D469" s="116" t="str">
        <f>IF(ISBLANK('Event summary'!C469),"",'Event summary'!C469)</f>
        <v xml:space="preserve">תקשורת לקויה - חוסר בהירות לגבי הרופא המטפל עקב רישום  כפול. </v>
      </c>
      <c r="E469" s="116" t="str">
        <f>IF(ISBLANK('Event summary'!D469),"",'Event summary'!D469)</f>
        <v>כל שינוי Care Path יש להעביר את מהות השינוי לחמ"ל.</v>
      </c>
      <c r="F469" s="117">
        <f>IF(ISBLANK('Event summary'!E469),"",'Event summary'!E469)</f>
        <v>44857</v>
      </c>
      <c r="G469" s="57" t="s">
        <v>925</v>
      </c>
      <c r="H469" s="57" t="s">
        <v>1393</v>
      </c>
      <c r="J469" s="120" t="s">
        <v>1422</v>
      </c>
    </row>
    <row r="470" spans="1:10" ht="30" x14ac:dyDescent="0.2">
      <c r="A470" s="114" t="e">
        <f>IF(ISBLANK('Event summary'!#REF!),"",'Event summary'!#REF!)</f>
        <v>#REF!</v>
      </c>
      <c r="B470" s="115">
        <f>IF(ISBLANK('Event summary'!A470),"",'Event summary'!A470)</f>
        <v>470</v>
      </c>
      <c r="C470" s="115" t="str">
        <f>IF(ISBLANK('Event summary'!B470),"",'Event summary'!B470)</f>
        <v>סריקה לא תקינה</v>
      </c>
      <c r="D470" s="116" t="str">
        <f>IF(ISBLANK('Event summary'!C470),"",'Event summary'!C470)</f>
        <v>סריקה לא תקינה - סריקה ללא localizer. בסריקת ה- 4D לא ניתן למצוא את המרקרים למיקום המרכז.</v>
      </c>
      <c r="E470" s="116" t="str">
        <f>IF(ISBLANK('Event summary'!D470),"",'Event summary'!D470)</f>
        <v>ללא שינוי</v>
      </c>
      <c r="F470" s="117">
        <f>IF(ISBLANK('Event summary'!E470),"",'Event summary'!E470)</f>
        <v>44857</v>
      </c>
      <c r="H470" s="34"/>
      <c r="I470" s="34"/>
    </row>
    <row r="471" spans="1:10" ht="30" x14ac:dyDescent="0.2">
      <c r="A471" s="114" t="e">
        <f>IF(ISBLANK('Event summary'!#REF!),"",'Event summary'!#REF!)</f>
        <v>#REF!</v>
      </c>
      <c r="B471" s="115">
        <f>IF(ISBLANK('Event summary'!A471),"",'Event summary'!A471)</f>
        <v>471</v>
      </c>
      <c r="C471" s="115" t="str">
        <f>IF(ISBLANK('Event summary'!B471),"",'Event summary'!B471)</f>
        <v>סריקה לא תקינה</v>
      </c>
      <c r="D471" s="116" t="str">
        <f>IF(ISBLANK('Event summary'!C471),"",'Event summary'!C471)</f>
        <v>סריקה לא תקינה - מטופלת נסרקה בסימולציה כאשר היא מסובבת.</v>
      </c>
      <c r="E471" s="116" t="str">
        <f>IF(ISBLANK('Event summary'!D471),"",'Event summary'!D471)</f>
        <v>לשים לב במהלך הסריקה</v>
      </c>
      <c r="F471" s="117">
        <f>IF(ISBLANK('Event summary'!E471),"",'Event summary'!E471)</f>
        <v>44857</v>
      </c>
    </row>
    <row r="472" spans="1:10" ht="30" x14ac:dyDescent="0.2">
      <c r="A472" s="114" t="e">
        <f>IF(ISBLANK('Event summary'!#REF!),"",'Event summary'!#REF!)</f>
        <v>#REF!</v>
      </c>
      <c r="B472" s="115">
        <f>IF(ISBLANK('Event summary'!A472),"",'Event summary'!A472)</f>
        <v>472</v>
      </c>
      <c r="C472" s="115" t="str">
        <f>IF(ISBLANK('Event summary'!B472),"",'Event summary'!B472)</f>
        <v>אי עמידה בזמנים</v>
      </c>
      <c r="D472" s="116" t="str">
        <f>IF(ISBLANK('Event summary'!C472),"",'Event summary'!C472)</f>
        <v xml:space="preserve">אי עמידה בזמנים - סימולציה נקבעה כחודש לאחר הקבלה ללא הצדקה. במכתב נתבקשו תאריכי טיפול ספציפיים. </v>
      </c>
      <c r="E472" s="116" t="str">
        <f>IF(ISBLANK('Event summary'!D472),"",'Event summary'!D472)</f>
        <v>בבדיקה מחודשת. המטופלת בקשה לדחות את מועד תחילת הטיפול.</v>
      </c>
      <c r="F472" s="117">
        <f>IF(ISBLANK('Event summary'!E472),"",'Event summary'!E472)</f>
        <v>44885</v>
      </c>
    </row>
    <row r="473" spans="1:10" ht="42.75" x14ac:dyDescent="0.2">
      <c r="A473" s="114" t="e">
        <f>IF(ISBLANK('Event summary'!#REF!),"",'Event summary'!#REF!)</f>
        <v>#REF!</v>
      </c>
      <c r="B473" s="115">
        <f>IF(ISBLANK('Event summary'!A473),"",'Event summary'!A473)</f>
        <v>473</v>
      </c>
      <c r="C473" s="115" t="str">
        <f>IF(ISBLANK('Event summary'!B473),"",'Event summary'!B473)</f>
        <v>מתן טיפול באופן שגוי</v>
      </c>
      <c r="D473" s="116" t="str">
        <f>IF(ISBLANK('Event summary'!C473),"",'Event summary'!C473)</f>
        <v>מתן טיפול באופן שגוי - מטופל קיבל שתי פרקציות ללא Vaclock לקיבוע תנוחת ידיים.</v>
      </c>
      <c r="E473" s="116" t="str">
        <f>IF(ISBLANK('Event summary'!D473),"",'Event summary'!D473)</f>
        <v>יש לצלם כל סימולציה ולתעד בקמליון את כל הקיבועים. מוצע לרכוש מצלמה לצורך התיעוד. יבוצע תיעוד של RTTQA להמצאות Vaclock. צוות המאיץ יבצע בדיקה בסימולציה להמצאות Vaclock.</v>
      </c>
      <c r="F473" s="117">
        <f>IF(ISBLANK('Event summary'!E473),"",'Event summary'!E473)</f>
        <v>44885</v>
      </c>
      <c r="G473" s="57" t="s">
        <v>943</v>
      </c>
      <c r="H473" s="57" t="s">
        <v>926</v>
      </c>
      <c r="J473" s="120" t="s">
        <v>1142</v>
      </c>
    </row>
    <row r="474" spans="1:10" ht="42.75" x14ac:dyDescent="0.2">
      <c r="A474" s="114" t="e">
        <f>IF(ISBLANK('Event summary'!#REF!),"",'Event summary'!#REF!)</f>
        <v>#REF!</v>
      </c>
      <c r="B474" s="115">
        <f>IF(ISBLANK('Event summary'!A474),"",'Event summary'!A474)</f>
        <v>474</v>
      </c>
      <c r="C474" s="115" t="str">
        <f>IF(ISBLANK('Event summary'!B474),"",'Event summary'!B474)</f>
        <v>עבודה שלא על פי הנוהל</v>
      </c>
      <c r="D474" s="116" t="str">
        <f>IF(ISBLANK('Event summary'!C474),"",'Event summary'!C474)</f>
        <v>עבודה שלא על פי הנוהל - מטופל לא הוחתם על הסכמה לסימולציה עם חומר ניגוד ולכן לא הוכן לביצוע הזרקה. עבר סימולציה רגילה.</v>
      </c>
      <c r="E474" s="116" t="str">
        <f>IF(ISBLANK('Event summary'!D474),"",'Event summary'!D474)</f>
        <v xml:space="preserve">על אחות לתעד ביצוע הזרקות בטופס הסכמה להזרקת חומר ניגוד. הטופס מועבר אל הסימולציה להחתמה ע"י רופא. לאחר הסימולציה הטופס נסרק לקמליון לתיעוד. </v>
      </c>
      <c r="F474" s="117">
        <f>IF(ISBLANK('Event summary'!E474),"",'Event summary'!E474)</f>
        <v>44885</v>
      </c>
      <c r="G474" s="57" t="s">
        <v>944</v>
      </c>
      <c r="H474" s="57" t="s">
        <v>945</v>
      </c>
    </row>
    <row r="475" spans="1:10" ht="42.75" x14ac:dyDescent="0.2">
      <c r="A475" s="114" t="e">
        <f>IF(ISBLANK('Event summary'!#REF!),"",'Event summary'!#REF!)</f>
        <v>#REF!</v>
      </c>
      <c r="B475" s="115">
        <f>IF(ISBLANK('Event summary'!A475),"",'Event summary'!A475)</f>
        <v>475</v>
      </c>
      <c r="C475" s="115" t="str">
        <f>IF(ISBLANK('Event summary'!B475),"",'Event summary'!B475)</f>
        <v>אי עמידה בזמנים</v>
      </c>
      <c r="D475" s="116" t="str">
        <f>IF(ISBLANK('Event summary'!C475),"",'Event summary'!C475)</f>
        <v>עיכוב במתן טיפול - מטופל מאושפז עם cord compression קיבל טיפולים בחמישי ושישי ונשכח ביום ראשון. קיבל את שארית הטיפול החל מיום שני.</v>
      </c>
      <c r="E475" s="116" t="str">
        <f>IF(ISBLANK('Event summary'!D475),"",'Event summary'!D475)</f>
        <v>היה חוסר בתיעוד פנימי. יש לכתוב פתק או מייל למזכירות, וכן להוסיף לרשימה של הדחופים.</v>
      </c>
      <c r="F475" s="117">
        <f>IF(ISBLANK('Event summary'!E475),"",'Event summary'!E475)</f>
        <v>44885</v>
      </c>
      <c r="G475" s="57" t="s">
        <v>946</v>
      </c>
      <c r="H475" s="57" t="s">
        <v>967</v>
      </c>
      <c r="J475" s="120" t="s">
        <v>1441</v>
      </c>
    </row>
    <row r="476" spans="1:10" ht="42.75" x14ac:dyDescent="0.2">
      <c r="A476" s="114" t="e">
        <f>IF(ISBLANK('Event summary'!#REF!),"",'Event summary'!#REF!)</f>
        <v>#REF!</v>
      </c>
      <c r="B476" s="115">
        <f>IF(ISBLANK('Event summary'!A476),"",'Event summary'!A476)</f>
        <v>476</v>
      </c>
      <c r="C476" s="115" t="str">
        <f>IF(ISBLANK('Event summary'!B476),"",'Event summary'!B476)</f>
        <v>עומס יתר</v>
      </c>
      <c r="D476" s="116" t="str">
        <f>IF(ISBLANK('Event summary'!C476),"",'Event summary'!C476)</f>
        <v>עומס יתר - לסימולציה הוזמנו 14 מקרים לבוקר. בתום המשמרת נשארו 3 מקרים לתכנון. אחה"צ הוזמנו 6 מסיכות SRS. סיום עבודה ב 20:00.</v>
      </c>
      <c r="E476" s="116" t="str">
        <f>IF(ISBLANK('Event summary'!D476),"",'Event summary'!D476)</f>
        <v>יש לידע את מנהל היחידה ד"ר לימון על כל סימולציה נוספת מעבר ל 9 סימולציות יומיות. מנהל אדמיניסטרטיבי משה יפרח יקבל בקשות לתוספת של סימולציות.</v>
      </c>
      <c r="F476" s="117">
        <f>IF(ISBLANK('Event summary'!E476),"",'Event summary'!E476)</f>
        <v>44885</v>
      </c>
      <c r="G476" s="57" t="s">
        <v>927</v>
      </c>
      <c r="H476" s="57" t="s">
        <v>919</v>
      </c>
      <c r="J476" s="120" t="s">
        <v>1066</v>
      </c>
    </row>
    <row r="477" spans="1:10" ht="85.5" x14ac:dyDescent="0.2">
      <c r="A477" s="114" t="e">
        <f>IF(ISBLANK('Event summary'!#REF!),"",'Event summary'!#REF!)</f>
        <v>#REF!</v>
      </c>
      <c r="B477" s="115">
        <f>IF(ISBLANK('Event summary'!A477),"",'Event summary'!A477)</f>
        <v>477</v>
      </c>
      <c r="C477" s="115" t="str">
        <f>IF(ISBLANK('Event summary'!B477),"",'Event summary'!B477)</f>
        <v>מתן טיפול באופן שגוי</v>
      </c>
      <c r="D477" s="116" t="str">
        <f>IF(ISBLANK('Event summary'!C477),"",'Event summary'!C477)</f>
        <v>מתן טיפול באופן שגוי - טיפול ראשון של TLI בוצע במאיץ 4. בשדות הטיפול לא עבר ה MLC בין המאיצים ונעשה תיקון כשהמטופלת על השולחן. בנוסף, נעשה שימוש באנרגיה שלא מתוחזקת במאיץ זה (מדוע לא בוטלה האנרגיה הזאת). במדידה לאחר הטיפול נמדדו 12% מנה עודפת לשדות אלו (טיפול ראשון מ- 10).</v>
      </c>
      <c r="E477" s="116" t="str">
        <f>IF(ISBLANK('Event summary'!D477),"",'Event summary'!D477)</f>
        <v>יש לבצע Time-Out. יש להקפיד על בקרת איכות בכל תכנון. תיכתב רשימת תיוג להעברת מאיץ. בעת העלאת מטופל יש לעבור על כלל השדות לווידוא של MLC.</v>
      </c>
      <c r="F477" s="117">
        <f>IF(ISBLANK('Event summary'!E477),"",'Event summary'!E477)</f>
        <v>44885</v>
      </c>
      <c r="G477" s="57" t="s">
        <v>948</v>
      </c>
      <c r="H477" s="57" t="s">
        <v>947</v>
      </c>
      <c r="J477" s="120" t="s">
        <v>1426</v>
      </c>
    </row>
    <row r="478" spans="1:10" ht="30" x14ac:dyDescent="0.2">
      <c r="A478" s="114" t="e">
        <f>IF(ISBLANK('Event summary'!#REF!),"",'Event summary'!#REF!)</f>
        <v>#REF!</v>
      </c>
      <c r="B478" s="115">
        <f>IF(ISBLANK('Event summary'!A478),"",'Event summary'!A478)</f>
        <v>478</v>
      </c>
      <c r="C478" s="115" t="str">
        <f>IF(ISBLANK('Event summary'!B478),"",'Event summary'!B478)</f>
        <v>אי עמידה בזמנים</v>
      </c>
      <c r="D478" s="116" t="str">
        <f>IF(ISBLANK('Event summary'!C478),"",'Event summary'!C478)</f>
        <v>אי עמידה בזמנים - תכנון TSI לא היה מוכן ונעשה בלחץ כאשר המטופל ממתין לטיפול. לא היתה חתימת רופא בתכנון.</v>
      </c>
      <c r="E478" s="116" t="str">
        <f>IF(ISBLANK('Event summary'!D478),"",'Event summary'!D478)</f>
        <v xml:space="preserve">לא יתוכנן מקרה ללא מרשם חתום ע"י רופא מומחה. במקרה שזה קורה יש לידע את מנהל היחידה ד"ר לימון. </v>
      </c>
      <c r="F478" s="117">
        <f>IF(ISBLANK('Event summary'!E478),"",'Event summary'!E478)</f>
        <v>44885</v>
      </c>
      <c r="G478" s="57" t="s">
        <v>927</v>
      </c>
      <c r="H478" s="57" t="s">
        <v>919</v>
      </c>
      <c r="J478" s="120" t="s">
        <v>1066</v>
      </c>
    </row>
    <row r="479" spans="1:10" ht="42.75" x14ac:dyDescent="0.2">
      <c r="A479" s="114" t="e">
        <f>IF(ISBLANK('Event summary'!#REF!),"",'Event summary'!#REF!)</f>
        <v>#REF!</v>
      </c>
      <c r="B479" s="115">
        <f>IF(ISBLANK('Event summary'!A479),"",'Event summary'!A479)</f>
        <v>479</v>
      </c>
      <c r="C479" s="115" t="str">
        <f>IF(ISBLANK('Event summary'!B479),"",'Event summary'!B479)</f>
        <v>מתן טיפול באופן שגוי</v>
      </c>
      <c r="D479" s="116" t="str">
        <f>IF(ISBLANK('Event summary'!C479),"",'Event summary'!C479)</f>
        <v>מתן טיפול באופן שגוי - מתן טיפול באלקטרונים למוקד שגוי. לא היה צילום והנגע נעלם, לכן קיבל טיפול בנגע קיים. נגע זה קיבל כבר את כל הטיפול.</v>
      </c>
      <c r="E479" s="116" t="str">
        <f>IF(ISBLANK('Event summary'!D479),"",'Event summary'!D479)</f>
        <v xml:space="preserve">יש ליישם נוהל סימולציה גם לסימונים קליניים. </v>
      </c>
      <c r="F479" s="117">
        <f>IF(ISBLANK('Event summary'!E479),"",'Event summary'!E479)</f>
        <v>44885</v>
      </c>
      <c r="G479" s="57" t="s">
        <v>949</v>
      </c>
      <c r="H479" s="57" t="s">
        <v>928</v>
      </c>
    </row>
    <row r="480" spans="1:10" ht="28.5" x14ac:dyDescent="0.2">
      <c r="A480" s="114" t="e">
        <f>IF(ISBLANK('Event summary'!#REF!),"",'Event summary'!#REF!)</f>
        <v>#REF!</v>
      </c>
      <c r="B480" s="115">
        <f>IF(ISBLANK('Event summary'!A480),"",'Event summary'!A480)</f>
        <v>480</v>
      </c>
      <c r="C480" s="115" t="str">
        <f>IF(ISBLANK('Event summary'!B480),"",'Event summary'!B480)</f>
        <v>תיעוד לא תקין</v>
      </c>
      <c r="D480" s="116" t="str">
        <f>IF(ISBLANK('Event summary'!C480),"",'Event summary'!C480)</f>
        <v>תיעוד לא תקין - עבור מטופל SBRT ריאה נכתב בהנחיות לסימולציה צד ימין בפרוטוקול הקרינה (קמליון) נכתב צד שמאל.</v>
      </c>
      <c r="E480" s="116" t="str">
        <f>IF(ISBLANK('Event summary'!D480),"",'Event summary'!D480)</f>
        <v xml:space="preserve">לא יתוכנן מקרה ללא מרשם חתום ע"י רופא מומחה. במקרה שזה קורה יש לידע את מנהל היחידה ד"ר לימון. </v>
      </c>
      <c r="F480" s="117">
        <f>IF(ISBLANK('Event summary'!E480),"",'Event summary'!E480)</f>
        <v>44906</v>
      </c>
      <c r="G480" s="57" t="s">
        <v>951</v>
      </c>
      <c r="H480" s="57" t="s">
        <v>952</v>
      </c>
      <c r="J480" s="120" t="s">
        <v>1440</v>
      </c>
    </row>
    <row r="481" spans="1:10" ht="42.75" x14ac:dyDescent="0.2">
      <c r="A481" s="114" t="e">
        <f>IF(ISBLANK('Event summary'!#REF!),"",'Event summary'!#REF!)</f>
        <v>#REF!</v>
      </c>
      <c r="B481" s="115">
        <f>IF(ISBLANK('Event summary'!A481),"",'Event summary'!A481)</f>
        <v>481</v>
      </c>
      <c r="C481" s="115" t="str">
        <f>IF(ISBLANK('Event summary'!B481),"",'Event summary'!B481)</f>
        <v>אי ביצוע הנחיה (מטופלים)</v>
      </c>
      <c r="D481" s="116" t="str">
        <f>IF(ISBLANK('Event summary'!C481),"",'Event summary'!C481)</f>
        <v>אי ביצוע הנחיה (מטופלים) - חוסר יכולת לבצע הנחיות רופא. המטופל תוכנן לקבלת SBRT ריאה. המטופל לא היה מסוגל להחזיק ידיים למעלה.</v>
      </c>
      <c r="E481" s="116" t="str">
        <f>IF(ISBLANK('Event summary'!D481),"",'Event summary'!D481)</f>
        <v>על הרופא המטפל לבחון את מצבו של המטופל ולהחליט האם מסוגל לבצע טיפולים מורכבים וארוכים.</v>
      </c>
      <c r="F481" s="117">
        <f>IF(ISBLANK('Event summary'!E481),"",'Event summary'!E481)</f>
        <v>44906</v>
      </c>
    </row>
    <row r="482" spans="1:10" ht="28.5" x14ac:dyDescent="0.2">
      <c r="A482" s="114" t="e">
        <f>IF(ISBLANK('Event summary'!#REF!),"",'Event summary'!#REF!)</f>
        <v>#REF!</v>
      </c>
      <c r="B482" s="115">
        <f>IF(ISBLANK('Event summary'!A482),"",'Event summary'!A482)</f>
        <v>482</v>
      </c>
      <c r="C482" s="115" t="str">
        <f>IF(ISBLANK('Event summary'!B482),"",'Event summary'!B482)</f>
        <v>היעדר תיעוד</v>
      </c>
      <c r="D482" s="116" t="str">
        <f>IF(ISBLANK('Event summary'!C482),"",'Event summary'!C482)</f>
        <v>היעדר תיעוד - מטופל הגיעה לסימולציה ולא היו הנחיות סריקה של רופא.</v>
      </c>
      <c r="E482" s="116" t="str">
        <f>IF(ISBLANK('Event summary'!D482),"",'Event summary'!D482)</f>
        <v>יש לרענן את הצוות להקפדה על הוספת מסמך לאריה.</v>
      </c>
      <c r="F482" s="117">
        <f>IF(ISBLANK('Event summary'!E482),"",'Event summary'!E482)</f>
        <v>44906</v>
      </c>
      <c r="G482" s="57" t="s">
        <v>953</v>
      </c>
      <c r="H482" s="57" t="s">
        <v>919</v>
      </c>
      <c r="J482" s="120" t="s">
        <v>1140</v>
      </c>
    </row>
    <row r="483" spans="1:10" ht="42.75" x14ac:dyDescent="0.2">
      <c r="A483" s="114" t="e">
        <f>IF(ISBLANK('Event summary'!#REF!),"",'Event summary'!#REF!)</f>
        <v>#REF!</v>
      </c>
      <c r="B483" s="115">
        <f>IF(ISBLANK('Event summary'!A483),"",'Event summary'!A483)</f>
        <v>483</v>
      </c>
      <c r="C483" s="115" t="str">
        <f>IF(ISBLANK('Event summary'!B483),"",'Event summary'!B483)</f>
        <v>תכנון שגוי</v>
      </c>
      <c r="D483" s="116" t="str">
        <f>IF(ISBLANK('Event summary'!C483),"",'Event summary'!C483)</f>
        <v>תכנון שגוי - מטופלת לאחר הפסקת טיפול קיבלה המשך טיפולים על סימולציה ישנה. המטופלת קיבלה 6 טיפולים בסריקה זו.</v>
      </c>
      <c r="E483" s="116" t="str">
        <f>IF(ISBLANK('Event summary'!D483),"",'Event summary'!D483)</f>
        <v xml:space="preserve">יש לבצע חישוב חדש עבור שינויים. רופא יעביר סימונים לסימולציה חדשה ויתכנן עליה.  </v>
      </c>
      <c r="F483" s="117">
        <f>IF(ISBLANK('Event summary'!E483),"",'Event summary'!E483)</f>
        <v>44906</v>
      </c>
      <c r="G483" s="57" t="s">
        <v>954</v>
      </c>
      <c r="H483" s="57" t="s">
        <v>955</v>
      </c>
      <c r="J483" s="120" t="s">
        <v>1428</v>
      </c>
    </row>
    <row r="484" spans="1:10" ht="42.75" x14ac:dyDescent="0.2">
      <c r="A484" s="114" t="e">
        <f>IF(ISBLANK('Event summary'!#REF!),"",'Event summary'!#REF!)</f>
        <v>#REF!</v>
      </c>
      <c r="B484" s="115">
        <f>IF(ISBLANK('Event summary'!A484),"",'Event summary'!A484)</f>
        <v>484</v>
      </c>
      <c r="C484" s="115" t="str">
        <f>IF(ISBLANK('Event summary'!B484),"",'Event summary'!B484)</f>
        <v>צוות חסר</v>
      </c>
      <c r="D484" s="116" t="str">
        <f>IF(ISBLANK('Event summary'!C484),"",'Event summary'!C484)</f>
        <v xml:space="preserve">צוות חסר - מטופל ברכיתרפיה לשון ירד לטיפול שני בשעות הצהריים ולא היה רנטגנאי שיודע לטפל בברכי במכון. </v>
      </c>
      <c r="E484" s="116" t="str">
        <f>IF(ISBLANK('Event summary'!D484),"",'Event summary'!D484)</f>
        <v>שינוע מתכונן יוקדם לשעה 7:30 על מנת למנוע עיכובים מיותרים. תקשות של מקרים חריגים יש להערך מראש ולידע את הצוות מבעוד מועד.</v>
      </c>
      <c r="F484" s="117">
        <f>IF(ISBLANK('Event summary'!E484),"",'Event summary'!E484)</f>
        <v>44906</v>
      </c>
      <c r="G484" s="57" t="s">
        <v>1110</v>
      </c>
      <c r="H484" s="57" t="s">
        <v>1111</v>
      </c>
      <c r="I484" s="57" t="s">
        <v>1423</v>
      </c>
      <c r="J484" s="120" t="s">
        <v>1427</v>
      </c>
    </row>
    <row r="485" spans="1:10" ht="28.5" x14ac:dyDescent="0.2">
      <c r="A485" s="114" t="e">
        <f>IF(ISBLANK('Event summary'!#REF!),"",'Event summary'!#REF!)</f>
        <v>#REF!</v>
      </c>
      <c r="B485" s="115">
        <f>IF(ISBLANK('Event summary'!A485),"",'Event summary'!A485)</f>
        <v>485</v>
      </c>
      <c r="C485" s="115" t="str">
        <f>IF(ISBLANK('Event summary'!B485),"",'Event summary'!B485)</f>
        <v>תכנון שגוי</v>
      </c>
      <c r="D485" s="116" t="str">
        <f>IF(ISBLANK('Event summary'!C485),"",'Event summary'!C485)</f>
        <v>תכנון שגוי - מטופל תוכנן עם שדות לטרליים כאשר הרגל השניה נמצאת בשדה הקרינה.</v>
      </c>
      <c r="E485" s="116" t="str">
        <f>IF(ISBLANK('Event summary'!D485),"",'Event summary'!D485)</f>
        <v>יש לחדד את אופן בדיקת תכנית ובדיקה של שדות התכנון (פיזיקאים ורופאים).</v>
      </c>
      <c r="F485" s="117">
        <f>IF(ISBLANK('Event summary'!E485),"",'Event summary'!E485)</f>
        <v>44906</v>
      </c>
      <c r="G485" s="57" t="s">
        <v>954</v>
      </c>
      <c r="H485" s="57" t="s">
        <v>955</v>
      </c>
      <c r="J485" s="120" t="s">
        <v>1429</v>
      </c>
    </row>
    <row r="486" spans="1:10" ht="114" x14ac:dyDescent="0.2">
      <c r="A486" s="114" t="e">
        <f>IF(ISBLANK('Event summary'!#REF!),"",'Event summary'!#REF!)</f>
        <v>#REF!</v>
      </c>
      <c r="B486" s="115">
        <f>IF(ISBLANK('Event summary'!A486),"",'Event summary'!A486)</f>
        <v>486</v>
      </c>
      <c r="C486" s="115" t="str">
        <f>IF(ISBLANK('Event summary'!B486),"",'Event summary'!B486)</f>
        <v>תקשורת לקויה</v>
      </c>
      <c r="D486" s="116" t="str">
        <f>IF(ISBLANK('Event summary'!C486),"",'Event summary'!C486)</f>
        <v>תקשורת לקויה - מטופל עם קוצב לב. היה בילבול רב באשר לאופן הטיפול, הניטור והשימוש במגנט. בנוסף, המטופל הוא מטופל ערב עם צוות מתחלף.</v>
      </c>
      <c r="E486" s="116" t="str">
        <f>IF(ISBLANK('Event summary'!D486),"",'Event summary'!D486)</f>
        <v>לא יהיה אישור תכנית למטופל ללא מכתב קוצב. על רופא ופיזיקאי לעמוד על קיום מכתב מקרדיולוג. מקרה ללא  מכתב לא יעבור QA. יש לעדכן מכתב קוצב בקמליון. יש לרענן את נוהל הקוצב.</v>
      </c>
      <c r="F486" s="117">
        <f>IF(ISBLANK('Event summary'!E486),"",'Event summary'!E486)</f>
        <v>44906</v>
      </c>
      <c r="G486" s="74" t="s">
        <v>1396</v>
      </c>
      <c r="H486" s="74" t="s">
        <v>957</v>
      </c>
      <c r="I486" s="74"/>
      <c r="J486" s="120" t="s">
        <v>1424</v>
      </c>
    </row>
    <row r="487" spans="1:10" ht="42.75" x14ac:dyDescent="0.2">
      <c r="A487" s="114" t="e">
        <f>IF(ISBLANK('Event summary'!#REF!),"",'Event summary'!#REF!)</f>
        <v>#REF!</v>
      </c>
      <c r="B487" s="115">
        <f>IF(ISBLANK('Event summary'!A487),"",'Event summary'!A487)</f>
        <v>487</v>
      </c>
      <c r="C487" s="115" t="str">
        <f>IF(ISBLANK('Event summary'!B487),"",'Event summary'!B487)</f>
        <v>תיעוד לא תקין</v>
      </c>
      <c r="D487" s="116" t="str">
        <f>IF(ISBLANK('Event summary'!C487),"",'Event summary'!C487)</f>
        <v>תיעוד לא תקין - לא ניתן לוודא מרכז טיפול. לא היה תיעוד לגבי קעקוע מתכנון קודם. היה קושי בהשכבה ראשונית.</v>
      </c>
      <c r="E487" s="116" t="str">
        <f>IF(ISBLANK('Event summary'!D487),"",'Event summary'!D487)</f>
        <v>יש לכתוב בקמליון את כל הפרטים פרט כשיש סימולציה קודמת. יש לצלם תמונות ולצרף. נרכשה מצלמה לסימולציה. בטיפול רכישת טאבלט ותכנה לצורך צילומים בסימולציה.</v>
      </c>
      <c r="F487" s="117">
        <f>IF(ISBLANK('Event summary'!E487),"",'Event summary'!E487)</f>
        <v>44906</v>
      </c>
      <c r="G487" s="57" t="s">
        <v>958</v>
      </c>
      <c r="H487" s="57" t="s">
        <v>926</v>
      </c>
    </row>
    <row r="488" spans="1:10" ht="42.75" x14ac:dyDescent="0.2">
      <c r="A488" s="114" t="e">
        <f>IF(ISBLANK('Event summary'!#REF!),"",'Event summary'!#REF!)</f>
        <v>#REF!</v>
      </c>
      <c r="B488" s="115">
        <f>IF(ISBLANK('Event summary'!A488),"",'Event summary'!A488)</f>
        <v>488</v>
      </c>
      <c r="C488" s="115" t="str">
        <f>IF(ISBLANK('Event summary'!B488),"",'Event summary'!B488)</f>
        <v>אי ביצוע הנחיה (צוות)</v>
      </c>
      <c r="D488" s="116" t="str">
        <f>IF(ISBLANK('Event summary'!C488),"",'Event summary'!C488)</f>
        <v>אי ביצוע הנחיה (צוות) - מטופלת עברה סימולציה חוזרת כיוון שלא קראו לרופא לסמן מיקום. הרופא ביקש שיקראו לו לסימון בטופס סימולציה באריה וכן דיבר עם הצוות באופן ישיר.</v>
      </c>
      <c r="E488" s="116" t="str">
        <f>IF(ISBLANK('Event summary'!D488),"",'Event summary'!D488)</f>
        <v>לשים לב להנחיות הרופא בקמליון ובטופס הסימולציה לרענון את הנוהל רנטגנאים ופיזיקאים.</v>
      </c>
      <c r="F488" s="117">
        <f>IF(ISBLANK('Event summary'!E488),"",'Event summary'!E488)</f>
        <v>44927</v>
      </c>
      <c r="G488" s="57" t="s">
        <v>995</v>
      </c>
      <c r="H488" s="57" t="s">
        <v>996</v>
      </c>
    </row>
    <row r="489" spans="1:10" ht="71.25" x14ac:dyDescent="0.2">
      <c r="A489" s="114" t="e">
        <f>IF(ISBLANK('Event summary'!#REF!),"",'Event summary'!#REF!)</f>
        <v>#REF!</v>
      </c>
      <c r="B489" s="115">
        <f>IF(ISBLANK('Event summary'!A489),"",'Event summary'!A489)</f>
        <v>489</v>
      </c>
      <c r="C489" s="115" t="str">
        <f>IF(ISBLANK('Event summary'!B489),"",'Event summary'!B489)</f>
        <v>אי עמידה בזמנים</v>
      </c>
      <c r="D489" s="116" t="str">
        <f>IF(ISBLANK('Event summary'!C489),"",'Event summary'!C489)</f>
        <v>עיכוב במתן טיפול - מטופל דחוף המתין זמן רב לסריקה ותכנון. המטופל המתין משעה 10:00 עד כ- 18:00 ולבסוף קיבל טיפול יום אחרי. העיקוב בתכנון נוצר עקב חוסר מידע רפואי עבור טיפול קודם שקיבל בהדסה וכן חוסר הסכמת המשפחה לטיפול.</v>
      </c>
      <c r="E489" s="116" t="str">
        <f>IF(ISBLANK('Event summary'!D489),"",'Event summary'!D489)</f>
        <v>המטופל היה צריך לקבל טיפול מהיר אך לא דחוף. לרענן את נוהל מטופלים דחופים. ניתן להחזיר מטופל מאושפז למחלקה ולא לתת לו להמתין זמן ממושך.</v>
      </c>
      <c r="F489" s="117">
        <f>IF(ISBLANK('Event summary'!E489),"",'Event summary'!E489)</f>
        <v>44927</v>
      </c>
      <c r="G489" s="57" t="s">
        <v>981</v>
      </c>
      <c r="H489" s="57" t="s">
        <v>919</v>
      </c>
      <c r="J489" s="120" t="s">
        <v>1140</v>
      </c>
    </row>
    <row r="490" spans="1:10" ht="42.75" x14ac:dyDescent="0.2">
      <c r="A490" s="114" t="e">
        <f>IF(ISBLANK('Event summary'!#REF!),"",'Event summary'!#REF!)</f>
        <v>#REF!</v>
      </c>
      <c r="B490" s="115">
        <f>IF(ISBLANK('Event summary'!A490),"",'Event summary'!A490)</f>
        <v>490</v>
      </c>
      <c r="C490" s="115" t="str">
        <f>IF(ISBLANK('Event summary'!B490),"",'Event summary'!B490)</f>
        <v>שגיאה בזיהוי מטופל</v>
      </c>
      <c r="D490" s="116" t="str">
        <f>IF(ISBLANK('Event summary'!C490),"",'Event summary'!C490)</f>
        <v>שגיאה בזיהוי מטופל - למטופלת היו שני מספרי זיהוי במערכת אשר גרם לעיכוב בתהליך סריקת המטופלת. המטופלת היתה כאובה.</v>
      </c>
      <c r="E490" s="116" t="str">
        <f>IF(ISBLANK('Event summary'!D490),"",'Event summary'!D490)</f>
        <v>יש להזין מטופלים לטושיבה מתוך האריה.</v>
      </c>
      <c r="F490" s="117">
        <f>IF(ISBLANK('Event summary'!E490),"",'Event summary'!E490)</f>
        <v>44927</v>
      </c>
      <c r="G490" s="57" t="s">
        <v>980</v>
      </c>
      <c r="H490" s="57" t="s">
        <v>926</v>
      </c>
    </row>
    <row r="491" spans="1:10" ht="71.25" x14ac:dyDescent="0.2">
      <c r="A491" s="114" t="e">
        <f>IF(ISBLANK('Event summary'!#REF!),"",'Event summary'!#REF!)</f>
        <v>#REF!</v>
      </c>
      <c r="B491" s="115">
        <f>IF(ISBLANK('Event summary'!A491),"",'Event summary'!A491)</f>
        <v>491</v>
      </c>
      <c r="C491" s="115" t="str">
        <f>IF(ISBLANK('Event summary'!B491),"",'Event summary'!B491)</f>
        <v>העברת מידע</v>
      </c>
      <c r="D491" s="116" t="str">
        <f>IF(ISBLANK('Event summary'!C491),"",'Event summary'!C491)</f>
        <v>העברת מידע - מטופלת לאחר סימולציה חוזרת. התכנית הועתקה לסימולציה החדשה ונחתמה ללא אישור הרופא. הרופא לא עודכן לגבי הסטטוס של הטיפול. האם יש צורך בחתימה מחודשת של רופא ובאיזה אופן יש לעדכן את הרופא המטפל?</v>
      </c>
      <c r="E491" s="116" t="str">
        <f>IF(ISBLANK('Event summary'!D491),"",'Event summary'!D491)</f>
        <v xml:space="preserve">לאחר תכנון מחודש יש להחתים רופא מחדש גם אם לא קיים שינוי מהותי במנות. </v>
      </c>
      <c r="F491" s="117">
        <f>IF(ISBLANK('Event summary'!E491),"",'Event summary'!E491)</f>
        <v>44927</v>
      </c>
      <c r="G491" s="57" t="s">
        <v>982</v>
      </c>
      <c r="H491" s="57" t="s">
        <v>983</v>
      </c>
      <c r="J491" s="120" t="s">
        <v>1426</v>
      </c>
    </row>
    <row r="492" spans="1:10" ht="85.5" x14ac:dyDescent="0.2">
      <c r="A492" s="114" t="e">
        <f>IF(ISBLANK('Event summary'!#REF!),"",'Event summary'!#REF!)</f>
        <v>#REF!</v>
      </c>
      <c r="B492" s="115">
        <f>IF(ISBLANK('Event summary'!A492),"",'Event summary'!A492)</f>
        <v>492</v>
      </c>
      <c r="C492" s="115" t="str">
        <f>IF(ISBLANK('Event summary'!B492),"",'Event summary'!B492)</f>
        <v>תקשורת לקויה</v>
      </c>
      <c r="D492" s="116" t="str">
        <f>IF(ISBLANK('Event summary'!C492),"",'Event summary'!C492)</f>
        <v>תקשורת לקויה - מטופל נקרא למאיץ ותיק לא היה מוכן לאחר סימולציה חוזרת. היתה הודעה ב Pt. Alert  אשר נכתב יום לפני הטיפול. הרופא המטפל חתם על התכנית בבוקר הטיפול כאשר המטופל מוזמן לשעה 8:40.</v>
      </c>
      <c r="E492" s="116" t="str">
        <f>IF(ISBLANK('Event summary'!D492),"",'Event summary'!D492)</f>
        <v>יש להודיע לצוות באופן ישיר לאחר שינויים בתכנית. מוצע לכתב נהל אשר מבסס את ההתקשרות בין הצוותים לאחר שינויים בתכנון. תתואם בפגישה בנושא סימולציות ראש צוואר.</v>
      </c>
      <c r="F492" s="117">
        <f>IF(ISBLANK('Event summary'!E492),"",'Event summary'!E492)</f>
        <v>44927</v>
      </c>
      <c r="G492" s="57" t="s">
        <v>984</v>
      </c>
      <c r="H492" s="57" t="s">
        <v>993</v>
      </c>
      <c r="I492" s="57" t="s">
        <v>1423</v>
      </c>
    </row>
    <row r="493" spans="1:10" ht="42.75" x14ac:dyDescent="0.2">
      <c r="A493" s="114" t="e">
        <f>IF(ISBLANK('Event summary'!#REF!),"",'Event summary'!#REF!)</f>
        <v>#REF!</v>
      </c>
      <c r="B493" s="115">
        <f>IF(ISBLANK('Event summary'!A493),"",'Event summary'!A493)</f>
        <v>493</v>
      </c>
      <c r="C493" s="115" t="str">
        <f>IF(ISBLANK('Event summary'!B493),"",'Event summary'!B493)</f>
        <v>שגיאה בזיהוי מטופל</v>
      </c>
      <c r="D493" s="116" t="str">
        <f>IF(ISBLANK('Event summary'!C493),"",'Event summary'!C493)</f>
        <v>שגיאה בזיהוי מטופל - עקב הכנסה שגויה ידנית של פרטי מטופל לטושיבה, נוצר מטופל בעל פרטים מזהים שגויים ולא ניתן היה לשייך את הסריקה למטופל הקיים באריה.</v>
      </c>
      <c r="E493" s="116" t="str">
        <f>IF(ISBLANK('Event summary'!D493),"",'Event summary'!D493)</f>
        <v xml:space="preserve">בסימולציה לא יהיה שינויים דמוגרפיים של מטופלים. יבוצע מיפוי של כל השמות הפיקטיביים באריה. </v>
      </c>
      <c r="F493" s="117">
        <f>IF(ISBLANK('Event summary'!E493),"",'Event summary'!E493)</f>
        <v>44927</v>
      </c>
      <c r="G493" s="57" t="s">
        <v>986</v>
      </c>
      <c r="H493" s="57" t="s">
        <v>985</v>
      </c>
    </row>
    <row r="494" spans="1:10" ht="42.75" x14ac:dyDescent="0.2">
      <c r="A494" s="114" t="e">
        <f>IF(ISBLANK('Event summary'!#REF!),"",'Event summary'!#REF!)</f>
        <v>#REF!</v>
      </c>
      <c r="B494" s="115">
        <f>IF(ISBLANK('Event summary'!A494),"",'Event summary'!A494)</f>
        <v>494</v>
      </c>
      <c r="C494" s="115" t="str">
        <f>IF(ISBLANK('Event summary'!B494),"",'Event summary'!B494)</f>
        <v>שגיאה בזיהוי מטופל</v>
      </c>
      <c r="D494" s="116" t="str">
        <f>IF(ISBLANK('Event summary'!C494),"",'Event summary'!C494)</f>
        <v>שגיאה בזיהוי מטופל - עקב הכנסה שגויה ידנית של פרטי מטופל לטושיבה, נוצר מטופל בעל פרטים מזהים שגויים ולא ניתן היה לשייך את הסריקה למטופל הקיים באריה.</v>
      </c>
      <c r="E494" s="116" t="str">
        <f>IF(ISBLANK('Event summary'!D494),"",'Event summary'!D494)</f>
        <v xml:space="preserve">בסימולציה לא יהיה שינויים דמוגרפיים של מטופלים. יבוצע מיפוי של כל השמות הפיקטיביים באריה. </v>
      </c>
      <c r="F494" s="117">
        <f>IF(ISBLANK('Event summary'!E494),"",'Event summary'!E494)</f>
        <v>44927</v>
      </c>
      <c r="G494" s="57" t="s">
        <v>986</v>
      </c>
      <c r="H494" s="57" t="s">
        <v>985</v>
      </c>
    </row>
    <row r="495" spans="1:10" ht="28.5" x14ac:dyDescent="0.2">
      <c r="A495" s="114" t="e">
        <f>IF(ISBLANK('Event summary'!#REF!),"",'Event summary'!#REF!)</f>
        <v>#REF!</v>
      </c>
      <c r="B495" s="115">
        <f>IF(ISBLANK('Event summary'!A495),"",'Event summary'!A495)</f>
        <v>495</v>
      </c>
      <c r="C495" s="115" t="str">
        <f>IF(ISBLANK('Event summary'!B495),"",'Event summary'!B495)</f>
        <v>העברת מידע</v>
      </c>
      <c r="D495" s="116" t="str">
        <f>IF(ISBLANK('Event summary'!C495),"",'Event summary'!C495)</f>
        <v>העברת מידע - מטופל לא קיבל זימון למועד תחילת הטיפולים ולכן לא הגיעה לטיפול הראשון.</v>
      </c>
      <c r="E495" s="116" t="str">
        <f>IF(ISBLANK('Event summary'!D495),"",'Event summary'!D495)</f>
        <v xml:space="preserve">תבוצע המשך בדיקה בנושא לבירור הסיבה לאי שליחת הזימון למטופל. </v>
      </c>
      <c r="F495" s="117">
        <f>IF(ISBLANK('Event summary'!E495),"",'Event summary'!E495)</f>
        <v>44958</v>
      </c>
      <c r="H495" s="57" t="s">
        <v>1430</v>
      </c>
      <c r="J495" s="120" t="s">
        <v>1431</v>
      </c>
    </row>
    <row r="496" spans="1:10" ht="57" x14ac:dyDescent="0.2">
      <c r="A496" s="114" t="e">
        <f>IF(ISBLANK('Event summary'!#REF!),"",'Event summary'!#REF!)</f>
        <v>#REF!</v>
      </c>
      <c r="B496" s="115">
        <f>IF(ISBLANK('Event summary'!A496),"",'Event summary'!A496)</f>
        <v>496</v>
      </c>
      <c r="C496" s="115" t="str">
        <f>IF(ISBLANK('Event summary'!B496),"",'Event summary'!B496)</f>
        <v>תיעוד לא תקין</v>
      </c>
      <c r="D496" s="116" t="str">
        <f>IF(ISBLANK('Event summary'!C496),"",'Event summary'!C496)</f>
        <v>תיעוד לא תקין - למטופל לא שוייך רופא מטפל באריה.</v>
      </c>
      <c r="E496" s="116" t="str">
        <f>IF(ISBLANK('Event summary'!D496),"",'Event summary'!D496)</f>
        <v>יבוצע שינו בקבלת מטופלים ליחידה. בשיני מזכירות היחידה יזינו באריה את הרופא המטפל ולא הרנטגאית של זימון תורים.</v>
      </c>
      <c r="F496" s="117">
        <f>IF(ISBLANK('Event summary'!E496),"",'Event summary'!E496)</f>
        <v>44958</v>
      </c>
      <c r="G496" s="57" t="s">
        <v>1002</v>
      </c>
      <c r="H496" s="57" t="s">
        <v>1001</v>
      </c>
    </row>
    <row r="497" spans="1:10" ht="156.75" x14ac:dyDescent="0.2">
      <c r="A497" s="114" t="e">
        <f>IF(ISBLANK('Event summary'!#REF!),"",'Event summary'!#REF!)</f>
        <v>#REF!</v>
      </c>
      <c r="B497" s="115">
        <f>IF(ISBLANK('Event summary'!A497),"",'Event summary'!A497)</f>
        <v>497</v>
      </c>
      <c r="C497" s="115" t="str">
        <f>IF(ISBLANK('Event summary'!B497),"",'Event summary'!B497)</f>
        <v>מתן טיפול באופן שגוי</v>
      </c>
      <c r="D497" s="116" t="str">
        <f>IF(ISBLANK('Event summary'!C497),"",'Event summary'!C497)</f>
        <v>מתן טיפול באופן שגוי - מטופל לסימון קליני חד פעמי, קיבל רבע טיפול באנרגיה של אלקטרונים שאינה נתמכת יותר (20MeV). המטופל קיבל 5.5% יותר ממנת המרשם (8.44Gy במקום 8Gy).</v>
      </c>
      <c r="E497" s="116" t="str">
        <f>IF(ISBLANK('Event summary'!D497),"",'Event summary'!D497)</f>
        <v>יש לרענן את הצוות לאנרגיות המותרות לשימוש. בנוסף, רשימה אנרגיות מותרות תהיה זמינה לכל מאיץ. קיימת הנחיה להימנע מסימונים קליניים ככל הניתן. במקרה שכן מחליטים לעשות סימון קליני, הרופא המטפל יזמן פיזיקאי לצורך תכנון הסימון במשרד הרופא לפני העברת המטופל למאיץ לצורך מתן טיפול. במקרים של סימולציה וטיפול באמצעות קונטאקט יש הרופא מתבקש לבצע הערכת עומק הטיפול בהמצעות מערכת האולטרסאונד של המכשיר. המקרה דווח כנפגע.</v>
      </c>
      <c r="F497" s="117">
        <f>IF(ISBLANK('Event summary'!E497),"",'Event summary'!E497)</f>
        <v>44958</v>
      </c>
      <c r="G497" s="57" t="s">
        <v>1003</v>
      </c>
      <c r="H497" s="57" t="s">
        <v>1060</v>
      </c>
      <c r="J497" s="120" t="s">
        <v>1442</v>
      </c>
    </row>
    <row r="498" spans="1:10" ht="57" x14ac:dyDescent="0.2">
      <c r="A498" s="114" t="e">
        <f>IF(ISBLANK('Event summary'!#REF!),"",'Event summary'!#REF!)</f>
        <v>#REF!</v>
      </c>
      <c r="B498" s="115">
        <f>IF(ISBLANK('Event summary'!A498),"",'Event summary'!A498)</f>
        <v>498</v>
      </c>
      <c r="C498" s="115" t="str">
        <f>IF(ISBLANK('Event summary'!B498),"",'Event summary'!B498)</f>
        <v>סריקה לא תקינה</v>
      </c>
      <c r="D498" s="116" t="str">
        <f>IF(ISBLANK('Event summary'!C498),"",'Event summary'!C498)</f>
        <v>סריקה לא תקינה - חוסר תשומת לב לאיכות הסריקה. למטופל היתה פעילות בטנית במהלך הסריקה. לא בוצעה סריקה חוזרת.</v>
      </c>
      <c r="E498" s="116" t="str">
        <f>IF(ISBLANK('Event summary'!D498),"",'Event summary'!D498)</f>
        <v>בשלב הסימולציה יש לשים לב לאיכות הסריקה לפני שחרור המטופל. בשלב הסימון גם הרופא המטפל יודא שהסריקה איכותית בטרם ישחרר את המקרה לתכנון, ואם יש צורך לזמן את המטופל לסימולציה חוזרת יעשה זאת.</v>
      </c>
      <c r="F498" s="117">
        <f>IF(ISBLANK('Event summary'!E498),"",'Event summary'!E498)</f>
        <v>44958</v>
      </c>
      <c r="G498" s="57" t="s">
        <v>1004</v>
      </c>
      <c r="H498" s="57" t="s">
        <v>1061</v>
      </c>
      <c r="J498" s="120" t="s">
        <v>1443</v>
      </c>
    </row>
    <row r="499" spans="1:10" ht="28.5" x14ac:dyDescent="0.2">
      <c r="A499" s="114" t="e">
        <f>IF(ISBLANK('Event summary'!#REF!),"",'Event summary'!#REF!)</f>
        <v>#REF!</v>
      </c>
      <c r="B499" s="115">
        <f>IF(ISBLANK('Event summary'!A499),"",'Event summary'!A499)</f>
        <v>499</v>
      </c>
      <c r="C499" s="115" t="str">
        <f>IF(ISBLANK('Event summary'!B499),"",'Event summary'!B499)</f>
        <v>תיעוד לא תקין</v>
      </c>
      <c r="D499" s="116" t="str">
        <f>IF(ISBLANK('Event summary'!C499),"",'Event summary'!C499)</f>
        <v>תיעוד לא תקין - מטופל הוכנס לאריה עם שם פרטי שגוי.</v>
      </c>
      <c r="E499" s="116" t="str">
        <f>IF(ISBLANK('Event summary'!D499),"",'Event summary'!D499)</f>
        <v>קיים תהליך מחשובי לממשק את הקמליון והאריה. יש לקדם את התהליך באחריות דימה ברגילובסקי.</v>
      </c>
      <c r="F499" s="117">
        <f>IF(ISBLANK('Event summary'!E499),"",'Event summary'!E499)</f>
        <v>44958</v>
      </c>
      <c r="G499" s="57" t="s">
        <v>1062</v>
      </c>
      <c r="H499" s="57" t="s">
        <v>983</v>
      </c>
      <c r="J499" s="120" t="s">
        <v>1431</v>
      </c>
    </row>
    <row r="500" spans="1:10" ht="114" x14ac:dyDescent="0.2">
      <c r="A500" s="114" t="e">
        <f>IF(ISBLANK('Event summary'!#REF!),"",'Event summary'!#REF!)</f>
        <v>#REF!</v>
      </c>
      <c r="B500" s="115">
        <f>IF(ISBLANK('Event summary'!A500),"",'Event summary'!A500)</f>
        <v>500</v>
      </c>
      <c r="C500" s="115" t="str">
        <f>IF(ISBLANK('Event summary'!B500),"",'Event summary'!B500)</f>
        <v>סריקה לא תקינה</v>
      </c>
      <c r="D500" s="116" t="str">
        <f>IF(ISBLANK('Event summary'!C500),"",'Event summary'!C500)</f>
        <v>סריקה לא תקינה - מטופלת עם מותחנים בשד נסרקה ללא Semar</v>
      </c>
      <c r="E500" s="116" t="str">
        <f>IF(ISBLANK('Event summary'!D500),"",'Event summary'!D500)</f>
        <v>ניתן לבצע שחזור חוזר עד כשבועיים מיום הסימולציה. רופא יוסיף הוראה לסימולציה לביצוע SEMAR וגם ניתן להחליט על פי SCOUT אם צריך או לא.</v>
      </c>
      <c r="F500" s="117">
        <f>IF(ISBLANK('Event summary'!E500),"",'Event summary'!E500)</f>
        <v>44958</v>
      </c>
      <c r="G500" s="57" t="s">
        <v>1063</v>
      </c>
      <c r="H500" s="57" t="s">
        <v>1064</v>
      </c>
      <c r="J500" s="120" t="s">
        <v>1145</v>
      </c>
    </row>
    <row r="501" spans="1:10" ht="28.5" x14ac:dyDescent="0.2">
      <c r="A501" s="114" t="e">
        <f>IF(ISBLANK('Event summary'!#REF!),"",'Event summary'!#REF!)</f>
        <v>#REF!</v>
      </c>
      <c r="B501" s="115">
        <f>IF(ISBLANK('Event summary'!A501),"",'Event summary'!A501)</f>
        <v>501</v>
      </c>
      <c r="C501" s="115" t="str">
        <f>IF(ISBLANK('Event summary'!B501),"",'Event summary'!B501)</f>
        <v>חוסר תשומת לב</v>
      </c>
      <c r="D501" s="116" t="str">
        <f>IF(ISBLANK('Event summary'!C501),"",'Event summary'!C501)</f>
        <v>חוסר תשומת לב - מטופלת הועברה לאחר הדרכת אחות לסימולציה ללא ונפלון.</v>
      </c>
      <c r="E501" s="116" t="str">
        <f>IF(ISBLANK('Event summary'!D501),"",'Event summary'!D501)</f>
        <v>אחות תשים לב לבקשות הרופא בקמליון ותתעד לסימולציה כל דרישה ובקשה שאיננה שיגרתית לתהליך.</v>
      </c>
      <c r="F501" s="117">
        <f>IF(ISBLANK('Event summary'!E501),"",'Event summary'!E501)</f>
        <v>44958</v>
      </c>
      <c r="G501" s="57" t="s">
        <v>1005</v>
      </c>
      <c r="H501" s="57" t="s">
        <v>945</v>
      </c>
    </row>
    <row r="502" spans="1:10" ht="42.75" x14ac:dyDescent="0.2">
      <c r="A502" s="114" t="e">
        <f>IF(ISBLANK('Event summary'!#REF!),"",'Event summary'!#REF!)</f>
        <v>#REF!</v>
      </c>
      <c r="B502" s="115">
        <f>IF(ISBLANK('Event summary'!A502),"",'Event summary'!A502)</f>
        <v>502</v>
      </c>
      <c r="C502" s="115" t="str">
        <f>IF(ISBLANK('Event summary'!B502),"",'Event summary'!B502)</f>
        <v>תיעוד לא תקין</v>
      </c>
      <c r="D502" s="116" t="str">
        <f>IF(ISBLANK('Event summary'!C502),"",'Event summary'!C502)</f>
        <v>תיעוד לא תקין -מטופל הגיע לסימולציה לסריקה + חומר ניגוד. למטופל כליה אחת. הסריקה בוצעה ללא חומר ניגוד.</v>
      </c>
      <c r="E502" s="116" t="str">
        <f>IF(ISBLANK('Event summary'!D502),"",'Event summary'!D502)</f>
        <v>אחות תשתתף בישיבות הסימולציה ותתעד כל דרישה ובקשה שאיננה שיגרתית. דימה ברגילובסקי יהיה נוכח במספר ישיבות על מנת לבחון את התרומה והתפקיד של הפיזיקאי בישיבות אלו.</v>
      </c>
      <c r="F502" s="117">
        <f>IF(ISBLANK('Event summary'!E502),"",'Event summary'!E502)</f>
        <v>44958</v>
      </c>
      <c r="G502" s="57" t="s">
        <v>1006</v>
      </c>
      <c r="H502" s="57" t="s">
        <v>1007</v>
      </c>
      <c r="J502" s="120" t="s">
        <v>1432</v>
      </c>
    </row>
    <row r="503" spans="1:10" ht="42.75" x14ac:dyDescent="0.2">
      <c r="A503" s="114" t="e">
        <f>IF(ISBLANK('Event summary'!#REF!),"",'Event summary'!#REF!)</f>
        <v>#REF!</v>
      </c>
      <c r="B503" s="115">
        <f>IF(ISBLANK('Event summary'!A503),"",'Event summary'!A503)</f>
        <v>503</v>
      </c>
      <c r="C503" s="115" t="str">
        <f>IF(ISBLANK('Event summary'!B503),"",'Event summary'!B503)</f>
        <v>מתן טיפול באופן שגוי</v>
      </c>
      <c r="D503" s="116" t="str">
        <f>IF(ISBLANK('Event summary'!C503),"",'Event summary'!C503)</f>
        <v>מתן טיפול באופן שגוי - CBCT חלקי, לא ניתן לבצע התאמה מלאה עבור המטופל לצורך מיקום הגידול במאיץ.</v>
      </c>
      <c r="E503" s="116" t="str">
        <f>IF(ISBLANK('Event summary'!D503),"",'Event summary'!D503)</f>
        <v>בשלב מיקום המטופל עם CBCT, אם רואים שיש יותר מדי הזזות והטיות, יש לעצור ולבצע מיקום חוזר של המטופל. יכתב פרוטוקול SETUP עבור CBCT.</v>
      </c>
      <c r="F503" s="117">
        <f>IF(ISBLANK('Event summary'!E503),"",'Event summary'!E503)</f>
        <v>44958</v>
      </c>
      <c r="G503" s="57" t="s">
        <v>1008</v>
      </c>
      <c r="H503" s="57" t="s">
        <v>1009</v>
      </c>
      <c r="J503" s="120" t="s">
        <v>1444</v>
      </c>
    </row>
    <row r="504" spans="1:10" ht="28.5" x14ac:dyDescent="0.2">
      <c r="A504" s="114" t="e">
        <f>IF(ISBLANK('Event summary'!#REF!),"",'Event summary'!#REF!)</f>
        <v>#REF!</v>
      </c>
      <c r="B504" s="115">
        <f>IF(ISBLANK('Event summary'!A504),"",'Event summary'!A504)</f>
        <v>504</v>
      </c>
      <c r="C504" s="115" t="str">
        <f>IF(ISBLANK('Event summary'!B504),"",'Event summary'!B504)</f>
        <v>היעדר תיעוד</v>
      </c>
      <c r="D504" s="116" t="str">
        <f>IF(ISBLANK('Event summary'!C504),"",'Event summary'!C504)</f>
        <v>היעדר תיעוד -למטופלת לא היתה הסכמה סרוקה בקמליון</v>
      </c>
      <c r="E504" s="116" t="str">
        <f>IF(ISBLANK('Event summary'!D504),"",'Event summary'!D504)</f>
        <v>מזכירה תוודא שטופס ההסכמה סרוקה. אם לא, יאותר טופס ההסכה של המטופל או שהמטופל יוחתם מחדש על טופס.</v>
      </c>
      <c r="F504" s="117">
        <f>IF(ISBLANK('Event summary'!E504),"",'Event summary'!E504)</f>
        <v>44958</v>
      </c>
      <c r="G504" s="57" t="s">
        <v>1065</v>
      </c>
      <c r="H504" s="57" t="s">
        <v>1000</v>
      </c>
    </row>
    <row r="505" spans="1:10" ht="57" x14ac:dyDescent="0.2">
      <c r="A505" s="114" t="e">
        <f>IF(ISBLANK('Event summary'!#REF!),"",'Event summary'!#REF!)</f>
        <v>#REF!</v>
      </c>
      <c r="B505" s="115">
        <f>IF(ISBLANK('Event summary'!A505),"",'Event summary'!A505)</f>
        <v>505</v>
      </c>
      <c r="C505" s="115" t="str">
        <f>IF(ISBLANK('Event summary'!B505),"",'Event summary'!B505)</f>
        <v>מתן טיפול באופן שגוי</v>
      </c>
      <c r="D505" s="116" t="str">
        <f>IF(ISBLANK('Event summary'!C505),"",'Event summary'!C505)</f>
        <v xml:space="preserve">מתן טיפול באופן שגוי - מטופלת קבלה 5 פרקציות מתוך 8 פרקציות של הבוסט לאזור שגוי (צלקת תחתונה). לטיפול הכולל 33 primary + boost. השגיאה במנה עבור הטיפול הכולל הינה 15%. המקרה דווח כאירוע. </v>
      </c>
      <c r="E505" s="116" t="str">
        <f>IF(ISBLANK('Event summary'!D505),"",'Event summary'!D505)</f>
        <v>יש לסמן את הצלקת הרלבנטית בלבד.</v>
      </c>
      <c r="F505" s="117">
        <f>IF(ISBLANK('Event summary'!E505),"",'Event summary'!E505)</f>
        <v>44958</v>
      </c>
      <c r="G505" s="57" t="s">
        <v>1045</v>
      </c>
      <c r="H505" s="57" t="s">
        <v>1046</v>
      </c>
      <c r="J505" s="120" t="s">
        <v>1145</v>
      </c>
    </row>
    <row r="506" spans="1:10" ht="57" x14ac:dyDescent="0.2">
      <c r="A506" s="114" t="e">
        <f>IF(ISBLANK('Event summary'!#REF!),"",'Event summary'!#REF!)</f>
        <v>#REF!</v>
      </c>
      <c r="B506" s="115">
        <f>IF(ISBLANK('Event summary'!A506),"",'Event summary'!A506)</f>
        <v>506</v>
      </c>
      <c r="C506" s="115" t="str">
        <f>IF(ISBLANK('Event summary'!B506),"",'Event summary'!B506)</f>
        <v>אי עמידה בזמנים</v>
      </c>
      <c r="D506" s="116" t="str">
        <f>IF(ISBLANK('Event summary'!C506),"",'Event summary'!C506)</f>
        <v xml:space="preserve">עיכוב במתן טיפול - סימולציה לצלידר גניקולוגי נעשתה בתאריך 30/1/2023 כאשר הטיפול הראשון היה מיועד לתאריך 1/2/2023. המטופלת הגיעה לטיפול אך המקרה לא היה מוכן. </v>
      </c>
      <c r="E506" s="116" t="str">
        <f>IF(ISBLANK('Event summary'!D506),"",'Event summary'!D506)</f>
        <v>תהליך קבלת מטופלות ייבדק ע"י רנטגנאית ראשית</v>
      </c>
      <c r="F506" s="117">
        <f>IF(ISBLANK('Event summary'!E506),"",'Event summary'!E506)</f>
        <v>44983</v>
      </c>
      <c r="G506" s="57" t="s">
        <v>1075</v>
      </c>
      <c r="H506" s="57" t="s">
        <v>926</v>
      </c>
      <c r="J506" s="120" t="s">
        <v>1425</v>
      </c>
    </row>
    <row r="507" spans="1:10" ht="57" x14ac:dyDescent="0.2">
      <c r="A507" s="114" t="e">
        <f>IF(ISBLANK('Event summary'!#REF!),"",'Event summary'!#REF!)</f>
        <v>#REF!</v>
      </c>
      <c r="B507" s="115">
        <f>IF(ISBLANK('Event summary'!A507),"",'Event summary'!A507)</f>
        <v>507</v>
      </c>
      <c r="C507" s="115" t="str">
        <f>IF(ISBLANK('Event summary'!B507),"",'Event summary'!B507)</f>
        <v>מתן טיפול באופן שגוי</v>
      </c>
      <c r="D507" s="116" t="str">
        <f>IF(ISBLANK('Event summary'!C507),"",'Event summary'!C507)</f>
        <v xml:space="preserve">מתן טיפול באופן שגוי - נעשה טיפול HDR עם miami applicator. טיפול באפליקטור זה חדש עבורינו. במקרה זה דם  נכנס לתוך המתקן והועבר לשאר הערוצים באמצעות המקור. </v>
      </c>
      <c r="E507" s="116" t="str">
        <f>IF(ISBLANK('Event summary'!D507),"",'Event summary'!D507)</f>
        <v>קיים צורך לתאם הדרכה לשימוש באפליקטור. לכל פרוצדורה חדשה יש לבצע תהליך למידה מקדים טרם השימוש במתקן.</v>
      </c>
      <c r="F507" s="117">
        <f>IF(ISBLANK('Event summary'!E507),"",'Event summary'!E507)</f>
        <v>44983</v>
      </c>
      <c r="G507" s="57" t="s">
        <v>1112</v>
      </c>
      <c r="H507" s="57" t="s">
        <v>1113</v>
      </c>
      <c r="J507" s="120" t="s">
        <v>1445</v>
      </c>
    </row>
    <row r="508" spans="1:10" ht="85.5" x14ac:dyDescent="0.2">
      <c r="A508" s="114" t="e">
        <f>IF(ISBLANK('Event summary'!#REF!),"",'Event summary'!#REF!)</f>
        <v>#REF!</v>
      </c>
      <c r="B508" s="115">
        <f>IF(ISBLANK('Event summary'!A508),"",'Event summary'!A508)</f>
        <v>508</v>
      </c>
      <c r="C508" s="115" t="str">
        <f>IF(ISBLANK('Event summary'!B508),"",'Event summary'!B508)</f>
        <v>אי עמידה בזמנים</v>
      </c>
      <c r="D508" s="116" t="str">
        <f>IF(ISBLANK('Event summary'!C508),"",'Event summary'!C508)</f>
        <v>עיכוב במתן טיפול - מטופל מאושפז המתין לטיפול כשעה כיוון שבישיבת QA הוחלט על שינוי התכנית.</v>
      </c>
      <c r="E508" s="116" t="str">
        <f>IF(ISBLANK('Event summary'!D508),"",'Event summary'!D508)</f>
        <v>אם תכנית לא מאושרת יש לבדוק איפה התיק בתהליך וליידע את איש הצוות הרלבנטי. RTTQA תשתתף בישיבת QA ביום שלישי.</v>
      </c>
      <c r="F508" s="117">
        <f>IF(ISBLANK('Event summary'!E508),"",'Event summary'!E508)</f>
        <v>44983</v>
      </c>
      <c r="G508" s="57" t="s">
        <v>1076</v>
      </c>
      <c r="H508" s="57" t="s">
        <v>1446</v>
      </c>
      <c r="J508" s="121" t="s">
        <v>1447</v>
      </c>
    </row>
    <row r="509" spans="1:10" ht="42.75" x14ac:dyDescent="0.2">
      <c r="A509" s="114" t="e">
        <f>IF(ISBLANK('Event summary'!#REF!),"",'Event summary'!#REF!)</f>
        <v>#REF!</v>
      </c>
      <c r="B509" s="115">
        <f>IF(ISBLANK('Event summary'!A509),"",'Event summary'!A509)</f>
        <v>509</v>
      </c>
      <c r="C509" s="115" t="str">
        <f>IF(ISBLANK('Event summary'!B509),"",'Event summary'!B509)</f>
        <v>מתן טיפול בהיעדר מרשם</v>
      </c>
      <c r="D509" s="116" t="str">
        <f>IF(ISBLANK('Event summary'!C509),"",'Event summary'!C509)</f>
        <v>מתן טיפול בהיעדר מרשם - שלושה מטופלים של קונטאקט קיבלו טיפולים ללא מרשם כתוב באריה (5469847, 4187735,30019)</v>
      </c>
      <c r="E509" s="116" t="str">
        <f>IF(ISBLANK('Event summary'!D509),"",'Event summary'!D509)</f>
        <v>יכתב תהליך מסודר להכנסת מרשמים לטיפולי קונטאקט</v>
      </c>
      <c r="F509" s="117">
        <f>IF(ISBLANK('Event summary'!E509),"",'Event summary'!E509)</f>
        <v>44983</v>
      </c>
      <c r="G509" s="57" t="s">
        <v>1077</v>
      </c>
      <c r="H509" s="57" t="s">
        <v>1078</v>
      </c>
      <c r="J509" s="120" t="s">
        <v>1444</v>
      </c>
    </row>
    <row r="510" spans="1:10" ht="42.75" x14ac:dyDescent="0.2">
      <c r="A510" s="114" t="e">
        <f>IF(ISBLANK('Event summary'!#REF!),"",'Event summary'!#REF!)</f>
        <v>#REF!</v>
      </c>
      <c r="B510" s="115">
        <f>IF(ISBLANK('Event summary'!A510),"",'Event summary'!A510)</f>
        <v>510</v>
      </c>
      <c r="C510" s="115" t="str">
        <f>IF(ISBLANK('Event summary'!B510),"",'Event summary'!B510)</f>
        <v>סריקה לא תקינה</v>
      </c>
      <c r="D510" s="116" t="str">
        <f>IF(ISBLANK('Event summary'!C510),"",'Event summary'!C510)</f>
        <v>סריקה לא תקינה - מטופלת נסרקה בסימולציה עם סימון צלקת לא מספיק  הרופא כתב שיקראו לו לסריקה אך הנחיה זו לא בוצעה.</v>
      </c>
      <c r="E510" s="116" t="str">
        <f>IF(ISBLANK('Event summary'!D510),"",'Event summary'!D510)</f>
        <v>לשים לב להנחיות הרופא בטופס הסימולציה.</v>
      </c>
      <c r="F510" s="117">
        <f>IF(ISBLANK('Event summary'!E510),"",'Event summary'!E510)</f>
        <v>44983</v>
      </c>
      <c r="G510" s="57" t="s">
        <v>1079</v>
      </c>
      <c r="H510" s="57" t="s">
        <v>926</v>
      </c>
    </row>
    <row r="511" spans="1:10" ht="114" x14ac:dyDescent="0.2">
      <c r="A511" s="114" t="e">
        <f>IF(ISBLANK('Event summary'!#REF!),"",'Event summary'!#REF!)</f>
        <v>#REF!</v>
      </c>
      <c r="B511" s="115">
        <f>IF(ISBLANK('Event summary'!A511),"",'Event summary'!A511)</f>
        <v>511</v>
      </c>
      <c r="C511" s="115" t="str">
        <f>IF(ISBLANK('Event summary'!B511),"",'Event summary'!B511)</f>
        <v>אי עמידה בזמנים</v>
      </c>
      <c r="D511" s="116" t="str">
        <f>IF(ISBLANK('Event summary'!C511),"",'Event summary'!C511)</f>
        <v>עיכוב במתן טיפול - מטופלת ח"פ המתינה זמן ממושך לטיפול. המטופלת הגיעה בשעה 10:30 למכון; הסימולציה הסתיימה ב 13:48 והמטופלת קיבלה טיפול ב 17:00. שתי סיבות עקריות לעיקוב הן: 
1. מטופלת נשלחה לסימולציה לפני קבלת רופא. המטופלת נשלחה חזרה לרופא. 
2. הרופא הראשי באריה לא שונה לרופא האחראי באותו היום ועל כן לא הופיע בבית של הרופא האחראי.</v>
      </c>
      <c r="E511" s="116" t="str">
        <f>IF(ISBLANK('Event summary'!D511),"",'Event summary'!D511)</f>
        <v>יפתח יומן למתמחה עם שתי קבלות לצורך מטופלים עם קבלה + סימולציה. השייוך יהיה לרופא הבכיר התורן. ב Emergency CP יש לשנות Contouring ל Emergency Contouring.  לשים לב לשופא אחראי על מקרים דחופים בסימולתורנכון בsummary ומופיע מכון בcarepathg</v>
      </c>
      <c r="F511" s="117">
        <f>IF(ISBLANK('Event summary'!E511),"",'Event summary'!E511)</f>
        <v>44983</v>
      </c>
      <c r="G511" s="31" t="s">
        <v>1081</v>
      </c>
      <c r="H511" s="31" t="s">
        <v>1448</v>
      </c>
      <c r="I511" s="31"/>
      <c r="J511" s="120" t="s">
        <v>1449</v>
      </c>
    </row>
    <row r="512" spans="1:10" ht="57" x14ac:dyDescent="0.2">
      <c r="A512" s="114" t="e">
        <f>IF(ISBLANK('Event summary'!#REF!),"",'Event summary'!#REF!)</f>
        <v>#REF!</v>
      </c>
      <c r="B512" s="115">
        <f>IF(ISBLANK('Event summary'!A512),"",'Event summary'!A512)</f>
        <v>512</v>
      </c>
      <c r="C512" s="115" t="str">
        <f>IF(ISBLANK('Event summary'!B512),"",'Event summary'!B512)</f>
        <v>עומס יתר</v>
      </c>
      <c r="D512" s="116" t="str">
        <f>IF(ISBLANK('Event summary'!C512),"",'Event summary'!C512)</f>
        <v>עומס יתר - מטופל הגיע באיחור של שעתיים לביצוע קבלה וסימולציה. עקב האיחור נוצר לחץ בסימולציה.</v>
      </c>
      <c r="E512" s="116" t="str">
        <f>IF(ISBLANK('Event summary'!D512),"",'Event summary'!D512)</f>
        <v>במקרה של איחור של מטופל יש להתייעץ עם הרופא התורן לצורך קבלת החלטה מתי לקבל את המטופל.</v>
      </c>
      <c r="F512" s="117">
        <f>IF(ISBLANK('Event summary'!E512),"",'Event summary'!E512)</f>
        <v>44983</v>
      </c>
      <c r="G512" s="57" t="s">
        <v>1082</v>
      </c>
      <c r="H512" s="57" t="s">
        <v>1122</v>
      </c>
      <c r="J512" s="120" t="s">
        <v>1144</v>
      </c>
    </row>
    <row r="513" spans="1:10" ht="28.5" x14ac:dyDescent="0.2">
      <c r="A513" s="114" t="e">
        <f>IF(ISBLANK('Event summary'!#REF!),"",'Event summary'!#REF!)</f>
        <v>#REF!</v>
      </c>
      <c r="B513" s="115">
        <f>IF(ISBLANK('Event summary'!A513),"",'Event summary'!A513)</f>
        <v>513</v>
      </c>
      <c r="C513" s="115" t="str">
        <f>IF(ISBLANK('Event summary'!B513),"",'Event summary'!B513)</f>
        <v>תכנון שגוי</v>
      </c>
      <c r="D513" s="116" t="str">
        <f>IF(ISBLANK('Event summary'!C513),"",'Event summary'!C513)</f>
        <v>תכנון שגוי - שדה בוסט עם wedge היה invalid כיוון שלא היה לו מספיק זמן.</v>
      </c>
      <c r="E513" s="116" t="str">
        <f>IF(ISBLANK('Event summary'!D513),"",'Event summary'!D513)</f>
        <v>תבדק אפשרות לייצר התראה על שדות invalid באריה.</v>
      </c>
      <c r="F513" s="117">
        <f>IF(ISBLANK('Event summary'!E513),"",'Event summary'!E513)</f>
        <v>45011</v>
      </c>
      <c r="G513" s="57" t="s">
        <v>1097</v>
      </c>
      <c r="H513" s="57" t="s">
        <v>983</v>
      </c>
      <c r="J513" s="120" t="s">
        <v>1444</v>
      </c>
    </row>
    <row r="514" spans="1:10" ht="42.75" x14ac:dyDescent="0.2">
      <c r="A514" s="114" t="e">
        <f>IF(ISBLANK('Event summary'!#REF!),"",'Event summary'!#REF!)</f>
        <v>#REF!</v>
      </c>
      <c r="B514" s="115">
        <f>IF(ISBLANK('Event summary'!A514),"",'Event summary'!A514)</f>
        <v>514</v>
      </c>
      <c r="C514" s="115" t="str">
        <f>IF(ISBLANK('Event summary'!B514),"",'Event summary'!B514)</f>
        <v>תיעוד לא תקין</v>
      </c>
      <c r="D514" s="116" t="str">
        <f>IF(ISBLANK('Event summary'!C514),"",'Event summary'!C514)</f>
        <v>תיעוד לא תקין - שגיאה בהזנה של ת.ז. לאריה. במקום 460105 נכתב 460150.</v>
      </c>
      <c r="E514" s="116" t="str">
        <f>IF(ISBLANK('Event summary'!D514),"",'Event summary'!D514)</f>
        <v>ממשקים של קמליון, ATD ואריה נמצאים בעבודה. מטרת הממשק לסנכרן את העברת המידע בצורה אוטומטית ככל הניתן בין המערכות.</v>
      </c>
      <c r="F514" s="117">
        <f>IF(ISBLANK('Event summary'!E514),"",'Event summary'!E514)</f>
        <v>45011</v>
      </c>
      <c r="G514" s="57" t="s">
        <v>1098</v>
      </c>
      <c r="H514" s="57" t="s">
        <v>983</v>
      </c>
      <c r="J514" s="120" t="s">
        <v>1444</v>
      </c>
    </row>
    <row r="515" spans="1:10" ht="30" x14ac:dyDescent="0.2">
      <c r="A515" s="114" t="e">
        <f>IF(ISBLANK('Event summary'!#REF!),"",'Event summary'!#REF!)</f>
        <v>#REF!</v>
      </c>
      <c r="B515" s="115">
        <f>IF(ISBLANK('Event summary'!A515),"",'Event summary'!A515)</f>
        <v>515</v>
      </c>
      <c r="C515" s="115" t="str">
        <f>IF(ISBLANK('Event summary'!B515),"",'Event summary'!B515)</f>
        <v>אי עמידה בזמנים</v>
      </c>
      <c r="D515" s="116" t="str">
        <f>IF(ISBLANK('Event summary'!C515),"",'Event summary'!C515)</f>
        <v>אי עמידה בזמנים - טיפול TLI עם 4 מוקדים לא היה מוכן לטיפול ב 7 בבוקר. QA נעשה כשהמטופל ממתין בחוץ.</v>
      </c>
      <c r="E515" s="116" t="str">
        <f>IF(ISBLANK('Event summary'!D515),"",'Event summary'!D515)</f>
        <v>עבור טיפולים לא שגרתיים (TBI, TLI) יש לשקול בנית מסלול זרימה פרטני לפרוצדורות אלו.</v>
      </c>
      <c r="F515" s="117">
        <f>IF(ISBLANK('Event summary'!E515),"",'Event summary'!E515)</f>
        <v>45011</v>
      </c>
      <c r="G515" s="57" t="s">
        <v>1099</v>
      </c>
      <c r="H515" s="57" t="s">
        <v>1100</v>
      </c>
      <c r="J515" s="120" t="s">
        <v>1450</v>
      </c>
    </row>
    <row r="516" spans="1:10" ht="28.5" x14ac:dyDescent="0.2">
      <c r="A516" s="114" t="e">
        <f>IF(ISBLANK('Event summary'!#REF!),"",'Event summary'!#REF!)</f>
        <v>#REF!</v>
      </c>
      <c r="B516" s="115">
        <f>IF(ISBLANK('Event summary'!A516),"",'Event summary'!A516)</f>
        <v>516</v>
      </c>
      <c r="C516" s="115" t="str">
        <f>IF(ISBLANK('Event summary'!B516),"",'Event summary'!B516)</f>
        <v>תקשורת לקויה</v>
      </c>
      <c r="D516" s="116" t="str">
        <f>IF(ISBLANK('Event summary'!C516),"",'Event summary'!C516)</f>
        <v>תיקשורת לקויה - מטופלת הגיעה לטיפול כשהתיק לא מוכן. הרופא אמר לה לבוא במידה ולא מתקשרים אליה.</v>
      </c>
      <c r="E516" s="116" t="str">
        <f>IF(ISBLANK('Event summary'!D516),"",'Event summary'!D516)</f>
        <v>רופא ופיזיקאי צריכים ליידע את המזכירות לגבי שינויי מועד טיפול על מנת שיתקשרו למטופל.</v>
      </c>
      <c r="F516" s="117">
        <f>IF(ISBLANK('Event summary'!E516),"",'Event summary'!E516)</f>
        <v>45011</v>
      </c>
      <c r="G516" s="57" t="s">
        <v>1104</v>
      </c>
      <c r="H516" s="57" t="s">
        <v>1105</v>
      </c>
      <c r="J516" s="120" t="s">
        <v>1423</v>
      </c>
    </row>
    <row r="517" spans="1:10" ht="57" x14ac:dyDescent="0.2">
      <c r="A517" s="114" t="e">
        <f>IF(ISBLANK('Event summary'!#REF!),"",'Event summary'!#REF!)</f>
        <v>#REF!</v>
      </c>
      <c r="B517" s="115">
        <f>IF(ISBLANK('Event summary'!A517),"",'Event summary'!A517)</f>
        <v>517</v>
      </c>
      <c r="C517" s="115" t="str">
        <f>IF(ISBLANK('Event summary'!B517),"",'Event summary'!B517)</f>
        <v>תקשורת לקויה</v>
      </c>
      <c r="D517" s="116" t="str">
        <f>IF(ISBLANK('Event summary'!C517),"",'Event summary'!C517)</f>
        <v>תקשורת לקויה - מטופלת הוזמנה לסימון קליני לא היה מרשם לטיפול. למטופלת היה קוצב בעבר ולא נעשה בירור בנושא. המטופלת נשלחה לביתה ע"י רופא לפני התור שלה. חוסר התקשורת בין הצוות המטפל למטופלת הורגש, ונוצר תסכול.</v>
      </c>
      <c r="E517" s="116" t="str">
        <f>IF(ISBLANK('Event summary'!D517),"",'Event summary'!D517)</f>
        <v>מטופלים חוזרים שקיבלו טיפול בעבר, ישובצו חזרה אל הרופא המטפל המקורי. יש לידע זימון תורים לגבי שינויים בתכנית טיפול.</v>
      </c>
      <c r="F517" s="117">
        <f>IF(ISBLANK('Event summary'!E517),"",'Event summary'!E517)</f>
        <v>45011</v>
      </c>
      <c r="G517" s="57" t="s">
        <v>1101</v>
      </c>
      <c r="H517" s="57" t="s">
        <v>1102</v>
      </c>
      <c r="J517" s="120" t="s">
        <v>1399</v>
      </c>
    </row>
    <row r="518" spans="1:10" ht="42.75" x14ac:dyDescent="0.2">
      <c r="A518" s="114" t="e">
        <f>IF(ISBLANK('Event summary'!#REF!),"",'Event summary'!#REF!)</f>
        <v>#REF!</v>
      </c>
      <c r="B518" s="115">
        <f>IF(ISBLANK('Event summary'!A518),"",'Event summary'!A518)</f>
        <v>518</v>
      </c>
      <c r="C518" s="115" t="str">
        <f>IF(ISBLANK('Event summary'!B518),"",'Event summary'!B518)</f>
        <v>סריקה לא תקינה</v>
      </c>
      <c r="D518" s="116" t="str">
        <f>IF(ISBLANK('Event summary'!C518),"",'Event summary'!C518)</f>
        <v>סריקה לא תקינה - מטופל עבר סימולציה חוזרת למפשעה עקב שינוי מורפולוגי של הגידול. הסריקה בוצעה כשהפין אינו מוסט לצד הנגדי ונכנס לשדה הטיפול.</v>
      </c>
      <c r="E518" s="116" t="str">
        <f>IF(ISBLANK('Event summary'!D518),"",'Event summary'!D518)</f>
        <v>יש למלא הנחיות מלאות לסימולציה בטופס סימולציה באריה.</v>
      </c>
      <c r="F518" s="117">
        <f>IF(ISBLANK('Event summary'!E518),"",'Event summary'!E518)</f>
        <v>45011</v>
      </c>
      <c r="G518" s="57" t="s">
        <v>1103</v>
      </c>
      <c r="H518" s="57" t="s">
        <v>919</v>
      </c>
      <c r="J518" s="120">
        <v>45055</v>
      </c>
    </row>
    <row r="519" spans="1:10" ht="30" x14ac:dyDescent="0.2">
      <c r="A519" s="114" t="e">
        <f>IF(ISBLANK('Event summary'!#REF!),"",'Event summary'!#REF!)</f>
        <v>#REF!</v>
      </c>
      <c r="B519" s="115">
        <f>IF(ISBLANK('Event summary'!A519),"",'Event summary'!A519)</f>
        <v>519</v>
      </c>
      <c r="C519" s="115" t="str">
        <f>IF(ISBLANK('Event summary'!B519),"",'Event summary'!B519)</f>
        <v>מתן טיפול באופן שגוי</v>
      </c>
      <c r="D519" s="116" t="str">
        <f>IF(ISBLANK('Event summary'!C519),"",'Event summary'!C519)</f>
        <v>מתן טיפול באופן שגוי - מטופל קיבל טיפול בתכנית של מטופל אחר.</v>
      </c>
      <c r="E519" s="116" t="str">
        <f>IF(ISBLANK('Event summary'!D519),"",'Event summary'!D519)</f>
        <v>יבוצע זיהו מטופל לאחר כל פתיחה וסגירה של מטופל במאיץ. המקרה דווח כארוע למשרד הבריאות.</v>
      </c>
      <c r="F519" s="117">
        <f>IF(ISBLANK('Event summary'!E519),"",'Event summary'!E519)</f>
        <v>45046</v>
      </c>
      <c r="G519" s="57" t="s">
        <v>1129</v>
      </c>
      <c r="H519" s="57" t="s">
        <v>926</v>
      </c>
    </row>
    <row r="520" spans="1:10" ht="42.75" x14ac:dyDescent="0.2">
      <c r="A520" s="114" t="e">
        <f>IF(ISBLANK('Event summary'!#REF!),"",'Event summary'!#REF!)</f>
        <v>#REF!</v>
      </c>
      <c r="B520" s="115">
        <f>IF(ISBLANK('Event summary'!A520),"",'Event summary'!A520)</f>
        <v>520</v>
      </c>
      <c r="C520" s="115" t="str">
        <f>IF(ISBLANK('Event summary'!B520),"",'Event summary'!B520)</f>
        <v>תקשורת לקויה</v>
      </c>
      <c r="D520" s="116" t="str">
        <f>IF(ISBLANK('Event summary'!C520),"",'Event summary'!C520)</f>
        <v>תקשורת לקויה - מטופל נשלח לביתו לאחר קבלה רפואית וסיעודית ללא סימולציה. נקבע תור חדש לסימולציה.</v>
      </c>
      <c r="E520" s="116" t="str">
        <f>IF(ISBLANK('Event summary'!D520),"",'Event summary'!D520)</f>
        <v>לתקשר את הצורך בביצוע סריקת CT ביום הקבלה לאחות סיעודית.</v>
      </c>
      <c r="F520" s="117">
        <f>IF(ISBLANK('Event summary'!E520),"",'Event summary'!E520)</f>
        <v>45046</v>
      </c>
      <c r="G520" s="57" t="s">
        <v>1130</v>
      </c>
      <c r="H520" s="57" t="s">
        <v>945</v>
      </c>
    </row>
    <row r="521" spans="1:10" ht="42.75" x14ac:dyDescent="0.2">
      <c r="A521" s="114" t="e">
        <f>IF(ISBLANK('Event summary'!#REF!),"",'Event summary'!#REF!)</f>
        <v>#REF!</v>
      </c>
      <c r="B521" s="115">
        <f>IF(ISBLANK('Event summary'!A521),"",'Event summary'!A521)</f>
        <v>521</v>
      </c>
      <c r="C521" s="115" t="str">
        <f>IF(ISBLANK('Event summary'!B521),"",'Event summary'!B521)</f>
        <v>תיעוד לא תקין</v>
      </c>
      <c r="D521" s="116" t="str">
        <f>IF(ISBLANK('Event summary'!C521),"",'Event summary'!C521)</f>
        <v>תיעוד לא תקין -בישיבת סימולציה הרופא כתב את ההנחיות בכתב יד. הרנטגנאים הבינו שמדובר בתכנון לכליה כאשר המקרה הוא לריאה. לכן המטופל הוכן לסימולציה באופן שגוי.</v>
      </c>
      <c r="E521" s="116" t="str">
        <f>IF(ISBLANK('Event summary'!D521),"",'Event summary'!D521)</f>
        <v>כל ההוראות יכתבו בטופס סימולציה באריה עבור תיקים רגילים (לא דחופים).</v>
      </c>
      <c r="F521" s="117">
        <f>IF(ISBLANK('Event summary'!E521),"",'Event summary'!E521)</f>
        <v>45046</v>
      </c>
      <c r="G521" s="57" t="s">
        <v>1131</v>
      </c>
      <c r="H521" s="57" t="s">
        <v>919</v>
      </c>
      <c r="J521" s="120" t="s">
        <v>1399</v>
      </c>
    </row>
    <row r="522" spans="1:10" ht="42.75" x14ac:dyDescent="0.2">
      <c r="A522" s="114" t="e">
        <f>IF(ISBLANK('Event summary'!#REF!),"",'Event summary'!#REF!)</f>
        <v>#REF!</v>
      </c>
      <c r="B522" s="115">
        <f>IF(ISBLANK('Event summary'!A522),"",'Event summary'!A522)</f>
        <v>522</v>
      </c>
      <c r="C522" s="115" t="str">
        <f>IF(ISBLANK('Event summary'!B522),"",'Event summary'!B522)</f>
        <v>סריקה לא תקינה</v>
      </c>
      <c r="D522" s="116" t="str">
        <f>IF(ISBLANK('Event summary'!C522),"",'Event summary'!C522)</f>
        <v>סריקה לא תקינה - סריקה קצרה יש 1.4 ס"מ בלבד מתחת לשד.</v>
      </c>
      <c r="E522" s="116" t="str">
        <f>IF(ISBLANK('Event summary'!D522),"",'Event summary'!D522)</f>
        <v>להקפיד על הנחיות הסריקה לפי הפרוטוקול. יש לוודא שהפרוטוקול מציין את המרווח המתאים לסריקה.</v>
      </c>
      <c r="F522" s="117">
        <f>IF(ISBLANK('Event summary'!E522),"",'Event summary'!E522)</f>
        <v>45046</v>
      </c>
      <c r="G522" s="57" t="s">
        <v>1132</v>
      </c>
      <c r="H522" s="57" t="s">
        <v>1133</v>
      </c>
      <c r="J522" s="120" t="s">
        <v>1422</v>
      </c>
    </row>
    <row r="523" spans="1:10" ht="30" x14ac:dyDescent="0.2">
      <c r="A523" s="114" t="e">
        <f>IF(ISBLANK('Event summary'!#REF!),"",'Event summary'!#REF!)</f>
        <v>#REF!</v>
      </c>
      <c r="B523" s="115">
        <f>IF(ISBLANK('Event summary'!A523),"",'Event summary'!A523)</f>
        <v>523</v>
      </c>
      <c r="C523" s="115" t="str">
        <f>IF(ISBLANK('Event summary'!B523),"",'Event summary'!B523)</f>
        <v>אי עמידה בזמנים</v>
      </c>
      <c r="D523" s="116" t="str">
        <f>IF(ISBLANK('Event summary'!C523),"",'Event summary'!C523)</f>
        <v>אי עמידה בזמנים - מטופלת עברה סימולציה ב 13/3/23. ה care path לא נסגר עד ה 9/4/23.</v>
      </c>
      <c r="E523" s="116" t="str">
        <f>IF(ISBLANK('Event summary'!D523),"",'Event summary'!D523)</f>
        <v>בהחריות הרנטגנאי בסימולצה לוודא סגירת ה Care path.</v>
      </c>
      <c r="F523" s="117">
        <f>IF(ISBLANK('Event summary'!E523),"",'Event summary'!E523)</f>
        <v>45046</v>
      </c>
      <c r="G523" s="57" t="s">
        <v>1134</v>
      </c>
      <c r="H523" s="57" t="s">
        <v>926</v>
      </c>
    </row>
    <row r="524" spans="1:10" ht="71.25" x14ac:dyDescent="0.2">
      <c r="A524" s="114" t="e">
        <f>IF(ISBLANK('Event summary'!#REF!),"",'Event summary'!#REF!)</f>
        <v>#REF!</v>
      </c>
      <c r="B524" s="115">
        <f>IF(ISBLANK('Event summary'!A524),"",'Event summary'!A524)</f>
        <v>524</v>
      </c>
      <c r="C524" s="115" t="str">
        <f>IF(ISBLANK('Event summary'!B524),"",'Event summary'!B524)</f>
        <v>מתן טיפול באופן שגוי</v>
      </c>
      <c r="D524" s="116" t="str">
        <f>IF(ISBLANK('Event summary'!C524),"",'Event summary'!C524)</f>
        <v>מתן טיפול באופן שגוי -מטופל ראש צוואר קיבל 16 טיפולים מתוך 35 טיפולים עם בולוס במקום לא נכון. לפי הערכה דוזימטרית ראשונית קיים פער של כ- 9% תת מנה לעור.</v>
      </c>
      <c r="E524" s="116" t="str">
        <f>IF(ISBLANK('Event summary'!D524),"",'Event summary'!D524)</f>
        <v xml:space="preserve">חידוד נהלים, יש  לתעד בולוס גם באמצעות צילום. רופא מטפל יבדוק Offline review לפחות פעם בשבוע. על הרנטגנאי המטפל לתת תשומת לב לצילום של ה- CBCT ולוודא שהכל תקין. </v>
      </c>
      <c r="F524" s="117">
        <f>IF(ISBLANK('Event summary'!E524),"",'Event summary'!E524)</f>
        <v>45046</v>
      </c>
      <c r="G524" s="57" t="s">
        <v>1135</v>
      </c>
      <c r="H524" s="57" t="s">
        <v>1136</v>
      </c>
      <c r="J524" s="120" t="s">
        <v>1422</v>
      </c>
    </row>
    <row r="525" spans="1:10" ht="30" x14ac:dyDescent="0.2">
      <c r="A525" s="114" t="e">
        <f>IF(ISBLANK('Event summary'!#REF!),"",'Event summary'!#REF!)</f>
        <v>#REF!</v>
      </c>
      <c r="B525" s="115">
        <f>IF(ISBLANK('Event summary'!A525),"",'Event summary'!A525)</f>
        <v>525</v>
      </c>
      <c r="C525" s="115" t="str">
        <f>IF(ISBLANK('Event summary'!B525),"",'Event summary'!B525)</f>
        <v>אי עמידה בזמנים</v>
      </c>
      <c r="D525" s="116" t="str">
        <f>IF(ISBLANK('Event summary'!C525),"",'Event summary'!C525)</f>
        <v>אי עמידה בזמנים - מטופלת עברה סימולציה ב 22/2/2023. ה care path לא נסגר עד ה 14/4/2023.</v>
      </c>
      <c r="E525" s="116" t="str">
        <f>IF(ISBLANK('Event summary'!D525),"",'Event summary'!D525)</f>
        <v>בהחריות הרנטגנאי בסימולצה לוודא סגירת ה Care path.</v>
      </c>
      <c r="F525" s="117">
        <f>IF(ISBLANK('Event summary'!E525),"",'Event summary'!E525)</f>
        <v>45046</v>
      </c>
      <c r="G525" s="57" t="s">
        <v>1134</v>
      </c>
      <c r="H525" s="57" t="s">
        <v>926</v>
      </c>
    </row>
    <row r="526" spans="1:10" ht="30" x14ac:dyDescent="0.2">
      <c r="A526" s="114" t="e">
        <f>IF(ISBLANK('Event summary'!#REF!),"",'Event summary'!#REF!)</f>
        <v>#REF!</v>
      </c>
      <c r="B526" s="115">
        <f>IF(ISBLANK('Event summary'!A526),"",'Event summary'!A526)</f>
        <v>526</v>
      </c>
      <c r="C526" s="115" t="str">
        <f>IF(ISBLANK('Event summary'!B526),"",'Event summary'!B526)</f>
        <v>אי עמידה בזמנים</v>
      </c>
      <c r="D526" s="116" t="str">
        <f>IF(ISBLANK('Event summary'!C526),"",'Event summary'!C526)</f>
        <v>אי עמידה בזמנים -  תיק TBI חד פעמי לא היה מוכן בזמן.</v>
      </c>
      <c r="E526" s="116" t="str">
        <f>IF(ISBLANK('Event summary'!D526),"",'Event summary'!D526)</f>
        <v>הרופא המטפל ידאג לסגירת התיק בזמן. רענון הנוהל ע"י ד"ר לימון. יפתח Care Path לכל טיפול כולל TBI/TSI</v>
      </c>
      <c r="F526" s="117">
        <f>IF(ISBLANK('Event summary'!E526),"",'Event summary'!E526)</f>
        <v>45046</v>
      </c>
      <c r="G526" s="57" t="s">
        <v>1137</v>
      </c>
      <c r="H526" s="57" t="s">
        <v>919</v>
      </c>
      <c r="J526" s="120" t="s">
        <v>1399</v>
      </c>
    </row>
    <row r="527" spans="1:10" ht="30" x14ac:dyDescent="0.2">
      <c r="A527" s="114" t="e">
        <f>IF(ISBLANK('Event summary'!#REF!),"",'Event summary'!#REF!)</f>
        <v>#REF!</v>
      </c>
      <c r="B527" s="115">
        <f>IF(ISBLANK('Event summary'!A527),"",'Event summary'!A527)</f>
        <v>527</v>
      </c>
      <c r="C527" s="115" t="str">
        <f>IF(ISBLANK('Event summary'!B527),"",'Event summary'!B527)</f>
        <v>שגיאת Care Path</v>
      </c>
      <c r="D527" s="116" t="str">
        <f>IF(ISBLANK('Event summary'!C527),"",'Event summary'!C527)</f>
        <v xml:space="preserve">רופא לא שוייך ל Care Path לכן לא הגיעה לסימון לרופא המטפל. </v>
      </c>
      <c r="E527" s="116" t="str">
        <f>IF(ISBLANK('Event summary'!D527),"",'Event summary'!D527)</f>
        <v>ד"ר לימון ירענן את אופן הכנסה של מטופלים חדשים וחוזרים לאריה.</v>
      </c>
      <c r="F527" s="117">
        <f>IF(ISBLANK('Event summary'!E527),"",'Event summary'!E527)</f>
        <v>45046</v>
      </c>
      <c r="G527" s="57" t="s">
        <v>1137</v>
      </c>
      <c r="H527" s="57" t="s">
        <v>919</v>
      </c>
      <c r="J527" s="120" t="s">
        <v>1399</v>
      </c>
    </row>
    <row r="528" spans="1:10" ht="28.5" x14ac:dyDescent="0.2">
      <c r="A528" s="114" t="e">
        <f>IF(ISBLANK('Event summary'!#REF!),"",'Event summary'!#REF!)</f>
        <v>#REF!</v>
      </c>
      <c r="B528" s="115">
        <f>IF(ISBLANK('Event summary'!A528),"",'Event summary'!A528)</f>
        <v>528</v>
      </c>
      <c r="C528" s="115" t="str">
        <f>IF(ISBLANK('Event summary'!B528),"",'Event summary'!B528)</f>
        <v>תכנון שגוי</v>
      </c>
      <c r="D528" s="116" t="str">
        <f>IF(ISBLANK('Event summary'!C528),"",'Event summary'!C528)</f>
        <v>תכנון שגוי - מטופל פרוסטטה SBRT תוכנן למאיץ לא נכון.</v>
      </c>
      <c r="E528" s="116" t="str">
        <f>IF(ISBLANK('Event summary'!D528),"",'Event summary'!D528)</f>
        <v>יש לשים לב בבקרות האיכות של הפיזיקאים ושל הרנטגנאים לוודא את נכונות המאיץ המטפל.</v>
      </c>
      <c r="F528" s="117">
        <f>IF(ISBLANK('Event summary'!E528),"",'Event summary'!E528)</f>
        <v>45081</v>
      </c>
      <c r="G528" s="57" t="s">
        <v>1137</v>
      </c>
      <c r="H528" s="57" t="s">
        <v>1224</v>
      </c>
      <c r="J528" s="120" t="s">
        <v>1451</v>
      </c>
    </row>
    <row r="529" spans="1:10" ht="28.5" x14ac:dyDescent="0.2">
      <c r="A529" s="114" t="e">
        <f>IF(ISBLANK('Event summary'!#REF!),"",'Event summary'!#REF!)</f>
        <v>#REF!</v>
      </c>
      <c r="B529" s="115">
        <f>IF(ISBLANK('Event summary'!A529),"",'Event summary'!A529)</f>
        <v>529</v>
      </c>
      <c r="C529" s="115" t="str">
        <f>IF(ISBLANK('Event summary'!B529),"",'Event summary'!B529)</f>
        <v>תכנון שגוי</v>
      </c>
      <c r="D529" s="116" t="str">
        <f>IF(ISBLANK('Event summary'!C529),"",'Event summary'!C529)</f>
        <v>תכנון שגוי - תוכנן למאיץ לא נכון.</v>
      </c>
      <c r="E529" s="116" t="str">
        <f>IF(ISBLANK('Event summary'!D529),"",'Event summary'!D529)</f>
        <v>יש לשים לב בבקרות האיכות של הפיזיקאים ושל הרנטגנאים לוודא את נכונות המאיץ המטפל.</v>
      </c>
      <c r="F529" s="117">
        <f>IF(ISBLANK('Event summary'!E529),"",'Event summary'!E529)</f>
        <v>45081</v>
      </c>
      <c r="G529" s="57" t="s">
        <v>1137</v>
      </c>
      <c r="H529" s="57" t="s">
        <v>1224</v>
      </c>
      <c r="J529" s="120" t="s">
        <v>1451</v>
      </c>
    </row>
    <row r="530" spans="1:10" ht="42.75" x14ac:dyDescent="0.2">
      <c r="A530" s="114" t="e">
        <f>IF(ISBLANK('Event summary'!#REF!),"",'Event summary'!#REF!)</f>
        <v>#REF!</v>
      </c>
      <c r="B530" s="115">
        <f>IF(ISBLANK('Event summary'!A530),"",'Event summary'!A530)</f>
        <v>530</v>
      </c>
      <c r="C530" s="115" t="str">
        <f>IF(ISBLANK('Event summary'!B530),"",'Event summary'!B530)</f>
        <v>כמעט ניתן טיפול שגוי</v>
      </c>
      <c r="D530" s="116" t="str">
        <f>IF(ISBLANK('Event summary'!C530),"",'Event summary'!C530)</f>
        <v>כמעט ניתן טיפול שגוי - שגיאת חישוב מנה בסימון קליני. הטעות תוקנה בזמן אמת ולא היתה פגיעה.</v>
      </c>
      <c r="E530" s="116" t="str">
        <f>IF(ISBLANK('Event summary'!D530),"",'Event summary'!D530)</f>
        <v>יש להקריא בקול את פרטי הטיפול. יש לוודא קשב של רנטגנאי המאיץ וחשיבה ביקורתית. יש להדריך רנטגנאים חדשים על אופן ביצוע חישובים במאיץ. כתיבת נוהל סימון קליני.</v>
      </c>
      <c r="F530" s="117">
        <f>IF(ISBLANK('Event summary'!E530),"",'Event summary'!E530)</f>
        <v>45081</v>
      </c>
      <c r="G530" s="57" t="s">
        <v>1225</v>
      </c>
      <c r="H530" s="57" t="s">
        <v>1226</v>
      </c>
      <c r="J530" s="120" t="s">
        <v>1422</v>
      </c>
    </row>
    <row r="531" spans="1:10" ht="57" x14ac:dyDescent="0.2">
      <c r="A531" s="114" t="e">
        <f>IF(ISBLANK('Event summary'!#REF!),"",'Event summary'!#REF!)</f>
        <v>#REF!</v>
      </c>
      <c r="B531" s="115">
        <f>IF(ISBLANK('Event summary'!A531),"",'Event summary'!A531)</f>
        <v>531</v>
      </c>
      <c r="C531" s="115" t="str">
        <f>IF(ISBLANK('Event summary'!B531),"",'Event summary'!B531)</f>
        <v>כמעט שגיאה בזיהוי מטופל</v>
      </c>
      <c r="D531" s="116" t="str">
        <f>IF(ISBLANK('Event summary'!C531),"",'Event summary'!C531)</f>
        <v>כמעט שגיאה בזיהוי מטופל - הוכנס Care Path של מטופל אחר עם שם משפחה זהה ות.ז. כמעט זהה. הסריקה בוצעה והוכנסה למטופל המופיע באריה.</v>
      </c>
      <c r="E531" s="116" t="str">
        <f>IF(ISBLANK('Event summary'!D531),"",'Event summary'!D531)</f>
        <v>יש לשים לב, בכל הזנה של נתונים למחשב יש צורך לזהות את פרטי המטופל מחדש. במהלך הסימולציה יש לוודא שוב שהמטופל הנכון הועלה לצורך סריקה.</v>
      </c>
      <c r="F531" s="117">
        <f>IF(ISBLANK('Event summary'!E531),"",'Event summary'!E531)</f>
        <v>45081</v>
      </c>
      <c r="G531" s="57" t="s">
        <v>1395</v>
      </c>
      <c r="H531" s="57" t="s">
        <v>1265</v>
      </c>
      <c r="J531" s="120" t="s">
        <v>1444</v>
      </c>
    </row>
    <row r="532" spans="1:10" ht="57" x14ac:dyDescent="0.2">
      <c r="A532" s="114" t="e">
        <f>IF(ISBLANK('Event summary'!#REF!),"",'Event summary'!#REF!)</f>
        <v>#REF!</v>
      </c>
      <c r="B532" s="115">
        <f>IF(ISBLANK('Event summary'!A532),"",'Event summary'!A532)</f>
        <v>532</v>
      </c>
      <c r="C532" s="115" t="str">
        <f>IF(ISBLANK('Event summary'!B532),"",'Event summary'!B532)</f>
        <v>היעדר תיעוד</v>
      </c>
      <c r="D532" s="116" t="str">
        <f>IF(ISBLANK('Event summary'!C532),"",'Event summary'!C532)</f>
        <v>היעדר תיעוד - מטופלת קיבלה טיפול SRS ל- AVM במנה של 24Gy חד פעמי. היא קיבלה טיפול בתאריך 24/5/23 והודיעה על היותה בהריון בתאריך 28/5/23. לא קיים ביחידה נוהל המסדיר בדיקת הריון למטופלות.</v>
      </c>
      <c r="E532" s="116" t="str">
        <f>IF(ISBLANK('Event summary'!D532),"",'Event summary'!D532)</f>
        <v>תתקיים בדיקה של הנוהל ברנטגן. תשקל החלטה לגבי כתיבת נוהל מתאים. יקודם מהלך קליטה של מטופלים בטרם קבלה רפואית ליחידה.</v>
      </c>
      <c r="F532" s="117">
        <f>IF(ISBLANK('Event summary'!E532),"",'Event summary'!E532)</f>
        <v>45081</v>
      </c>
      <c r="G532" s="57" t="s">
        <v>1267</v>
      </c>
      <c r="H532" s="57" t="s">
        <v>1268</v>
      </c>
    </row>
    <row r="533" spans="1:10" ht="42.75" x14ac:dyDescent="0.2">
      <c r="A533" s="114" t="e">
        <f>IF(ISBLANK('Event summary'!#REF!),"",'Event summary'!#REF!)</f>
        <v>#REF!</v>
      </c>
      <c r="B533" s="115">
        <f>IF(ISBLANK('Event summary'!A533),"",'Event summary'!A533)</f>
        <v>533</v>
      </c>
      <c r="C533" s="115" t="str">
        <f>IF(ISBLANK('Event summary'!B533),"",'Event summary'!B533)</f>
        <v>העברת מידע</v>
      </c>
      <c r="D533" s="116" t="str">
        <f>IF(ISBLANK('Event summary'!C533),"",'Event summary'!C533)</f>
        <v>העברת מידע - מטופל פליאטיבי על כיסא גלגלים עם רגישות ליוד. לא ביצע חוקן כיוון שלא ידע איך. הצוות לא ידע על הרגישות ליוד והוכן חומר חדש על בסיס בריום.</v>
      </c>
      <c r="E533" s="116" t="str">
        <f>IF(ISBLANK('Event summary'!D533),"",'Event summary'!D533)</f>
        <v>יקודם מהלך קליטה של מטופלים בטרם קבלה רפואית.</v>
      </c>
      <c r="F533" s="117">
        <f>IF(ISBLANK('Event summary'!E533),"",'Event summary'!E533)</f>
        <v>45081</v>
      </c>
      <c r="G533" s="57" t="s">
        <v>1394</v>
      </c>
      <c r="H533" s="57" t="s">
        <v>1269</v>
      </c>
      <c r="J533" s="120" t="s">
        <v>1422</v>
      </c>
    </row>
    <row r="534" spans="1:10" ht="42.75" x14ac:dyDescent="0.2">
      <c r="A534" s="114" t="e">
        <f>IF(ISBLANK('Event summary'!#REF!),"",'Event summary'!#REF!)</f>
        <v>#REF!</v>
      </c>
      <c r="B534" s="115">
        <f>IF(ISBLANK('Event summary'!A534),"",'Event summary'!A534)</f>
        <v>534</v>
      </c>
      <c r="C534" s="115" t="str">
        <f>IF(ISBLANK('Event summary'!B534),"",'Event summary'!B534)</f>
        <v>תכנון שגוי</v>
      </c>
      <c r="D534" s="116" t="str">
        <f>IF(ISBLANK('Event summary'!C534),"",'Event summary'!C534)</f>
        <v>תכנון שגוי - מטופל לא קיבל תוספת אלקטרונים לאיבר המין במהלך כל סדרת הטיפולים. היה קיים מרשם מתאים.</v>
      </c>
      <c r="E534" s="116" t="str">
        <f>IF(ISBLANK('Event summary'!D534),"",'Event summary'!D534)</f>
        <v>במקרה של תוספת סימון קליני RTTQA צריך להוסיף תעוד לרנטגנאים במאיץ. במקרה והיתה החלטה מקדימה על שינוי, יש לתעד ולפעול ע"י מחיקה/שינוי של המרשם.</v>
      </c>
      <c r="F534" s="117">
        <f>IF(ISBLANK('Event summary'!E534),"",'Event summary'!E534)</f>
        <v>45081</v>
      </c>
      <c r="G534" s="57" t="s">
        <v>1228</v>
      </c>
      <c r="H534" s="57" t="s">
        <v>1122</v>
      </c>
      <c r="J534" s="120" t="s">
        <v>1400</v>
      </c>
    </row>
    <row r="535" spans="1:10" ht="57" x14ac:dyDescent="0.2">
      <c r="A535" s="114" t="e">
        <f>IF(ISBLANK('Event summary'!#REF!),"",'Event summary'!#REF!)</f>
        <v>#REF!</v>
      </c>
      <c r="B535" s="115">
        <f>IF(ISBLANK('Event summary'!A535),"",'Event summary'!A535)</f>
        <v>535</v>
      </c>
      <c r="C535" s="115" t="str">
        <f>IF(ISBLANK('Event summary'!B535),"",'Event summary'!B535)</f>
        <v>תכנון שגוי</v>
      </c>
      <c r="D535" s="116" t="str">
        <f>IF(ISBLANK('Event summary'!C535),"",'Event summary'!C535)</f>
        <v>תכנון שגוי - בתוכנית TSI של היום השני שמות השדות היו זהות לשמות של היום הראשון. בשם התוכנית לא צוין עם התוכנית היא לכיוון הAP או PA.  המטופלת כמעט קבלה את הטיפול הראשון שוב.</v>
      </c>
      <c r="E535" s="116" t="str">
        <f>IF(ISBLANK('Event summary'!D535),"",'Event summary'!D535)</f>
        <v>יש לקבל מרשם בזמן לצורך תכנון. פיזיקאי לא יחתום חתימה שניה לפני שבדק את כל פרטי התיק ומילא את רשימת התיוג לחתימה שניה. רנטגנאי במאיץ לא יסגור את RTTQA אלא אם בדק את כל התכנית וביצע QA מלא.</v>
      </c>
      <c r="F535" s="117">
        <f>IF(ISBLANK('Event summary'!E535),"",'Event summary'!E535)</f>
        <v>45095</v>
      </c>
      <c r="G535" s="57" t="s">
        <v>1256</v>
      </c>
      <c r="H535" s="57" t="s">
        <v>1064</v>
      </c>
      <c r="J535" s="120" t="s">
        <v>1401</v>
      </c>
    </row>
    <row r="536" spans="1:10" ht="85.5" x14ac:dyDescent="0.2">
      <c r="A536" s="114" t="e">
        <f>IF(ISBLANK('Event summary'!#REF!),"",'Event summary'!#REF!)</f>
        <v>#REF!</v>
      </c>
      <c r="B536" s="115">
        <f>IF(ISBLANK('Event summary'!A536),"",'Event summary'!A536)</f>
        <v>536</v>
      </c>
      <c r="C536" s="115" t="str">
        <f>IF(ISBLANK('Event summary'!B536),"",'Event summary'!B536)</f>
        <v>תקשורת לקויה</v>
      </c>
      <c r="D536" s="116" t="str">
        <f>IF(ISBLANK('Event summary'!C536),"",'Event summary'!C536)</f>
        <v xml:space="preserve">תקשורת לקויה - ביום של החלפת מקור בברכיתרפיה, תואמו מטופלות לקבלת טיפולים. </v>
      </c>
      <c r="E536" s="116" t="str">
        <f>IF(ISBLANK('Event summary'!D536),"",'Event summary'!D536)</f>
        <v>הודעה על החלפת מקור תשלח אל המזכירות וזימון תורים. ימי החלפת מקור יהיה בימי חמישי ולא ימי שני כפי שהיה עד היום. יש להמתין לאישור משרד הגנת הסביבה לפני מתן טיפולים לאחר החלפת מקור.</v>
      </c>
      <c r="F536" s="117">
        <f>IF(ISBLANK('Event summary'!E536),"",'Event summary'!E536)</f>
        <v>45095</v>
      </c>
      <c r="G536" s="57" t="s">
        <v>1257</v>
      </c>
      <c r="H536" s="57" t="s">
        <v>1258</v>
      </c>
      <c r="J536" s="120" t="s">
        <v>1450</v>
      </c>
    </row>
    <row r="537" spans="1:10" ht="42.75" x14ac:dyDescent="0.2">
      <c r="A537" s="114" t="e">
        <f>IF(ISBLANK('Event summary'!#REF!),"",'Event summary'!#REF!)</f>
        <v>#REF!</v>
      </c>
      <c r="B537" s="115">
        <f>IF(ISBLANK('Event summary'!A537),"",'Event summary'!A537)</f>
        <v>537</v>
      </c>
      <c r="C537" s="115" t="str">
        <f>IF(ISBLANK('Event summary'!B537),"",'Event summary'!B537)</f>
        <v>העברת מידע</v>
      </c>
      <c r="D537" s="116" t="str">
        <f>IF(ISBLANK('Event summary'!C537),"",'Event summary'!C537)</f>
        <v>העברת מידע - מטופלת בקשה לדחות את מועד הסימולציה עקב סבב נוסף של כימו. הסימולציה המקורית בוטלה ונכתבה הערה, אך לא תואמה סימולציה חדשה.</v>
      </c>
      <c r="E537" s="116" t="str">
        <f>IF(ISBLANK('Event summary'!D537),"",'Event summary'!D537)</f>
        <v>טעות אנוש אין הנחיות מיוחדות.</v>
      </c>
      <c r="F537" s="117">
        <f>IF(ISBLANK('Event summary'!E537),"",'Event summary'!E537)</f>
        <v>45095</v>
      </c>
      <c r="G537" s="57" t="s">
        <v>1270</v>
      </c>
      <c r="H537" s="57" t="s">
        <v>1227</v>
      </c>
      <c r="J537" s="120" t="s">
        <v>1422</v>
      </c>
    </row>
    <row r="538" spans="1:10" ht="42.75" x14ac:dyDescent="0.2">
      <c r="A538" s="114" t="e">
        <f>IF(ISBLANK('Event summary'!#REF!),"",'Event summary'!#REF!)</f>
        <v>#REF!</v>
      </c>
      <c r="B538" s="115">
        <f>IF(ISBLANK('Event summary'!A538),"",'Event summary'!A538)</f>
        <v>538</v>
      </c>
      <c r="C538" s="115" t="str">
        <f>IF(ISBLANK('Event summary'!B538),"",'Event summary'!B538)</f>
        <v>העברת מידע</v>
      </c>
      <c r="D538" s="116" t="str">
        <f>IF(ISBLANK('Event summary'!C538),"",'Event summary'!C538)</f>
        <v>בת של מטופל ביקשה לבצע חוקן לאבא שלה. האב היה עצמאי וביקש עזרה.  אחות המתאמת אמרה לבת שיעזרו לו אך המידע לא עבר לצוות המטפל לצורך ביצוע.</v>
      </c>
      <c r="E538" s="116" t="str">
        <f>IF(ISBLANK('Event summary'!D538),"",'Event summary'!D538)</f>
        <v>אחות ראשית תכתוב הנחיה מתאימה להעברת המידע מאחות הקבלה עבור בקשות מיוחדות למטופלים.</v>
      </c>
      <c r="F538" s="117">
        <f>IF(ISBLANK('Event summary'!E538),"",'Event summary'!E538)</f>
        <v>45095</v>
      </c>
      <c r="G538" s="57" t="s">
        <v>1264</v>
      </c>
      <c r="H538" s="57" t="s">
        <v>1259</v>
      </c>
    </row>
    <row r="539" spans="1:10" ht="99.75" x14ac:dyDescent="0.2">
      <c r="A539" s="114" t="e">
        <f>IF(ISBLANK('Event summary'!#REF!),"",'Event summary'!#REF!)</f>
        <v>#REF!</v>
      </c>
      <c r="B539" s="115">
        <f>IF(ISBLANK('Event summary'!A539),"",'Event summary'!A539)</f>
        <v>539</v>
      </c>
      <c r="C539" s="115" t="str">
        <f>IF(ISBLANK('Event summary'!B539),"",'Event summary'!B539)</f>
        <v>העברת מידע</v>
      </c>
      <c r="D539" s="116" t="str">
        <f>IF(ISBLANK('Event summary'!C539),"",'Event summary'!C539)</f>
        <v>תיק לתכנון בוטל ללא שהמידע עבר לצוות המתכנן. בנוסף, אורך הסריקה היתה מוגזמת.</v>
      </c>
      <c r="E539" s="116" t="str">
        <f>IF(ISBLANK('Event summary'!D539),"",'Event summary'!D539)</f>
        <v>יוקם צוות תיאום (חמ"ל) אשר מטרתו להעביר את האינפורמציה הרלבנטית על שינויים בתכנון של מטופלים אל הצוותים הרלבנטיים.</v>
      </c>
      <c r="F539" s="117">
        <f>IF(ISBLANK('Event summary'!E539),"",'Event summary'!E539)</f>
        <v>45095</v>
      </c>
      <c r="G539" s="57" t="s">
        <v>1260</v>
      </c>
      <c r="H539" s="57" t="s">
        <v>1453</v>
      </c>
      <c r="J539" s="120" t="s">
        <v>1452</v>
      </c>
    </row>
    <row r="540" spans="1:10" ht="42.75" x14ac:dyDescent="0.2">
      <c r="A540" s="114" t="e">
        <f>IF(ISBLANK('Event summary'!#REF!),"",'Event summary'!#REF!)</f>
        <v>#REF!</v>
      </c>
      <c r="B540" s="115">
        <f>IF(ISBLANK('Event summary'!A540),"",'Event summary'!A540)</f>
        <v>540</v>
      </c>
      <c r="C540" s="115" t="str">
        <f>IF(ISBLANK('Event summary'!B540),"",'Event summary'!B540)</f>
        <v>העברת מידע</v>
      </c>
      <c r="D540" s="116" t="str">
        <f>IF(ISBLANK('Event summary'!C540),"",'Event summary'!C540)</f>
        <v>מטופל לפרוסטטה SBRT לשתי פרקציות, הורד מהשולחן לאחר שלא שלחו זרעי זהב במהלך שחרור התיק.</v>
      </c>
      <c r="E540" s="116" t="str">
        <f>IF(ISBLANK('Event summary'!D540),"",'Event summary'!D540)</f>
        <v>יש להקפיד על העברת זרעים ולעבור בקפידה על רשימת התיוג (Check List). רנטגנאי QA יבדוק אם נשלחו הנפחים הרצויים לצורך מתן טיפול.</v>
      </c>
      <c r="F540" s="117">
        <f>IF(ISBLANK('Event summary'!E540),"",'Event summary'!E540)</f>
        <v>45095</v>
      </c>
      <c r="G540" s="57" t="s">
        <v>1261</v>
      </c>
      <c r="H540" s="57" t="s">
        <v>1262</v>
      </c>
      <c r="J540" s="120" t="s">
        <v>1451</v>
      </c>
    </row>
    <row r="541" spans="1:10" ht="28.5" x14ac:dyDescent="0.2">
      <c r="A541" s="114" t="e">
        <f>IF(ISBLANK('Event summary'!#REF!),"",'Event summary'!#REF!)</f>
        <v>#REF!</v>
      </c>
      <c r="B541" s="115">
        <f>IF(ISBLANK('Event summary'!A541),"",'Event summary'!A541)</f>
        <v>541</v>
      </c>
      <c r="C541" s="115" t="str">
        <f>IF(ISBLANK('Event summary'!B541),"",'Event summary'!B541)</f>
        <v>תיעוד לא תקין</v>
      </c>
      <c r="D541" s="116" t="str">
        <f>IF(ISBLANK('Event summary'!C541),"",'Event summary'!C541)</f>
        <v>מטופל עם קוצב לב. לא היה תיעוד במרשם באריה. היה מכתב מקרדיולוג וכן נכתב בקמליון (במכתב מרופא).</v>
      </c>
      <c r="E541" s="116" t="str">
        <f>IF(ISBLANK('Event summary'!D541),"",'Event summary'!D541)</f>
        <v>יש לעדכן מכתב קוצב בקמליון במרשם ב Aria. יש לרענן את נוהל הקוצב.</v>
      </c>
      <c r="F541" s="117">
        <f>IF(ISBLANK('Event summary'!E541),"",'Event summary'!E541)</f>
        <v>45109</v>
      </c>
      <c r="G541" s="57" t="s">
        <v>1295</v>
      </c>
      <c r="H541" s="57" t="s">
        <v>1454</v>
      </c>
    </row>
    <row r="542" spans="1:10" ht="42.75" x14ac:dyDescent="0.2">
      <c r="A542" s="114" t="e">
        <f>IF(ISBLANK('Event summary'!#REF!),"",'Event summary'!#REF!)</f>
        <v>#REF!</v>
      </c>
      <c r="B542" s="115">
        <f>IF(ISBLANK('Event summary'!A542),"",'Event summary'!A542)</f>
        <v>542</v>
      </c>
      <c r="C542" s="115" t="str">
        <f>IF(ISBLANK('Event summary'!B542),"",'Event summary'!B542)</f>
        <v>כמעט שגיאה בזיהוי מטופל</v>
      </c>
      <c r="D542" s="116" t="str">
        <f>IF(ISBLANK('Event summary'!C542),"",'Event summary'!C542)</f>
        <v>הוכנס Care Path של מטופל עם ת.ז. 546860 במקום 546680. הסריקה בוצעה והוכנסה למטופל המופיע ב Aria.</v>
      </c>
      <c r="E542" s="116" t="str">
        <f>IF(ISBLANK('Event summary'!D542),"",'Event summary'!D542)</f>
        <v>ממשקים של קמליון, ATD ואריה נמצאים בעבודה. מטרת הממשק לסנכרן את העברת המידע בצורה אוטומטית ככל הניתן בין המערכות. תאריך יעד לסיום הפרוייקט ינואר 2024.</v>
      </c>
      <c r="F542" s="117">
        <f>IF(ISBLANK('Event summary'!E542),"",'Event summary'!E542)</f>
        <v>45109</v>
      </c>
      <c r="G542" s="57" t="s">
        <v>1296</v>
      </c>
      <c r="H542" s="57" t="s">
        <v>1227</v>
      </c>
    </row>
    <row r="543" spans="1:10" ht="42.75" x14ac:dyDescent="0.2">
      <c r="A543" s="114" t="e">
        <f>IF(ISBLANK('Event summary'!#REF!),"",'Event summary'!#REF!)</f>
        <v>#REF!</v>
      </c>
      <c r="B543" s="115">
        <f>IF(ISBLANK('Event summary'!A543),"",'Event summary'!A543)</f>
        <v>543</v>
      </c>
      <c r="C543" s="115" t="str">
        <f>IF(ISBLANK('Event summary'!B543),"",'Event summary'!B543)</f>
        <v>אי ביצוע הנחיה (צוות)</v>
      </c>
      <c r="D543" s="116" t="str">
        <f>IF(ISBLANK('Event summary'!C543),"",'Event summary'!C543)</f>
        <v>אי התאמה בין הנחיות לסימולציה לבין הביצוע בפועל. בטופס סימולציה נרשם שלפוחית מלאה וחומר ניגוד. המטופלת נסרקה ללא ביצוע ההנחיות. המסמך לא נחתם ע"י רופא בכיר.</v>
      </c>
      <c r="E543" s="116" t="str">
        <f>IF(ISBLANK('Event summary'!D543),"",'Event summary'!D543)</f>
        <v>בעת בחירה של טופס סימולציה, יש לעדכן את הפרטים לפי דרישת הטיפול. הרנטגנאים בסימולציה יבצעו את ההנחיות ע"פ הטופס. אם קיימת אי הבנה, יש לשאול את הרופא המטפל.</v>
      </c>
      <c r="F543" s="117">
        <f>IF(ISBLANK('Event summary'!E543),"",'Event summary'!E543)</f>
        <v>45109</v>
      </c>
      <c r="G543" s="57" t="s">
        <v>1297</v>
      </c>
      <c r="H543" s="57" t="s">
        <v>919</v>
      </c>
      <c r="J543" s="120" t="s">
        <v>1399</v>
      </c>
    </row>
    <row r="544" spans="1:10" ht="42.75" x14ac:dyDescent="0.2">
      <c r="A544" s="114" t="e">
        <f>IF(ISBLANK('Event summary'!#REF!),"",'Event summary'!#REF!)</f>
        <v>#REF!</v>
      </c>
      <c r="B544" s="115">
        <f>IF(ISBLANK('Event summary'!A544),"",'Event summary'!A544)</f>
        <v>544</v>
      </c>
      <c r="C544" s="115" t="str">
        <f>IF(ISBLANK('Event summary'!B544),"",'Event summary'!B544)</f>
        <v>מתן טיפול באופן שגוי</v>
      </c>
      <c r="D544" s="116" t="str">
        <f>IF(ISBLANK('Event summary'!C544),"",'Event summary'!C544)</f>
        <v>עקב שינוי מורפולוגי של איזור הטיפול, בוצעה סימולציה חוזרת. למרות זאת המטופל המשיך לקבל את התכנית המקורית בהנחית הרופא המטפל.</v>
      </c>
      <c r="E544" s="116" t="str">
        <f>IF(ISBLANK('Event summary'!D544),"",'Event summary'!D544)</f>
        <v>המקרה נשאר להמשך בדיקה ומסקנות (ד"ר וייס).</v>
      </c>
      <c r="F544" s="117">
        <f>IF(ISBLANK('Event summary'!E544),"",'Event summary'!E544)</f>
        <v>45109</v>
      </c>
      <c r="G544" s="57" t="s">
        <v>1298</v>
      </c>
      <c r="H544" s="57" t="s">
        <v>919</v>
      </c>
      <c r="J544" s="120" t="s">
        <v>1399</v>
      </c>
    </row>
    <row r="545" spans="1:10" ht="57" x14ac:dyDescent="0.2">
      <c r="A545" s="114" t="e">
        <f>IF(ISBLANK('Event summary'!#REF!),"",'Event summary'!#REF!)</f>
        <v>#REF!</v>
      </c>
      <c r="B545" s="115">
        <f>IF(ISBLANK('Event summary'!A545),"",'Event summary'!A545)</f>
        <v>545</v>
      </c>
      <c r="C545" s="115" t="str">
        <f>IF(ISBLANK('Event summary'!B545),"",'Event summary'!B545)</f>
        <v>אי ביצוע הנחיה (צוות)</v>
      </c>
      <c r="D545" s="116" t="str">
        <f>IF(ISBLANK('Event summary'!C545),"",'Event summary'!C545)</f>
        <v>חוסר התאמה בין צורת הבולוס בתכנון לבין צורת הבולוס בטיפול. הרופאה ביקשה במרשם להתאים את הבולוס לפיטמה בלבד. לאחר בדיקה הותאם הבולוס כפי שמופיע בתכנית.</v>
      </c>
      <c r="E545" s="116" t="str">
        <f>IF(ISBLANK('Event summary'!D545),"",'Event summary'!D545)</f>
        <v>ייכתב תהליך מסודר לתכנון בולוס. חידוד נוהל בולוס לפיזיקאים.</v>
      </c>
      <c r="F545" s="117">
        <f>IF(ISBLANK('Event summary'!E545),"",'Event summary'!E545)</f>
        <v>45165</v>
      </c>
      <c r="G545" s="57" t="s">
        <v>1328</v>
      </c>
      <c r="H545" s="57" t="s">
        <v>1227</v>
      </c>
      <c r="J545" s="120" t="s">
        <v>1422</v>
      </c>
    </row>
    <row r="546" spans="1:10" ht="28.5" x14ac:dyDescent="0.2">
      <c r="A546" s="114" t="e">
        <f>IF(ISBLANK('Event summary'!#REF!),"",'Event summary'!#REF!)</f>
        <v>#REF!</v>
      </c>
      <c r="B546" s="115">
        <f>IF(ISBLANK('Event summary'!A546),"",'Event summary'!A546)</f>
        <v>546</v>
      </c>
      <c r="C546" s="115" t="str">
        <f>IF(ISBLANK('Event summary'!B546),"",'Event summary'!B546)</f>
        <v>תכנון שגוי</v>
      </c>
      <c r="D546" s="116" t="str">
        <f>IF(ISBLANK('Event summary'!C546),"",'Event summary'!C546)</f>
        <v xml:space="preserve">שדה ה setup לבולוס תוכנן בזווית 0 במקום מאונך למיקום הבולוס. נתגלה לאחר שני טיפולים קודמים מתוך 5. </v>
      </c>
      <c r="E546" s="116" t="str">
        <f>IF(ISBLANK('Event summary'!D546),"",'Event summary'!D546)</f>
        <v>ייכתב תהליך מסודר לתכנון בולוס. חידוד נוהל בולוס לפיזיקאים.</v>
      </c>
      <c r="F546" s="117">
        <f>IF(ISBLANK('Event summary'!E546),"",'Event summary'!E546)</f>
        <v>45165</v>
      </c>
      <c r="G546" s="57" t="s">
        <v>1328</v>
      </c>
      <c r="H546" s="57" t="s">
        <v>1227</v>
      </c>
    </row>
    <row r="547" spans="1:10" ht="42.75" x14ac:dyDescent="0.2">
      <c r="A547" s="114" t="e">
        <f>IF(ISBLANK('Event summary'!#REF!),"",'Event summary'!#REF!)</f>
        <v>#REF!</v>
      </c>
      <c r="B547" s="115">
        <f>IF(ISBLANK('Event summary'!A547),"",'Event summary'!A547)</f>
        <v>547</v>
      </c>
      <c r="C547" s="115" t="str">
        <f>IF(ISBLANK('Event summary'!B547),"",'Event summary'!B547)</f>
        <v>תיעוד לא תקין</v>
      </c>
      <c r="D547" s="116" t="str">
        <f>IF(ISBLANK('Event summary'!C547),"",'Event summary'!C547)</f>
        <v>מספר של תעודת זהות של מטופל הוזן לתוך השדה של "שם פרטי" ב Aria עבור המטופל הנ"ל.</v>
      </c>
      <c r="E547" s="116" t="str">
        <f>IF(ISBLANK('Event summary'!D547),"",'Event summary'!D547)</f>
        <v>ממשקים של קמליון, ATD ואריה נמצאים בעבודה. מטרת הממשק לסנכרן את העברת המידע בצורה אוטומטית ככל הניתן בין המערכות. תאריך יעד לסיום הפרויקט ינואר 2024.</v>
      </c>
      <c r="F547" s="117">
        <f>IF(ISBLANK('Event summary'!E547),"",'Event summary'!E547)</f>
        <v>45165</v>
      </c>
      <c r="G547" s="57" t="s">
        <v>1329</v>
      </c>
      <c r="H547" s="57" t="s">
        <v>1227</v>
      </c>
    </row>
    <row r="548" spans="1:10" ht="42.75" x14ac:dyDescent="0.2">
      <c r="A548" s="114" t="e">
        <f>IF(ISBLANK('Event summary'!#REF!),"",'Event summary'!#REF!)</f>
        <v>#REF!</v>
      </c>
      <c r="B548" s="115">
        <f>IF(ISBLANK('Event summary'!A548),"",'Event summary'!A548)</f>
        <v>548</v>
      </c>
      <c r="C548" s="115" t="str">
        <f>IF(ISBLANK('Event summary'!B548),"",'Event summary'!B548)</f>
        <v>תיעוד לא תקין</v>
      </c>
      <c r="D548" s="116" t="str">
        <f>IF(ISBLANK('Event summary'!C548),"",'Event summary'!C548)</f>
        <v>תעודת זהות של מטופלת הוזן ב Aria ללא הספרה האחרונה. מספר ת.ז. זו הפנתה למטופלת אחרת בקמליון.</v>
      </c>
      <c r="E548" s="116" t="str">
        <f>IF(ISBLANK('Event summary'!D548),"",'Event summary'!D548)</f>
        <v>ממשקים של קמליון, ATD ואריה נמצאים בעבודה. מטרת הממשק לסנכרן את העברת המידע בצורה אוטומטית ככל הניתן בין המערכות. תאריך יעד לסיום הפרויקט ינואר 2024.</v>
      </c>
      <c r="F548" s="117">
        <f>IF(ISBLANK('Event summary'!E548),"",'Event summary'!E548)</f>
        <v>45165</v>
      </c>
      <c r="G548" s="57" t="s">
        <v>1329</v>
      </c>
      <c r="H548" s="57" t="s">
        <v>1227</v>
      </c>
    </row>
    <row r="549" spans="1:10" ht="57" x14ac:dyDescent="0.2">
      <c r="A549" s="114" t="e">
        <f>IF(ISBLANK('Event summary'!#REF!),"",'Event summary'!#REF!)</f>
        <v>#REF!</v>
      </c>
      <c r="B549" s="115">
        <f>IF(ISBLANK('Event summary'!A549),"",'Event summary'!A549)</f>
        <v>549</v>
      </c>
      <c r="C549" s="115" t="str">
        <f>IF(ISBLANK('Event summary'!B549),"",'Event summary'!B549)</f>
        <v>היעדר תיעוד</v>
      </c>
      <c r="D549" s="116" t="str">
        <f>IF(ISBLANK('Event summary'!C549),"",'Event summary'!C549)</f>
        <v>לא היה תיעוד של קוצב לב במרשם או בקמליון. בקמליון של המטופלת הזאת לא הייתה אפשרות של בחירה בקוצב (יש צילום מסך).</v>
      </c>
      <c r="E549" s="116" t="str">
        <f>IF(ISBLANK('Event summary'!D549),"",'Event summary'!D549)</f>
        <v>נוהל עבודה של קוצבי לב בתהליך פיתוח. המקרה יועבר לצוות קמליון לבדיקה.</v>
      </c>
      <c r="F549" s="117">
        <f>IF(ISBLANK('Event summary'!E549),"",'Event summary'!E549)</f>
        <v>45165</v>
      </c>
      <c r="G549" s="57" t="s">
        <v>1305</v>
      </c>
      <c r="H549" s="57" t="s">
        <v>1310</v>
      </c>
    </row>
    <row r="550" spans="1:10" ht="57" x14ac:dyDescent="0.2">
      <c r="A550" s="114" t="e">
        <f>IF(ISBLANK('Event summary'!#REF!),"",'Event summary'!#REF!)</f>
        <v>#REF!</v>
      </c>
      <c r="B550" s="115">
        <f>IF(ISBLANK('Event summary'!A550),"",'Event summary'!A550)</f>
        <v>550</v>
      </c>
      <c r="C550" s="115" t="str">
        <f>IF(ISBLANK('Event summary'!B550),"",'Event summary'!B550)</f>
        <v>צוות חסר</v>
      </c>
      <c r="D550" s="116" t="str">
        <f>IF(ISBLANK('Event summary'!C550),"",'Event summary'!C550)</f>
        <v>מטופל הגיע ב 18:30-18:45 לא חשה בטוב. לא הייתה אחות ומזכירה לתת מענה למטופלת.</v>
      </c>
      <c r="E550" s="116" t="str">
        <f>IF(ISBLANK('Event summary'!D550),"",'Event summary'!D550)</f>
        <v>יש להישאר עד תום ההקרנות של כל המטופלים לפני שהולכים. יבוצע חידוד נוהל לצוותים.</v>
      </c>
      <c r="F550" s="117">
        <f>IF(ISBLANK('Event summary'!E550),"",'Event summary'!E550)</f>
        <v>45165</v>
      </c>
      <c r="G550" s="57" t="s">
        <v>1306</v>
      </c>
      <c r="H550" s="57" t="s">
        <v>1307</v>
      </c>
      <c r="J550" s="120" t="s">
        <v>1402</v>
      </c>
    </row>
    <row r="551" spans="1:10" ht="28.5" x14ac:dyDescent="0.2">
      <c r="A551" s="114" t="e">
        <f>IF(ISBLANK('Event summary'!#REF!),"",'Event summary'!#REF!)</f>
        <v>#REF!</v>
      </c>
      <c r="B551" s="115">
        <f>IF(ISBLANK('Event summary'!A551),"",'Event summary'!A551)</f>
        <v>551</v>
      </c>
      <c r="C551" s="115" t="str">
        <f>IF(ISBLANK('Event summary'!B551),"",'Event summary'!B551)</f>
        <v>תכנון שגוי</v>
      </c>
      <c r="D551" s="116" t="str">
        <f>IF(ISBLANK('Event summary'!C551),"",'Event summary'!C551)</f>
        <v xml:space="preserve">למטופלת חדשה לא ניתן היה לטפל כיוון ששדה טיפול לא היה תקין (מס' MU גבולי). </v>
      </c>
      <c r="E551" s="116" t="str">
        <f>IF(ISBLANK('Event summary'!D551),"",'Event summary'!D551)</f>
        <v>שדות עם wedge צריכים לפחות 20MU. חידוד נוהל לפיזיקאים.</v>
      </c>
      <c r="F551" s="117">
        <f>IF(ISBLANK('Event summary'!E551),"",'Event summary'!E551)</f>
        <v>45165</v>
      </c>
      <c r="G551" s="57" t="s">
        <v>1308</v>
      </c>
      <c r="H551" s="57" t="s">
        <v>983</v>
      </c>
      <c r="J551" s="120" t="s">
        <v>1450</v>
      </c>
    </row>
    <row r="552" spans="1:10" ht="42.75" x14ac:dyDescent="0.2">
      <c r="A552" s="114" t="e">
        <f>IF(ISBLANK('Event summary'!#REF!),"",'Event summary'!#REF!)</f>
        <v>#REF!</v>
      </c>
      <c r="B552" s="115">
        <f>IF(ISBLANK('Event summary'!A552),"",'Event summary'!A552)</f>
        <v>552</v>
      </c>
      <c r="C552" s="115" t="str">
        <f>IF(ISBLANK('Event summary'!B552),"",'Event summary'!B552)</f>
        <v>תקשורת לקויה</v>
      </c>
      <c r="D552" s="116" t="str">
        <f>IF(ISBLANK('Event summary'!C552),"",'Event summary'!C552)</f>
        <v>מטופלת דחופה שקיבלה טיפול יום קודם הורדה מהמחלקה אך התכנית לא הייתה מוכנה לטיפול עקב שינויים. הצוות לא קיבל הודעה על השינויים.</v>
      </c>
      <c r="E552" s="116" t="str">
        <f>IF(ISBLANK('Event summary'!D552),"",'Event summary'!D552)</f>
        <v>ייכתב נוהל עבודה על תקשור של שינויים בתכנון. באחריות צוות נהלים.</v>
      </c>
      <c r="F552" s="117">
        <f>IF(ISBLANK('Event summary'!E552),"",'Event summary'!E552)</f>
        <v>45165</v>
      </c>
      <c r="G552" s="57" t="s">
        <v>1309</v>
      </c>
      <c r="H552" s="57" t="s">
        <v>1227</v>
      </c>
    </row>
    <row r="553" spans="1:10" ht="42.75" x14ac:dyDescent="0.2">
      <c r="A553" s="114" t="e">
        <f>IF(ISBLANK('Event summary'!#REF!),"",'Event summary'!#REF!)</f>
        <v>#REF!</v>
      </c>
      <c r="B553" s="115">
        <f>IF(ISBLANK('Event summary'!A553),"",'Event summary'!A553)</f>
        <v>553</v>
      </c>
      <c r="C553" s="115" t="str">
        <f>IF(ISBLANK('Event summary'!B553),"",'Event summary'!B553)</f>
        <v>תיעוד לא תקין</v>
      </c>
      <c r="D553" s="116" t="str">
        <f>IF(ISBLANK('Event summary'!C553),"",'Event summary'!C553)</f>
        <v>תעודת זהות של מטופל הוזנה ב Aria באופן שגוי כ- 3004437 במקום 30044347.</v>
      </c>
      <c r="E553" s="116" t="str">
        <f>IF(ISBLANK('Event summary'!D553),"",'Event summary'!D553)</f>
        <v>ממשקים של קמליון, ATD ואריה נמצאים בעבודה. מטרת הממשק לסנכרן את העברת המידע בצורה אוטומטית ככל הניתן בין המערכות. תאריך יעד לסיום הפרויקט ינואר 2024.</v>
      </c>
      <c r="F553" s="117">
        <f>IF(ISBLANK('Event summary'!E553),"",'Event summary'!E553)</f>
        <v>45165</v>
      </c>
      <c r="G553" s="57" t="s">
        <v>1329</v>
      </c>
      <c r="H553" s="57" t="s">
        <v>1227</v>
      </c>
    </row>
    <row r="554" spans="1:10" ht="42.75" x14ac:dyDescent="0.2">
      <c r="A554" s="114" t="e">
        <f>IF(ISBLANK('Event summary'!#REF!),"",'Event summary'!#REF!)</f>
        <v>#REF!</v>
      </c>
      <c r="B554" s="115">
        <f>IF(ISBLANK('Event summary'!A554),"",'Event summary'!A554)</f>
        <v>554</v>
      </c>
      <c r="C554" s="115" t="str">
        <f>IF(ISBLANK('Event summary'!B554),"",'Event summary'!B554)</f>
        <v>תיעוד לא תקין</v>
      </c>
      <c r="D554" s="116" t="str">
        <f>IF(ISBLANK('Event summary'!C554),"",'Event summary'!C554)</f>
        <v>תעודת זהות של מטופל הוזנה ב Aria באופן שגוי כ- 30936695 במקום 31936695</v>
      </c>
      <c r="E554" s="116" t="str">
        <f>IF(ISBLANK('Event summary'!D554),"",'Event summary'!D554)</f>
        <v>ממשקים של קמליון, ATD ואריה נמצאים בעבודה. מטרת הממשק לסנכרן את העברת המידע בצורה אוטומטית ככל הניתן בין המערכות. תאריך יעד לסיום הפרויקט ינואר 2024.</v>
      </c>
      <c r="F554" s="117">
        <f>IF(ISBLANK('Event summary'!E554),"",'Event summary'!E554)</f>
        <v>45165</v>
      </c>
      <c r="G554" s="57" t="s">
        <v>1329</v>
      </c>
      <c r="H554" s="57" t="s">
        <v>1227</v>
      </c>
    </row>
    <row r="555" spans="1:10" ht="28.5" x14ac:dyDescent="0.2">
      <c r="A555" s="114" t="e">
        <f>IF(ISBLANK('Event summary'!#REF!),"",'Event summary'!#REF!)</f>
        <v>#REF!</v>
      </c>
      <c r="B555" s="115">
        <f>IF(ISBLANK('Event summary'!A555),"",'Event summary'!A555)</f>
        <v>555</v>
      </c>
      <c r="C555" s="115" t="str">
        <f>IF(ISBLANK('Event summary'!B555),"",'Event summary'!B555)</f>
        <v>היעדר תיעוד</v>
      </c>
      <c r="D555" s="116" t="str">
        <f>IF(ISBLANK('Event summary'!C555),"",'Event summary'!C555)</f>
        <v>לא היה תיעוד של קוצב לב במרשם או בקמליון. בקמליון של המטופל לא הייתה אפשרות  בחירה בקוצב (יש צילום מסך).</v>
      </c>
      <c r="E555" s="116" t="str">
        <f>IF(ISBLANK('Event summary'!D555),"",'Event summary'!D555)</f>
        <v>טופל מול אדמיניסטרטור של קמליון.</v>
      </c>
      <c r="F555" s="117">
        <f>IF(ISBLANK('Event summary'!E555),"",'Event summary'!E555)</f>
        <v>45165</v>
      </c>
      <c r="G555" s="57" t="s">
        <v>1311</v>
      </c>
      <c r="H555" s="57" t="s">
        <v>1227</v>
      </c>
    </row>
    <row r="556" spans="1:10" ht="28.5" x14ac:dyDescent="0.2">
      <c r="A556" s="114" t="e">
        <f>IF(ISBLANK('Event summary'!#REF!),"",'Event summary'!#REF!)</f>
        <v>#REF!</v>
      </c>
      <c r="B556" s="115">
        <f>IF(ISBLANK('Event summary'!A556),"",'Event summary'!A556)</f>
        <v>556</v>
      </c>
      <c r="C556" s="115" t="str">
        <f>IF(ISBLANK('Event summary'!B556),"",'Event summary'!B556)</f>
        <v>תיעוד לא תקין</v>
      </c>
      <c r="D556" s="116" t="str">
        <f>IF(ISBLANK('Event summary'!C556),"",'Event summary'!C556)</f>
        <v xml:space="preserve"> במהלך אנליזה בAria, נמצאו 11 מקרים מתוך 331 מקרים  בהם  ה primary oncologist לא תאם את הרופא המטפל</v>
      </c>
      <c r="E556" s="116" t="str">
        <f>IF(ISBLANK('Event summary'!D556),"",'Event summary'!D556)</f>
        <v>יש לעדכן את Aria לרופא המטפל הנוכחי בכל הכנסה של Care Path. באחריות של זימון תורים לבצע את העדכון.</v>
      </c>
      <c r="F556" s="117">
        <f>IF(ISBLANK('Event summary'!E556),"",'Event summary'!E556)</f>
        <v>45165</v>
      </c>
      <c r="G556" s="57" t="s">
        <v>1330</v>
      </c>
      <c r="H556" s="57" t="s">
        <v>1331</v>
      </c>
      <c r="J556" s="120">
        <v>45208</v>
      </c>
    </row>
    <row r="557" spans="1:10" ht="28.5" x14ac:dyDescent="0.2">
      <c r="A557" s="114" t="e">
        <f>IF(ISBLANK('Event summary'!#REF!),"",'Event summary'!#REF!)</f>
        <v>#REF!</v>
      </c>
      <c r="B557" s="115">
        <f>IF(ISBLANK('Event summary'!A557),"",'Event summary'!A557)</f>
        <v>557</v>
      </c>
      <c r="C557" s="115" t="str">
        <f>IF(ISBLANK('Event summary'!B557),"",'Event summary'!B557)</f>
        <v>תיעוד לא תקין</v>
      </c>
      <c r="D557" s="116" t="str">
        <f>IF(ISBLANK('Event summary'!C557),"",'Event summary'!C557)</f>
        <v>המטופלת לא הייתה משויכת לרופא ב Aria ובזימון לסימולציה הייתה משויכת לא רופא שסיים תפקידו בכללית.</v>
      </c>
      <c r="E557" s="116" t="str">
        <f>IF(ISBLANK('Event summary'!D557),"",'Event summary'!D557)</f>
        <v>יש לעדכן את Aria לרופא המטפל הנוכחי בכל הכנסה של Care Path. באחריות של זימון תורים לבצע את העדכון.</v>
      </c>
      <c r="F557" s="117">
        <f>IF(ISBLANK('Event summary'!E557),"",'Event summary'!E557)</f>
        <v>45165</v>
      </c>
      <c r="G557" s="57" t="s">
        <v>1312</v>
      </c>
      <c r="H557" s="57" t="s">
        <v>1227</v>
      </c>
    </row>
    <row r="558" spans="1:10" ht="30" x14ac:dyDescent="0.2">
      <c r="A558" s="114" t="e">
        <f>IF(ISBLANK('Event summary'!#REF!),"",'Event summary'!#REF!)</f>
        <v>#REF!</v>
      </c>
      <c r="B558" s="115">
        <f>IF(ISBLANK('Event summary'!A558),"",'Event summary'!A558)</f>
        <v>558</v>
      </c>
      <c r="C558" s="115" t="str">
        <f>IF(ISBLANK('Event summary'!B558),"",'Event summary'!B558)</f>
        <v>חוסר בהבנת דרישות הטיפול</v>
      </c>
      <c r="D558" s="116" t="str">
        <f>IF(ISBLANK('Event summary'!C558),"",'Event summary'!C558)</f>
        <v>מטופל עם קלסטרופוביה ביקש כדור הרגעה מאחות ולא קיבל. התוצאה שבסימוליציה היה קושי לבנות לו מסיכת SRS.</v>
      </c>
      <c r="E558" s="116" t="str">
        <f>IF(ISBLANK('Event summary'!D558),"",'Event summary'!D558)</f>
        <v>למטופל בעל חרדות יש לתת כדור הרגעה מראש. באחריות אחיות היחידה.</v>
      </c>
      <c r="F558" s="117">
        <f>IF(ISBLANK('Event summary'!E558),"",'Event summary'!E558)</f>
        <v>45165</v>
      </c>
      <c r="G558" s="57" t="s">
        <v>1313</v>
      </c>
      <c r="H558" s="57" t="s">
        <v>945</v>
      </c>
    </row>
    <row r="559" spans="1:10" ht="42.75" x14ac:dyDescent="0.2">
      <c r="A559" s="114" t="e">
        <f>IF(ISBLANK('Event summary'!#REF!),"",'Event summary'!#REF!)</f>
        <v>#REF!</v>
      </c>
      <c r="B559" s="115">
        <f>IF(ISBLANK('Event summary'!A559),"",'Event summary'!A559)</f>
        <v>559</v>
      </c>
      <c r="C559" s="115" t="str">
        <f>IF(ISBLANK('Event summary'!B559),"",'Event summary'!B559)</f>
        <v>העברת מידע</v>
      </c>
      <c r="D559" s="116" t="str">
        <f>IF(ISBLANK('Event summary'!C559),"",'Event summary'!C559)</f>
        <v>עקב שינוי בתכנית הטיפול יום לפני התיק לא היה מוכן בזמן. הצוות לא קיבל עדכון לגבי השינויים וכן לא נדחה מועד תחילת הטיפול.</v>
      </c>
      <c r="E559" s="116" t="str">
        <f>IF(ISBLANK('Event summary'!D559),"",'Event summary'!D559)</f>
        <v>שינויים בטיפול יתוקשרו ע"י הרופא ל- RTTQA בשעות הבוקר ולמזכירות בשעות הערב.</v>
      </c>
      <c r="F559" s="117">
        <f>IF(ISBLANK('Event summary'!E559),"",'Event summary'!E559)</f>
        <v>45165</v>
      </c>
      <c r="G559" s="57" t="s">
        <v>1332</v>
      </c>
      <c r="H559" s="57" t="s">
        <v>1455</v>
      </c>
      <c r="J559" s="120" t="s">
        <v>1424</v>
      </c>
    </row>
    <row r="560" spans="1:10" ht="57" x14ac:dyDescent="0.2">
      <c r="A560" s="114" t="e">
        <f>IF(ISBLANK('Event summary'!#REF!),"",'Event summary'!#REF!)</f>
        <v>#REF!</v>
      </c>
      <c r="B560" s="115">
        <f>IF(ISBLANK('Event summary'!A560),"",'Event summary'!A560)</f>
        <v>560</v>
      </c>
      <c r="C560" s="115" t="str">
        <f>IF(ISBLANK('Event summary'!B560),"",'Event summary'!B560)</f>
        <v>תקשורת לקויה</v>
      </c>
      <c r="D560" s="116" t="str">
        <f>IF(ISBLANK('Event summary'!C560),"",'Event summary'!C560)</f>
        <v>בשיחת טלפון לזימון לקבלה, המטופל לא ידע שצריך לקבל טיפול. ההפניה התקבלה במערכת ללא שהמטופל עודכן בצורך לקבלת טיפול.</v>
      </c>
      <c r="E560" s="116" t="str">
        <f>IF(ISBLANK('Event summary'!D560),"",'Event summary'!D560)</f>
        <v>ד"ר לימון ידבר עם אונקולוגיה והמטואונקולוגיה שלא ישלחו הפניות לטיפולים דחופים לפני שהסבירו למטופל על הצורך בקבלת טיפולי קרינה.</v>
      </c>
      <c r="F560" s="117">
        <f>IF(ISBLANK('Event summary'!E560),"",'Event summary'!E560)</f>
        <v>45165</v>
      </c>
      <c r="G560" s="57" t="s">
        <v>1314</v>
      </c>
      <c r="H560" s="57" t="s">
        <v>919</v>
      </c>
      <c r="J560" s="120" t="s">
        <v>1456</v>
      </c>
    </row>
    <row r="561" spans="1:10" ht="42.75" x14ac:dyDescent="0.2">
      <c r="A561" s="114" t="e">
        <f>IF(ISBLANK('Event summary'!#REF!),"",'Event summary'!#REF!)</f>
        <v>#REF!</v>
      </c>
      <c r="B561" s="115">
        <f>IF(ISBLANK('Event summary'!A561),"",'Event summary'!A561)</f>
        <v>561</v>
      </c>
      <c r="C561" s="115" t="str">
        <f>IF(ISBLANK('Event summary'!B561),"",'Event summary'!B561)</f>
        <v>תכנון שגוי</v>
      </c>
      <c r="D561" s="116" t="str">
        <f>IF(ISBLANK('Event summary'!C561),"",'Event summary'!C561)</f>
        <v>בטיפול TSI הופיעו לטיפול שתי התכניות AP ו PA. בשני הטיפולים הראשונים ניתנה תכנית AP. ה Schedule לא תוקן למרות בקשות הצוות.</v>
      </c>
      <c r="E561" s="116" t="str">
        <f>IF(ISBLANK('Event summary'!D561),"",'Event summary'!D561)</f>
        <v>תתקיים הדרכה על  תכנון TSI בפיזיקה.</v>
      </c>
      <c r="F561" s="117">
        <f>IF(ISBLANK('Event summary'!E561),"",'Event summary'!E561)</f>
        <v>45165</v>
      </c>
      <c r="G561" s="57" t="s">
        <v>1315</v>
      </c>
      <c r="H561" s="57" t="s">
        <v>983</v>
      </c>
      <c r="J561" s="120" t="s">
        <v>1424</v>
      </c>
    </row>
    <row r="562" spans="1:10" x14ac:dyDescent="0.2">
      <c r="A562" s="114" t="e">
        <f>IF(ISBLANK('Event summary'!#REF!),"",'Event summary'!#REF!)</f>
        <v>#REF!</v>
      </c>
      <c r="B562" s="115">
        <f>IF(ISBLANK('Event summary'!A562),"",'Event summary'!A562)</f>
        <v>562</v>
      </c>
      <c r="C562" s="115" t="str">
        <f>IF(ISBLANK('Event summary'!B562),"",'Event summary'!B562)</f>
        <v/>
      </c>
      <c r="D562" s="116" t="str">
        <f>IF(ISBLANK('Event summary'!C562),"",'Event summary'!C562)</f>
        <v/>
      </c>
      <c r="E562" s="116" t="str">
        <f>IF(ISBLANK('Event summary'!D562),"",'Event summary'!D562)</f>
        <v/>
      </c>
      <c r="F562" s="117" t="str">
        <f>IF(ISBLANK('Event summary'!E562),"",'Event summary'!E562)</f>
        <v/>
      </c>
      <c r="J562" s="120" t="s">
        <v>1457</v>
      </c>
    </row>
    <row r="563" spans="1:10" ht="57" x14ac:dyDescent="0.2">
      <c r="A563" s="114" t="e">
        <f>IF(ISBLANK('Event summary'!#REF!),"",'Event summary'!#REF!)</f>
        <v>#REF!</v>
      </c>
      <c r="B563" s="115">
        <f>IF(ISBLANK('Event summary'!A563),"",'Event summary'!A563)</f>
        <v>563</v>
      </c>
      <c r="C563" s="115" t="str">
        <f>IF(ISBLANK('Event summary'!B563),"",'Event summary'!B563)</f>
        <v>תכנון שגוי</v>
      </c>
      <c r="D563" s="116" t="str">
        <f>IF(ISBLANK('Event summary'!C563),"",'Event summary'!C563)</f>
        <v>לאחר סימולציה חוזרת 3 מתוך 4 קשתות היו אם קישור לבולוס. המטופלת קבלה 12 מתוך 19 טיפולים באופן זה. לא אובחן שינוי בעל משמעות בDVH</v>
      </c>
      <c r="E563" s="116" t="str">
        <f>IF(ISBLANK('Event summary'!D563),"",'Event summary'!D563)</f>
        <v>בעת התכנון יש להקפיד על שחרור התיק לחתימה שניה לאחר בדיקה קפדנית של כלל הפרמטרים של התיק. בחתימה שניה של פיזיקה יבדקו גם את השיוך לבולוס.</v>
      </c>
      <c r="F563" s="117">
        <f>IF(ISBLANK('Event summary'!E563),"",'Event summary'!E563)</f>
        <v>45165</v>
      </c>
      <c r="G563" s="57" t="s">
        <v>1317</v>
      </c>
      <c r="H563" s="57" t="s">
        <v>1316</v>
      </c>
    </row>
    <row r="564" spans="1:10" ht="85.5" x14ac:dyDescent="0.2">
      <c r="A564" s="114" t="e">
        <f>IF(ISBLANK('Event summary'!#REF!),"",'Event summary'!#REF!)</f>
        <v>#REF!</v>
      </c>
      <c r="B564" s="115">
        <f>IF(ISBLANK('Event summary'!A564),"",'Event summary'!A564)</f>
        <v>564</v>
      </c>
      <c r="C564" s="115" t="str">
        <f>IF(ISBLANK('Event summary'!B564),"",'Event summary'!B564)</f>
        <v>תכנון שגוי</v>
      </c>
      <c r="D564" s="116" t="str">
        <f>IF(ISBLANK('Event summary'!C564),"",'Event summary'!C564)</f>
        <v>מטופלת שד Prone לא ניתן לטפל בתכנית בוסט עקב התנגשות עם המיטה. הבוסט תוכנן מחדש.</v>
      </c>
      <c r="E564" s="116" t="str">
        <f>IF(ISBLANK('Event summary'!D564),"",'Event summary'!D564)</f>
        <v>בתכנונים יש לשים לב לשדות קרינה אשר נמצאים מתחת למיטה. בתכנוני שד תתכן בעיה עבור מיטה שגובהה גדול מ Vertical 22cm. במקרים גבוליים יש לבצע Dry run (בדיקת התכנות במאיץ).</v>
      </c>
      <c r="F564" s="117">
        <f>IF(ISBLANK('Event summary'!E564),"",'Event summary'!E564)</f>
        <v>45165</v>
      </c>
      <c r="G564" s="57" t="s">
        <v>1349</v>
      </c>
      <c r="H564" s="57" t="s">
        <v>983</v>
      </c>
      <c r="J564" s="120" t="s">
        <v>1450</v>
      </c>
    </row>
    <row r="565" spans="1:10" ht="42.75" x14ac:dyDescent="0.2">
      <c r="A565" s="114" t="e">
        <f>IF(ISBLANK('Event summary'!#REF!),"",'Event summary'!#REF!)</f>
        <v>#REF!</v>
      </c>
      <c r="B565" s="115">
        <f>IF(ISBLANK('Event summary'!A565),"",'Event summary'!A565)</f>
        <v>565</v>
      </c>
      <c r="C565" s="115" t="str">
        <f>IF(ISBLANK('Event summary'!B565),"",'Event summary'!B565)</f>
        <v>תכנון שגוי</v>
      </c>
      <c r="D565" s="116" t="str">
        <f>IF(ISBLANK('Event summary'!C565),"",'Event summary'!C565)</f>
        <v>תיק SBRT תוכנן למאיץ לא נכון.</v>
      </c>
      <c r="E565" s="116" t="str">
        <f>IF(ISBLANK('Event summary'!D565),"",'Event summary'!D565)</f>
        <v>בעת שינוי של מאיץ יש לקבל אישור של זימון תורים להחלפת המאיץ. במקרה של תכנון שגוי, חתימה שניה צריכה לעלות על השגיאה. ריענון נוהל חתימה שניה של פיזיקאים.</v>
      </c>
      <c r="F565" s="117">
        <f>IF(ISBLANK('Event summary'!E565),"",'Event summary'!E565)</f>
        <v>45165</v>
      </c>
      <c r="G565" s="57" t="s">
        <v>1318</v>
      </c>
      <c r="H565" s="57" t="s">
        <v>983</v>
      </c>
      <c r="J565" s="120" t="s">
        <v>1450</v>
      </c>
    </row>
    <row r="566" spans="1:10" ht="71.25" x14ac:dyDescent="0.2">
      <c r="A566" s="114" t="e">
        <f>IF(ISBLANK('Event summary'!#REF!),"",'Event summary'!#REF!)</f>
        <v>#REF!</v>
      </c>
      <c r="B566" s="115">
        <f>IF(ISBLANK('Event summary'!A566),"",'Event summary'!A566)</f>
        <v>566</v>
      </c>
      <c r="C566" s="115" t="str">
        <f>IF(ISBLANK('Event summary'!B566),"",'Event summary'!B566)</f>
        <v>תכנון שגוי</v>
      </c>
      <c r="D566" s="116" t="str">
        <f>IF(ISBLANK('Event summary'!C566),"",'Event summary'!C566)</f>
        <v>בתכנית שמות ארקים שאינם תואמים את התכנון.</v>
      </c>
      <c r="E566" s="116" t="str">
        <f>IF(ISBLANK('Event summary'!D566),"",'Event summary'!D566)</f>
        <v>בעת תכנון של תיק יש להקפיד על שמות תכנית, שדות, ונקודת ייחוס (Reference point) בעלי משמעות. חידוד נוהל.</v>
      </c>
      <c r="F566" s="117">
        <f>IF(ISBLANK('Event summary'!E566),"",'Event summary'!E566)</f>
        <v>45165</v>
      </c>
      <c r="G566" s="57" t="s">
        <v>1326</v>
      </c>
      <c r="H566" s="57" t="s">
        <v>983</v>
      </c>
    </row>
    <row r="567" spans="1:10" ht="28.5" x14ac:dyDescent="0.2">
      <c r="A567" s="114" t="e">
        <f>IF(ISBLANK('Event summary'!#REF!),"",'Event summary'!#REF!)</f>
        <v>#REF!</v>
      </c>
      <c r="B567" s="115">
        <f>IF(ISBLANK('Event summary'!A567),"",'Event summary'!A567)</f>
        <v>567</v>
      </c>
      <c r="C567" s="115" t="str">
        <f>IF(ISBLANK('Event summary'!B567),"",'Event summary'!B567)</f>
        <v>תכנון שגוי</v>
      </c>
      <c r="D567" s="116" t="str">
        <f>IF(ISBLANK('Event summary'!C567),"",'Event summary'!C567)</f>
        <v>בתכנית עם wedge לא היו מספיק MU (מתחת ל- 20MU). היה צורך לתקן כשהמטופלת על המיטה.</v>
      </c>
      <c r="E567" s="116" t="str">
        <f>IF(ISBLANK('Event summary'!D567),"",'Event summary'!D567)</f>
        <v>שדות עם wedge צריכים לפחות 20MU. חידוד נוהל.</v>
      </c>
      <c r="F567" s="117">
        <f>IF(ISBLANK('Event summary'!E567),"",'Event summary'!E567)</f>
        <v>45165</v>
      </c>
      <c r="G567" s="57" t="s">
        <v>1403</v>
      </c>
      <c r="H567" s="57" t="s">
        <v>983</v>
      </c>
      <c r="J567" s="120" t="s">
        <v>1450</v>
      </c>
    </row>
    <row r="568" spans="1:10" ht="28.5" x14ac:dyDescent="0.2">
      <c r="A568" s="114" t="e">
        <f>IF(ISBLANK('Event summary'!#REF!),"",'Event summary'!#REF!)</f>
        <v>#REF!</v>
      </c>
      <c r="B568" s="115">
        <f>IF(ISBLANK('Event summary'!A568),"",'Event summary'!A568)</f>
        <v>568</v>
      </c>
      <c r="C568" s="115" t="str">
        <f>IF(ISBLANK('Event summary'!B568),"",'Event summary'!B568)</f>
        <v>תיעוד לא תקין</v>
      </c>
      <c r="D568" s="116" t="str">
        <f>IF(ISBLANK('Event summary'!C568),"",'Event summary'!C568)</f>
        <v>ב- document של הסימולציה היה כתוב שאין צורך בחומר ניגוד למרות שהיה צריך.</v>
      </c>
      <c r="E568" s="116" t="str">
        <f>IF(ISBLANK('Event summary'!D568),"",'Event summary'!D568)</f>
        <v>יש להפקיד לשנות את ברירת המחדל בעת מילוי טופס לערך הרצוי. הטופס ייחתם ע"י רופא בכיר.</v>
      </c>
      <c r="F568" s="117">
        <f>IF(ISBLANK('Event summary'!E568),"",'Event summary'!E568)</f>
        <v>45165</v>
      </c>
      <c r="G568" s="57" t="s">
        <v>1333</v>
      </c>
      <c r="H568" s="57" t="s">
        <v>919</v>
      </c>
      <c r="J568" s="120" t="s">
        <v>1399</v>
      </c>
    </row>
    <row r="569" spans="1:10" ht="28.5" x14ac:dyDescent="0.2">
      <c r="A569" s="114" t="e">
        <f>IF(ISBLANK('Event summary'!#REF!),"",'Event summary'!#REF!)</f>
        <v>#REF!</v>
      </c>
      <c r="B569" s="115">
        <f>IF(ISBLANK('Event summary'!A569),"",'Event summary'!A569)</f>
        <v>569</v>
      </c>
      <c r="C569" s="115" t="str">
        <f>IF(ISBLANK('Event summary'!B569),"",'Event summary'!B569)</f>
        <v>תכנון שגוי</v>
      </c>
      <c r="D569" s="116" t="str">
        <f>IF(ISBLANK('Event summary'!C569),"",'Event summary'!C569)</f>
        <v>בתכנית עם wedge לא היו מספיק MU (מתחת ל- 20MU). היה צורך לתקן כשהמטופלת על המיטה.</v>
      </c>
      <c r="E569" s="116" t="str">
        <f>IF(ISBLANK('Event summary'!D569),"",'Event summary'!D569)</f>
        <v>שדות עם wedge צריכים לפחות 20MU. חידוד נוהל.</v>
      </c>
      <c r="F569" s="117">
        <f>IF(ISBLANK('Event summary'!E569),"",'Event summary'!E569)</f>
        <v>45221</v>
      </c>
      <c r="G569" s="57" t="s">
        <v>1360</v>
      </c>
      <c r="H569" s="57" t="s">
        <v>1224</v>
      </c>
      <c r="J569" s="120" t="s">
        <v>1458</v>
      </c>
    </row>
    <row r="570" spans="1:10" ht="57" x14ac:dyDescent="0.2">
      <c r="A570" s="114" t="e">
        <f>IF(ISBLANK('Event summary'!#REF!),"",'Event summary'!#REF!)</f>
        <v>#REF!</v>
      </c>
      <c r="B570" s="115">
        <f>IF(ISBLANK('Event summary'!A570),"",'Event summary'!A570)</f>
        <v>570</v>
      </c>
      <c r="C570" s="115" t="str">
        <f>IF(ISBLANK('Event summary'!B570),"",'Event summary'!B570)</f>
        <v>תיעוד לא תקין</v>
      </c>
      <c r="D570" s="116" t="str">
        <f>IF(ISBLANK('Event summary'!C570),"",'Event summary'!C570)</f>
        <v>שם תכנית נכתבה באופן שגוי לצד שמאל כאשר הגידול הינו בצד ימין. בנוסף, שמות השדות לא תאמו את השדות בפועל.</v>
      </c>
      <c r="E570" s="116" t="str">
        <f>IF(ISBLANK('Event summary'!D570),"",'Event summary'!D570)</f>
        <v>יש לשים לב לשמות השדות והצדדים בכל תכנון. חידוד נוהל.</v>
      </c>
      <c r="F570" s="117">
        <f>IF(ISBLANK('Event summary'!E570),"",'Event summary'!E570)</f>
        <v>45221</v>
      </c>
      <c r="G570" s="57" t="s">
        <v>1364</v>
      </c>
      <c r="H570" s="57" t="s">
        <v>1361</v>
      </c>
    </row>
    <row r="571" spans="1:10" ht="28.5" x14ac:dyDescent="0.2">
      <c r="A571" s="114" t="e">
        <f>IF(ISBLANK('Event summary'!#REF!),"",'Event summary'!#REF!)</f>
        <v>#REF!</v>
      </c>
      <c r="B571" s="115">
        <f>IF(ISBLANK('Event summary'!A571),"",'Event summary'!A571)</f>
        <v>571</v>
      </c>
      <c r="C571" s="115" t="str">
        <f>IF(ISBLANK('Event summary'!B571),"",'Event summary'!B571)</f>
        <v>תקשורת לקויה</v>
      </c>
      <c r="D571" s="116" t="str">
        <f>IF(ISBLANK('Event summary'!C571),"",'Event summary'!C571)</f>
        <v>ה primary oncologist לא תאם את הרופא המטפל. לכן לא הופיע ב Care Path שלו לתכנון.</v>
      </c>
      <c r="E571" s="116" t="str">
        <f>IF(ISBLANK('Event summary'!D571),"",'Event summary'!D571)</f>
        <v>מזכירות ישייכו את הרופא ב Aria ע"פ הנוהל. רופא לא ישנו לבד את ה Care Path אלא יפנה לזימון תורים.</v>
      </c>
      <c r="F571" s="117">
        <f>IF(ISBLANK('Event summary'!E571),"",'Event summary'!E571)</f>
        <v>45221</v>
      </c>
      <c r="G571" s="57" t="s">
        <v>1404</v>
      </c>
      <c r="H571" s="57" t="s">
        <v>1227</v>
      </c>
    </row>
    <row r="572" spans="1:10" ht="57" x14ac:dyDescent="0.2">
      <c r="A572" s="114" t="e">
        <f>IF(ISBLANK('Event summary'!#REF!),"",'Event summary'!#REF!)</f>
        <v>#REF!</v>
      </c>
      <c r="B572" s="115">
        <f>IF(ISBLANK('Event summary'!A572),"",'Event summary'!A572)</f>
        <v>572</v>
      </c>
      <c r="C572" s="115" t="str">
        <f>IF(ISBLANK('Event summary'!B572),"",'Event summary'!B572)</f>
        <v>העברת מידע</v>
      </c>
      <c r="D572" s="116" t="str">
        <f>IF(ISBLANK('Event summary'!C572),"",'Event summary'!C572)</f>
        <v>מטופל הוזמן לסימולציה בודדת אך בפועל בוצעו 3 סימולציות שונות עם סוגי השכבה שונים.</v>
      </c>
      <c r="E572" s="116" t="str">
        <f>IF(ISBLANK('Event summary'!D572),"",'Event summary'!D572)</f>
        <v>בסימולציה אם יש יותר ממוקד אחד עם השכבות שונות, יבקש הרופא מזימון תורים להאריך את משך הסימולציה בהתאם.</v>
      </c>
      <c r="F572" s="117">
        <f>IF(ISBLANK('Event summary'!E572),"",'Event summary'!E572)</f>
        <v>45221</v>
      </c>
      <c r="G572" s="57" t="s">
        <v>1364</v>
      </c>
      <c r="H572" s="57" t="s">
        <v>1361</v>
      </c>
    </row>
    <row r="573" spans="1:10" ht="57" x14ac:dyDescent="0.2">
      <c r="A573" s="114" t="e">
        <f>IF(ISBLANK('Event summary'!#REF!),"",'Event summary'!#REF!)</f>
        <v>#REF!</v>
      </c>
      <c r="B573" s="115">
        <f>IF(ISBLANK('Event summary'!A573),"",'Event summary'!A573)</f>
        <v>573</v>
      </c>
      <c r="C573" s="115" t="str">
        <f>IF(ISBLANK('Event summary'!B573),"",'Event summary'!B573)</f>
        <v>תיעוד לא תקין</v>
      </c>
      <c r="D573" s="116" t="str">
        <f>IF(ISBLANK('Event summary'!C573),"",'Event summary'!C573)</f>
        <v>דוח שגיאות בזיהוי במערכת Aria</v>
      </c>
      <c r="E573" s="116" t="str">
        <f>IF(ISBLANK('Event summary'!D573),"",'Event summary'!D573)</f>
        <v>מזכירות ישייכו את הרופא ב Aria ע"פ הנוהל. רופא לא ישנו לבד את ה Care Path אלא יפנה לזימון תורים.</v>
      </c>
      <c r="F573" s="117">
        <f>IF(ISBLANK('Event summary'!E573),"",'Event summary'!E573)</f>
        <v>45221</v>
      </c>
      <c r="G573" s="66" t="s">
        <v>1364</v>
      </c>
      <c r="H573" s="57" t="s">
        <v>919</v>
      </c>
    </row>
    <row r="574" spans="1:10" ht="42.75" x14ac:dyDescent="0.2">
      <c r="A574" s="114" t="e">
        <f>IF(ISBLANK('Event summary'!#REF!),"",'Event summary'!#REF!)</f>
        <v>#REF!</v>
      </c>
      <c r="B574" s="115">
        <f>IF(ISBLANK('Event summary'!A574),"",'Event summary'!A574)</f>
        <v>574</v>
      </c>
      <c r="C574" s="115" t="str">
        <f>IF(ISBLANK('Event summary'!B574),"",'Event summary'!B574)</f>
        <v>העברת מידע</v>
      </c>
      <c r="D574" s="116" t="str">
        <f>IF(ISBLANK('Event summary'!C574),"",'Event summary'!C574)</f>
        <v>מטופל הגיעה לקבלת טיפול 17 מתוך 18 טיפולים מתוכננים. המטופל ידע על 17 טיפולים בלבד. ב Aria כתוב 18 טיפולים בעוד שבקמליון כתוב 17.</v>
      </c>
      <c r="E574" s="116" t="str">
        <f>IF(ISBLANK('Event summary'!D574),"",'Event summary'!D574)</f>
        <v>בעת שינוי של מספר טיפולים רופא יידע את המטופל וזימון תורים על השינוי.</v>
      </c>
      <c r="F574" s="117">
        <f>IF(ISBLANK('Event summary'!E574),"",'Event summary'!E574)</f>
        <v>45221</v>
      </c>
      <c r="G574" s="57" t="s">
        <v>1362</v>
      </c>
      <c r="H574" s="57" t="s">
        <v>1363</v>
      </c>
      <c r="J574" s="121" t="s">
        <v>1401</v>
      </c>
    </row>
    <row r="575" spans="1:10" ht="42.75" x14ac:dyDescent="0.2">
      <c r="A575" s="114" t="e">
        <f>IF(ISBLANK('Event summary'!#REF!),"",'Event summary'!#REF!)</f>
        <v>#REF!</v>
      </c>
      <c r="B575" s="115">
        <f>IF(ISBLANK('Event summary'!A575),"",'Event summary'!A575)</f>
        <v>575</v>
      </c>
      <c r="C575" s="115" t="str">
        <f>IF(ISBLANK('Event summary'!B575),"",'Event summary'!B575)</f>
        <v>תקשורת לקויה</v>
      </c>
      <c r="D575" s="116" t="str">
        <f>IF(ISBLANK('Event summary'!C575),"",'Event summary'!C575)</f>
        <v>ילד הגיע לטיפול בהרדמה ללא הודעה מראש (תייר). הילד קיבל טיפול ללא נוכחות אחות. האחיות היו בהרדמות אחרות.</v>
      </c>
      <c r="E575" s="116" t="str">
        <f>IF(ISBLANK('Event summary'!D575),"",'Event summary'!D575)</f>
        <v>יש להקפיד לעבוד לפי הנוהל ולזמן את המטופלים באמצעות זימון תורים. במקרים רגישים מומלץ לידע את מנהל היחידה בזמן אמת על האירוע.</v>
      </c>
      <c r="F575" s="117">
        <f>IF(ISBLANK('Event summary'!E575),"",'Event summary'!E575)</f>
        <v>45221</v>
      </c>
      <c r="G575" s="57" t="s">
        <v>1373</v>
      </c>
      <c r="H575" s="57" t="s">
        <v>1374</v>
      </c>
    </row>
    <row r="576" spans="1:10" ht="30" x14ac:dyDescent="0.2">
      <c r="A576" s="114" t="e">
        <f>IF(ISBLANK('Event summary'!#REF!),"",'Event summary'!#REF!)</f>
        <v>#REF!</v>
      </c>
      <c r="B576" s="115">
        <f>IF(ISBLANK('Event summary'!A576),"",'Event summary'!A576)</f>
        <v>576</v>
      </c>
      <c r="C576" s="115" t="str">
        <f>IF(ISBLANK('Event summary'!B576),"",'Event summary'!B576)</f>
        <v>סריקה לא תקינה</v>
      </c>
      <c r="D576" s="116" t="str">
        <f>IF(ISBLANK('Event summary'!C576),"",'Event summary'!C576)</f>
        <v>למטופל בוצעה סימולציה לראש צוואר במקום למדיאסטינום. לא היה טופס סימולציה.</v>
      </c>
      <c r="E576" s="116" t="str">
        <f>IF(ISBLANK('Event summary'!D576),"",'Event summary'!D576)</f>
        <v>יש להקפיד על הכנסת טופס סימולציה. הטופס יאושר ע"י רופא בכיר.</v>
      </c>
      <c r="F576" s="117">
        <f>IF(ISBLANK('Event summary'!E576),"",'Event summary'!E576)</f>
        <v>45256</v>
      </c>
      <c r="G576" s="57" t="s">
        <v>1373</v>
      </c>
      <c r="H576" s="57" t="s">
        <v>1374</v>
      </c>
    </row>
    <row r="577" spans="1:10" ht="57" x14ac:dyDescent="0.2">
      <c r="A577" s="114" t="e">
        <f>IF(ISBLANK('Event summary'!#REF!),"",'Event summary'!#REF!)</f>
        <v>#REF!</v>
      </c>
      <c r="B577" s="115">
        <f>IF(ISBLANK('Event summary'!A577),"",'Event summary'!A577)</f>
        <v>577</v>
      </c>
      <c r="C577" s="115" t="str">
        <f>IF(ISBLANK('Event summary'!B577),"",'Event summary'!B577)</f>
        <v>תיעוד לא תקין</v>
      </c>
      <c r="D577" s="116" t="str">
        <f>IF(ISBLANK('Event summary'!C577),"",'Event summary'!C577)</f>
        <v>שם המרשם בקמליון/Aria ובתכנית של המטופל היו D2. המטופל קיבל והיה צריך לקבל D1. ב MRI כתוב D1 וב- PET-CT כתוב D2.</v>
      </c>
      <c r="E577" s="116" t="str">
        <f>IF(ISBLANK('Event summary'!D577),"",'Event summary'!D577)</f>
        <v>יש להקפיד על אחידות באופן מתן שמות לנפחים תוך הקפדה על סימון מתאים.</v>
      </c>
      <c r="F577" s="117">
        <f>IF(ISBLANK('Event summary'!E577),"",'Event summary'!E577)</f>
        <v>45256</v>
      </c>
      <c r="G577" s="57" t="s">
        <v>1439</v>
      </c>
      <c r="H577" s="57" t="s">
        <v>1375</v>
      </c>
    </row>
    <row r="578" spans="1:10" ht="156.75" x14ac:dyDescent="0.2">
      <c r="A578" s="114" t="e">
        <f>IF(ISBLANK('Event summary'!#REF!),"",'Event summary'!#REF!)</f>
        <v>#REF!</v>
      </c>
      <c r="B578" s="115">
        <f>IF(ISBLANK('Event summary'!A578),"",'Event summary'!A578)</f>
        <v>578</v>
      </c>
      <c r="C578" s="115" t="str">
        <f>IF(ISBLANK('Event summary'!B578),"",'Event summary'!B578)</f>
        <v>עבודה שלא על פי הנוהל</v>
      </c>
      <c r="D578" s="116" t="str">
        <f>IF(ISBLANK('Event summary'!C578),"",'Event summary'!C578)</f>
        <v xml:space="preserve">בקבלת רפואית נכתב שהמטופלת מתבקשת לראות רופא כל שבוע. בפועל לא ראתה רופא. המטופלת הלכה למיון עם שלשולים ואושפזה. הטיפול הופסק באופן ממושך. </v>
      </c>
      <c r="E578" s="116" t="str">
        <f>IF(ISBLANK('Event summary'!D578),"",'Event summary'!D578)</f>
        <v>התחלת עבודה עם מערכת "מנור" שבה האחיות יכולות לצפות בקבלת רופאים. אחיות יוודאו שהמטופל ראה רופא בזמן שהוגדר. תיבדק אפשרות שגם מזכירות יעשו בקרה. רנטגנאים ישאלו את המטופל לגבי תורים לרופא ואחות. פרוטוקולים קליניים יעודכנו ותדירות ביקורת רופא/אחות יצוינו בפרוטוקול.</v>
      </c>
      <c r="F578" s="117">
        <f>IF(ISBLANK('Event summary'!E578),"",'Event summary'!E578)</f>
        <v>45256</v>
      </c>
      <c r="G578" s="57" t="s">
        <v>1499</v>
      </c>
      <c r="H578" s="57" t="s">
        <v>1376</v>
      </c>
    </row>
    <row r="579" spans="1:10" ht="42.75" x14ac:dyDescent="0.2">
      <c r="A579" s="114" t="e">
        <f>IF(ISBLANK('Event summary'!#REF!),"",'Event summary'!#REF!)</f>
        <v>#REF!</v>
      </c>
      <c r="B579" s="115">
        <f>IF(ISBLANK('Event summary'!A579),"",'Event summary'!A579)</f>
        <v>579</v>
      </c>
      <c r="C579" s="115" t="str">
        <f>IF(ISBLANK('Event summary'!B579),"",'Event summary'!B579)</f>
        <v>תקשורת לקויה</v>
      </c>
      <c r="D579" s="116" t="str">
        <f>IF(ISBLANK('Event summary'!C579),"",'Event summary'!C579)</f>
        <v>ה Primary Oncologist ב Aria לא תאם את שם הרופא המטפל. לכן לא הופיע ב Care Path שלו לצורך תכנון התיק.</v>
      </c>
      <c r="E579" s="116" t="str">
        <f>IF(ISBLANK('Event summary'!D579),"",'Event summary'!D579)</f>
        <v>מזכירות ישייכו את הרופא ב Aria ע"פ הנוהל. רופא לא ישנה לבד את ה Care Path אלא יפנה לזימון תורים. תיבדק אפשרות להכניס רופא מטפל לממשק.</v>
      </c>
      <c r="F579" s="117">
        <f>IF(ISBLANK('Event summary'!E579),"",'Event summary'!E579)</f>
        <v>45256</v>
      </c>
      <c r="G579" s="57" t="s">
        <v>1377</v>
      </c>
      <c r="H579" s="57" t="s">
        <v>919</v>
      </c>
    </row>
    <row r="580" spans="1:10" ht="42.75" x14ac:dyDescent="0.2">
      <c r="A580" s="114" t="e">
        <f>IF(ISBLANK('Event summary'!#REF!),"",'Event summary'!#REF!)</f>
        <v>#REF!</v>
      </c>
      <c r="B580" s="115">
        <f>IF(ISBLANK('Event summary'!A580),"",'Event summary'!A580)</f>
        <v>580</v>
      </c>
      <c r="C580" s="115" t="str">
        <f>IF(ISBLANK('Event summary'!B580),"",'Event summary'!B580)</f>
        <v>תיעוד לא תקין</v>
      </c>
      <c r="D580" s="116" t="str">
        <f>IF(ISBLANK('Event summary'!C580),"",'Event summary'!C580)</f>
        <v>מטופלת עם סרטן שד שמאל, בטופס סימולציה נכתב צד לא נכון.</v>
      </c>
      <c r="E580" s="116" t="str">
        <f>IF(ISBLANK('Event summary'!D580),"",'Event summary'!D580)</f>
        <v>יש להקפיד על הכנסת טופס סימולציה. הטופס יאושר ע"י רופא בכיר.</v>
      </c>
      <c r="F580" s="117">
        <f>IF(ISBLANK('Event summary'!E580),"",'Event summary'!E580)</f>
        <v>45256</v>
      </c>
      <c r="G580" s="57" t="s">
        <v>1379</v>
      </c>
      <c r="H580" s="57" t="s">
        <v>1378</v>
      </c>
    </row>
    <row r="581" spans="1:10" ht="128.25" x14ac:dyDescent="0.2">
      <c r="A581" s="114" t="e">
        <f>IF(ISBLANK('Event summary'!#REF!),"",'Event summary'!#REF!)</f>
        <v>#REF!</v>
      </c>
      <c r="B581" s="115">
        <f>IF(ISBLANK('Event summary'!A581),"",'Event summary'!A581)</f>
        <v>581</v>
      </c>
      <c r="C581" s="115" t="str">
        <f>IF(ISBLANK('Event summary'!B581),"",'Event summary'!B581)</f>
        <v>היעדר תיעוד</v>
      </c>
      <c r="D581" s="116" t="str">
        <f>IF(ISBLANK('Event summary'!C581),"",'Event summary'!C581)</f>
        <v xml:space="preserve">למטופלת בוצעו 2 סריקות - אחת עם לחץ והשניה ללא. בקמליון מופיעות 2 הסריקות. הרופא סימן 2 מוקדים על הסריקה עם הלחץ ותוכננו 2 תוכניות לסריקה זו. הרנטגנאים במאיץ הבינו על פי הקמליון שאחת התוכניות היא ללא לחץ. </v>
      </c>
      <c r="E581" s="116" t="str">
        <f>IF(ISBLANK('Event summary'!D581),"",'Event summary'!D581)</f>
        <v>יתווספו הערות השכבה במרשם ב- Aria. רופא ופיזיקאי יתעדו ככל הניתן במרשם וב setup notes נתונים בעלי פוטנציאל לפגיעה באיכות הטיפול בכדי למנוע טעויות השכבה.</v>
      </c>
      <c r="F581" s="117">
        <f>IF(ISBLANK('Event summary'!E581),"",'Event summary'!E581)</f>
        <v>45256</v>
      </c>
      <c r="G581" s="57" t="s">
        <v>1500</v>
      </c>
      <c r="H581" s="57" t="s">
        <v>1501</v>
      </c>
    </row>
    <row r="582" spans="1:10" ht="156.75" x14ac:dyDescent="0.2">
      <c r="A582" s="114" t="e">
        <f>IF(ISBLANK('Event summary'!#REF!),"",'Event summary'!#REF!)</f>
        <v>#REF!</v>
      </c>
      <c r="B582" s="115">
        <f>IF(ISBLANK('Event summary'!A582),"",'Event summary'!A582)</f>
        <v>582</v>
      </c>
      <c r="C582" s="115" t="str">
        <f>IF(ISBLANK('Event summary'!B582),"",'Event summary'!B582)</f>
        <v>היעדר תיעוד</v>
      </c>
      <c r="D582" s="116" t="str">
        <f>IF(ISBLANK('Event summary'!C582),"",'Event summary'!C582)</f>
        <v xml:space="preserve">מטופלת חוותה ירידה תפקודית במהלך הטיפול וסיימה את הטיפול במצב סיעודי.  לא הייתה התייחסות לכך במכתב הסיכום הסיעודי וגם לא לתגובה העורית כתוצאה מהטיפול. </v>
      </c>
      <c r="E582" s="116" t="s">
        <v>1371</v>
      </c>
      <c r="F582" s="117">
        <f>IF(ISBLANK('Event summary'!E582),"",'Event summary'!E582)</f>
        <v>45256</v>
      </c>
      <c r="G582" s="57" t="s">
        <v>1499</v>
      </c>
      <c r="H582" s="57" t="s">
        <v>1405</v>
      </c>
    </row>
    <row r="583" spans="1:10" ht="42.75" x14ac:dyDescent="0.2">
      <c r="A583" s="114" t="e">
        <f>IF(ISBLANK('Event summary'!#REF!),"",'Event summary'!#REF!)</f>
        <v>#REF!</v>
      </c>
      <c r="B583" s="115">
        <f>IF(ISBLANK('Event summary'!A583),"",'Event summary'!A583)</f>
        <v>583</v>
      </c>
      <c r="C583" s="115" t="str">
        <f>IF(ISBLANK('Event summary'!B583),"",'Event summary'!B583)</f>
        <v>אי עמידה בזמנים</v>
      </c>
      <c r="D583" s="116" t="str">
        <f>IF(ISBLANK('Event summary'!C583),"",'Event summary'!C583)</f>
        <v xml:space="preserve">תלונה ממטופלת על המתנה ארוכה לסימולציה. </v>
      </c>
      <c r="E583" s="116" t="str">
        <f>IF(ISBLANK('Event summary'!D583),"",'Event summary'!D583)</f>
        <v>מטופלי SRS שצריכים קבלה רפואית יוכנסו ליומן רופא ע"י מזכירות</v>
      </c>
      <c r="F583" s="117">
        <f>IF(ISBLANK('Event summary'!E583),"",'Event summary'!E583)</f>
        <v>45256</v>
      </c>
      <c r="G583" s="57" t="s">
        <v>1380</v>
      </c>
      <c r="H583" s="57" t="s">
        <v>1421</v>
      </c>
    </row>
    <row r="584" spans="1:10" ht="71.25" x14ac:dyDescent="0.2">
      <c r="A584" s="114" t="e">
        <f>IF(ISBLANK('Event summary'!#REF!),"",'Event summary'!#REF!)</f>
        <v>#REF!</v>
      </c>
      <c r="B584" s="115">
        <f>IF(ISBLANK('Event summary'!A584),"",'Event summary'!A584)</f>
        <v>584</v>
      </c>
      <c r="C584" s="115" t="str">
        <f>IF(ISBLANK('Event summary'!B584),"",'Event summary'!B584)</f>
        <v>תיעוד לא תקין</v>
      </c>
      <c r="D584" s="116" t="str">
        <f>IF(ISBLANK('Event summary'!C584),"",'Event summary'!C584)</f>
        <v>למטופל תכנון עם שני חצאי ארקים ושני ארקים מלאים. השם של הארקים המלאים היה כאילו זה חצי ארק. בנוסף, הטיפול היה לצד שמאל והארק היה גבולי ביחס למיטה.</v>
      </c>
      <c r="E584" s="116" t="str">
        <f>IF(ISBLANK('Event summary'!D584),"",'Event summary'!D584)</f>
        <v>עדכון חתימה שניה - להוסיף בדיקה של שדות. תתבצע חשיבה לצורך ייעול הפעילות של RTTQA</v>
      </c>
      <c r="F584" s="117">
        <f>IF(ISBLANK('Event summary'!E584),"",'Event summary'!E584)</f>
        <v>45277</v>
      </c>
      <c r="G584" s="57" t="s">
        <v>1498</v>
      </c>
      <c r="H584" s="57" t="s">
        <v>1133</v>
      </c>
    </row>
    <row r="585" spans="1:10" x14ac:dyDescent="0.2">
      <c r="A585" s="114" t="e">
        <f>IF(ISBLANK('Event summary'!#REF!),"",'Event summary'!#REF!)</f>
        <v>#REF!</v>
      </c>
      <c r="B585" s="115">
        <f>IF(ISBLANK('Event summary'!A585),"",'Event summary'!A585)</f>
        <v>585</v>
      </c>
      <c r="C585" s="115" t="str">
        <f>IF(ISBLANK('Event summary'!B585),"",'Event summary'!B585)</f>
        <v>תקשורת לקויה</v>
      </c>
      <c r="D585" s="116" t="str">
        <f>IF(ISBLANK('Event summary'!C585),"",'Event summary'!C585)</f>
        <v>לתיק של המטופל לא שוייך רופא בכיר ב Aria.</v>
      </c>
      <c r="E585" s="116" t="str">
        <f>IF(ISBLANK('Event summary'!D585),"",'Event summary'!D585)</f>
        <v>זימון תורים  במעקב על המקרים. ממשק דמוגרפי בעבודה.</v>
      </c>
      <c r="F585" s="117">
        <f>IF(ISBLANK('Event summary'!E585),"",'Event summary'!E585)</f>
        <v>45277</v>
      </c>
      <c r="G585" s="57" t="s">
        <v>1398</v>
      </c>
      <c r="H585" s="57" t="s">
        <v>1227</v>
      </c>
    </row>
    <row r="586" spans="1:10" ht="42.75" x14ac:dyDescent="0.2">
      <c r="A586" s="114" t="e">
        <f>IF(ISBLANK('Event summary'!#REF!),"",'Event summary'!#REF!)</f>
        <v>#REF!</v>
      </c>
      <c r="B586" s="115">
        <f>IF(ISBLANK('Event summary'!A586),"",'Event summary'!A586)</f>
        <v>586</v>
      </c>
      <c r="C586" s="115" t="str">
        <f>IF(ISBLANK('Event summary'!B586),"",'Event summary'!B586)</f>
        <v>העברת מידע</v>
      </c>
      <c r="D586" s="116" t="str">
        <f>IF(ISBLANK('Event summary'!C586),"",'Event summary'!C586)</f>
        <v>למטופל 2 מספרי זהות במערכת 8201901438 ו- 73068761. למטופל שונה הסטטוס מעובד זר לתושב לכן גם שונה מספר הזהות שלו.</v>
      </c>
      <c r="E586" s="116" t="str">
        <f>IF(ISBLANK('Event summary'!D586),"",'Event summary'!D586)</f>
        <v>אין הנחיות מיוחדות</v>
      </c>
      <c r="F586" s="117">
        <f>IF(ISBLANK('Event summary'!E586),"",'Event summary'!E586)</f>
        <v>45277</v>
      </c>
      <c r="G586" s="57" t="s">
        <v>1495</v>
      </c>
      <c r="H586" s="57" t="s">
        <v>1227</v>
      </c>
    </row>
    <row r="587" spans="1:10" ht="30" x14ac:dyDescent="0.2">
      <c r="A587" s="114" t="e">
        <f>IF(ISBLANK('Event summary'!#REF!),"",'Event summary'!#REF!)</f>
        <v>#REF!</v>
      </c>
      <c r="B587" s="115">
        <f>IF(ISBLANK('Event summary'!A587),"",'Event summary'!A587)</f>
        <v>587</v>
      </c>
      <c r="C587" s="115" t="str">
        <f>IF(ISBLANK('Event summary'!B587),"",'Event summary'!B587)</f>
        <v>אי עמידה בזמנים</v>
      </c>
      <c r="D587" s="116" t="str">
        <f>IF(ISBLANK('Event summary'!C587),"",'Event summary'!C587)</f>
        <v>לאחר סימון קליני לא תוכנן המשך טיפול ע"י פיזיקאי.</v>
      </c>
      <c r="E587" s="116" t="str">
        <f>IF(ISBLANK('Event summary'!D587),"",'Event summary'!D587)</f>
        <v>פיזיקאי ישייך את עצמו ל Care Path</v>
      </c>
      <c r="F587" s="117">
        <f>IF(ISBLANK('Event summary'!E587),"",'Event summary'!E587)</f>
        <v>45347</v>
      </c>
      <c r="G587" s="57" t="s">
        <v>1420</v>
      </c>
      <c r="H587" s="57" t="s">
        <v>983</v>
      </c>
      <c r="J587" s="57" t="s">
        <v>1450</v>
      </c>
    </row>
    <row r="588" spans="1:10" x14ac:dyDescent="0.2">
      <c r="A588" s="114" t="e">
        <f>IF(ISBLANK('Event summary'!#REF!),"",'Event summary'!#REF!)</f>
        <v>#REF!</v>
      </c>
      <c r="B588" s="115">
        <f>IF(ISBLANK('Event summary'!A588),"",'Event summary'!A588)</f>
        <v>588</v>
      </c>
      <c r="C588" s="115" t="str">
        <f>IF(ISBLANK('Event summary'!B588),"",'Event summary'!B588)</f>
        <v>תיעוד לא תקין</v>
      </c>
      <c r="D588" s="116" t="str">
        <f>IF(ISBLANK('Event summary'!C588),"",'Event summary'!C588)</f>
        <v>מטופל נסרק בסימולציה עם סיפרת ביקורת בת.ז.</v>
      </c>
      <c r="E588" s="116" t="str">
        <f>IF(ISBLANK('Event summary'!D588),"",'Event summary'!D588)</f>
        <v>עקב שינוי במערכת הזנת נתונים (מנור). השגיאה טופלה.</v>
      </c>
      <c r="F588" s="117">
        <f>IF(ISBLANK('Event summary'!E588),"",'Event summary'!E588)</f>
        <v>45347</v>
      </c>
      <c r="G588" s="57" t="s">
        <v>1495</v>
      </c>
      <c r="H588" s="57" t="s">
        <v>1227</v>
      </c>
    </row>
    <row r="589" spans="1:10" x14ac:dyDescent="0.2">
      <c r="A589" s="114" t="e">
        <f>IF(ISBLANK('Event summary'!#REF!),"",'Event summary'!#REF!)</f>
        <v>#REF!</v>
      </c>
      <c r="B589" s="115">
        <f>IF(ISBLANK('Event summary'!A589),"",'Event summary'!A589)</f>
        <v>589</v>
      </c>
      <c r="C589" s="115" t="str">
        <f>IF(ISBLANK('Event summary'!B589),"",'Event summary'!B589)</f>
        <v>תיעוד לא תקין</v>
      </c>
      <c r="D589" s="116" t="str">
        <f>IF(ISBLANK('Event summary'!C589),"",'Event summary'!C589)</f>
        <v>מטופל הוזן ב Aria עם סיפרת ביקורת בת.ז.</v>
      </c>
      <c r="E589" s="116" t="str">
        <f>IF(ISBLANK('Event summary'!D589),"",'Event summary'!D589)</f>
        <v>עקב שינוי במערכת הזנת נתונים (מנור). השגיאה טופלה.</v>
      </c>
      <c r="F589" s="117">
        <f>IF(ISBLANK('Event summary'!E589),"",'Event summary'!E589)</f>
        <v>45347</v>
      </c>
      <c r="G589" s="57" t="s">
        <v>1495</v>
      </c>
      <c r="H589" s="57" t="s">
        <v>1227</v>
      </c>
    </row>
    <row r="590" spans="1:10" ht="28.5" x14ac:dyDescent="0.2">
      <c r="A590" s="114" t="e">
        <f>IF(ISBLANK('Event summary'!#REF!),"",'Event summary'!#REF!)</f>
        <v>#REF!</v>
      </c>
      <c r="B590" s="115">
        <f>IF(ISBLANK('Event summary'!A590),"",'Event summary'!A590)</f>
        <v>590</v>
      </c>
      <c r="C590" s="115" t="str">
        <f>IF(ISBLANK('Event summary'!B590),"",'Event summary'!B590)</f>
        <v>תיעוד לא תקין</v>
      </c>
      <c r="D590" s="116" t="str">
        <f>IF(ISBLANK('Event summary'!C590),"",'Event summary'!C590)</f>
        <v>לא עודכן רופא בכיר ב Aria.</v>
      </c>
      <c r="E590" s="116" t="str">
        <f>IF(ISBLANK('Event summary'!D590),"",'Event summary'!D590)</f>
        <v>יש להקפיד על הזנת רופא בכיר. הפרטים יוזנו למערכת ע"י זימון תורים.</v>
      </c>
      <c r="F590" s="117">
        <f>IF(ISBLANK('Event summary'!E590),"",'Event summary'!E590)</f>
        <v>45347</v>
      </c>
      <c r="G590" s="57" t="s">
        <v>1496</v>
      </c>
      <c r="H590" s="57" t="s">
        <v>1497</v>
      </c>
    </row>
    <row r="591" spans="1:10" ht="28.5" x14ac:dyDescent="0.2">
      <c r="A591" s="114" t="e">
        <f>IF(ISBLANK('Event summary'!#REF!),"",'Event summary'!#REF!)</f>
        <v>#REF!</v>
      </c>
      <c r="B591" s="115">
        <f>IF(ISBLANK('Event summary'!A591),"",'Event summary'!A591)</f>
        <v>591</v>
      </c>
      <c r="C591" s="115" t="str">
        <f>IF(ISBLANK('Event summary'!B591),"",'Event summary'!B591)</f>
        <v>תיעוד לא תקין</v>
      </c>
      <c r="D591" s="116" t="str">
        <f>IF(ISBLANK('Event summary'!C591),"",'Event summary'!C591)</f>
        <v>לא הוזן רופא בכיר ב Aria ולכן לא סומן עד 3.5 שבועות אחרי הסימולציה.</v>
      </c>
      <c r="E591" s="116" t="str">
        <f>IF(ISBLANK('Event summary'!D591),"",'Event summary'!D591)</f>
        <v>יש להקפיד על הזנת רופא בכיר. הפרטים יוזנו למערכת ע"י זימון תורים.</v>
      </c>
      <c r="F591" s="117">
        <f>IF(ISBLANK('Event summary'!E591),"",'Event summary'!E591)</f>
        <v>45347</v>
      </c>
      <c r="G591" s="57" t="s">
        <v>1496</v>
      </c>
      <c r="H591" s="57" t="s">
        <v>1497</v>
      </c>
    </row>
    <row r="592" spans="1:10" ht="42.75" x14ac:dyDescent="0.2">
      <c r="A592" s="114" t="e">
        <f>IF(ISBLANK('Event summary'!#REF!),"",'Event summary'!#REF!)</f>
        <v>#REF!</v>
      </c>
      <c r="B592" s="115">
        <f>IF(ISBLANK('Event summary'!A592),"",'Event summary'!A592)</f>
        <v>592</v>
      </c>
      <c r="C592" s="115" t="str">
        <f>IF(ISBLANK('Event summary'!B592),"",'Event summary'!B592)</f>
        <v>תיעוד לא תקין</v>
      </c>
      <c r="D592" s="116" t="str">
        <f>IF(ISBLANK('Event summary'!C592),"",'Event summary'!C592)</f>
        <v>לתיק של המטופל לא שוייך רופא קרינה בכיר ב Aria. הרופא היחיד המשוייך הינו רדיוכירוג. לכן, גם לא היתה קבלה רפואית והסכמה לטיפול במערכת (יתכן שלא נסרק).</v>
      </c>
      <c r="E592" s="116" t="str">
        <f>IF(ISBLANK('Event summary'!D592),"",'Event summary'!D592)</f>
        <v>רענון הנוהל. המשך בדיקה</v>
      </c>
      <c r="F592" s="117">
        <f>IF(ISBLANK('Event summary'!E592),"",'Event summary'!E592)</f>
        <v>45347</v>
      </c>
      <c r="G592" s="57" t="s">
        <v>1496</v>
      </c>
      <c r="H592" s="57" t="s">
        <v>1497</v>
      </c>
    </row>
    <row r="593" spans="1:8" ht="114" x14ac:dyDescent="0.2">
      <c r="A593" s="114" t="e">
        <f>IF(ISBLANK('Event summary'!#REF!),"",'Event summary'!#REF!)</f>
        <v>#REF!</v>
      </c>
      <c r="B593" s="115">
        <f>IF(ISBLANK('Event summary'!A593),"",'Event summary'!A593)</f>
        <v>593</v>
      </c>
      <c r="C593" s="115" t="str">
        <f>IF(ISBLANK('Event summary'!B593),"",'Event summary'!B593)</f>
        <v>תקשורת לקויה</v>
      </c>
      <c r="D593" s="116" t="str">
        <f>IF(ISBLANK('Event summary'!C593),"",'Event summary'!C593)</f>
        <v>מטופלת התקבלה לסימולציה + טיפול דחוף. בישיבת הבוקר נאמר שהטיפול לא להותו היום. המטופלת לא היתה רשומה על רופא היום בסימולציה. המטופלת נשלחה חזרה לבי"ח מאיר והוחזרה חזרה לקבלת הטיפול. המטופלת התקבלה במכון בשעות הבוקר. מכתב קבלה (11:05), סיום סימולציה (14:01), סיום כתיבת מרשם (14:27), סיום תכנון + ח. שניה (15:26), חתימת רופא (15:30), סיום RTTQA ב (16:02), סיום טיפול (16:33). המטופלת המתינה לאמבולנס עד 18:30.</v>
      </c>
      <c r="E593" s="116" t="str">
        <f>IF(ISBLANK('Event summary'!D593),"",'Event summary'!D593)</f>
        <v>יש להקפיד על תקשורת בין אנשי הצוות בפרט כאשר מתבצעים שינויים בתכנון.</v>
      </c>
      <c r="F593" s="117">
        <f>IF(ISBLANK('Event summary'!E593),"",'Event summary'!E593)</f>
        <v>45389</v>
      </c>
      <c r="G593" s="57" t="s">
        <v>1494</v>
      </c>
      <c r="H593" s="57" t="s">
        <v>1473</v>
      </c>
    </row>
    <row r="594" spans="1:8" ht="42.75" x14ac:dyDescent="0.2">
      <c r="A594" s="114" t="e">
        <f>IF(ISBLANK('Event summary'!#REF!),"",'Event summary'!#REF!)</f>
        <v>#REF!</v>
      </c>
      <c r="B594" s="115">
        <f>IF(ISBLANK('Event summary'!A594),"",'Event summary'!A594)</f>
        <v>594</v>
      </c>
      <c r="C594" s="115" t="str">
        <f>IF(ISBLANK('Event summary'!B594),"",'Event summary'!B594)</f>
        <v>תיעוד לא תקין</v>
      </c>
      <c r="D594" s="116" t="str">
        <f>IF(ISBLANK('Event summary'!C594),"",'Event summary'!C594)</f>
        <v>מרשם לתרופה לא נכונה. המרשם היה ל- Qxycod Forte במקום Oxycod.</v>
      </c>
      <c r="E594" s="116" t="str">
        <f>IF(ISBLANK('Event summary'!D594),"",'Event summary'!D594)</f>
        <v>לכתוב פרוטוקול ברור למתן תרופות לספייסרים והדרכת הצוות לכתיבת המרשמים.</v>
      </c>
      <c r="F594" s="117">
        <f>IF(ISBLANK('Event summary'!E594),"",'Event summary'!E594)</f>
        <v>45389</v>
      </c>
      <c r="G594" s="57" t="s">
        <v>1493</v>
      </c>
      <c r="H594" s="57" t="s">
        <v>1269</v>
      </c>
    </row>
    <row r="595" spans="1:8" ht="28.5" x14ac:dyDescent="0.2">
      <c r="A595" s="114" t="e">
        <f>IF(ISBLANK('Event summary'!#REF!),"",'Event summary'!#REF!)</f>
        <v>#REF!</v>
      </c>
      <c r="B595" s="115">
        <f>IF(ISBLANK('Event summary'!A595),"",'Event summary'!A595)</f>
        <v>595</v>
      </c>
      <c r="C595" s="115" t="str">
        <f>IF(ISBLANK('Event summary'!B595),"",'Event summary'!B595)</f>
        <v>היעדר תיעוד</v>
      </c>
      <c r="D595" s="116" t="str">
        <f>IF(ISBLANK('Event summary'!C595),"",'Event summary'!C595)</f>
        <v>במהלך ספירת מלאי טוקסיקה, נלחץ בטעות איפוס מלאי.</v>
      </c>
      <c r="E595" s="116" t="str">
        <f>IF(ISBLANK('Event summary'!D595),"",'Event summary'!D595)</f>
        <v>התקיימה שיחה עם צוות האחיות בנושא. בנוסף, נבקש הפרדה בתוכנה בין הכפתורים של ספירת מלאי ומחיקת מלאי.</v>
      </c>
      <c r="F595" s="117">
        <f>IF(ISBLANK('Event summary'!E595),"",'Event summary'!E595)</f>
        <v>45389</v>
      </c>
      <c r="G595" s="57" t="s">
        <v>1492</v>
      </c>
      <c r="H595" s="57" t="s">
        <v>945</v>
      </c>
    </row>
    <row r="596" spans="1:8" ht="42.75" x14ac:dyDescent="0.2">
      <c r="A596" s="114" t="e">
        <f>IF(ISBLANK('Event summary'!#REF!),"",'Event summary'!#REF!)</f>
        <v>#REF!</v>
      </c>
      <c r="B596" s="115">
        <f>IF(ISBLANK('Event summary'!A596),"",'Event summary'!A596)</f>
        <v>596</v>
      </c>
      <c r="C596" s="115" t="str">
        <f>IF(ISBLANK('Event summary'!B596),"",'Event summary'!B596)</f>
        <v>תיעוד לא תקין</v>
      </c>
      <c r="D596" s="116" t="str">
        <f>IF(ISBLANK('Event summary'!C596),"",'Event summary'!C596)</f>
        <v>מרשם לתרופה לא נכונה. המרשם היה ל- Qxycod Forte במקום Oxycod. שינוי במינון המקובל, ניתן 10mg במקום 5mg ע"פ דרישת המרשם.</v>
      </c>
      <c r="E596" s="116" t="str">
        <f>IF(ISBLANK('Event summary'!D596),"",'Event summary'!D596)</f>
        <v>לכתוב פרוטוקול ברור למתן תרופות לספייסרים והדרכת הצוות לכתיבת המרשמים.</v>
      </c>
      <c r="F596" s="117">
        <f>IF(ISBLANK('Event summary'!E596),"",'Event summary'!E596)</f>
        <v>45389</v>
      </c>
      <c r="G596" s="57" t="s">
        <v>1493</v>
      </c>
      <c r="H596" s="57" t="s">
        <v>1269</v>
      </c>
    </row>
    <row r="597" spans="1:8" ht="42.75" x14ac:dyDescent="0.2">
      <c r="A597" s="114" t="e">
        <f>IF(ISBLANK('Event summary'!#REF!),"",'Event summary'!#REF!)</f>
        <v>#REF!</v>
      </c>
      <c r="B597" s="115">
        <f>IF(ISBLANK('Event summary'!A597),"",'Event summary'!A597)</f>
        <v>597</v>
      </c>
      <c r="C597" s="115" t="str">
        <f>IF(ISBLANK('Event summary'!B597),"",'Event summary'!B597)</f>
        <v>תיעוד לא תקין</v>
      </c>
      <c r="D597" s="116" t="str">
        <f>IF(ISBLANK('Event summary'!C597),"",'Event summary'!C597)</f>
        <v>שינוי במינון המקובל, ניתן 10mg במקום 5mg ע"פ דרישת המרשם. דווח כארוע.</v>
      </c>
      <c r="E597" s="116" t="str">
        <f>IF(ISBLANK('Event summary'!D597),"",'Event summary'!D597)</f>
        <v>לכתוב פרוטוקול ברור למתן תרופות לספייסרים והדרכת הצוות לכתיבת המרשמים.</v>
      </c>
      <c r="F597" s="117">
        <f>IF(ISBLANK('Event summary'!E597),"",'Event summary'!E597)</f>
        <v>45389</v>
      </c>
      <c r="G597" s="57" t="s">
        <v>1493</v>
      </c>
      <c r="H597" s="57" t="s">
        <v>1269</v>
      </c>
    </row>
    <row r="598" spans="1:8" ht="85.5" x14ac:dyDescent="0.2">
      <c r="A598" s="114" t="e">
        <f>IF(ISBLANK('Event summary'!#REF!),"",'Event summary'!#REF!)</f>
        <v>#REF!</v>
      </c>
      <c r="B598" s="115">
        <f>IF(ISBLANK('Event summary'!A598),"",'Event summary'!A598)</f>
        <v>598</v>
      </c>
      <c r="C598" s="115" t="str">
        <f>IF(ISBLANK('Event summary'!B598),"",'Event summary'!B598)</f>
        <v>תקשורת לקויה</v>
      </c>
      <c r="D598" s="116" t="str">
        <f>IF(ISBLANK('Event summary'!C598),"",'Event summary'!C598)</f>
        <v>תיק לא מוכן. מטופלת הגיעה לטיפול והמתינה למעלה משעה. למטופלת נאמר שהרופא לא אישר את התכנון. התכנית לא היתה מוכנה כיוון שהפיזיקאי המתכנן ידע על מועד 10/3 והמטופלת הגיעה ב 5/3. ב Care Path רשום שנדחתה ע"י המטופלת עצמה. בפועל לאחר הדחיה היתה בקשה להקדים אותה. הבקשה לא תועדה והצוות לא ידע על השינוי.</v>
      </c>
      <c r="E598" s="116" t="str">
        <f>IF(ISBLANK('Event summary'!D598),"",'Event summary'!D598)</f>
        <v>נוהל שינויים בתכנון הינו בתהליך כתיבה.</v>
      </c>
      <c r="F598" s="117">
        <f>IF(ISBLANK('Event summary'!E598),"",'Event summary'!E598)</f>
        <v>45389</v>
      </c>
      <c r="G598" s="57" t="s">
        <v>1494</v>
      </c>
    </row>
    <row r="599" spans="1:8" x14ac:dyDescent="0.2">
      <c r="A599" s="114" t="e">
        <f>IF(ISBLANK('Event summary'!#REF!),"",'Event summary'!#REF!)</f>
        <v>#REF!</v>
      </c>
      <c r="B599" s="115">
        <f>IF(ISBLANK('Event summary'!A599),"",'Event summary'!A599)</f>
        <v>599</v>
      </c>
      <c r="C599" s="115" t="str">
        <f>IF(ISBLANK('Event summary'!B599),"",'Event summary'!B599)</f>
        <v>היעדר תיעוד</v>
      </c>
      <c r="D599" s="116" t="str">
        <f>IF(ISBLANK('Event summary'!C599),"",'Event summary'!C599)</f>
        <v>מטופל לא קיבל הנחיות לצום לפני הטיפול.</v>
      </c>
      <c r="E599" s="116" t="str">
        <f>IF(ISBLANK('Event summary'!D599),"",'Event summary'!D599)</f>
        <v>נכתבו הנחיות עם הרופא והאחות המאמת של המחקר.</v>
      </c>
      <c r="F599" s="117">
        <f>IF(ISBLANK('Event summary'!E599),"",'Event summary'!E599)</f>
        <v>45389</v>
      </c>
    </row>
    <row r="600" spans="1:8" ht="42.75" x14ac:dyDescent="0.2">
      <c r="A600" s="114" t="e">
        <f>IF(ISBLANK('Event summary'!#REF!),"",'Event summary'!#REF!)</f>
        <v>#REF!</v>
      </c>
      <c r="B600" s="115">
        <f>IF(ISBLANK('Event summary'!A600),"",'Event summary'!A600)</f>
        <v>600</v>
      </c>
      <c r="C600" s="115" t="str">
        <f>IF(ISBLANK('Event summary'!B600),"",'Event summary'!B600)</f>
        <v>תיעוד לא תקין</v>
      </c>
      <c r="D600" s="116" t="str">
        <f>IF(ISBLANK('Event summary'!C600),"",'Event summary'!C600)</f>
        <v>על המסיכה של המטופל היה רשום כרית A בצד אחד וכרית C בצד שני. בקמליון היה כתוב כרית C. בפועל היה צריך כרית A.</v>
      </c>
      <c r="E600" s="116" t="str">
        <f>IF(ISBLANK('Event summary'!D600),"",'Event summary'!D600)</f>
        <v>הרנטגנאי שכותב את ההנחיות על המסיכה יהיה זה שכותב בקמליון את ההנחיות. יש להקפיד על עקביות ברישום הנתונים על המסיכות.</v>
      </c>
      <c r="F600" s="117">
        <f>IF(ISBLANK('Event summary'!E600),"",'Event summary'!E600)</f>
        <v>45389</v>
      </c>
      <c r="G600" s="57" t="s">
        <v>1474</v>
      </c>
      <c r="H600" s="57" t="s">
        <v>926</v>
      </c>
    </row>
    <row r="601" spans="1:8" ht="42.75" x14ac:dyDescent="0.2">
      <c r="A601" s="114" t="e">
        <f>IF(ISBLANK('Event summary'!#REF!),"",'Event summary'!#REF!)</f>
        <v>#REF!</v>
      </c>
      <c r="B601" s="115">
        <f>IF(ISBLANK('Event summary'!A601),"",'Event summary'!A601)</f>
        <v>601</v>
      </c>
      <c r="C601" s="115" t="str">
        <f>IF(ISBLANK('Event summary'!B601),"",'Event summary'!B601)</f>
        <v>העברת מידע</v>
      </c>
      <c r="D601" s="116" t="str">
        <f>IF(ISBLANK('Event summary'!C601),"",'Event summary'!C601)</f>
        <v>מסמך להוראות לסימולציה לפרוסטטה. במכתב סיכום של הרופא נכתב סימולציה לעצמות האגן. המסמך מתאריך 10/10/2023 הסימולציה מתאריך 21/3/2024.</v>
      </c>
      <c r="E601" s="116" t="str">
        <f>IF(ISBLANK('Event summary'!D601),"",'Event summary'!D601)</f>
        <v>ללא שינוי.</v>
      </c>
      <c r="F601" s="117">
        <f>IF(ISBLANK('Event summary'!E601),"",'Event summary'!E601)</f>
        <v>45389</v>
      </c>
    </row>
    <row r="602" spans="1:8" ht="71.25" x14ac:dyDescent="0.2">
      <c r="A602" s="114" t="e">
        <f>IF(ISBLANK('Event summary'!#REF!),"",'Event summary'!#REF!)</f>
        <v>#REF!</v>
      </c>
      <c r="B602" s="115">
        <f>IF(ISBLANK('Event summary'!A602),"",'Event summary'!A602)</f>
        <v>602</v>
      </c>
      <c r="C602" s="115" t="str">
        <f>IF(ISBLANK('Event summary'!B602),"",'Event summary'!B602)</f>
        <v>צוות חסר</v>
      </c>
      <c r="D602" s="116" t="str">
        <f>IF(ISBLANK('Event summary'!C602),"",'Event summary'!C602)</f>
        <v>טיפול ראשון TSI ללא נוכחות רופא מטפל. התיק היה מתוכנן עם שתי תוכניות AP במקום AP+PA. היה גם מרשם לטיפול קונטאקט. הטיפול של הקונטאקט נדחה לפרקציה השניה.</v>
      </c>
      <c r="E602" s="116" t="str">
        <f>IF(ISBLANK('Event summary'!D602),"",'Event summary'!D602)</f>
        <v xml:space="preserve">באחריות הרופא המטפל לדאוג שיש לו גיבוי אם אינו יכול להיות נוכח בטיפול הראשון. תבדק אפשרות שזימון תורים יוסיף את הרופא המטפל ל- First Day של הטיפול. בנוסף, תבדק אפשרות לייצר ב Aria תבנית של Plan Sum ל- AP+PA עבור הפיזיקאים. </v>
      </c>
      <c r="F602" s="117">
        <f>IF(ISBLANK('Event summary'!E602),"",'Event summary'!E602)</f>
        <v>45389</v>
      </c>
      <c r="G602" s="57" t="s">
        <v>1476</v>
      </c>
      <c r="H602" s="31" t="s">
        <v>1477</v>
      </c>
    </row>
    <row r="603" spans="1:8" ht="57" x14ac:dyDescent="0.2">
      <c r="A603" s="114" t="e">
        <f>IF(ISBLANK('Event summary'!#REF!),"",'Event summary'!#REF!)</f>
        <v>#REF!</v>
      </c>
      <c r="B603" s="115">
        <f>IF(ISBLANK('Event summary'!A603),"",'Event summary'!A603)</f>
        <v>603</v>
      </c>
      <c r="C603" s="115" t="str">
        <f>IF(ISBLANK('Event summary'!B603),"",'Event summary'!B603)</f>
        <v>תיעוד לא תקין</v>
      </c>
      <c r="D603" s="116" t="str">
        <f>IF(ISBLANK('Event summary'!C603),"",'Event summary'!C603)</f>
        <v>נרשמו הנחיות לסימולציה מנוגדות באותו היום. המסמך הראשון היה GU: Pelvis והמסמך השני GI: Anus. בבדיקה: GU: Pelvis היה חתום והמסמך השני לא היה חתום.</v>
      </c>
      <c r="E603" s="116" t="str">
        <f>IF(ISBLANK('Event summary'!D603),"",'Event summary'!D603)</f>
        <v>יש לבטל את המסמך השגוי. יש להתייחס רק למסמכים חתומים.</v>
      </c>
      <c r="F603" s="117">
        <f>IF(ISBLANK('Event summary'!E603),"",'Event summary'!E603)</f>
        <v>45389</v>
      </c>
      <c r="G603" s="57" t="s">
        <v>1475</v>
      </c>
      <c r="H603" s="57" t="s">
        <v>1478</v>
      </c>
    </row>
    <row r="604" spans="1:8" ht="57" x14ac:dyDescent="0.2">
      <c r="A604" s="114" t="e">
        <f>IF(ISBLANK('Event summary'!#REF!),"",'Event summary'!#REF!)</f>
        <v>#REF!</v>
      </c>
      <c r="B604" s="115">
        <f>IF(ISBLANK('Event summary'!A604),"",'Event summary'!A604)</f>
        <v>604</v>
      </c>
      <c r="C604" s="115" t="str">
        <f>IF(ISBLANK('Event summary'!B604),"",'Event summary'!B604)</f>
        <v>מתן טיפול באופן שגוי</v>
      </c>
      <c r="D604" s="116" t="str">
        <f>IF(ISBLANK('Event summary'!C604),"",'Event summary'!C604)</f>
        <v>מטופלת שד בטיפול מס' 7 גילו שהסרעפת גבוהה. המטופלת עצרה נשימה במהלך הסימולציה של נשימה חופשית (FB). נשלח כאירוע.</v>
      </c>
      <c r="E604" s="116" t="str">
        <f>IF(ISBLANK('Event summary'!D604),"",'Event summary'!D604)</f>
        <v>יש לרענן את הרנטגנאים בטיפול של שד להסתכל על הלב. יש לכתוב וליישם נוהל "דרישות איכות לטיפול רפואי ביחידת הרדיותרפיה" אשר מחייב את הרופאים לבדוק צילומי Offline review.</v>
      </c>
      <c r="F604" s="117">
        <f>IF(ISBLANK('Event summary'!E604),"",'Event summary'!E604)</f>
        <v>45389</v>
      </c>
      <c r="G604" s="57" t="s">
        <v>1479</v>
      </c>
      <c r="H604" s="57" t="s">
        <v>1480</v>
      </c>
    </row>
    <row r="605" spans="1:8" ht="42.75" x14ac:dyDescent="0.2">
      <c r="A605" s="114" t="e">
        <f>IF(ISBLANK('Event summary'!#REF!),"",'Event summary'!#REF!)</f>
        <v>#REF!</v>
      </c>
      <c r="B605" s="115">
        <f>IF(ISBLANK('Event summary'!A605),"",'Event summary'!A605)</f>
        <v>605</v>
      </c>
      <c r="C605" s="115" t="str">
        <f>IF(ISBLANK('Event summary'!B605),"",'Event summary'!B605)</f>
        <v>חוסר תשומת לב</v>
      </c>
      <c r="D605" s="116" t="str">
        <f>IF(ISBLANK('Event summary'!C605),"",'Event summary'!C605)</f>
        <v>מטופלת הגיעה לטיפול לאחר אישפוז. לאחר שיחה עם רופא תורן הוחלט לטפל. המטופלת עם קשיי נשימה ולא מסוגלת ללכת. המטופלת אושפזה לאחר הטיפול.</v>
      </c>
      <c r="E605" s="116" t="str">
        <f>IF(ISBLANK('Event summary'!D605),"",'Event summary'!D605)</f>
        <v>במקרים של חשש לבריאותו של המטופל יש לבצע בדיקה קלינית של הרופא התורן. יש לכתוב וליישם נוהל "דרישות איכות לטיפול רפואי ביחידת הרדיותרפיה".</v>
      </c>
      <c r="F605" s="117">
        <f>IF(ISBLANK('Event summary'!E605),"",'Event summary'!E605)</f>
        <v>45389</v>
      </c>
      <c r="G605" s="57" t="s">
        <v>1482</v>
      </c>
      <c r="H605" s="57" t="s">
        <v>1481</v>
      </c>
    </row>
    <row r="606" spans="1:8" ht="57" x14ac:dyDescent="0.2">
      <c r="A606" s="114" t="e">
        <f>IF(ISBLANK('Event summary'!#REF!),"",'Event summary'!#REF!)</f>
        <v>#REF!</v>
      </c>
      <c r="B606" s="115">
        <f>IF(ISBLANK('Event summary'!A606),"",'Event summary'!A606)</f>
        <v>606</v>
      </c>
      <c r="C606" s="115" t="str">
        <f>IF(ISBLANK('Event summary'!B606),"",'Event summary'!B606)</f>
        <v>חוסר תשומת לב</v>
      </c>
      <c r="D606" s="116" t="str">
        <f>IF(ISBLANK('Event summary'!C606),"",'Event summary'!C606)</f>
        <v xml:space="preserve">המטופלת ביקשה לראות אחות כיוון שלא הרגישה טוב. עקב עומס, המטופלת הוחזרה למאיץ לקבלת טיפול. במהלך 40 דקות במאיץ המטופלת לא הצליחה לבצע עצירת נשימה היא היתה מבולבלת. אחרי הטיפול הופנתה למיון. </v>
      </c>
      <c r="E606" s="116" t="str">
        <f>IF(ISBLANK('Event summary'!D606),"",'Event summary'!D606)</f>
        <v>במקרים של חשש לבריאותו של המטופל יש לבצע בדיקה קלינית של הרופא התורן. יש לכתוב וליישם נוהל "דרישות איכות לטיפול רפואי ביחידת הרדיותרפיה".</v>
      </c>
      <c r="F606" s="117">
        <f>IF(ISBLANK('Event summary'!E606),"",'Event summary'!E606)</f>
        <v>45389</v>
      </c>
      <c r="G606" s="57" t="s">
        <v>1482</v>
      </c>
      <c r="H606" s="57" t="s">
        <v>1481</v>
      </c>
    </row>
    <row r="607" spans="1:8" ht="42.75" x14ac:dyDescent="0.2">
      <c r="A607" s="114" t="e">
        <f>IF(ISBLANK('Event summary'!#REF!),"",'Event summary'!#REF!)</f>
        <v>#REF!</v>
      </c>
      <c r="B607" s="115">
        <f>IF(ISBLANK('Event summary'!A607),"",'Event summary'!A607)</f>
        <v>607</v>
      </c>
      <c r="C607" s="115" t="str">
        <f>IF(ISBLANK('Event summary'!B607),"",'Event summary'!B607)</f>
        <v>העברת מידע</v>
      </c>
      <c r="D607" s="116" t="str">
        <f>IF(ISBLANK('Event summary'!C607),"",'Event summary'!C607)</f>
        <v>מטופלת עם בעיות של התניידות אשר צריכה מנוף לצורך השכבה, זומנה לטיפולים בשעות הערב. הרופא ידע על הבעתיות אך לא התריע לזימון תורים.</v>
      </c>
      <c r="E607" s="116" t="str">
        <f>IF(ISBLANK('Event summary'!D607),"",'Event summary'!D607)</f>
        <v>רופא ירשום במכתב של המטופל שאינו מתאים למשמרת ערב.</v>
      </c>
      <c r="F607" s="117">
        <f>IF(ISBLANK('Event summary'!E607),"",'Event summary'!E607)</f>
        <v>45417</v>
      </c>
      <c r="G607" s="57" t="s">
        <v>1515</v>
      </c>
      <c r="H607" s="57" t="s">
        <v>919</v>
      </c>
    </row>
    <row r="608" spans="1:8" ht="42.75" x14ac:dyDescent="0.2">
      <c r="A608" s="114" t="e">
        <f>IF(ISBLANK('Event summary'!#REF!),"",'Event summary'!#REF!)</f>
        <v>#REF!</v>
      </c>
      <c r="B608" s="115">
        <f>IF(ISBLANK('Event summary'!A608),"",'Event summary'!A608)</f>
        <v>608</v>
      </c>
      <c r="C608" s="115" t="str">
        <f>IF(ISBLANK('Event summary'!B608),"",'Event summary'!B608)</f>
        <v>תקשורת לקויה</v>
      </c>
      <c r="D608" s="116" t="str">
        <f>IF(ISBLANK('Event summary'!C608),"",'Event summary'!C608)</f>
        <v>למטופלת היה תור לסימולציה ב Appointment Scheduling אך לא היה לה תור במנור והמטופלת לא ידעה על הזימון. המטופלת זומנה לקצ"ת ונותר רווח בין מטופלים.</v>
      </c>
      <c r="E608" s="116" t="str">
        <f>IF(ISBLANK('Event summary'!D608),"",'Event summary'!D608)</f>
        <v>עקב ביטולי תור נוצרה אי הבנה במועד הטיפול.</v>
      </c>
      <c r="F608" s="117">
        <f>IF(ISBLANK('Event summary'!E608),"",'Event summary'!E608)</f>
        <v>45417</v>
      </c>
      <c r="G608" s="57" t="s">
        <v>1516</v>
      </c>
      <c r="H608" s="57" t="s">
        <v>1517</v>
      </c>
    </row>
    <row r="609" spans="1:10" ht="42.75" x14ac:dyDescent="0.2">
      <c r="A609" s="114" t="e">
        <f>IF(ISBLANK('Event summary'!#REF!),"",'Event summary'!#REF!)</f>
        <v>#REF!</v>
      </c>
      <c r="B609" s="115">
        <f>IF(ISBLANK('Event summary'!A609),"",'Event summary'!A609)</f>
        <v>609</v>
      </c>
      <c r="C609" s="115" t="str">
        <f>IF(ISBLANK('Event summary'!B609),"",'Event summary'!B609)</f>
        <v>כמעט פגיעה במתקן</v>
      </c>
      <c r="D609" s="116" t="str">
        <f>IF(ISBLANK('Event summary'!C609),"",'Event summary'!C609)</f>
        <v>מטופלת SRS נסרקה עם מסיכה קצרה במקום מסיכת SRS כיוון שלמטופלת יש גיבנת. התכנון נעשה עם זוויות מיטה וכמעט נוצרה התנגשות.</v>
      </c>
      <c r="E609" s="116" t="str">
        <f>IF(ISBLANK('Event summary'!D609),"",'Event summary'!D609)</f>
        <v>פיזיקאי יפתח קמליון על מנת לוודא השכבה של המטופל.</v>
      </c>
      <c r="F609" s="117">
        <f>IF(ISBLANK('Event summary'!E609),"",'Event summary'!E609)</f>
        <v>45417</v>
      </c>
      <c r="G609" s="57" t="s">
        <v>1518</v>
      </c>
      <c r="H609" s="57" t="s">
        <v>983</v>
      </c>
    </row>
    <row r="610" spans="1:10" ht="42.75" x14ac:dyDescent="0.2">
      <c r="A610" s="114" t="e">
        <f>IF(ISBLANK('Event summary'!#REF!),"",'Event summary'!#REF!)</f>
        <v>#REF!</v>
      </c>
      <c r="B610" s="115">
        <f>IF(ISBLANK('Event summary'!A610),"",'Event summary'!A610)</f>
        <v>610</v>
      </c>
      <c r="C610" s="115" t="str">
        <f>IF(ISBLANK('Event summary'!B610),"",'Event summary'!B610)</f>
        <v>מרשם שגוי</v>
      </c>
      <c r="D610" s="116" t="str">
        <f>IF(ISBLANK('Event summary'!C610),"",'Event summary'!C610)</f>
        <v>במרשם ב Aria היה כתוב Exactrac Daily. בפועל היתה מסיכת CIVCO. בנוסף, לא נשלח Delta Shift.</v>
      </c>
      <c r="E610" s="116" t="str">
        <f>IF(ISBLANK('Event summary'!D610),"",'Event summary'!D610)</f>
        <v>פיזיקאי יפתח קמליון על מנת לוודא השכבה של המטופל.</v>
      </c>
      <c r="F610" s="117">
        <f>IF(ISBLANK('Event summary'!E610),"",'Event summary'!E610)</f>
        <v>45417</v>
      </c>
      <c r="G610" s="57" t="s">
        <v>1519</v>
      </c>
      <c r="H610" s="57" t="s">
        <v>1520</v>
      </c>
    </row>
    <row r="611" spans="1:10" ht="28.5" x14ac:dyDescent="0.2">
      <c r="A611" s="114" t="e">
        <f>IF(ISBLANK('Event summary'!#REF!),"",'Event summary'!#REF!)</f>
        <v>#REF!</v>
      </c>
      <c r="B611" s="115">
        <f>IF(ISBLANK('Event summary'!A611),"",'Event summary'!A611)</f>
        <v>611</v>
      </c>
      <c r="C611" s="115" t="str">
        <f>IF(ISBLANK('Event summary'!B611),"",'Event summary'!B611)</f>
        <v>תכנון שגוי</v>
      </c>
      <c r="D611" s="116" t="str">
        <f>IF(ISBLANK('Event summary'!C611),"",'Event summary'!C611)</f>
        <v>מטופל הגיע לטיפול ראשון באלקטרונים. לא ניתן היה לטפל ב SSD 100cm. המטופל נשלח לביתו לאחר המתנה ממושכת.</v>
      </c>
      <c r="E611" s="116" t="str">
        <f>IF(ISBLANK('Event summary'!D611),"",'Event summary'!D611)</f>
        <v xml:space="preserve">בטיפולי אלקטרונים עם אפליקטורים מעל A10 באיזור הראש, יש לבצע בדיקת היתכנות. </v>
      </c>
      <c r="F611" s="117">
        <f>IF(ISBLANK('Event summary'!E611),"",'Event summary'!E611)</f>
        <v>45417</v>
      </c>
      <c r="G611" s="57" t="s">
        <v>1518</v>
      </c>
      <c r="H611" s="57" t="s">
        <v>983</v>
      </c>
    </row>
    <row r="612" spans="1:10" ht="42.75" x14ac:dyDescent="0.2">
      <c r="A612" s="114" t="e">
        <f>IF(ISBLANK('Event summary'!#REF!),"",'Event summary'!#REF!)</f>
        <v>#REF!</v>
      </c>
      <c r="B612" s="115">
        <f>IF(ISBLANK('Event summary'!A612),"",'Event summary'!A612)</f>
        <v>612</v>
      </c>
      <c r="C612" s="115" t="str">
        <f>IF(ISBLANK('Event summary'!B612),"",'Event summary'!B612)</f>
        <v>תכנון שגוי</v>
      </c>
      <c r="D612" s="116" t="str">
        <f>IF(ISBLANK('Event summary'!C612),"",'Event summary'!C612)</f>
        <v>מטופל הגיע לטיפול ראשון והתיק תוכנן למאיץ לא נכון. חשוב לציין שהמטופל היה צריך להתחיל יום קודם אך לא ניתן היה לטפל עקב בעיות טכניות.</v>
      </c>
      <c r="E612" s="116" t="str">
        <f>IF(ISBLANK('Event summary'!D612),"",'Event summary'!D612)</f>
        <v>יש להקפיד לבדוק מאיץ בעת התכנון.</v>
      </c>
      <c r="F612" s="117">
        <f>IF(ISBLANK('Event summary'!E612),"",'Event summary'!E612)</f>
        <v>45417</v>
      </c>
      <c r="G612" s="57" t="s">
        <v>1518</v>
      </c>
      <c r="H612" s="57" t="s">
        <v>983</v>
      </c>
    </row>
    <row r="613" spans="1:10" ht="42.75" x14ac:dyDescent="0.2">
      <c r="A613" s="114" t="e">
        <f>IF(ISBLANK('Event summary'!#REF!),"",'Event summary'!#REF!)</f>
        <v>#REF!</v>
      </c>
      <c r="B613" s="115">
        <f>IF(ISBLANK('Event summary'!A613),"",'Event summary'!A613)</f>
        <v>613</v>
      </c>
      <c r="C613" s="115" t="str">
        <f>IF(ISBLANK('Event summary'!B613),"",'Event summary'!B613)</f>
        <v>תיעוד לא תקין</v>
      </c>
      <c r="D613" s="116" t="str">
        <f>IF(ISBLANK('Event summary'!C613),"",'Event summary'!C613)</f>
        <v>מטופל היה צריך לקבל טיפול לצד שמאל (קיבל חודש לפני לצד ימין). ללא מרשם עדכני ותעוד לא מספק בקמליון. אין טופס סימולציה עדכני.</v>
      </c>
      <c r="E613" s="116" t="str">
        <f>IF(ISBLANK('Event summary'!D613),"",'Event summary'!D613)</f>
        <v>יש להכניס הוראות סימולציה גם למקרים חוזרים. להקפיד על תיעוד מתאים לטיפול.</v>
      </c>
      <c r="F613" s="117">
        <f>IF(ISBLANK('Event summary'!E613),"",'Event summary'!E613)</f>
        <v>45417</v>
      </c>
      <c r="G613" s="57" t="s">
        <v>1521</v>
      </c>
      <c r="H613" s="57" t="s">
        <v>919</v>
      </c>
    </row>
    <row r="614" spans="1:10" ht="30" x14ac:dyDescent="0.2">
      <c r="A614" s="114" t="e">
        <f>IF(ISBLANK('Event summary'!#REF!),"",'Event summary'!#REF!)</f>
        <v>#REF!</v>
      </c>
      <c r="B614" s="115">
        <f>IF(ISBLANK('Event summary'!A614),"",'Event summary'!A614)</f>
        <v>614</v>
      </c>
      <c r="C614" s="115" t="str">
        <f>IF(ISBLANK('Event summary'!B614),"",'Event summary'!B614)</f>
        <v>מתן טיפול באופן שגוי</v>
      </c>
      <c r="D614" s="116" t="str">
        <f>IF(ISBLANK('Event summary'!C614),"",'Event summary'!C614)</f>
        <v>מטופלת קיבלה טיפול יחיד של 6Gy במקום שני טיפולים של 3Gy. המקרה דווח כאירוע.</v>
      </c>
      <c r="E614" s="116" t="str">
        <f>IF(ISBLANK('Event summary'!D614),"",'Event summary'!D614)</f>
        <v>יש לבצע פסק זמן גם במהלך התכנון וגם במהלך הטיפול של קונטאקט.</v>
      </c>
      <c r="F614" s="117">
        <f>IF(ISBLANK('Event summary'!E614),"",'Event summary'!E614)</f>
        <v>45417</v>
      </c>
      <c r="G614" s="57" t="s">
        <v>1522</v>
      </c>
      <c r="H614" s="57" t="s">
        <v>985</v>
      </c>
      <c r="J614" s="120">
        <v>45436</v>
      </c>
    </row>
    <row r="615" spans="1:10" ht="71.25" x14ac:dyDescent="0.2">
      <c r="A615" s="114" t="e">
        <f>IF(ISBLANK('Event summary'!#REF!),"",'Event summary'!#REF!)</f>
        <v>#REF!</v>
      </c>
      <c r="B615" s="115">
        <f>IF(ISBLANK('Event summary'!A615),"",'Event summary'!A615)</f>
        <v>615</v>
      </c>
      <c r="C615" s="115" t="str">
        <f>IF(ISBLANK('Event summary'!B615),"",'Event summary'!B615)</f>
        <v>העברת מידע</v>
      </c>
      <c r="D615" s="116" t="str">
        <f>IF(ISBLANK('Event summary'!C615),"",'Event summary'!C615)</f>
        <v>מטופלת שד ימין עם בלוטות לא יכלה להחזיק נשימה (BH). נשלחה סריקה של FB ונכתב קמליון ע"י רנטגנאי. הרופאה כתבה מרשם ל BH ובוצע תכנון ל BH על סריקה של FB.</v>
      </c>
      <c r="E615" s="116" t="str">
        <f>IF(ISBLANK('Event summary'!D615),"",'Event summary'!D615)</f>
        <v>יש לדבר עם הרופא על כל שינוי מהפרוטוקול. פיזיקאי יבדוק קמליון.</v>
      </c>
      <c r="F615" s="117">
        <f>IF(ISBLANK('Event summary'!E615),"",'Event summary'!E615)</f>
        <v>45431</v>
      </c>
      <c r="G615" s="57" t="s">
        <v>1544</v>
      </c>
      <c r="H615" s="57" t="s">
        <v>1533</v>
      </c>
    </row>
    <row r="616" spans="1:10" ht="42.75" x14ac:dyDescent="0.2">
      <c r="A616" s="114" t="e">
        <f>IF(ISBLANK('Event summary'!#REF!),"",'Event summary'!#REF!)</f>
        <v>#REF!</v>
      </c>
      <c r="B616" s="115">
        <f>IF(ISBLANK('Event summary'!A616),"",'Event summary'!A616)</f>
        <v>616</v>
      </c>
      <c r="C616" s="115" t="str">
        <f>IF(ISBLANK('Event summary'!B616),"",'Event summary'!B616)</f>
        <v>תכנון שגוי</v>
      </c>
      <c r="D616" s="116" t="str">
        <f>IF(ISBLANK('Event summary'!C616),"",'Event summary'!C616)</f>
        <v>בשדה אקסילה אחורי בתכנון לשד ימין, זווית הכניסה היתה 178 מעלות. לכן, הגנטרי הגיע מהכיון ההפוך (עם כיוון השעון) והיה עלול לפגוע במטופלת.</v>
      </c>
      <c r="E616" s="116" t="str">
        <f>IF(ISBLANK('Event summary'!D616),"",'Event summary'!D616)</f>
        <v>יש לחדד בדיקה של כיווני שדות בתכנון ובחתימה השניה של הפיזיקאים.</v>
      </c>
      <c r="F616" s="117">
        <f>IF(ISBLANK('Event summary'!E616),"",'Event summary'!E616)</f>
        <v>45431</v>
      </c>
      <c r="G616" s="57" t="s">
        <v>1530</v>
      </c>
      <c r="H616" s="57" t="s">
        <v>983</v>
      </c>
    </row>
    <row r="617" spans="1:10" ht="42.75" x14ac:dyDescent="0.2">
      <c r="A617" s="114" t="e">
        <f>IF(ISBLANK('Event summary'!#REF!),"",'Event summary'!#REF!)</f>
        <v>#REF!</v>
      </c>
      <c r="B617" s="115">
        <f>IF(ISBLANK('Event summary'!A617),"",'Event summary'!A617)</f>
        <v>617</v>
      </c>
      <c r="C617" s="115" t="str">
        <f>IF(ISBLANK('Event summary'!B617),"",'Event summary'!B617)</f>
        <v>תיעוד לא תקין</v>
      </c>
      <c r="D617" s="116" t="str">
        <f>IF(ISBLANK('Event summary'!C617),"",'Event summary'!C617)</f>
        <v>אי התאמה בין מרשם קמליון למרשם Aria. בקמליון היו 15 טיפולים ובמרשם Aria היו 5 טיפולים. המטופלת היתה צריכה לקבל 5 טיפולים.</v>
      </c>
      <c r="E617" s="116" t="str">
        <f>IF(ISBLANK('Event summary'!D617),"",'Event summary'!D617)</f>
        <v>רענון הנחיות לרופאים לגבי התאמה בין Aria לקמליון.</v>
      </c>
      <c r="F617" s="117">
        <f>IF(ISBLANK('Event summary'!E617),"",'Event summary'!E617)</f>
        <v>45431</v>
      </c>
      <c r="G617" s="57" t="s">
        <v>1531</v>
      </c>
      <c r="H617" s="57" t="s">
        <v>924</v>
      </c>
    </row>
    <row r="618" spans="1:10" ht="45" x14ac:dyDescent="0.2">
      <c r="A618" s="114" t="e">
        <f>IF(ISBLANK('Event summary'!#REF!),"",'Event summary'!#REF!)</f>
        <v>#REF!</v>
      </c>
      <c r="B618" s="115">
        <f>IF(ISBLANK('Event summary'!A618),"",'Event summary'!A618)</f>
        <v>618</v>
      </c>
      <c r="C618" s="115" t="str">
        <f>IF(ISBLANK('Event summary'!B618),"",'Event summary'!B618)</f>
        <v>תיק ללא אישורים מספקים</v>
      </c>
      <c r="D618" s="116" t="str">
        <f>IF(ISBLANK('Event summary'!C618),"",'Event summary'!C618)</f>
        <v>תיק לא חתום ע"י רופא (ללא reviewed) לפני שחרור התיק.</v>
      </c>
      <c r="E618" s="116" t="str">
        <f>IF(ISBLANK('Event summary'!D618),"",'Event summary'!D618)</f>
        <v>יש להקפיד להעביר כל תכנון חדש לרופא ל- reviewed.</v>
      </c>
      <c r="F618" s="117">
        <f>IF(ISBLANK('Event summary'!E618),"",'Event summary'!E618)</f>
        <v>45431</v>
      </c>
      <c r="G618" s="57" t="s">
        <v>1530</v>
      </c>
      <c r="H618" s="57" t="s">
        <v>983</v>
      </c>
    </row>
    <row r="619" spans="1:10" ht="28.5" x14ac:dyDescent="0.2">
      <c r="A619" s="114" t="e">
        <f>IF(ISBLANK('Event summary'!#REF!),"",'Event summary'!#REF!)</f>
        <v>#REF!</v>
      </c>
      <c r="B619" s="115">
        <f>IF(ISBLANK('Event summary'!A619),"",'Event summary'!A619)</f>
        <v>619</v>
      </c>
      <c r="C619" s="115" t="str">
        <f>IF(ISBLANK('Event summary'!B619),"",'Event summary'!B619)</f>
        <v>מרשם שגוי</v>
      </c>
      <c r="D619" s="116" t="str">
        <f>IF(ISBLANK('Event summary'!C619),"",'Event summary'!C619)</f>
        <v>מתמחה שינה את שם המרשם והמנה ב Aria, אך לא שינה בקמליון בהתאמה.</v>
      </c>
      <c r="E619" s="116" t="str">
        <f>IF(ISBLANK('Event summary'!D619),"",'Event summary'!D619)</f>
        <v>המטופל התקבל ע"י רופא אחר וקיבל מינון שונה. יש להקפיד להחזיר מטופלים לרופא שקיבל אותו.</v>
      </c>
      <c r="F619" s="117">
        <f>IF(ISBLANK('Event summary'!E619),"",'Event summary'!E619)</f>
        <v>45431</v>
      </c>
      <c r="G619" s="57" t="s">
        <v>1531</v>
      </c>
      <c r="H619" s="57" t="s">
        <v>924</v>
      </c>
    </row>
    <row r="620" spans="1:10" ht="42.75" x14ac:dyDescent="0.2">
      <c r="A620" s="114" t="e">
        <f>IF(ISBLANK('Event summary'!#REF!),"",'Event summary'!#REF!)</f>
        <v>#REF!</v>
      </c>
      <c r="B620" s="115">
        <f>IF(ISBLANK('Event summary'!A620),"",'Event summary'!A620)</f>
        <v>620</v>
      </c>
      <c r="C620" s="115" t="str">
        <f>IF(ISBLANK('Event summary'!B620),"",'Event summary'!B620)</f>
        <v>העברת מידע</v>
      </c>
      <c r="D620" s="116" t="str">
        <f>IF(ISBLANK('Event summary'!C620),"",'Event summary'!C620)</f>
        <v>מטופלת עברה סימולציה ללא סגירה של  הקוביה ב Aria</v>
      </c>
      <c r="E620" s="116" t="str">
        <f>IF(ISBLANK('Event summary'!D620),"",'Event summary'!D620)</f>
        <v>נשקלת אפשרות לעבור לעבודה מול Aria ולא קמליון. אז המשימה של הסימולציה תהיה חייבת להסגר. לגבי מטופל שלא הגיעה לסימולציה, זימון תורים יקבל הודעה ויבטל את התורים.</v>
      </c>
      <c r="F620" s="117">
        <f>IF(ISBLANK('Event summary'!E620),"",'Event summary'!E620)</f>
        <v>45431</v>
      </c>
      <c r="G620" s="57" t="s">
        <v>1532</v>
      </c>
      <c r="H620" s="57" t="s">
        <v>926</v>
      </c>
    </row>
    <row r="621" spans="1:10" ht="42.75" x14ac:dyDescent="0.2">
      <c r="A621" s="114" t="e">
        <f>IF(ISBLANK('Event summary'!#REF!),"",'Event summary'!#REF!)</f>
        <v>#REF!</v>
      </c>
      <c r="B621" s="115">
        <f>IF(ISBLANK('Event summary'!A621),"",'Event summary'!A621)</f>
        <v>621</v>
      </c>
      <c r="C621" s="115" t="str">
        <f>IF(ISBLANK('Event summary'!B621),"",'Event summary'!B621)</f>
        <v>העברת מידע</v>
      </c>
      <c r="D621" s="116" t="str">
        <f>IF(ISBLANK('Event summary'!C621),"",'Event summary'!C621)</f>
        <v>מטופלת עברה סימולציה ללא סגירה של  הקוביה ב Aria וללא מדבקה בלוג של הסימולציה.</v>
      </c>
      <c r="E621" s="116" t="str">
        <f>IF(ISBLANK('Event summary'!D621),"",'Event summary'!D621)</f>
        <v>נשקלת אפשרות לעבור לעבודה מול Aria ולא קמליון. אז המשימה של הסימולציה תהיה חייבת להסגר. לגבי מטופל שלא הגיעה לסימולציה, זימון תורים יקבל הודעה ויבטל את התורים.</v>
      </c>
      <c r="F621" s="117">
        <f>IF(ISBLANK('Event summary'!E621),"",'Event summary'!E621)</f>
        <v>45431</v>
      </c>
      <c r="G621" s="57" t="s">
        <v>1532</v>
      </c>
      <c r="H621" s="57" t="s">
        <v>926</v>
      </c>
    </row>
    <row r="622" spans="1:10" ht="57" x14ac:dyDescent="0.2">
      <c r="A622" s="114" t="e">
        <f>IF(ISBLANK('Event summary'!#REF!),"",'Event summary'!#REF!)</f>
        <v>#REF!</v>
      </c>
      <c r="B622" s="115">
        <f>IF(ISBLANK('Event summary'!A622),"",'Event summary'!A622)</f>
        <v>622</v>
      </c>
      <c r="C622" s="115" t="str">
        <f>IF(ISBLANK('Event summary'!B622),"",'Event summary'!B622)</f>
        <v>העברת מידע</v>
      </c>
      <c r="D622" s="116" t="str">
        <f>IF(ISBLANK('Event summary'!C622),"",'Event summary'!C622)</f>
        <v>בטופס סימולציה לא צויין צד הטיפול.</v>
      </c>
      <c r="E622" s="116" t="str">
        <f>IF(ISBLANK('Event summary'!D622),"",'Event summary'!D622)</f>
        <v>בטופס סימולציה יש לציין את גבולות השדה. צד הטיפול רצוי אך פחות משמעותי לצורך ביצוע הסריקה, אך ללא סימון של גבולות השדה טופס הסימולציה אינו שלם. יש לחדד את הנוהל בקרב המתמחים.</v>
      </c>
      <c r="F622" s="117">
        <f>IF(ISBLANK('Event summary'!E622),"",'Event summary'!E622)</f>
        <v>45445</v>
      </c>
      <c r="G622" s="57" t="s">
        <v>1556</v>
      </c>
      <c r="H622" s="57" t="s">
        <v>919</v>
      </c>
    </row>
    <row r="623" spans="1:10" ht="28.5" x14ac:dyDescent="0.2">
      <c r="A623" s="114" t="e">
        <f>IF(ISBLANK('Event summary'!#REF!),"",'Event summary'!#REF!)</f>
        <v>#REF!</v>
      </c>
      <c r="B623" s="115">
        <f>IF(ISBLANK('Event summary'!A623),"",'Event summary'!A623)</f>
        <v>623</v>
      </c>
      <c r="C623" s="115" t="str">
        <f>IF(ISBLANK('Event summary'!B623),"",'Event summary'!B623)</f>
        <v>תקשורת לקויה</v>
      </c>
      <c r="D623" s="116" t="str">
        <f>IF(ISBLANK('Event summary'!C623),"",'Event summary'!C623)</f>
        <v>בתיק של SRS רופא לא סגר את המשימה ב Care Path וגם לא הודיע ב Whatsapp שהמקרה מוכן לתכנון.</v>
      </c>
      <c r="E623" s="116" t="str">
        <f>IF(ISBLANK('Event summary'!D623),"",'Event summary'!D623)</f>
        <v>יבוצע ריענון ההנחיות עם הרופאים של הרדיוכירוגיה.</v>
      </c>
      <c r="F623" s="117">
        <f>IF(ISBLANK('Event summary'!E623),"",'Event summary'!E623)</f>
        <v>45445</v>
      </c>
      <c r="G623" s="57" t="s">
        <v>1553</v>
      </c>
      <c r="H623" s="57" t="s">
        <v>919</v>
      </c>
    </row>
    <row r="624" spans="1:10" ht="71.25" x14ac:dyDescent="0.2">
      <c r="A624" s="114" t="e">
        <f>IF(ISBLANK('Event summary'!#REF!),"",'Event summary'!#REF!)</f>
        <v>#REF!</v>
      </c>
      <c r="B624" s="115">
        <f>IF(ISBLANK('Event summary'!A624),"",'Event summary'!A624)</f>
        <v>624</v>
      </c>
      <c r="C624" s="115" t="str">
        <f>IF(ISBLANK('Event summary'!B624),"",'Event summary'!B624)</f>
        <v>תיעוד לא תקין</v>
      </c>
      <c r="D624" s="116" t="str">
        <f>IF(ISBLANK('Event summary'!C624),"",'Event summary'!C624)</f>
        <v>טיפול TLI בקורס שני (הקורס הראשון ניתן 3 שבועות קודם) התיק לא היה מוכן ונעשה QA במאיץ כשהילד ממתין לטיפול. במרשם היה כתוב כיסוי אשכים אך בסימולציה ובתכנון נעשה בלי. גם בקורס הראשון היה כתוב טטופל בלי. בנוסף, בשדה התחתון היה בולוס אך לא היה רשום איזה עובי.</v>
      </c>
      <c r="E624" s="116" t="str">
        <f>IF(ISBLANK('Event summary'!D624),"",'Event summary'!D624)</f>
        <v>ב TLI ילדים מגן אשכים יהיה ברירת מחדל. מנהל יחידה יעודכן יום לפני טיפול עם מוכן או לא (באמצעות CP)</v>
      </c>
      <c r="F624" s="117">
        <f>IF(ISBLANK('Event summary'!E624),"",'Event summary'!E624)</f>
        <v>45445</v>
      </c>
      <c r="G624" s="57" t="s">
        <v>1557</v>
      </c>
      <c r="H624" s="57" t="s">
        <v>1558</v>
      </c>
    </row>
    <row r="625" spans="1:9" ht="30" x14ac:dyDescent="0.2">
      <c r="A625" s="114" t="e">
        <f>IF(ISBLANK('Event summary'!#REF!),"",'Event summary'!#REF!)</f>
        <v>#REF!</v>
      </c>
      <c r="B625" s="115">
        <f>IF(ISBLANK('Event summary'!A625),"",'Event summary'!A625)</f>
        <v>625</v>
      </c>
      <c r="C625" s="115" t="str">
        <f>IF(ISBLANK('Event summary'!B625),"",'Event summary'!B625)</f>
        <v>עבודה שלא על פי הנוהל</v>
      </c>
      <c r="D625" s="116" t="str">
        <f>IF(ISBLANK('Event summary'!C625),"",'Event summary'!C625)</f>
        <v>מטופלת לא קיבלה זימון לרופא עד אחרי סיום ההקרנות לשד. המקרה דווח ע"י המטופלת.</v>
      </c>
      <c r="E625" s="116" t="str">
        <f>IF(ISBLANK('Event summary'!D625),"",'Event summary'!D625)</f>
        <v>בקרוב יתבצע שינוי בהליך בקרת התורים ביחידה. שינוי זה יפתור את הסוגיה מעקב מטופלים ביחידה.</v>
      </c>
      <c r="F625" s="117">
        <f>IF(ISBLANK('Event summary'!E625),"",'Event summary'!E625)</f>
        <v>45445</v>
      </c>
      <c r="G625" s="57" t="s">
        <v>1559</v>
      </c>
      <c r="H625" s="57" t="s">
        <v>1227</v>
      </c>
    </row>
    <row r="626" spans="1:9" ht="30" x14ac:dyDescent="0.2">
      <c r="A626" s="114" t="e">
        <f>IF(ISBLANK('Event summary'!#REF!),"",'Event summary'!#REF!)</f>
        <v>#REF!</v>
      </c>
      <c r="B626" s="115">
        <f>IF(ISBLANK('Event summary'!A626),"",'Event summary'!A626)</f>
        <v>626</v>
      </c>
      <c r="C626" s="115" t="str">
        <f>IF(ISBLANK('Event summary'!B626),"",'Event summary'!B626)</f>
        <v>עבודה שלא על פי הנוהל</v>
      </c>
      <c r="D626" s="116" t="str">
        <f>IF(ISBLANK('Event summary'!C626),"",'Event summary'!C626)</f>
        <v>מטופל קיבל טיפולים אך לא ראה אחות עד הטיפול האחרון כאשר התלונן על תופעות לוואי. מטופל של 7:00 בבוקר.</v>
      </c>
      <c r="E626" s="116" t="str">
        <f>IF(ISBLANK('Event summary'!D626),"",'Event summary'!D626)</f>
        <v>בקרוב יתבצע שינוי בהליך בקרת התורים ביחידה. שינוי זה יפתור את הסוגיה מעקב מטופלים ביחידה.</v>
      </c>
      <c r="F626" s="117">
        <f>IF(ISBLANK('Event summary'!E626),"",'Event summary'!E626)</f>
        <v>45445</v>
      </c>
      <c r="G626" s="57" t="s">
        <v>18</v>
      </c>
      <c r="H626" s="57" t="s">
        <v>1227</v>
      </c>
    </row>
    <row r="627" spans="1:9" ht="85.5" x14ac:dyDescent="0.2">
      <c r="A627" s="114" t="e">
        <f>IF(ISBLANK('Event summary'!#REF!),"",'Event summary'!#REF!)</f>
        <v>#REF!</v>
      </c>
      <c r="B627" s="115">
        <f>IF(ISBLANK('Event summary'!A627),"",'Event summary'!A627)</f>
        <v>627</v>
      </c>
      <c r="C627" s="115" t="str">
        <f>IF(ISBLANK('Event summary'!B627),"",'Event summary'!B627)</f>
        <v>תיעוד לא תקין</v>
      </c>
      <c r="D627" s="116" t="str">
        <f>IF(ISBLANK('Event summary'!C627),"",'Event summary'!C627)</f>
        <v>חוסר התאמה בין שם נפח המטרה (PTV_25), לבין השמם המצויין במרשם ב Aria (PTV ln).</v>
      </c>
      <c r="E627" s="116" t="str">
        <f>IF(ISBLANK('Event summary'!D627),"",'Event summary'!D627)</f>
        <v>יש להקפיד על התאמה בין שמות הנפח לטיפול והנפח במרשם. כמוכן, רצויה התאמה בין שם נפח המטרה במרשם לבין שם הנפח המופיע בהגדרות הכיסוי במרשם.</v>
      </c>
      <c r="F627" s="117">
        <f>IF(ISBLANK('Event summary'!E627),"",'Event summary'!E627)</f>
        <v>45487</v>
      </c>
      <c r="G627" s="57" t="s">
        <v>1629</v>
      </c>
      <c r="H627" s="57" t="s">
        <v>1363</v>
      </c>
    </row>
    <row r="628" spans="1:9" ht="156.75" x14ac:dyDescent="0.2">
      <c r="A628" s="114" t="e">
        <f>IF(ISBLANK('Event summary'!#REF!),"",'Event summary'!#REF!)</f>
        <v>#REF!</v>
      </c>
      <c r="B628" s="115">
        <f>IF(ISBLANK('Event summary'!A628),"",'Event summary'!A628)</f>
        <v>628</v>
      </c>
      <c r="C628" s="115" t="str">
        <f>IF(ISBLANK('Event summary'!B628),"",'Event summary'!B628)</f>
        <v>תכנון שגוי</v>
      </c>
      <c r="D628" s="116" t="str">
        <f>IF(ISBLANK('Event summary'!C628),"",'Event summary'!C628)</f>
        <v xml:space="preserve">למטופל 2 מוקדים של אלקטרונים. בגלל התנגשות של מתקן קיבוע מסיכה קצרה ואפליקטור אלקרונים הטיפול התארך. בנוסף, ההזזות שולחן לא היו רשומות נכון. </v>
      </c>
      <c r="E628" s="116" t="str">
        <f>IF(ISBLANK('Event summary'!D628),"",'Event summary'!D628)</f>
        <v>ביררת מחדל למתקן קיבוע עבור טיפול באלקטרונים לראש תהיה מסיכה ארוכה. רק כשצריך זווית יעשה שימוש במסיכה קצרה. יש לציין שימוש במסיכה קצרה לצוות המתכנן.</v>
      </c>
      <c r="F628" s="117">
        <f>IF(ISBLANK('Event summary'!E628),"",'Event summary'!E628)</f>
        <v>45487</v>
      </c>
      <c r="G628" s="57" t="s">
        <v>1614</v>
      </c>
      <c r="H628" s="57" t="s">
        <v>1122</v>
      </c>
    </row>
    <row r="629" spans="1:9" ht="156.75" x14ac:dyDescent="0.2">
      <c r="A629" s="114" t="e">
        <f>IF(ISBLANK('Event summary'!#REF!),"",'Event summary'!#REF!)</f>
        <v>#REF!</v>
      </c>
      <c r="B629" s="115">
        <f>IF(ISBLANK('Event summary'!A629),"",'Event summary'!A629)</f>
        <v>629</v>
      </c>
      <c r="C629" s="115" t="str">
        <f>IF(ISBLANK('Event summary'!B629),"",'Event summary'!B629)</f>
        <v>תיעוד לא תקין</v>
      </c>
      <c r="D629" s="116" t="str">
        <f>IF(ISBLANK('Event summary'!C629),"",'Event summary'!C629)</f>
        <v>מטופל הוזן ל Aria עם ובלי סיפרת ביקורת.</v>
      </c>
      <c r="E629" s="116" t="str">
        <f>IF(ISBLANK('Event summary'!D629),"",'Event summary'!D629)</f>
        <v>כאשר, מטופל מוזן ב Aria באופן שגוי עם ספרת ביקרות, אז מערכת מנור תייצר מטופל חדש באופן אוטומטי ללא ביקורת. מצב זה יכול לקרות עבור מטופלים חוזרים או מטופלים חדשים. המדבקות החדשות אינן מפרידות בין תעודת הזהות לביקורת ובחלק מהמכתבים המפנים לטיפול.  יש להקפיד ולוודא שהפרטים המוזנים ל Aria יהיו ללא ביקורת ע"י השמטת הספרה האחרונה מהמדבקה ואו לבדוק איך המטופל מוזן בקמליון. קיים צורך למצוא פתרון לנושא, בבירור עם מול הממשק של מערכת מנור וקמליון. יש להכניס אפיון של תהליך הזנה של מטופלים חדשים ליחידת הבקרה.</v>
      </c>
      <c r="F629" s="117">
        <f>IF(ISBLANK('Event summary'!E629),"",'Event summary'!E629)</f>
        <v>45487</v>
      </c>
      <c r="G629" s="57" t="s">
        <v>1620</v>
      </c>
      <c r="H629" s="57" t="s">
        <v>1619</v>
      </c>
    </row>
    <row r="630" spans="1:9" ht="42.75" x14ac:dyDescent="0.2">
      <c r="A630" s="114" t="e">
        <f>IF(ISBLANK('Event summary'!#REF!),"",'Event summary'!#REF!)</f>
        <v>#REF!</v>
      </c>
      <c r="B630" s="115">
        <f>IF(ISBLANK('Event summary'!A630),"",'Event summary'!A630)</f>
        <v>630</v>
      </c>
      <c r="C630" s="115" t="str">
        <f>IF(ISBLANK('Event summary'!B630),"",'Event summary'!B630)</f>
        <v>עבודה שלא על פי הנוהל</v>
      </c>
      <c r="D630" s="116" t="str">
        <f>IF(ISBLANK('Event summary'!C630),"",'Event summary'!C630)</f>
        <v>במהלך מרפאה נגמר הנייר לשולחן הבדיקה ולא היה מי שידע איפה יש נייר (כח עזר להיתה באותו היום). המשמעות, אפשרות של העברת זיהומים בין מטופלים.</v>
      </c>
      <c r="E630" s="116" t="str">
        <f>IF(ISBLANK('Event summary'!D630),"",'Event summary'!D630)</f>
        <v>במידה וכח עזר אינה נמצאת, ניתן לבקש מעובד נקיון להביא גליל נייר לחדרי הרופאים.</v>
      </c>
      <c r="F630" s="117">
        <f>IF(ISBLANK('Event summary'!E630),"",'Event summary'!E630)</f>
        <v>45487</v>
      </c>
      <c r="G630" s="57" t="s">
        <v>1615</v>
      </c>
      <c r="H630" s="57" t="s">
        <v>1608</v>
      </c>
    </row>
    <row r="631" spans="1:9" ht="71.25" x14ac:dyDescent="0.2">
      <c r="A631" s="114" t="e">
        <f>IF(ISBLANK('Event summary'!#REF!),"",'Event summary'!#REF!)</f>
        <v>#REF!</v>
      </c>
      <c r="B631" s="115">
        <f>IF(ISBLANK('Event summary'!A631),"",'Event summary'!A631)</f>
        <v>631</v>
      </c>
      <c r="C631" s="115" t="str">
        <f>IF(ISBLANK('Event summary'!B631),"",'Event summary'!B631)</f>
        <v>אי עמידה בזמנים</v>
      </c>
      <c r="D631" s="116" t="str">
        <f>IF(ISBLANK('Event summary'!C631),"",'Event summary'!C631)</f>
        <v>מטופלת המתינה זמן ממושך לקבלת טיפול ראשון. המטופלת הוזמנה לשעה 8 בבוקר ביום רביעי. המאיצים התחילו מאוחר עקב הרצאה והאחיות היו עמוסות ולא יכלו לראות אותה. המטופלת היתה מתוסכלת מההמתנה וגם קצת נעלבה מהייחס. היא לא קיבלה טיפול באותו היום.</v>
      </c>
      <c r="E631" s="116" t="str">
        <f>IF(ISBLANK('Event summary'!D631),"",'Event summary'!D631)</f>
        <v>באותו היום היה מחסור בצוות אחיות ועומס. המטופלת קיבלה התייחסות לתלונה שלה ע"י הנהלת היחידה.</v>
      </c>
      <c r="F631" s="117">
        <f>IF(ISBLANK('Event summary'!E631),"",'Event summary'!E631)</f>
        <v>45487</v>
      </c>
      <c r="G631" s="57" t="s">
        <v>1631</v>
      </c>
    </row>
    <row r="632" spans="1:9" ht="42.75" x14ac:dyDescent="0.2">
      <c r="A632" s="114" t="e">
        <f>IF(ISBLANK('Event summary'!#REF!),"",'Event summary'!#REF!)</f>
        <v>#REF!</v>
      </c>
      <c r="B632" s="115">
        <f>IF(ISBLANK('Event summary'!A632),"",'Event summary'!A632)</f>
        <v>632</v>
      </c>
      <c r="C632" s="115" t="str">
        <f>IF(ISBLANK('Event summary'!B632),"",'Event summary'!B632)</f>
        <v>תכנון שגוי</v>
      </c>
      <c r="D632" s="116" t="str">
        <f>IF(ISBLANK('Event summary'!C632),"",'Event summary'!C632)</f>
        <v>תכנון SRS עם מסיכה קצרה. נעשה תכנון עם vertex עם זווית מיטה ב 90 מעלות. הקשת כמעט התנגשה עם מיטת הטיפול.</v>
      </c>
      <c r="E632" s="116" t="str">
        <f>IF(ISBLANK('Event summary'!D632),"",'Event summary'!D632)</f>
        <v>בתכנוני טיפול עם מסיכה קצרה לא לבצע סיבובי מיטה.</v>
      </c>
      <c r="F632" s="117">
        <f>IF(ISBLANK('Event summary'!E632),"",'Event summary'!E632)</f>
        <v>45487</v>
      </c>
      <c r="G632" s="57" t="s">
        <v>1623</v>
      </c>
      <c r="H632" s="57" t="s">
        <v>983</v>
      </c>
      <c r="I632" s="56"/>
    </row>
    <row r="633" spans="1:9" ht="199.5" x14ac:dyDescent="0.2">
      <c r="A633" s="114" t="e">
        <f>IF(ISBLANK('Event summary'!#REF!),"",'Event summary'!#REF!)</f>
        <v>#REF!</v>
      </c>
      <c r="B633" s="115">
        <f>IF(ISBLANK('Event summary'!A633),"",'Event summary'!A633)</f>
        <v>633</v>
      </c>
      <c r="C633" s="115" t="str">
        <f>IF(ISBLANK('Event summary'!B633),"",'Event summary'!B633)</f>
        <v>תיעוד לא תקין</v>
      </c>
      <c r="D633" s="116" t="str">
        <f>IF(ISBLANK('Event summary'!C633),"",'Event summary'!C633)</f>
        <v>ה- care path של מטופל לא היה משוייך לרופא ונשאר פתוח. בבדיקה נתגלה שהמטופל כבר קיים ב Aria עם ספרת ביקורת.</v>
      </c>
      <c r="E633" s="116" t="str">
        <f>IF(ISBLANK('Event summary'!D633),"",'Event summary'!D633)</f>
        <v>כאשר, מטופל מוזן ב Aria באופן שגוי עם ספרת ביקרות, אז מערכת מנור תייצר מטופל חדש באופן אוטומטי ללא ביקורת. מצב זה יכול לקרות עבור מטופלים חוזרים או מטופלים חדשים. המדבקות החדשות אינן מפרידות בין תעודת הזהות לביקורת ובחלק מהמכתבים המפנים לטיפול.  יש להקפיד ולוודא שהפרטים המוזנים ל Aria יהיו ללא ביקורת ע"י השמטת הספרה האחרונה מהמדבקה ואו לבדוק איך המטופל מוזן בקמליון. קיים צורך למצוא פתרון לנושא, בבירור עם מול הממשק של מערכת מנור וקמליון. יש להכניס אפיון של תהליך הזנה של מטופלים חדשים ליחידת הבקרה.</v>
      </c>
      <c r="F633" s="117">
        <f>IF(ISBLANK('Event summary'!E633),"",'Event summary'!E633)</f>
        <v>45487</v>
      </c>
      <c r="G633" s="57" t="s">
        <v>1621</v>
      </c>
      <c r="H633" s="57" t="s">
        <v>1622</v>
      </c>
    </row>
    <row r="634" spans="1:9" ht="99.75" x14ac:dyDescent="0.2">
      <c r="A634" s="114" t="e">
        <f>IF(ISBLANK('Event summary'!#REF!),"",'Event summary'!#REF!)</f>
        <v>#REF!</v>
      </c>
      <c r="B634" s="115">
        <f>IF(ISBLANK('Event summary'!A634),"",'Event summary'!A634)</f>
        <v>634</v>
      </c>
      <c r="C634" s="115" t="str">
        <f>IF(ISBLANK('Event summary'!B634),"",'Event summary'!B634)</f>
        <v>תקשורת לקויה</v>
      </c>
      <c r="D634" s="116" t="str">
        <f>IF(ISBLANK('Event summary'!C634),"",'Event summary'!C634)</f>
        <v>בטיפול TSI נכתב כיסוי ליד ורגל ימין. במרשם היה כתוב כיסוי ידים ורגלים. בנוסף, הרופא הוסיף ביום הטיפול בוסט אלקטרונים. בטיפול הראשון לא נכחו רופא ופיזיקאי.</v>
      </c>
      <c r="E634" s="116" t="str">
        <f>IF(ISBLANK('Event summary'!D634),"",'Event summary'!D634)</f>
        <v>יש להקפיד על עבודה לפי הפרוטוקול. כלומר, רופא ופיזיקאי נוכחים בטיפול הראשון וכן, להעביר ולסיים את התכנון בזמן כך שניתן יהיה לבצע בקרת איכות לפחות יום עבודה לפני תחילת הטיפול.</v>
      </c>
      <c r="F634" s="117">
        <f>IF(ISBLANK('Event summary'!E634),"",'Event summary'!E634)</f>
        <v>45487</v>
      </c>
      <c r="G634" s="57" t="s">
        <v>1618</v>
      </c>
      <c r="H634" s="57" t="s">
        <v>1609</v>
      </c>
    </row>
    <row r="635" spans="1:9" ht="156.75" x14ac:dyDescent="0.2">
      <c r="A635" s="114" t="e">
        <f>IF(ISBLANK('Event summary'!#REF!),"",'Event summary'!#REF!)</f>
        <v>#REF!</v>
      </c>
      <c r="B635" s="115">
        <f>IF(ISBLANK('Event summary'!A635),"",'Event summary'!A635)</f>
        <v>635</v>
      </c>
      <c r="C635" s="115" t="str">
        <f>IF(ISBLANK('Event summary'!B635),"",'Event summary'!B635)</f>
        <v>תיעוד לא תקין</v>
      </c>
      <c r="D635" s="116" t="str">
        <f>IF(ISBLANK('Event summary'!C635),"",'Event summary'!C635)</f>
        <v>מטופל מופיע ב- Aria עם ובלי ביקורת.</v>
      </c>
      <c r="E635" s="116" t="str">
        <f>IF(ISBLANK('Event summary'!D635),"",'Event summary'!D635)</f>
        <v>כאשר, מטופל מוזן ב Aria באופן שגוי עם ספרת ביקרות, אז מערכת מנור תייצר מטופל חדש באופן אוטומטי ללא ביקורת. מצב זה יכול לקרות עבור מטופלים חוזרים או מטופלים חדשים. המדבקות החדשות אינן מפרידות בין תעודת הזהות לביקורת ובחלק מהמכתבים המפנים לטיפול.  יש להקפיד ולוודא שהפרטים המוזנים ל Aria יהיו ללא ביקורת ע"י השמטת הספרה האחרונה מהמדבקה ואו לבדוק איך המטופל מוזן בקמליון. קיים צורך למצוא פתרון לנושא, בבירור עם מול הממשק של מערכת מנור וקמליון. יש להכניס אפיון של תהליך הזנה של מטופלים חדשים ליחידת הבקרה.</v>
      </c>
      <c r="F635" s="117">
        <f>IF(ISBLANK('Event summary'!E635),"",'Event summary'!E635)</f>
        <v>45487</v>
      </c>
      <c r="G635" s="57" t="s">
        <v>1620</v>
      </c>
      <c r="H635" s="57" t="s">
        <v>1619</v>
      </c>
    </row>
    <row r="636" spans="1:9" ht="156.75" x14ac:dyDescent="0.2">
      <c r="A636" s="114" t="e">
        <f>IF(ISBLANK('Event summary'!#REF!),"",'Event summary'!#REF!)</f>
        <v>#REF!</v>
      </c>
      <c r="B636" s="115">
        <f>IF(ISBLANK('Event summary'!A636),"",'Event summary'!A636)</f>
        <v>636</v>
      </c>
      <c r="C636" s="115" t="str">
        <f>IF(ISBLANK('Event summary'!B636),"",'Event summary'!B636)</f>
        <v>תיעוד לא תקין</v>
      </c>
      <c r="D636" s="116" t="str">
        <f>IF(ISBLANK('Event summary'!C636),"",'Event summary'!C636)</f>
        <v>מטופל מופיע ב- Aria עם ובלי ביקורת. CP הוזן ותוכנן על הת.ז עם הביקורת. מנור יצר מחדש את המטופל ללא ביקורת.</v>
      </c>
      <c r="E636" s="116" t="str">
        <f>IF(ISBLANK('Event summary'!D636),"",'Event summary'!D636)</f>
        <v>כאשר, מטופל מוזן ב Aria באופן שגוי עם ספרת ביקרות, אז מערכת מנור תייצר מטופל חדש באופן אוטומטי ללא ביקורת. מצב זה יכול לקרות עבור מטופלים חוזרים או מטופלים חדשים. המדבקות החדשות אינן מפרידות בין תעודת הזהות לביקורת ובחלק מהמכתבים המפנים לטיפול.  יש להקפיד ולוודא שהפרטים המוזנים ל Aria יהיו ללא ביקורת ע"י השמטת הספרה האחרונה מהמדבקה ואו לבדוק איך המטופל מוזן בקמליון. קיים צורך למצוא פתרון לנושא, בבירור עם מול הממשק של מערכת מנור וקמליון. יש להכניס אפיון של תהליך הזנה של מטופלים חדשים ליחידת הבקרה.</v>
      </c>
      <c r="F636" s="117">
        <f>IF(ISBLANK('Event summary'!E636),"",'Event summary'!E636)</f>
        <v>45487</v>
      </c>
      <c r="G636" s="57" t="s">
        <v>1620</v>
      </c>
      <c r="H636" s="57" t="s">
        <v>1619</v>
      </c>
    </row>
    <row r="637" spans="1:9" ht="71.25" x14ac:dyDescent="0.2">
      <c r="A637" s="114" t="e">
        <f>IF(ISBLANK('Event summary'!#REF!),"",'Event summary'!#REF!)</f>
        <v>#REF!</v>
      </c>
      <c r="B637" s="115">
        <f>IF(ISBLANK('Event summary'!A637),"",'Event summary'!A637)</f>
        <v>637</v>
      </c>
      <c r="C637" s="115" t="str">
        <f>IF(ISBLANK('Event summary'!B637),"",'Event summary'!B637)</f>
        <v>זימון תור לא מספק</v>
      </c>
      <c r="D637" s="116" t="str">
        <f>IF(ISBLANK('Event summary'!C637),"",'Event summary'!C637)</f>
        <v>קבלת תיקי SRS לתכנון ללא זמן. ביום שלישי (9/7/24) התקבלו בשעות אחר הצהרים 3 תיקי SRS לתכנון ליום רביעי בחלק מהתיקים היו מספר מוקדים לתכנון.</v>
      </c>
      <c r="E637" s="116" t="str">
        <f>IF(ISBLANK('Event summary'!D637),"",'Event summary'!D637)</f>
        <v>תיקי SRS לתכנון מהיר מהיום למחר לא יתקבלו אם הם בעלי מוקדים מרובים. בנוסף, תיקים לתכנון מהיר יועברו במהלך יום העבודה לפיזיקה. כלומר, עד השעה 15:00 אחרת יתכן שלא תהיה זמינות פיזיקאי לתכנון התיק. תיקים שיגיעו בשעה מאוחרת יידחו בשבוע.</v>
      </c>
      <c r="F637" s="117">
        <f>IF(ISBLANK('Event summary'!E637),"",'Event summary'!E637)</f>
        <v>45487</v>
      </c>
      <c r="G637" s="57" t="s">
        <v>1624</v>
      </c>
      <c r="H637" s="57" t="s">
        <v>919</v>
      </c>
    </row>
    <row r="638" spans="1:9" ht="71.25" x14ac:dyDescent="0.2">
      <c r="A638" s="114" t="e">
        <f>IF(ISBLANK('Event summary'!#REF!),"",'Event summary'!#REF!)</f>
        <v>#REF!</v>
      </c>
      <c r="B638" s="115">
        <f>IF(ISBLANK('Event summary'!A638),"",'Event summary'!A638)</f>
        <v>638</v>
      </c>
      <c r="C638" s="115" t="str">
        <f>IF(ISBLANK('Event summary'!B638),"",'Event summary'!B638)</f>
        <v>תקשורת לקויה</v>
      </c>
      <c r="D638" s="116" t="str">
        <f>IF(ISBLANK('Event summary'!C638),"",'Event summary'!C638)</f>
        <v>מטופל הורד משולחן הטיפול לסריקת MRI מח לצורך החלטה אם לנתח. ההחלטה של רופא הקרינה הראשונית היה לטפל ולאחר השכבת המטופל בחדר הטיפולים חזר בו. בבירור, עקב תקלות ב MRI לא בוצעה סריקה. המטופל הוחזר למתן טיפול קרינה.</v>
      </c>
      <c r="E638" s="116" t="str">
        <f>IF(ISBLANK('Event summary'!D638),"",'Event summary'!D638)</f>
        <v xml:space="preserve">החלטת הרופא המטפל. </v>
      </c>
      <c r="F638" s="117">
        <f>IF(ISBLANK('Event summary'!E638),"",'Event summary'!E638)</f>
        <v>45487</v>
      </c>
      <c r="G638" s="57" t="s">
        <v>1625</v>
      </c>
    </row>
    <row r="639" spans="1:9" ht="71.25" x14ac:dyDescent="0.2">
      <c r="A639" s="114" t="e">
        <f>IF(ISBLANK('Event summary'!#REF!),"",'Event summary'!#REF!)</f>
        <v>#REF!</v>
      </c>
      <c r="B639" s="115">
        <f>IF(ISBLANK('Event summary'!A639),"",'Event summary'!A639)</f>
        <v>639</v>
      </c>
      <c r="C639" s="115" t="str">
        <f>IF(ISBLANK('Event summary'!B639),"",'Event summary'!B639)</f>
        <v>תיעוד לא תקין</v>
      </c>
      <c r="D639" s="116" t="str">
        <f>IF(ISBLANK('Event summary'!C639),"",'Event summary'!C639)</f>
        <v>בטופס סימולציה היה כתוב Brain סריקה עם 2mm במקום 1mm. המטרה של טופס הסימולציה היא להנחות את הצוות על הפרמטרים של הסריקה.</v>
      </c>
      <c r="E639" s="116" t="str">
        <f>IF(ISBLANK('Event summary'!D639),"",'Event summary'!D639)</f>
        <v>לפי הפרטוקול ל GBM מספיק 2mm. על הרופא האחראי להתאים את טופס הסימולציה לאופן הסריקה הרצויה ולמלא בקפידה את כל הפרטים הרלבנטיים לסריקה. מטרת הטופס היא להנחות את הצוות על מכלול הפרמטרים של הסריקה בכדי למנוע שגיאות בסריקה.</v>
      </c>
      <c r="F639" s="117">
        <f>IF(ISBLANK('Event summary'!E639),"",'Event summary'!E639)</f>
        <v>45487</v>
      </c>
      <c r="G639" s="57" t="s">
        <v>1627</v>
      </c>
      <c r="H639" s="57" t="s">
        <v>926</v>
      </c>
    </row>
    <row r="640" spans="1:9" ht="71.25" x14ac:dyDescent="0.2">
      <c r="A640" s="114" t="e">
        <f>IF(ISBLANK('Event summary'!#REF!),"",'Event summary'!#REF!)</f>
        <v>#REF!</v>
      </c>
      <c r="B640" s="115">
        <f>IF(ISBLANK('Event summary'!A640),"",'Event summary'!A640)</f>
        <v>640</v>
      </c>
      <c r="C640" s="115" t="str">
        <f>IF(ISBLANK('Event summary'!B640),"",'Event summary'!B640)</f>
        <v>תקשורת לקויה</v>
      </c>
      <c r="D640" s="116" t="str">
        <f>IF(ISBLANK('Event summary'!C640),"",'Event summary'!C640)</f>
        <v>בטופס סימולציה לשלפוחית היה כתוב שתיה של 500ml וגם הערה של הרופא "קשה לו להתאפק אז לשתות קצת אבל לא להגזים". ההנחיה אינה מדוייקת ולא ספציפית.</v>
      </c>
      <c r="E640" s="116" t="str">
        <f>IF(ISBLANK('Event summary'!D640),"",'Event summary'!D640)</f>
        <v>יש להקפיד על הנחיות ברורות מדוייקות וספציפיות. למשל, היה ניתן להנחות את המטופל לשתות 200ml ובכך לשמור על שחזור עקבי של השכבת המטופל. המטרה של טופס הסימולציה היא להנחות את הצוות על הפרמטרים של הסריקה.</v>
      </c>
      <c r="F640" s="117">
        <f>IF(ISBLANK('Event summary'!E640),"",'Event summary'!E640)</f>
        <v>45487</v>
      </c>
      <c r="G640" s="57" t="s">
        <v>1628</v>
      </c>
      <c r="H640" s="57" t="s">
        <v>1363</v>
      </c>
    </row>
    <row r="641" spans="1:8" ht="85.5" x14ac:dyDescent="0.2">
      <c r="A641" s="114" t="e">
        <f>IF(ISBLANK('Event summary'!#REF!),"",'Event summary'!#REF!)</f>
        <v>#REF!</v>
      </c>
      <c r="B641" s="115">
        <f>IF(ISBLANK('Event summary'!A641),"",'Event summary'!A641)</f>
        <v>641</v>
      </c>
      <c r="C641" s="115" t="str">
        <f>IF(ISBLANK('Event summary'!B641),"",'Event summary'!B641)</f>
        <v>חוסר בהבנת דרישות הטיפול</v>
      </c>
      <c r="D641" s="116" t="str">
        <f>IF(ISBLANK('Event summary'!C641),"",'Event summary'!C641)</f>
        <v>היה בלבול עם הטיפול הוא ל- D4 או Rt Lung. המשמעות היא בצורת ההשכבה של המטופל עם ידיים למעלה או ידיים לצידי הגוף.</v>
      </c>
      <c r="E641" s="116" t="str">
        <f>IF(ISBLANK('Event summary'!D641),"",'Event summary'!D641)</f>
        <v>רענון הנחיות לרופאים לגבי התאמה של שמות הטיפול, שמות הנפחים, השמות במרשמים והתאמת טופס הסימולציה לדרישות הטיפול.</v>
      </c>
      <c r="F641" s="117">
        <f>IF(ISBLANK('Event summary'!E641),"",'Event summary'!E641)</f>
        <v>45487</v>
      </c>
      <c r="G641" s="57" t="s">
        <v>1629</v>
      </c>
      <c r="H641" s="57" t="s">
        <v>1363</v>
      </c>
    </row>
    <row r="642" spans="1:8" ht="42.75" x14ac:dyDescent="0.2">
      <c r="A642" s="114" t="e">
        <f>IF(ISBLANK('Event summary'!#REF!),"",'Event summary'!#REF!)</f>
        <v>#REF!</v>
      </c>
      <c r="B642" s="115">
        <f>IF(ISBLANK('Event summary'!A642),"",'Event summary'!A642)</f>
        <v>642</v>
      </c>
      <c r="C642" s="115" t="str">
        <f>IF(ISBLANK('Event summary'!B642),"",'Event summary'!B642)</f>
        <v>אי עמידה בזמנים</v>
      </c>
      <c r="D642" s="116" t="str">
        <f>IF(ISBLANK('Event summary'!C642),"",'Event summary'!C642)</f>
        <v>תיק TBI לא היה מוכן עד 15:00 יום לפני הטיפול. היה מוכן ב 18:30 בערב. במקרה היתה רנטגנאית שעשתה QA לפני הטיפול.</v>
      </c>
      <c r="E642" s="116" t="str">
        <f>IF(ISBLANK('Event summary'!D642),"",'Event summary'!D642)</f>
        <v>חידוד ההנחיה לרופאים היא שלא יתקיים טיפול ללא מרשם חתום. בנוסף, יש להקפיד ולהעביר את התיק לתכנון בזמן.</v>
      </c>
      <c r="F642" s="117">
        <f>IF(ISBLANK('Event summary'!E642),"",'Event summary'!E642)</f>
        <v>45501</v>
      </c>
      <c r="G642" s="57" t="s">
        <v>1646</v>
      </c>
      <c r="H642" s="57" t="s">
        <v>919</v>
      </c>
    </row>
    <row r="643" spans="1:8" ht="57" x14ac:dyDescent="0.2">
      <c r="A643" s="114" t="e">
        <f>IF(ISBLANK('Event summary'!#REF!),"",'Event summary'!#REF!)</f>
        <v>#REF!</v>
      </c>
      <c r="B643" s="115">
        <f>IF(ISBLANK('Event summary'!A643),"",'Event summary'!A643)</f>
        <v>643</v>
      </c>
      <c r="C643" s="115" t="str">
        <f>IF(ISBLANK('Event summary'!B643),"",'Event summary'!B643)</f>
        <v>סריקה לא תקינה</v>
      </c>
      <c r="D643" s="116" t="str">
        <f>IF(ISBLANK('Event summary'!C643),"",'Event summary'!C643)</f>
        <v>למטופלת קיים מסמך סימולציה לקרינה חיצונית ונסרקה עם חומר ניגוד. המטופלת צריכה לקבל ברכי בלבד ללא קרינה חיצונית. בנוסף, קיים הבדל בין המרשם בקמליון 5Gyx3 לאומת המרשם ב Aria ל- 7Gyx3.</v>
      </c>
      <c r="E643" s="116" t="str">
        <f>IF(ISBLANK('Event summary'!D643),"",'Event summary'!D643)</f>
        <v>יש לייצר טופס סימולציה לברכי בלבד. לא להשתמש בברירת מחדל של טופס הסימולציה ללא התאמת הטופס לדרישות הטיפול.</v>
      </c>
      <c r="F643" s="117">
        <f>IF(ISBLANK('Event summary'!E643),"",'Event summary'!E643)</f>
        <v>45501</v>
      </c>
      <c r="G643" s="57" t="s">
        <v>1643</v>
      </c>
      <c r="H643" s="57" t="s">
        <v>1650</v>
      </c>
    </row>
    <row r="644" spans="1:8" ht="71.25" x14ac:dyDescent="0.2">
      <c r="A644" s="114" t="e">
        <f>IF(ISBLANK('Event summary'!#REF!),"",'Event summary'!#REF!)</f>
        <v>#REF!</v>
      </c>
      <c r="B644" s="115">
        <f>IF(ISBLANK('Event summary'!A644),"",'Event summary'!A644)</f>
        <v>644</v>
      </c>
      <c r="C644" s="115" t="str">
        <f>IF(ISBLANK('Event summary'!B644),"",'Event summary'!B644)</f>
        <v>מתן טיפול באופן שגוי</v>
      </c>
      <c r="D644" s="116" t="str">
        <f>IF(ISBLANK('Event summary'!C644),"",'Event summary'!C644)</f>
        <v>המטופלת קיבלה טיפול מגע במנה של 5Gy במקום 3Gy. למטופלת יש 5 פרקציות. 4 הפרקציות הנותרות חולקו ל- 2.5Gy לפרקציה. קיימת אי התאמה בין המרשם בקמליון ל- Aria. בקורס הקיים ישנם מספר מרשמים לטיפול מגע משנים קודמות וקשה להבין איזה מרשם הוא הנכון.</v>
      </c>
      <c r="E644" s="116" t="str">
        <f>IF(ISBLANK('Event summary'!D644),"",'Event summary'!D644)</f>
        <v>יש להקפיד על ביצוע פסק זמן לפני ביצוע ההקרנה בסימון קליני/קונטאקט. על סגירת קורסים ישנים וכתיבת המרשם ב- Aria בקורס החדש. כמו כן, יש לתעד את השינוים במרשם בקמליון.</v>
      </c>
      <c r="F644" s="117">
        <f>IF(ISBLANK('Event summary'!E644),"",'Event summary'!E644)</f>
        <v>45501</v>
      </c>
      <c r="G644" s="57" t="s">
        <v>1644</v>
      </c>
      <c r="H644" s="57" t="s">
        <v>1651</v>
      </c>
    </row>
    <row r="645" spans="1:8" ht="57" x14ac:dyDescent="0.2">
      <c r="A645" s="114" t="e">
        <f>IF(ISBLANK('Event summary'!#REF!),"",'Event summary'!#REF!)</f>
        <v>#REF!</v>
      </c>
      <c r="B645" s="115">
        <f>IF(ISBLANK('Event summary'!A645),"",'Event summary'!A645)</f>
        <v>645</v>
      </c>
      <c r="C645" s="115" t="str">
        <f>IF(ISBLANK('Event summary'!B645),"",'Event summary'!B645)</f>
        <v>תיעוד לא תקין</v>
      </c>
      <c r="D645" s="116" t="str">
        <f>IF(ISBLANK('Event summary'!C645),"",'Event summary'!C645)</f>
        <v>שם השדה בתכנית נקרא  ML במקום AP.</v>
      </c>
      <c r="E645" s="116" t="str">
        <f>IF(ISBLANK('Event summary'!D645),"",'Event summary'!D645)</f>
        <v>יש להקפיד לבדוק ששמות השדות נכונים בכל שלבי התכנון: בתכנון, בחתימה שניה, ב QA ובבקרת איכות (RTTQA).</v>
      </c>
      <c r="F645" s="117">
        <f>IF(ISBLANK('Event summary'!E645),"",'Event summary'!E645)</f>
        <v>45501</v>
      </c>
      <c r="G645" s="57" t="s">
        <v>1645</v>
      </c>
      <c r="H645" s="57" t="s">
        <v>1009</v>
      </c>
    </row>
    <row r="646" spans="1:8" ht="99.75" x14ac:dyDescent="0.2">
      <c r="A646" s="114" t="e">
        <f>IF(ISBLANK('Event summary'!#REF!),"",'Event summary'!#REF!)</f>
        <v>#REF!</v>
      </c>
      <c r="B646" s="115">
        <f>IF(ISBLANK('Event summary'!A646),"",'Event summary'!A646)</f>
        <v>646</v>
      </c>
      <c r="C646" s="115" t="str">
        <f>IF(ISBLANK('Event summary'!B646),"",'Event summary'!B646)</f>
        <v>אי ביצוע הנחיה (מטופלים)</v>
      </c>
      <c r="D646" s="116" t="str">
        <f>IF(ISBLANK('Event summary'!C646),"",'Event summary'!C646)</f>
        <v>המטופל אמר לאחות שביצע חוקן ועל כן קיבל חומר ניגוד ושתייה לקראת הסימולציה. כשנשאל לאחר מכן התברר שאת החוקן ביצע ב 12:00 בלילה כ 11 שעות לפני. לכן, המטופל היה צריך לעשות שוב חוקן ורק לאחר מכן נסרק.</v>
      </c>
      <c r="E646" s="116" t="str">
        <f>IF(ISBLANK('Event summary'!D646),"",'Event summary'!D646)</f>
        <v>אחות תשאל את המטופל מתי עשה חוקן על מנת לעמוד על משך הזמן שעבר מעת הביצוע.</v>
      </c>
      <c r="F646" s="117">
        <f>IF(ISBLANK('Event summary'!E646),"",'Event summary'!E646)</f>
        <v>45501</v>
      </c>
      <c r="G646" s="57" t="s">
        <v>1647</v>
      </c>
      <c r="H646" s="57" t="s">
        <v>1610</v>
      </c>
    </row>
    <row r="647" spans="1:8" ht="57" x14ac:dyDescent="0.2">
      <c r="A647" s="114" t="e">
        <f>IF(ISBLANK('Event summary'!#REF!),"",'Event summary'!#REF!)</f>
        <v>#REF!</v>
      </c>
      <c r="B647" s="115">
        <f>IF(ISBLANK('Event summary'!A647),"",'Event summary'!A647)</f>
        <v>647</v>
      </c>
      <c r="C647" s="115" t="str">
        <f>IF(ISBLANK('Event summary'!B647),"",'Event summary'!B647)</f>
        <v>תיעוד לא תקין</v>
      </c>
      <c r="D647" s="116" t="str">
        <f>IF(ISBLANK('Event summary'!C647),"",'Event summary'!C647)</f>
        <v>טיפול באגן. שמות של שדות הטיפול היו AP ו- PA כאשר בפועל תוכננו קשתות מ- 0 ל 181 וחזרה.</v>
      </c>
      <c r="E647" s="116" t="str">
        <f>IF(ISBLANK('Event summary'!D647),"",'Event summary'!D647)</f>
        <v>יש להקפיד לבדוק ששמות השדות נכונים בכל שלבי התכנון: בתכנון, בחתימה שניה, ב QA ובבקרת איכות (RTTQA).</v>
      </c>
      <c r="F647" s="117">
        <f>IF(ISBLANK('Event summary'!E647),"",'Event summary'!E647)</f>
        <v>45501</v>
      </c>
      <c r="G647" s="57" t="s">
        <v>1648</v>
      </c>
      <c r="H647" s="57" t="s">
        <v>1611</v>
      </c>
    </row>
    <row r="648" spans="1:8" ht="57" x14ac:dyDescent="0.2">
      <c r="A648" s="114" t="e">
        <f>IF(ISBLANK('Event summary'!#REF!),"",'Event summary'!#REF!)</f>
        <v>#REF!</v>
      </c>
      <c r="B648" s="115">
        <f>IF(ISBLANK('Event summary'!A648),"",'Event summary'!A648)</f>
        <v>648</v>
      </c>
      <c r="C648" s="115" t="str">
        <f>IF(ISBLANK('Event summary'!B648),"",'Event summary'!B648)</f>
        <v>היעדר תיעוד</v>
      </c>
      <c r="D648" s="116" t="str">
        <f>IF(ISBLANK('Event summary'!C648),"",'Event summary'!C648)</f>
        <v>למטופל לא היה טופס סימולציה כתוב וחתום.</v>
      </c>
      <c r="E648" s="116" t="str">
        <f>IF(ISBLANK('Event summary'!D648),"",'Event summary'!D648)</f>
        <v>יש להקפיד למלא טופס סימולציה. יש להקפיד ולהתאים את הטופס לאופן הסריקה הרצוי. מטרת הטופס היא להנחות את הצוות על הפרמטרים של הסריקה.</v>
      </c>
      <c r="F648" s="117">
        <f>IF(ISBLANK('Event summary'!E648),"",'Event summary'!E648)</f>
        <v>45501</v>
      </c>
      <c r="G648" s="57" t="s">
        <v>1649</v>
      </c>
      <c r="H648" s="57" t="s">
        <v>1612</v>
      </c>
    </row>
    <row r="649" spans="1:8" ht="57" x14ac:dyDescent="0.2">
      <c r="A649" s="114" t="e">
        <f>IF(ISBLANK('Event summary'!#REF!),"",'Event summary'!#REF!)</f>
        <v>#REF!</v>
      </c>
      <c r="B649" s="115">
        <f>IF(ISBLANK('Event summary'!A649),"",'Event summary'!A649)</f>
        <v>649</v>
      </c>
      <c r="C649" s="115" t="str">
        <f>IF(ISBLANK('Event summary'!B649),"",'Event summary'!B649)</f>
        <v>היעדר תיעוד</v>
      </c>
      <c r="D649" s="116" t="str">
        <f>IF(ISBLANK('Event summary'!C649),"",'Event summary'!C649)</f>
        <v>למטופל לא היה טופס סימולציה כתוב וחתום.</v>
      </c>
      <c r="E649" s="116" t="str">
        <f>IF(ISBLANK('Event summary'!D649),"",'Event summary'!D649)</f>
        <v>יש להקפיד למלא טופס סימולציה. יש להקפיד ולהתאים את הטופס לאופן הסריקה הרצוי. מטרת הטופס היא להנחות את הצוות על הפרמטרים של הסריקה.</v>
      </c>
      <c r="F649" s="117">
        <f>IF(ISBLANK('Event summary'!E649),"",'Event summary'!E649)</f>
        <v>45501</v>
      </c>
      <c r="G649" s="57" t="s">
        <v>1649</v>
      </c>
      <c r="H649" s="57" t="s">
        <v>1670</v>
      </c>
    </row>
    <row r="650" spans="1:8" ht="57" x14ac:dyDescent="0.2">
      <c r="A650" s="114" t="e">
        <f>IF(ISBLANK('Event summary'!#REF!),"",'Event summary'!#REF!)</f>
        <v>#REF!</v>
      </c>
      <c r="B650" s="115">
        <f>IF(ISBLANK('Event summary'!A650),"",'Event summary'!A650)</f>
        <v>650</v>
      </c>
      <c r="C650" s="115" t="str">
        <f>IF(ISBLANK('Event summary'!B650),"",'Event summary'!B650)</f>
        <v>העברת מידע</v>
      </c>
      <c r="D650" s="116" t="str">
        <f>IF(ISBLANK('Event summary'!C650),"",'Event summary'!C650)</f>
        <v>למטופל הוכנס טופס סימולציה של ארמונית עם שלפוחית מלאה ורקטום ריק. לאחר מילוי ההוראות כשהמטופל ממתין עם שלפוחית מלאה. האחות הודיעה שהמתמחה שינתה את הטופס ואין צורך בהנחיות לשלפוחית ורקטום.</v>
      </c>
      <c r="E650" s="116" t="str">
        <f>IF(ISBLANK('Event summary'!D650),"",'Event summary'!D650)</f>
        <v>יש להקפיד ולהתאים את הטופס לאופן הסריקה הרצוי ולא להשתמש בברירת המחדל של הטופס. מטרת הטופס היא להנחות את הצוות על הפרמטרים של הסריקה.</v>
      </c>
      <c r="F650" s="117">
        <f>IF(ISBLANK('Event summary'!E650),"",'Event summary'!E650)</f>
        <v>45501</v>
      </c>
      <c r="G650" s="57" t="s">
        <v>1649</v>
      </c>
      <c r="H650" s="57" t="s">
        <v>1670</v>
      </c>
    </row>
    <row r="651" spans="1:8" ht="57" x14ac:dyDescent="0.2">
      <c r="A651" s="114" t="e">
        <f>IF(ISBLANK('Event summary'!#REF!),"",'Event summary'!#REF!)</f>
        <v>#REF!</v>
      </c>
      <c r="B651" s="115">
        <f>IF(ISBLANK('Event summary'!A651),"",'Event summary'!A651)</f>
        <v>651</v>
      </c>
      <c r="C651" s="115" t="str">
        <f>IF(ISBLANK('Event summary'!B651),"",'Event summary'!B651)</f>
        <v>העברת מידע</v>
      </c>
      <c r="D651" s="116" t="str">
        <f>IF(ISBLANK('Event summary'!C651),"",'Event summary'!C651)</f>
        <v>שמות ה PTV בתכנון ובמרשם כלליים (PTV1, PTV2) ואינם תואמים לאיזור הטיפול.</v>
      </c>
      <c r="E651" s="116" t="str">
        <f>IF(ISBLANK('Event summary'!D651),"",'Event summary'!D651)</f>
        <v>שמות ה PTV בתכנון ובמרשם צריכים להיות בעלי משמעות ותואמים לאיזור הטיפול.</v>
      </c>
      <c r="F651" s="117">
        <f>IF(ISBLANK('Event summary'!E651),"",'Event summary'!E651)</f>
        <v>45501</v>
      </c>
      <c r="G651" s="57" t="s">
        <v>1649</v>
      </c>
      <c r="H651" s="57" t="s">
        <v>1670</v>
      </c>
    </row>
    <row r="652" spans="1:8" ht="28.5" x14ac:dyDescent="0.2">
      <c r="A652" s="114" t="e">
        <f>IF(ISBLANK('Event summary'!#REF!),"",'Event summary'!#REF!)</f>
        <v>#REF!</v>
      </c>
      <c r="B652" s="115">
        <f>IF(ISBLANK('Event summary'!A652),"",'Event summary'!A652)</f>
        <v>652</v>
      </c>
      <c r="C652" s="115" t="str">
        <f>IF(ISBLANK('Event summary'!B652),"",'Event summary'!B652)</f>
        <v>העברת מידע</v>
      </c>
      <c r="D652" s="116" t="str">
        <f>IF(ISBLANK('Event summary'!C652),"",'Event summary'!C652)</f>
        <v xml:space="preserve">עיכוב בהזמנה של רופא מרדים עבור טיפול TBI של 7 בבוקר. הרופא הוזמן ע"י אחות רק בשעה 7:15. הרופא הגיע ב 7:25. </v>
      </c>
      <c r="E652" s="116" t="str">
        <f>IF(ISBLANK('Event summary'!D652),"",'Event summary'!D652)</f>
        <v>יש להזמין רופא מרדים מראש ולוודא את הזימון עם הגעת המטופל ליחידה.</v>
      </c>
      <c r="F652" s="117">
        <f>IF(ISBLANK('Event summary'!E652),"",'Event summary'!E652)</f>
        <v>45543</v>
      </c>
      <c r="G652" s="57" t="s">
        <v>1652</v>
      </c>
      <c r="H652" s="57" t="s">
        <v>945</v>
      </c>
    </row>
    <row r="653" spans="1:8" ht="99.75" x14ac:dyDescent="0.2">
      <c r="A653" s="114" t="e">
        <f>IF(ISBLANK('Event summary'!#REF!),"",'Event summary'!#REF!)</f>
        <v>#REF!</v>
      </c>
      <c r="B653" s="115">
        <f>IF(ISBLANK('Event summary'!A653),"",'Event summary'!A653)</f>
        <v>653</v>
      </c>
      <c r="C653" s="115" t="str">
        <f>IF(ISBLANK('Event summary'!B653),"",'Event summary'!B653)</f>
        <v>תכנון שגוי</v>
      </c>
      <c r="D653" s="116" t="str">
        <f>IF(ISBLANK('Event summary'!C653),"",'Event summary'!C653)</f>
        <v>מטופל נסרק עם מסיכה קצרה בזווית 30 מעלות עבור תכנון קרקפת. נעשתה תכנית עם ארקים מלאים. עקב גובה מיטה לא ניתן היה לטפל ותוכננה תכנית חדשה.  כאשר המטופל ממתין.</v>
      </c>
      <c r="E653" s="116" t="str">
        <f>IF(ISBLANK('Event summary'!D653),"",'Event summary'!D653)</f>
        <v>להקפיד על סריקה של המיטה במקרים אלו. מעל CVRT 20cm לא לעשות ארקים מלאים. פיזיקאים יקפידו על בדיקה של הזווית של המתקן ברישום של קמליון.</v>
      </c>
      <c r="F653" s="117">
        <f>IF(ISBLANK('Event summary'!E653),"",'Event summary'!E653)</f>
        <v>45543</v>
      </c>
      <c r="G653" s="57" t="s">
        <v>1653</v>
      </c>
      <c r="H653" s="57" t="s">
        <v>1654</v>
      </c>
    </row>
    <row r="654" spans="1:8" ht="42.75" x14ac:dyDescent="0.2">
      <c r="A654" s="114" t="e">
        <f>IF(ISBLANK('Event summary'!#REF!),"",'Event summary'!#REF!)</f>
        <v>#REF!</v>
      </c>
      <c r="B654" s="115">
        <f>IF(ISBLANK('Event summary'!A654),"",'Event summary'!A654)</f>
        <v>654</v>
      </c>
      <c r="C654" s="115" t="str">
        <f>IF(ISBLANK('Event summary'!B654),"",'Event summary'!B654)</f>
        <v>תיעוד לא תקין</v>
      </c>
      <c r="D654" s="116" t="str">
        <f>IF(ISBLANK('Event summary'!C654),"",'Event summary'!C654)</f>
        <v>בקמליון וב- Aria לא היה רשום איזה באיזה צלע מטפלים. היה רשום רק צלע ימין.</v>
      </c>
      <c r="E654" s="116" t="str">
        <f>IF(ISBLANK('Event summary'!D654),"",'Event summary'!D654)</f>
        <v>להקפיד על רישום נכון וספציפי של אתר הטיפול על מנת לוודא שאין טעויות בתכנון וטיפול.</v>
      </c>
      <c r="F654" s="117">
        <f>IF(ISBLANK('Event summary'!E654),"",'Event summary'!E654)</f>
        <v>45543</v>
      </c>
      <c r="G654" s="57" t="s">
        <v>1655</v>
      </c>
      <c r="H654" s="57" t="s">
        <v>1478</v>
      </c>
    </row>
    <row r="655" spans="1:8" ht="42.75" x14ac:dyDescent="0.2">
      <c r="A655" s="114" t="e">
        <f>IF(ISBLANK('Event summary'!#REF!),"",'Event summary'!#REF!)</f>
        <v>#REF!</v>
      </c>
      <c r="B655" s="115">
        <f>IF(ISBLANK('Event summary'!A655),"",'Event summary'!A655)</f>
        <v>655</v>
      </c>
      <c r="C655" s="115" t="str">
        <f>IF(ISBLANK('Event summary'!B655),"",'Event summary'!B655)</f>
        <v>עבודה שלא על פי הנוהל</v>
      </c>
      <c r="D655" s="116" t="str">
        <f>IF(ISBLANK('Event summary'!C655),"",'Event summary'!C655)</f>
        <v>עבור מטופלת GYN ניתנה הוראה לבצע סריקה עם ח.נ בהזרקה. הפרוטוקול הרגיל מבקש ח.נ בשתיה בלבד. לאחר בירור הוחלט להצמד לפרוטוקול הרגיל.</v>
      </c>
      <c r="E655" s="116" t="str">
        <f>IF(ISBLANK('Event summary'!D655),"",'Event summary'!D655)</f>
        <v xml:space="preserve">הוראות לסימולציה יתועדו במסמך באופן ספציפי ומדוייק. לא יבוצעו סריקות למטרות דיאגנוסטיות בסימולציה. </v>
      </c>
      <c r="F655" s="117">
        <f>IF(ISBLANK('Event summary'!E655),"",'Event summary'!E655)</f>
        <v>45543</v>
      </c>
      <c r="G655" s="57" t="s">
        <v>1656</v>
      </c>
      <c r="H655" s="57" t="s">
        <v>1657</v>
      </c>
    </row>
    <row r="656" spans="1:8" ht="28.5" x14ac:dyDescent="0.2">
      <c r="A656" s="114" t="e">
        <f>IF(ISBLANK('Event summary'!#REF!),"",'Event summary'!#REF!)</f>
        <v>#REF!</v>
      </c>
      <c r="B656" s="115">
        <f>IF(ISBLANK('Event summary'!A656),"",'Event summary'!A656)</f>
        <v>656</v>
      </c>
      <c r="C656" s="115" t="str">
        <f>IF(ISBLANK('Event summary'!B656),"",'Event summary'!B656)</f>
        <v>העברת מידע</v>
      </c>
      <c r="D656" s="116" t="str">
        <f>IF(ISBLANK('Event summary'!C656),"",'Event summary'!C656)</f>
        <v>במכתב pdf בקמליון מופיע רק מרשם ברכי במקום מרשם ברכי ומרשם קרינה חיצונית.</v>
      </c>
      <c r="E656" s="116" t="str">
        <f>IF(ISBLANK('Event summary'!D656),"",'Event summary'!D656)</f>
        <v>המקרה יבדק מול אדמיניסטרציה של קמליון.</v>
      </c>
      <c r="F656" s="117">
        <f>IF(ISBLANK('Event summary'!E656),"",'Event summary'!E656)</f>
        <v>45543</v>
      </c>
      <c r="G656" s="57" t="s">
        <v>1658</v>
      </c>
      <c r="H656" s="57" t="s">
        <v>1659</v>
      </c>
    </row>
    <row r="657" spans="1:8" ht="42.75" x14ac:dyDescent="0.2">
      <c r="A657" s="114" t="e">
        <f>IF(ISBLANK('Event summary'!#REF!),"",'Event summary'!#REF!)</f>
        <v>#REF!</v>
      </c>
      <c r="B657" s="115">
        <f>IF(ISBLANK('Event summary'!A657),"",'Event summary'!A657)</f>
        <v>657</v>
      </c>
      <c r="C657" s="115" t="str">
        <f>IF(ISBLANK('Event summary'!B657),"",'Event summary'!B657)</f>
        <v>תיעוד לא תקין</v>
      </c>
      <c r="D657" s="116" t="str">
        <f>IF(ISBLANK('Event summary'!C657),"",'Event summary'!C657)</f>
        <v>עבור מטופלת לסימוציה וטיפול באותו היום, לא היה ברור אם מטפלים בכתף בלבד או בכתף וכף רגל. לא היה טופס סימולציה.</v>
      </c>
      <c r="E657" s="116" t="str">
        <f>IF(ISBLANK('Event summary'!D657),"",'Event summary'!D657)</f>
        <v>במקרים דחופים לא יכתב מסמך לסימולציה והתקשורת תהיה ישירה בין הרופא לרנטגנאים.</v>
      </c>
      <c r="F657" s="117">
        <f>IF(ISBLANK('Event summary'!E657),"",'Event summary'!E657)</f>
        <v>45543</v>
      </c>
      <c r="G657" s="57" t="s">
        <v>1660</v>
      </c>
      <c r="H657" s="57" t="s">
        <v>1659</v>
      </c>
    </row>
    <row r="658" spans="1:8" ht="28.5" x14ac:dyDescent="0.2">
      <c r="A658" s="114" t="e">
        <f>IF(ISBLANK('Event summary'!#REF!),"",'Event summary'!#REF!)</f>
        <v>#REF!</v>
      </c>
      <c r="B658" s="115">
        <f>IF(ISBLANK('Event summary'!A658),"",'Event summary'!A658)</f>
        <v>658</v>
      </c>
      <c r="C658" s="115" t="str">
        <f>IF(ISBLANK('Event summary'!B658),"",'Event summary'!B658)</f>
        <v>העברת מידע</v>
      </c>
      <c r="D658" s="116" t="str">
        <f>IF(ISBLANK('Event summary'!C658),"",'Event summary'!C658)</f>
        <v>עבור טיפול עם בולוס, ה- setup bolus לא התאים.</v>
      </c>
      <c r="E658" s="116" t="str">
        <f>IF(ISBLANK('Event summary'!D658),"",'Event summary'!D658)</f>
        <v>בתיקי ראש צוואר יש לסמן על המסיכה את המיקום הרצוי של הבולוס.</v>
      </c>
      <c r="F658" s="117">
        <f>IF(ISBLANK('Event summary'!E658),"",'Event summary'!E658)</f>
        <v>45543</v>
      </c>
      <c r="G658" s="57" t="s">
        <v>1661</v>
      </c>
      <c r="H658" s="57" t="s">
        <v>1374</v>
      </c>
    </row>
    <row r="659" spans="1:8" ht="42.75" x14ac:dyDescent="0.2">
      <c r="A659" s="114" t="e">
        <f>IF(ISBLANK('Event summary'!#REF!),"",'Event summary'!#REF!)</f>
        <v>#REF!</v>
      </c>
      <c r="B659" s="115">
        <f>IF(ISBLANK('Event summary'!A659),"",'Event summary'!A659)</f>
        <v>659</v>
      </c>
      <c r="C659" s="115" t="str">
        <f>IF(ISBLANK('Event summary'!B659),"",'Event summary'!B659)</f>
        <v>תיעוד לא תקין</v>
      </c>
      <c r="D659" s="116" t="str">
        <f>IF(ISBLANK('Event summary'!C659),"",'Event summary'!C659)</f>
        <v>ה- GTV, PTV והמרשם נכתבו כ- D12. בפועל הטיפול הוא ל צלע 9 Rt 9th Rib. השמות של נפחים שונו ל- D9.</v>
      </c>
      <c r="E659" s="116" t="str">
        <f>IF(ISBLANK('Event summary'!D659),"",'Event summary'!D659)</f>
        <v>יש להקפיד על אחידות באופן מתן שמות לנפחים תוך הקפדה על סימון מתאים.</v>
      </c>
      <c r="F659" s="117">
        <f>IF(ISBLANK('Event summary'!E659),"",'Event summary'!E659)</f>
        <v>45543</v>
      </c>
      <c r="G659" s="57" t="s">
        <v>1655</v>
      </c>
      <c r="H659" s="57" t="s">
        <v>1478</v>
      </c>
    </row>
    <row r="660" spans="1:8" ht="42.75" x14ac:dyDescent="0.2">
      <c r="A660" s="114" t="e">
        <f>IF(ISBLANK('Event summary'!#REF!),"",'Event summary'!#REF!)</f>
        <v>#REF!</v>
      </c>
      <c r="B660" s="115">
        <f>IF(ISBLANK('Event summary'!A660),"",'Event summary'!A660)</f>
        <v>660</v>
      </c>
      <c r="C660" s="115" t="str">
        <f>IF(ISBLANK('Event summary'!B660),"",'Event summary'!B660)</f>
        <v>העברת מידע</v>
      </c>
      <c r="D660" s="116" t="str">
        <f>IF(ISBLANK('Event summary'!C660),"",'Event summary'!C660)</f>
        <v>מטופלת לא הגיעה לטיפול ראשון. לאחר שיחה איתה התברר שלא קיבלה זימון. המטופלת התחילה טיפול של 5 פרקציות ביום שני במקום בראשון.</v>
      </c>
      <c r="E660" s="116" t="str">
        <f>IF(ISBLANK('Event summary'!D660),"",'Event summary'!D660)</f>
        <v>ללא שינוי.</v>
      </c>
      <c r="F660" s="117">
        <f>IF(ISBLANK('Event summary'!E660),"",'Event summary'!E660)</f>
        <v>45543</v>
      </c>
    </row>
    <row r="661" spans="1:8" ht="42.75" x14ac:dyDescent="0.2">
      <c r="A661" s="114" t="e">
        <f>IF(ISBLANK('Event summary'!#REF!),"",'Event summary'!#REF!)</f>
        <v>#REF!</v>
      </c>
      <c r="B661" s="115">
        <f>IF(ISBLANK('Event summary'!A661),"",'Event summary'!A661)</f>
        <v>661</v>
      </c>
      <c r="C661" s="115" t="str">
        <f>IF(ISBLANK('Event summary'!B661),"",'Event summary'!B661)</f>
        <v>העברת מידע</v>
      </c>
      <c r="D661" s="116" t="str">
        <f>IF(ISBLANK('Event summary'!C661),"",'Event summary'!C661)</f>
        <v>מטופל לא הגיע לטיפול ראשון. לאחר שיחה איתו התברר שלא קיבל זימון. המטופל התחיל טיפול של 5 פרקציות ביום שני במקום בראשון.</v>
      </c>
      <c r="E661" s="116" t="str">
        <f>IF(ISBLANK('Event summary'!D661),"",'Event summary'!D661)</f>
        <v>ללא שינוי.</v>
      </c>
      <c r="F661" s="117">
        <f>IF(ISBLANK('Event summary'!E661),"",'Event summary'!E661)</f>
        <v>45543</v>
      </c>
    </row>
    <row r="662" spans="1:8" ht="30" x14ac:dyDescent="0.2">
      <c r="A662" s="114" t="e">
        <f>IF(ISBLANK('Event summary'!#REF!),"",'Event summary'!#REF!)</f>
        <v>#REF!</v>
      </c>
      <c r="B662" s="115">
        <f>IF(ISBLANK('Event summary'!A662),"",'Event summary'!A662)</f>
        <v>662</v>
      </c>
      <c r="C662" s="115" t="str">
        <f>IF(ISBLANK('Event summary'!B662),"",'Event summary'!B662)</f>
        <v>כמעט ניתן טיפול שגוי</v>
      </c>
      <c r="D662" s="116" t="str">
        <f>IF(ISBLANK('Event summary'!C662),"",'Event summary'!C662)</f>
        <v>מטופל קיבל מרשם ל Syr. Oxycod Forte במקום ל- Syr. Oxycod במינון של 10 טיפות.</v>
      </c>
      <c r="E662" s="116" t="str">
        <f>IF(ISBLANK('Event summary'!D662),"",'Event summary'!D662)</f>
        <v>בוצע חידוד נוהל מול המתמחים. יש להקפיד על רישום נכון של התרופות הניתנות למטופלים. אחיות יבצעו בקרה.</v>
      </c>
      <c r="F662" s="117">
        <f>IF(ISBLANK('Event summary'!E662),"",'Event summary'!E662)</f>
        <v>45543</v>
      </c>
      <c r="G662" s="57" t="s">
        <v>1662</v>
      </c>
      <c r="H662" s="57" t="s">
        <v>1663</v>
      </c>
    </row>
    <row r="663" spans="1:8" ht="28.5" x14ac:dyDescent="0.2">
      <c r="A663" s="114" t="e">
        <f>IF(ISBLANK('Event summary'!#REF!),"",'Event summary'!#REF!)</f>
        <v>#REF!</v>
      </c>
      <c r="B663" s="115">
        <f>IF(ISBLANK('Event summary'!A663),"",'Event summary'!A663)</f>
        <v>663</v>
      </c>
      <c r="C663" s="115" t="str">
        <f>IF(ISBLANK('Event summary'!B663),"",'Event summary'!B663)</f>
        <v>סימון שגוי</v>
      </c>
      <c r="D663" s="116" t="str">
        <f>IF(ISBLANK('Event summary'!C663),"",'Event summary'!C663)</f>
        <v>מטופל שכב בסימולציה Feet First. הקעקועים על המטופל נקבעו גבוהה מדי עם הזזה מהמרכז של 42cm.</v>
      </c>
      <c r="E663" s="116" t="str">
        <f>IF(ISBLANK('Event summary'!D663),"",'Event summary'!D663)</f>
        <v>בהשכבה Feet First סימון המטופל לא יהיה גדול מ 15cm מעל מוקד הטיפול. ירכשו קיבועים מתאימים.</v>
      </c>
      <c r="F663" s="117">
        <f>IF(ISBLANK('Event summary'!E663),"",'Event summary'!E663)</f>
        <v>45543</v>
      </c>
      <c r="G663" s="57" t="s">
        <v>1664</v>
      </c>
      <c r="H663" s="57" t="s">
        <v>1665</v>
      </c>
    </row>
    <row r="664" spans="1:8" ht="30" x14ac:dyDescent="0.2">
      <c r="A664" s="114" t="e">
        <f>IF(ISBLANK('Event summary'!#REF!),"",'Event summary'!#REF!)</f>
        <v>#REF!</v>
      </c>
      <c r="B664" s="115">
        <f>IF(ISBLANK('Event summary'!A664),"",'Event summary'!A664)</f>
        <v>664</v>
      </c>
      <c r="C664" s="115" t="str">
        <f>IF(ISBLANK('Event summary'!B664),"",'Event summary'!B664)</f>
        <v>שגיאה בזיהוי מטופל</v>
      </c>
      <c r="D664" s="116" t="str">
        <f>IF(ISBLANK('Event summary'!C664),"",'Event summary'!C664)</f>
        <v>מייל נשלח לזימון לסימולציה על שם האישה של המטופל,  במקום שם המטופל.</v>
      </c>
      <c r="E664" s="116" t="str">
        <f>IF(ISBLANK('Event summary'!D664),"",'Event summary'!D664)</f>
        <v>המזכירות תשלך מייל באופן מסודר עם זיהוי דמוגרפי נכון של המטופלים.</v>
      </c>
      <c r="F664" s="117">
        <f>IF(ISBLANK('Event summary'!E664),"",'Event summary'!E664)</f>
        <v>45543</v>
      </c>
      <c r="G664" s="57" t="s">
        <v>1667</v>
      </c>
      <c r="H664" s="57" t="s">
        <v>1668</v>
      </c>
    </row>
    <row r="665" spans="1:8" ht="30" x14ac:dyDescent="0.2">
      <c r="A665" s="114" t="e">
        <f>IF(ISBLANK('Event summary'!#REF!),"",'Event summary'!#REF!)</f>
        <v>#REF!</v>
      </c>
      <c r="B665" s="115">
        <f>IF(ISBLANK('Event summary'!A665),"",'Event summary'!A665)</f>
        <v>665</v>
      </c>
      <c r="C665" s="115" t="str">
        <f>IF(ISBLANK('Event summary'!B665),"",'Event summary'!B665)</f>
        <v>כמעט ניתן טיפול שגוי</v>
      </c>
      <c r="D665" s="116" t="str">
        <f>IF(ISBLANK('Event summary'!C665),"",'Event summary'!C665)</f>
        <v>שבעה מטופלים לספייסרים קיבלו מרשם ל Syr. Oxycod Forte 2.5ml במקום Syr. Oxycod 2.5ml</v>
      </c>
      <c r="E665" s="116" t="str">
        <f>IF(ISBLANK('Event summary'!D665),"",'Event summary'!D665)</f>
        <v>בוצע חידוד נוהל מול המתמחים. יש להקפיד על רישום נכון של התרופות הניתנות למטופלים. אחיות יבצעו בקרה.</v>
      </c>
      <c r="F665" s="117">
        <f>IF(ISBLANK('Event summary'!E665),"",'Event summary'!E665)</f>
        <v>45543</v>
      </c>
      <c r="G665" s="57" t="s">
        <v>1667</v>
      </c>
      <c r="H665" s="57" t="s">
        <v>1374</v>
      </c>
    </row>
    <row r="666" spans="1:8" ht="42.75" x14ac:dyDescent="0.2">
      <c r="A666" s="114" t="e">
        <f>IF(ISBLANK('Event summary'!#REF!),"",'Event summary'!#REF!)</f>
        <v>#REF!</v>
      </c>
      <c r="B666" s="115">
        <f>IF(ISBLANK('Event summary'!A666),"",'Event summary'!A666)</f>
        <v>666</v>
      </c>
      <c r="C666" s="115" t="str">
        <f>IF(ISBLANK('Event summary'!B666),"",'Event summary'!B666)</f>
        <v>כמעט ניתן טיפול שגוי</v>
      </c>
      <c r="D666" s="116" t="str">
        <f>IF(ISBLANK('Event summary'!C666),"",'Event summary'!C666)</f>
        <v>במסגרת מתן טיפול תרופתי לפני הכנסת ספייסר, המטופל לא קיבל תרופות למרות שאחות חשבה שכן. הבעיה טופלה כשזוהתה.</v>
      </c>
      <c r="E666" s="116" t="str">
        <f>IF(ISBLANK('Event summary'!D666),"",'Event summary'!D666)</f>
        <v>חידוד נהלים לאחיות. חותמים רק לאחר מתן התרופה.</v>
      </c>
      <c r="F666" s="117">
        <f>IF(ISBLANK('Event summary'!E666),"",'Event summary'!E666)</f>
        <v>45543</v>
      </c>
      <c r="G666" s="57" t="s">
        <v>1667</v>
      </c>
      <c r="H666" s="57" t="s">
        <v>1259</v>
      </c>
    </row>
    <row r="667" spans="1:8" ht="42.75" x14ac:dyDescent="0.2">
      <c r="A667" s="114" t="e">
        <f>IF(ISBLANK('Event summary'!#REF!),"",'Event summary'!#REF!)</f>
        <v>#REF!</v>
      </c>
      <c r="B667" s="115">
        <f>IF(ISBLANK('Event summary'!A667),"",'Event summary'!A667)</f>
        <v>667</v>
      </c>
      <c r="C667" s="115" t="str">
        <f>IF(ISBLANK('Event summary'!B667),"",'Event summary'!B667)</f>
        <v>סריקה לא תקינה</v>
      </c>
      <c r="D667" s="116" t="str">
        <f>IF(ISBLANK('Event summary'!C667),"",'Event summary'!C667)</f>
        <v>מטופל הוזמן לסימולציה לבירור עומק של צלקת לצורך טיפול. לאחר מכן הוחלט לטפל במוקד נוסף באגן. לא היו סימונים על המטופל להתאמת מרכז הטיפול.</v>
      </c>
      <c r="E667" s="116" t="str">
        <f>IF(ISBLANK('Event summary'!D667),"",'Event summary'!D667)</f>
        <v>ללא שינוי.</v>
      </c>
      <c r="F667" s="117">
        <f>IF(ISBLANK('Event summary'!E667),"",'Event summary'!E667)</f>
        <v>45543</v>
      </c>
    </row>
    <row r="668" spans="1:8" ht="42.75" x14ac:dyDescent="0.2">
      <c r="A668" s="114" t="e">
        <f>IF(ISBLANK('Event summary'!#REF!),"",'Event summary'!#REF!)</f>
        <v>#REF!</v>
      </c>
      <c r="B668" s="115">
        <f>IF(ISBLANK('Event summary'!A668),"",'Event summary'!A668)</f>
        <v>668</v>
      </c>
      <c r="C668" s="115" t="str">
        <f>IF(ISBLANK('Event summary'!B668),"",'Event summary'!B668)</f>
        <v>היעדר תיעוד</v>
      </c>
      <c r="D668" s="116" t="str">
        <f>IF(ISBLANK('Event summary'!C668),"",'Event summary'!C668)</f>
        <v>בתיק של המטופל לא היה טופס סימולציה ולא צויין שאיזור הטיפול הוא ירך דיסטאלי. לכן, לא בוצעה סריקה Feet First. המטופל הוזמן לסימולציה חוזרת וטיפול באותו היום.</v>
      </c>
      <c r="E668" s="116" t="str">
        <f>IF(ISBLANK('Event summary'!D668),"",'Event summary'!D668)</f>
        <v>יש להקפיד ולהתאים את הטופס לאופן הסריקה הרצוי ולא להשתמש בברירת המחדל של הטופס. מטרת הטופס היא להנחות את הצוות על הפרמטרים של הסריקה.</v>
      </c>
      <c r="F668" s="117">
        <f>IF(ISBLANK('Event summary'!E668),"",'Event summary'!E668)</f>
        <v>45578</v>
      </c>
    </row>
    <row r="669" spans="1:8" ht="42.75" x14ac:dyDescent="0.2">
      <c r="A669" s="114" t="e">
        <f>IF(ISBLANK('Event summary'!#REF!),"",'Event summary'!#REF!)</f>
        <v>#REF!</v>
      </c>
      <c r="B669" s="115">
        <f>IF(ISBLANK('Event summary'!A669),"",'Event summary'!A669)</f>
        <v>669</v>
      </c>
      <c r="C669" s="115" t="str">
        <f>IF(ISBLANK('Event summary'!B669),"",'Event summary'!B669)</f>
        <v>חוסר בהבנת דרישות הטיפול</v>
      </c>
      <c r="D669" s="116" t="str">
        <f>IF(ISBLANK('Event summary'!C669),"",'Event summary'!C669)</f>
        <v>חמישה מטופלים מתוך 6 מטופלים היו קשים והוזמנו לסימולציה קצ"ת לאחר כנס. אחד עם פיגור, 2 עם כיסא גלגלים ושניים עם קשיי תקשורת (שפה).</v>
      </c>
      <c r="E669" s="116" t="str">
        <f>IF(ISBLANK('Event summary'!D669),"",'Event summary'!D669)</f>
        <v>נושא זימון מטופל אחר הצהריים יהיה מוגדר טוב יותר לאחר הקמת יחידת הבקרה.</v>
      </c>
      <c r="F669" s="117">
        <f>IF(ISBLANK('Event summary'!E669),"",'Event summary'!E669)</f>
        <v>45578</v>
      </c>
    </row>
    <row r="670" spans="1:8" ht="42.75" x14ac:dyDescent="0.2">
      <c r="A670" s="114" t="e">
        <f>IF(ISBLANK('Event summary'!#REF!),"",'Event summary'!#REF!)</f>
        <v>#REF!</v>
      </c>
      <c r="B670" s="115">
        <f>IF(ISBLANK('Event summary'!A670),"",'Event summary'!A670)</f>
        <v>670</v>
      </c>
      <c r="C670" s="115" t="str">
        <f>IF(ISBLANK('Event summary'!B670),"",'Event summary'!B670)</f>
        <v>תיעוד לא תקין</v>
      </c>
      <c r="D670" s="116" t="str">
        <f>IF(ISBLANK('Event summary'!C670),"",'Event summary'!C670)</f>
        <v>בטיפול TSET היו הנחיות לא ברורות ולא מדוייקות שלא הופיעו במרשם. כתוצאה מקבלה של רופא אחד והעברת המקרה לטיפולו של רופא אחר. המטופל נפל בין הכיסאות.</v>
      </c>
      <c r="E670" s="116" t="str">
        <f>IF(ISBLANK('Event summary'!D670),"",'Event summary'!D670)</f>
        <v>בוצע שינוי באופן קבלת המטופלים של TSET.</v>
      </c>
      <c r="F670" s="117">
        <f>IF(ISBLANK('Event summary'!E670),"",'Event summary'!E670)</f>
        <v>45578</v>
      </c>
    </row>
    <row r="671" spans="1:8" ht="42.75" x14ac:dyDescent="0.2">
      <c r="A671" s="114" t="e">
        <f>IF(ISBLANK('Event summary'!#REF!),"",'Event summary'!#REF!)</f>
        <v>#REF!</v>
      </c>
      <c r="B671" s="115">
        <f>IF(ISBLANK('Event summary'!A671),"",'Event summary'!A671)</f>
        <v>671</v>
      </c>
      <c r="C671" s="115" t="str">
        <f>IF(ISBLANK('Event summary'!B671),"",'Event summary'!B671)</f>
        <v>תיעוד לא תקין</v>
      </c>
      <c r="D671" s="116" t="str">
        <f>IF(ISBLANK('Event summary'!C671),"",'Event summary'!C671)</f>
        <v>אי התאמה בין שם המרשם (SBRT c spine met) לבין נפח המטרה (PTV rt scapula).</v>
      </c>
      <c r="E671" s="116" t="str">
        <f>IF(ISBLANK('Event summary'!D671),"",'Event summary'!D671)</f>
        <v>יש להתאים בין שמות הנפחים למטרות במרשם. פיזיקאי שמקבל תיק עם שמות לא תואמים יש לפנות לרופא לצורך תיקון. חידוד הנוהל.</v>
      </c>
      <c r="F671" s="117">
        <f>IF(ISBLANK('Event summary'!E671),"",'Event summary'!E671)</f>
        <v>45578</v>
      </c>
    </row>
    <row r="672" spans="1:8" ht="42.75" x14ac:dyDescent="0.2">
      <c r="A672" s="114" t="e">
        <f>IF(ISBLANK('Event summary'!#REF!),"",'Event summary'!#REF!)</f>
        <v>#REF!</v>
      </c>
      <c r="B672" s="115">
        <f>IF(ISBLANK('Event summary'!A672),"",'Event summary'!A672)</f>
        <v>672</v>
      </c>
      <c r="C672" s="115" t="str">
        <f>IF(ISBLANK('Event summary'!B672),"",'Event summary'!B672)</f>
        <v>תיעוד לא תקין</v>
      </c>
      <c r="D672" s="116" t="str">
        <f>IF(ISBLANK('Event summary'!C672),"",'Event summary'!C672)</f>
        <v>במרשם ובמכתבים (בקמליון) רשום LLL הסימון והטיפול הוא ל LUL. בבדיקת הרופא הטיפול הוא ל LUL.</v>
      </c>
      <c r="E672" s="116" t="str">
        <f>IF(ISBLANK('Event summary'!D672),"",'Event summary'!D672)</f>
        <v>יש להתאים בין שמות הנפחים למטרות במרשם. פיזיקאי שמקבל תיק עם שמות לא תואמים יש לפנות לרופא לצורך תיקון. חידוד הנוהל.</v>
      </c>
      <c r="F672" s="117">
        <f>IF(ISBLANK('Event summary'!E672),"",'Event summary'!E672)</f>
        <v>45578</v>
      </c>
    </row>
    <row r="673" spans="1:6" ht="42.75" x14ac:dyDescent="0.2">
      <c r="A673" s="114" t="e">
        <f>IF(ISBLANK('Event summary'!#REF!),"",'Event summary'!#REF!)</f>
        <v>#REF!</v>
      </c>
      <c r="B673" s="115">
        <f>IF(ISBLANK('Event summary'!A673),"",'Event summary'!A673)</f>
        <v>673</v>
      </c>
      <c r="C673" s="115" t="str">
        <f>IF(ISBLANK('Event summary'!B673),"",'Event summary'!B673)</f>
        <v>פגיעה במתקן</v>
      </c>
      <c r="D673" s="116" t="str">
        <f>IF(ISBLANK('Event summary'!C673),"",'Event summary'!C673)</f>
        <v>בעת הוצאה של מיטה מחדר המאיץ המיטה היתה גבוהה ומוט אינפוזיה שמחובר למיטה הפיל את המשקוף של דלת המאיץ. המסגרת נפלה על מיטת המטופל. המטופל לא נפגע.</v>
      </c>
      <c r="E673" s="116" t="str">
        <f>IF(ISBLANK('Event summary'!D673),"",'Event summary'!D673)</f>
        <v>תועבר הנחיה לסניטרים להקפיד על הורדת מיטה בטרם יציאה/כניסה לחדר המאיץ.</v>
      </c>
      <c r="F673" s="117">
        <f>IF(ISBLANK('Event summary'!E673),"",'Event summary'!E673)</f>
        <v>45578</v>
      </c>
    </row>
    <row r="674" spans="1:6" ht="42.75" x14ac:dyDescent="0.2">
      <c r="A674" s="114" t="e">
        <f>IF(ISBLANK('Event summary'!#REF!),"",'Event summary'!#REF!)</f>
        <v>#REF!</v>
      </c>
      <c r="B674" s="115">
        <f>IF(ISBLANK('Event summary'!A674),"",'Event summary'!A674)</f>
        <v>674</v>
      </c>
      <c r="C674" s="115" t="str">
        <f>IF(ISBLANK('Event summary'!B674),"",'Event summary'!B674)</f>
        <v>תיעוד לא תקין</v>
      </c>
      <c r="D674" s="116" t="str">
        <f>IF(ISBLANK('Event summary'!C674),"",'Event summary'!C674)</f>
        <v>טופס סימולציה למטופל היה לכבד במקום טופס סימולציה לדופן בטן.</v>
      </c>
      <c r="E674" s="116" t="str">
        <f>IF(ISBLANK('Event summary'!D674),"",'Event summary'!D674)</f>
        <v>יש להקפיד ולהתאים את הטופס לאופן הסריקה הרצוי ולא להשתמש בברירת המחדל של הטופס. מטרת הטופס היא להנחות את הצוות על הפרמטרים של הסריקה.</v>
      </c>
      <c r="F674" s="117">
        <f>IF(ISBLANK('Event summary'!E674),"",'Event summary'!E674)</f>
        <v>45578</v>
      </c>
    </row>
    <row r="675" spans="1:6" ht="42.75" x14ac:dyDescent="0.2">
      <c r="A675" s="114" t="e">
        <f>IF(ISBLANK('Event summary'!#REF!),"",'Event summary'!#REF!)</f>
        <v>#REF!</v>
      </c>
      <c r="B675" s="115">
        <f>IF(ISBLANK('Event summary'!A675),"",'Event summary'!A675)</f>
        <v>675</v>
      </c>
      <c r="C675" s="115" t="str">
        <f>IF(ISBLANK('Event summary'!B675),"",'Event summary'!B675)</f>
        <v>עבודה שלא על פי הנוהל</v>
      </c>
      <c r="D675" s="116" t="str">
        <f>IF(ISBLANK('Event summary'!C675),"",'Event summary'!C675)</f>
        <v>מטופל הגיע לסימולציה ללא הדרכת אחות. בנוסף, טופס הסימולציה היה לא תקין. המטופל נשלח לאחות לקבלת הדרכה.</v>
      </c>
      <c r="E675" s="116" t="str">
        <f>IF(ISBLANK('Event summary'!D675),"",'Event summary'!D675)</f>
        <v>להקפיד על עבודה לפי הנוהל.</v>
      </c>
      <c r="F675" s="117">
        <f>IF(ISBLANK('Event summary'!E675),"",'Event summary'!E675)</f>
        <v>45578</v>
      </c>
    </row>
    <row r="676" spans="1:6" ht="42.75" x14ac:dyDescent="0.2">
      <c r="A676" s="114" t="e">
        <f>IF(ISBLANK('Event summary'!#REF!),"",'Event summary'!#REF!)</f>
        <v>#REF!</v>
      </c>
      <c r="B676" s="115">
        <f>IF(ISBLANK('Event summary'!A676),"",'Event summary'!A676)</f>
        <v>676</v>
      </c>
      <c r="C676" s="115" t="str">
        <f>IF(ISBLANK('Event summary'!B676),"",'Event summary'!B676)</f>
        <v>תקשורת לקויה</v>
      </c>
      <c r="D676" s="116" t="str">
        <f>IF(ISBLANK('Event summary'!C676),"",'Event summary'!C676)</f>
        <v>מטופל הוזמן לסימולציה חוזרת עקב שינוים בגודל הגידול. לא היה טופס סימולציה חדש וכן לא היתה סיבה רשומה לסימולציה החוזרת לא ב Aria ולא בקמליון.</v>
      </c>
      <c r="E676" s="116" t="str">
        <f>IF(ISBLANK('Event summary'!D676),"",'Event summary'!D676)</f>
        <v>זימון תורים יציין שהסימולציה היא אדפטיבית כאשר מתוכננת מראש.</v>
      </c>
      <c r="F676" s="117">
        <f>IF(ISBLANK('Event summary'!E676),"",'Event summary'!E676)</f>
        <v>45578</v>
      </c>
    </row>
    <row r="677" spans="1:6" ht="42.75" x14ac:dyDescent="0.2">
      <c r="A677" s="114" t="e">
        <f>IF(ISBLANK('Event summary'!#REF!),"",'Event summary'!#REF!)</f>
        <v>#REF!</v>
      </c>
      <c r="B677" s="115">
        <f>IF(ISBLANK('Event summary'!A677),"",'Event summary'!A677)</f>
        <v>677</v>
      </c>
      <c r="C677" s="115" t="str">
        <f>IF(ISBLANK('Event summary'!B677),"",'Event summary'!B677)</f>
        <v>אי ביצוע הנחיה (מטופלים)</v>
      </c>
      <c r="D677" s="116" t="str">
        <f>IF(ISBLANK('Event summary'!C677),"",'Event summary'!C677)</f>
        <v>במהלך הדמיה לפני טיפול נתגלה שצורת השד אינה תואמת לצורה מהסימולציה. המטופלת עברה שאיבה לפני תחילת הטיפול. המטופלת נאלצה לעבור סימולציה חוזרת.</v>
      </c>
      <c r="E677" s="116" t="str">
        <f>IF(ISBLANK('Event summary'!D677),"",'Event summary'!D677)</f>
        <v>להקפיד לומר למטופלים לא לבצע שינויים לפני תחילת הטיפול (אחיות ורופאים).</v>
      </c>
      <c r="F677" s="117">
        <f>IF(ISBLANK('Event summary'!E677),"",'Event summary'!E677)</f>
        <v>45578</v>
      </c>
    </row>
    <row r="678" spans="1:6" ht="28.5" x14ac:dyDescent="0.2">
      <c r="A678" s="114" t="e">
        <f>IF(ISBLANK('Event summary'!#REF!),"",'Event summary'!#REF!)</f>
        <v>#REF!</v>
      </c>
      <c r="B678" s="115">
        <f>IF(ISBLANK('Event summary'!A678),"",'Event summary'!A678)</f>
        <v>678</v>
      </c>
      <c r="C678" s="115" t="str">
        <f>IF(ISBLANK('Event summary'!B678),"",'Event summary'!B678)</f>
        <v>תיעוד לא תקין</v>
      </c>
      <c r="D678" s="116" t="str">
        <f>IF(ISBLANK('Event summary'!C678),"",'Event summary'!C678)</f>
        <v>חוסר עקביות בשם המטרה. בקמליון כתוב C2 שם ה PTV C2-C6 בפועל מקרינים C1-C7.</v>
      </c>
      <c r="E678" s="116" t="str">
        <f>IF(ISBLANK('Event summary'!D678),"",'Event summary'!D678)</f>
        <v>השם של ה PTV צריך להיות בעל משמעות וכתוב זהה בכל המקומות.</v>
      </c>
      <c r="F678" s="117">
        <f>IF(ISBLANK('Event summary'!E678),"",'Event summary'!E678)</f>
        <v>45613</v>
      </c>
    </row>
    <row r="679" spans="1:6" ht="42.75" x14ac:dyDescent="0.2">
      <c r="A679" s="114" t="e">
        <f>IF(ISBLANK('Event summary'!#REF!),"",'Event summary'!#REF!)</f>
        <v>#REF!</v>
      </c>
      <c r="B679" s="115">
        <f>IF(ISBLANK('Event summary'!A679),"",'Event summary'!A679)</f>
        <v>679</v>
      </c>
      <c r="C679" s="115" t="str">
        <f>IF(ISBLANK('Event summary'!B679),"",'Event summary'!B679)</f>
        <v>תיעוד לא תקין</v>
      </c>
      <c r="D679" s="116" t="str">
        <f>IF(ISBLANK('Event summary'!C679),"",'Event summary'!C679)</f>
        <v>חוסר התאמה בין מרשם קמליון למרשם Aria. ב Aria רשום 5 ימים בשבוע בקמליון רשום פעם בשבוע. מנת המרשם 5.7Gy x 5. פיזיקאי מתכנן יבדוק גם מרשם קמליון.</v>
      </c>
      <c r="E679" s="116" t="str">
        <f>IF(ISBLANK('Event summary'!D679),"",'Event summary'!D679)</f>
        <v>פיזיקאי יפתח קמליון על מנת לוודא תאימות של מרשם.</v>
      </c>
      <c r="F679" s="117">
        <f>IF(ISBLANK('Event summary'!E679),"",'Event summary'!E679)</f>
        <v>45613</v>
      </c>
    </row>
    <row r="680" spans="1:6" ht="57" x14ac:dyDescent="0.2">
      <c r="A680" s="114" t="e">
        <f>IF(ISBLANK('Event summary'!#REF!),"",'Event summary'!#REF!)</f>
        <v>#REF!</v>
      </c>
      <c r="B680" s="115">
        <f>IF(ISBLANK('Event summary'!A680),"",'Event summary'!A680)</f>
        <v>680</v>
      </c>
      <c r="C680" s="115" t="str">
        <f>IF(ISBLANK('Event summary'!B680),"",'Event summary'!B680)</f>
        <v>אי ביצוע הנחיה (צוות)</v>
      </c>
      <c r="D680" s="116" t="str">
        <f>IF(ISBLANK('Event summary'!C680),"",'Event summary'!C680)</f>
        <v>בסימולציה נעשתה סריקה עם בולוס מודבק חיצוני. הבולוס לא נסרק אלא הוסף לאחר הסריקה. היתה הערה על כך בקמליון. פיזיקאי לא ידע ותכנן בולוס אישי. פיזיקאי יבדוק קמליון לפני תכנון.</v>
      </c>
      <c r="E680" s="116" t="str">
        <f>IF(ISBLANK('Event summary'!D680),"",'Event summary'!D680)</f>
        <v>פיזיקאי יפתח קמליון ויבדוק הנחיות רנטגנאים.</v>
      </c>
      <c r="F680" s="117">
        <f>IF(ISBLANK('Event summary'!E680),"",'Event summary'!E680)</f>
        <v>45613</v>
      </c>
    </row>
    <row r="681" spans="1:6" ht="57" x14ac:dyDescent="0.2">
      <c r="A681" s="114" t="e">
        <f>IF(ISBLANK('Event summary'!#REF!),"",'Event summary'!#REF!)</f>
        <v>#REF!</v>
      </c>
      <c r="B681" s="115">
        <f>IF(ISBLANK('Event summary'!A681),"",'Event summary'!A681)</f>
        <v>681</v>
      </c>
      <c r="C681" s="115" t="str">
        <f>IF(ISBLANK('Event summary'!B681),"",'Event summary'!B681)</f>
        <v>העברת מידע</v>
      </c>
      <c r="D681" s="116" t="str">
        <f>IF(ISBLANK('Event summary'!C681),"",'Event summary'!C681)</f>
        <v>בשל שינויים בסימון לאחר ישיבת QA לא הצליחו לחתום על התיק. התברר שהשינויים בסימון גרמו לכך שהתיק לא עמד בהגבלות התכנון והפיזיקאי לא עודכן על כך. המקרה תוכנן מחדש כשעה לפני הטיפול.</v>
      </c>
      <c r="E681" s="116" t="str">
        <f>IF(ISBLANK('Event summary'!D681),"",'Event summary'!D681)</f>
        <v>כל שינוי בנפח לאחר תכנון יתואם עם פיזיקאי ו RTTQA.</v>
      </c>
      <c r="F681" s="117">
        <f>IF(ISBLANK('Event summary'!E681),"",'Event summary'!E681)</f>
        <v>45627</v>
      </c>
    </row>
    <row r="682" spans="1:6" ht="57" x14ac:dyDescent="0.2">
      <c r="A682" s="114" t="e">
        <f>IF(ISBLANK('Event summary'!#REF!),"",'Event summary'!#REF!)</f>
        <v>#REF!</v>
      </c>
      <c r="B682" s="115">
        <f>IF(ISBLANK('Event summary'!A682),"",'Event summary'!A682)</f>
        <v>682</v>
      </c>
      <c r="C682" s="115" t="str">
        <f>IF(ISBLANK('Event summary'!B682),"",'Event summary'!B682)</f>
        <v>היעדר תיעוד</v>
      </c>
      <c r="D682" s="116" t="str">
        <f>IF(ISBLANK('Event summary'!C682),"",'Event summary'!C682)</f>
        <v>מטופל לטיפול חד"פ לסקרום יש קוצב לב שלא היה מתועד. נעשה שימוש בתעוד קודם על מנת לתת את הטיפול. המטופל קיבל טיפול באנרגיה 15MV לאחר שכבר היה ידוע שיש לו קוצב.</v>
      </c>
      <c r="E682" s="116" t="str">
        <f>IF(ISBLANK('Event summary'!D682),"",'Event summary'!D682)</f>
        <v>בקרת איכות, הרופא המטפל וישיבת QA יוודאו שלא נעשה שימוש באנרגיה 15MV למטופל עם קוצב לב. הרופא המטפל יציין ב notes במרשם (Aria) שלמטופל יש קוצב לב.</v>
      </c>
      <c r="F682" s="117">
        <f>IF(ISBLANK('Event summary'!E682),"",'Event summary'!E682)</f>
        <v>45627</v>
      </c>
    </row>
    <row r="683" spans="1:6" ht="42.75" x14ac:dyDescent="0.2">
      <c r="A683" s="114" t="e">
        <f>IF(ISBLANK('Event summary'!#REF!),"",'Event summary'!#REF!)</f>
        <v>#REF!</v>
      </c>
      <c r="B683" s="115">
        <f>IF(ISBLANK('Event summary'!A683),"",'Event summary'!A683)</f>
        <v>683</v>
      </c>
      <c r="C683" s="115" t="str">
        <f>IF(ISBLANK('Event summary'!B683),"",'Event summary'!B683)</f>
        <v>מתן טיפול באופן שגוי</v>
      </c>
      <c r="D683" s="116" t="str">
        <f>IF(ISBLANK('Event summary'!C683),"",'Event summary'!C683)</f>
        <v xml:space="preserve">מטופל קיבל טיפול לצד ימין במקום לצד שמאל. המטופל הציג את צד ימין והראה תמונה עם הצלקת בצד ימין. המרשם היה לצד שמאל וכן הטיפול המתוכן. </v>
      </c>
      <c r="E683" s="116" t="str">
        <f>IF(ISBLANK('Event summary'!D683),"",'Event summary'!D683)</f>
        <v>בכל אירוע חריג יש לתעד ברושמה הרפואית את פרטי הארוע. יתקיים דיון על יישום תהליך פסק זמן בסימונים קיליניים וקונטאקט. העברת העתק של דיווח למשרד הבריאות ליחידה לניהול סיכונים.</v>
      </c>
      <c r="F683" s="117">
        <f>IF(ISBLANK('Event summary'!E683),"",'Event summary'!E683)</f>
        <v>45613</v>
      </c>
    </row>
    <row r="684" spans="1:6" ht="57" x14ac:dyDescent="0.2">
      <c r="A684" s="114" t="e">
        <f>IF(ISBLANK('Event summary'!#REF!),"",'Event summary'!#REF!)</f>
        <v>#REF!</v>
      </c>
      <c r="B684" s="115">
        <f>IF(ISBLANK('Event summary'!A684),"",'Event summary'!A684)</f>
        <v>684</v>
      </c>
      <c r="C684" s="115" t="str">
        <f>IF(ISBLANK('Event summary'!B684),"",'Event summary'!B684)</f>
        <v>אי ביצוע הנחיה (צוות)</v>
      </c>
      <c r="D684" s="116" t="str">
        <f>IF(ISBLANK('Event summary'!C684),"",'Event summary'!C684)</f>
        <v>מטופל היה צריך לקבל TLI וגם TBI בפרקציה אחרונה. התכנון של ה- TBI לא היה מוכן ליום הטיפול כשהמטופל מגיע בשעה 6:30 בבוקר. המרשם היה קיים והתכנון עבר את כל מנגנוני הבטיחות והבקרה תכנון של ה TBI.</v>
      </c>
      <c r="E684" s="116" t="str">
        <f>IF(ISBLANK('Event summary'!D684),"",'Event summary'!D684)</f>
        <v>נוהל TLI נמצע בתהליך כתיבה. חתימה שניה של פיזיקאי, חתימת רופא מטפל, ישיבת QA ו- RTTQA כל אחד היה צריך לעלות על התכנית החסרה.</v>
      </c>
      <c r="F684" s="117">
        <f>IF(ISBLANK('Event summary'!E684),"",'Event summary'!E684)</f>
        <v>45627</v>
      </c>
    </row>
    <row r="685" spans="1:6" ht="28.5" x14ac:dyDescent="0.2">
      <c r="A685" s="114" t="e">
        <f>IF(ISBLANK('Event summary'!#REF!),"",'Event summary'!#REF!)</f>
        <v>#REF!</v>
      </c>
      <c r="B685" s="115">
        <f>IF(ISBLANK('Event summary'!A685),"",'Event summary'!A685)</f>
        <v>685</v>
      </c>
      <c r="C685" s="115" t="str">
        <f>IF(ISBLANK('Event summary'!B685),"",'Event summary'!B685)</f>
        <v>היעדר תיעוד</v>
      </c>
      <c r="D685" s="116" t="str">
        <f>IF(ISBLANK('Event summary'!C685),"",'Event summary'!C685)</f>
        <v>הוזמן לסימולציה לפני תיקון אנאוריזמה. במכתב צויין לזמן רק לאחר. עקב כך בוטלה הסימולציה.</v>
      </c>
      <c r="E685" s="116" t="str">
        <f>IF(ISBLANK('Event summary'!D685),"",'Event summary'!D685)</f>
        <v>על הרופא המטפל מוטלת האחריות לתקשר את הבקשה הזאת לזימון תורים. יש לחדד את הנוהל לצוות הרופאים.</v>
      </c>
      <c r="F685" s="117">
        <f>IF(ISBLANK('Event summary'!E685),"",'Event summary'!E685)</f>
        <v>45627</v>
      </c>
    </row>
    <row r="686" spans="1:6" ht="28.5" x14ac:dyDescent="0.2">
      <c r="A686" s="114" t="e">
        <f>IF(ISBLANK('Event summary'!#REF!),"",'Event summary'!#REF!)</f>
        <v>#REF!</v>
      </c>
      <c r="B686" s="115">
        <f>IF(ISBLANK('Event summary'!A686),"",'Event summary'!A686)</f>
        <v>686</v>
      </c>
      <c r="C686" s="115" t="str">
        <f>IF(ISBLANK('Event summary'!B686),"",'Event summary'!B686)</f>
        <v>תיעוד לא תקין</v>
      </c>
      <c r="D686" s="116" t="str">
        <f>IF(ISBLANK('Event summary'!C686),"",'Event summary'!C686)</f>
        <v>במרשם של קמליון היה תכנון + בוסט. ב- Aria היה חסר מרשם לבוסט.</v>
      </c>
      <c r="E686" s="116" t="str">
        <f>IF(ISBLANK('Event summary'!D686),"",'Event summary'!D686)</f>
        <v>על הפיזיקאי המתכנן מוטלת האחריות לבדוק קמליון בכל תכנון ולוודא תאימות עם המרשם של ה- Aria.</v>
      </c>
      <c r="F686" s="117">
        <f>IF(ISBLANK('Event summary'!E686),"",'Event summary'!E686)</f>
        <v>45627</v>
      </c>
    </row>
    <row r="687" spans="1:6" ht="30" x14ac:dyDescent="0.2">
      <c r="A687" s="114" t="e">
        <f>IF(ISBLANK('Event summary'!#REF!),"",'Event summary'!#REF!)</f>
        <v>#REF!</v>
      </c>
      <c r="B687" s="115">
        <f>IF(ISBLANK('Event summary'!A687),"",'Event summary'!A687)</f>
        <v>687</v>
      </c>
      <c r="C687" s="115" t="str">
        <f>IF(ISBLANK('Event summary'!B687),"",'Event summary'!B687)</f>
        <v>סריקה לא תקינה</v>
      </c>
      <c r="D687" s="116" t="str">
        <f>IF(ISBLANK('Event summary'!C687),"",'Event summary'!C687)</f>
        <v>סריקה לצורך תכנון טיפול לשד שמאל היתה חתוכה. לא ניתן היה לראות את כל השד. המטופלת עברה סריקה חוזרת.</v>
      </c>
      <c r="E687" s="116" t="str">
        <f>IF(ISBLANK('Event summary'!D687),"",'Event summary'!D687)</f>
        <v>יש לוודא את איכות הסריקה כחלק מתהליך הסימולציה.</v>
      </c>
      <c r="F687" s="117">
        <f>IF(ISBLANK('Event summary'!E687),"",'Event summary'!E687)</f>
        <v>45627</v>
      </c>
    </row>
    <row r="688" spans="1:6" ht="71.25" x14ac:dyDescent="0.2">
      <c r="A688" s="114" t="e">
        <f>IF(ISBLANK('Event summary'!#REF!),"",'Event summary'!#REF!)</f>
        <v>#REF!</v>
      </c>
      <c r="B688" s="115">
        <f>IF(ISBLANK('Event summary'!A688),"",'Event summary'!A688)</f>
        <v>688</v>
      </c>
      <c r="C688" s="115" t="str">
        <f>IF(ISBLANK('Event summary'!B688),"",'Event summary'!B688)</f>
        <v>תיעוד לא תקין</v>
      </c>
      <c r="D688" s="116" t="str">
        <f>IF(ISBLANK('Event summary'!C688),"",'Event summary'!C688)</f>
        <v>חוסר התאמה בין טופס סימולציה לפרוטוקול קמליון. בטופס סימולציה לא היה כתוב שיש צורך בחומר ניגוד. עקב כך נוצרה המתנה ממושכת עד לביצוע הסריקה. הסריקה לא היתה טובה כיוון שעבר יותר מדי זמן מביצוע החוקן של המטופל. נעשתה סריקה חוזרת.</v>
      </c>
      <c r="E688" s="116" t="str">
        <f>IF(ISBLANK('Event summary'!D688),"",'Event summary'!D688)</f>
        <v>להקפיד להתאים את הטופס לטיפול. יכתב טופס לפרוסטטה עם בלוטות.</v>
      </c>
      <c r="F688" s="117">
        <f>IF(ISBLANK('Event summary'!E688),"",'Event summary'!E688)</f>
        <v>45627</v>
      </c>
    </row>
    <row r="689" spans="1:6" ht="28.5" x14ac:dyDescent="0.2">
      <c r="A689" s="114" t="e">
        <f>IF(ISBLANK('Event summary'!#REF!),"",'Event summary'!#REF!)</f>
        <v>#REF!</v>
      </c>
      <c r="B689" s="115">
        <f>IF(ISBLANK('Event summary'!A689),"",'Event summary'!A689)</f>
        <v>689</v>
      </c>
      <c r="C689" s="115" t="str">
        <f>IF(ISBLANK('Event summary'!B689),"",'Event summary'!B689)</f>
        <v>תיעוד לא תקין</v>
      </c>
      <c r="D689" s="116" t="str">
        <f>IF(ISBLANK('Event summary'!C689),"",'Event summary'!C689)</f>
        <v xml:space="preserve">במרשם Aria כתוב רק PTV אחד. בפועל ישנם שלושה (PTV1, PTV2, PTV3). </v>
      </c>
      <c r="E689" s="116" t="str">
        <f>IF(ISBLANK('Event summary'!D689),"",'Event summary'!D689)</f>
        <v>שמות ה PTV בתכנון ובמרשם צריכים להיות בעלי משמעות ותואמים לאיזור הטיפול. כל מוקד יצויין במרשם Aria.</v>
      </c>
      <c r="F689" s="117">
        <f>IF(ISBLANK('Event summary'!E689),"",'Event summary'!E689)</f>
        <v>45627</v>
      </c>
    </row>
    <row r="690" spans="1:6" ht="30" x14ac:dyDescent="0.2">
      <c r="A690" s="114" t="e">
        <f>IF(ISBLANK('Event summary'!#REF!),"",'Event summary'!#REF!)</f>
        <v>#REF!</v>
      </c>
      <c r="B690" s="115">
        <f>IF(ISBLANK('Event summary'!A690),"",'Event summary'!A690)</f>
        <v>690</v>
      </c>
      <c r="C690" s="115" t="str">
        <f>IF(ISBLANK('Event summary'!B690),"",'Event summary'!B690)</f>
        <v>שגיאה בזיהוי מטופל</v>
      </c>
      <c r="D690" s="116" t="str">
        <f>IF(ISBLANK('Event summary'!C690),"",'Event summary'!C690)</f>
        <v>מטופלת קיבלה מכתב סיכום סיעודי של מטופלת אחרת.</v>
      </c>
      <c r="E690" s="116" t="str">
        <f>IF(ISBLANK('Event summary'!D690),"",'Event summary'!D690)</f>
        <v>יש לשים לב ולבצע נוהל זיהוי מטופל בעת העברת מידע רפואי חסוי.</v>
      </c>
      <c r="F690" s="117">
        <f>IF(ISBLANK('Event summary'!E690),"",'Event summary'!E690)</f>
        <v>45627</v>
      </c>
    </row>
    <row r="691" spans="1:6" ht="71.25" x14ac:dyDescent="0.2">
      <c r="A691" s="114" t="e">
        <f>IF(ISBLANK('Event summary'!#REF!),"",'Event summary'!#REF!)</f>
        <v>#REF!</v>
      </c>
      <c r="B691" s="115">
        <f>IF(ISBLANK('Event summary'!A691),"",'Event summary'!A691)</f>
        <v>691</v>
      </c>
      <c r="C691" s="115" t="str">
        <f>IF(ISBLANK('Event summary'!B691),"",'Event summary'!B691)</f>
        <v>כמעט ניתן טיפול שגוי</v>
      </c>
      <c r="D691" s="116" t="str">
        <f>IF(ISBLANK('Event summary'!C691),"",'Event summary'!C691)</f>
        <v>במהלך בדיקת RTTQA היה ספק לגבי המיקום של החוליה המסומנת. בברור מול רופא הסתבר שלא היה צורך בטיפול לחוליה. בקמליון היו מספר אי התאמות במיקום. היה כתוב D3 במכתב ו- D5 בפרוטוקול קרינה. ב- Aria היה מסומן T4 ומרשם ל T5.</v>
      </c>
      <c r="E691" s="116" t="str">
        <f>IF(ISBLANK('Event summary'!D691),"",'Event summary'!D691)</f>
        <v>המעורב קיבל הנחיה כיצד לבדוק ולכתוב מרשמים והנחיות טיפול.</v>
      </c>
      <c r="F691" s="117">
        <f>IF(ISBLANK('Event summary'!E691),"",'Event summary'!E691)</f>
        <v>45627</v>
      </c>
    </row>
    <row r="692" spans="1:6" ht="42.75" x14ac:dyDescent="0.2">
      <c r="A692" s="114" t="e">
        <f>IF(ISBLANK('Event summary'!#REF!),"",'Event summary'!#REF!)</f>
        <v>#REF!</v>
      </c>
      <c r="B692" s="115">
        <f>IF(ISBLANK('Event summary'!A692),"",'Event summary'!A692)</f>
        <v>692</v>
      </c>
      <c r="C692" s="115" t="str">
        <f>IF(ISBLANK('Event summary'!B692),"",'Event summary'!B692)</f>
        <v>חבלה גופנית</v>
      </c>
      <c r="D692" s="116" t="str">
        <f>IF(ISBLANK('Event summary'!C692),"",'Event summary'!C692)</f>
        <v>בסיום הטיפול המטופל ירד מהשולחן במאיץ 4 ומיהר לשירותים. המטופל היה מסוחרר נפל ונחבל בראשו. הוא נשלח למיון.</v>
      </c>
      <c r="E692" s="116" t="str">
        <f>IF(ISBLANK('Event summary'!D692),"",'Event summary'!D692)</f>
        <v>ללא הנחיות מיוחדות.</v>
      </c>
      <c r="F692" s="117">
        <f>IF(ISBLANK('Event summary'!E692),"",'Event summary'!E692)</f>
        <v>45627</v>
      </c>
    </row>
    <row r="693" spans="1:6" ht="85.5" x14ac:dyDescent="0.2">
      <c r="A693" s="114" t="e">
        <f>IF(ISBLANK('Event summary'!#REF!),"",'Event summary'!#REF!)</f>
        <v>#REF!</v>
      </c>
      <c r="B693" s="115">
        <f>IF(ISBLANK('Event summary'!A693),"",'Event summary'!A693)</f>
        <v>693</v>
      </c>
      <c r="C693" s="115" t="str">
        <f>IF(ISBLANK('Event summary'!B693),"",'Event summary'!B693)</f>
        <v>עבודה שלא על פי הנוהל</v>
      </c>
      <c r="D693" s="116" t="str">
        <f>IF(ISBLANK('Event summary'!C693),"",'Event summary'!C693)</f>
        <v>מטופל הוזמן לסימון קליני. גודל השדה (אלק'רונים) היה 40x10. באלקטרונים גודל האפליקטור המקסימאלי הוא 25x25. המטופל הורד מהשולחן ונעשה חישוב ל Extended SSD של 120cm ו- 130cm. המטופל המתין זמן ממושך עד קבלת הטיפול. בנוסף, קיים חוסר התאמה בין המרשם בקמליון (3Gyx5) למרשם ב Aria (6Gyx1).</v>
      </c>
      <c r="E693" s="116" t="str">
        <f>IF(ISBLANK('Event summary'!D693),"",'Event summary'!D693)</f>
        <v>סימולציה ומרשם לסימון קליני יבוצע בטרם הגעת המטופל למאיץ.</v>
      </c>
      <c r="F693" s="117">
        <f>IF(ISBLANK('Event summary'!E693),"",'Event summary'!E693)</f>
        <v>45627</v>
      </c>
    </row>
    <row r="694" spans="1:6" ht="28.5" x14ac:dyDescent="0.2">
      <c r="A694" s="114" t="e">
        <f>IF(ISBLANK('Event summary'!#REF!),"",'Event summary'!#REF!)</f>
        <v>#REF!</v>
      </c>
      <c r="B694" s="115">
        <f>IF(ISBLANK('Event summary'!A694),"",'Event summary'!A694)</f>
        <v>694</v>
      </c>
      <c r="C694" s="115" t="str">
        <f>IF(ISBLANK('Event summary'!B694),"",'Event summary'!B694)</f>
        <v>צוות חסר</v>
      </c>
      <c r="D694" s="116" t="str">
        <f>IF(ISBLANK('Event summary'!C694),"",'Event summary'!C694)</f>
        <v>מסיכת SRS עם ח.נ הוכנס ונפלון. הונפלון יצא ולא היתה אחות. המטופל נסרק ללא חומר ניגוד.</v>
      </c>
      <c r="E694" s="116" t="str">
        <f>IF(ISBLANK('Event summary'!D694),"",'Event summary'!D694)</f>
        <v xml:space="preserve"> מטופל SRS עם חומר ניגוד לא יבצע סימולציה בשעות אחר הצהריים. אחות תמתין עד אחרון המטופלים בפרט עם יש ח.נ.</v>
      </c>
      <c r="F694" s="117">
        <f>IF(ISBLANK('Event summary'!E694),"",'Event summary'!E694)</f>
        <v>45627</v>
      </c>
    </row>
    <row r="695" spans="1:6" x14ac:dyDescent="0.2">
      <c r="A695" s="114" t="e">
        <f>IF(ISBLANK('Event summary'!#REF!),"",'Event summary'!#REF!)</f>
        <v>#REF!</v>
      </c>
      <c r="B695" s="115">
        <f>IF(ISBLANK('Event summary'!A695),"",'Event summary'!A695)</f>
        <v>695</v>
      </c>
      <c r="C695" s="115" t="str">
        <f>IF(ISBLANK('Event summary'!B695),"",'Event summary'!B695)</f>
        <v>חבלה גופנית</v>
      </c>
      <c r="D695" s="116" t="str">
        <f>IF(ISBLANK('Event summary'!C695),"",'Event summary'!C695)</f>
        <v>מטופל נשרט בעינו עקב הכנסת מגן עיניים לעינו.</v>
      </c>
      <c r="E695" s="116" t="str">
        <f>IF(ISBLANK('Event summary'!D695),"",'Event summary'!D695)</f>
        <v>יש לרענן אופן הכנסת מגן עיינים לאחיות.</v>
      </c>
      <c r="F695" s="117">
        <f>IF(ISBLANK('Event summary'!E695),"",'Event summary'!E695)</f>
        <v>45669</v>
      </c>
    </row>
    <row r="696" spans="1:6" ht="28.5" x14ac:dyDescent="0.2">
      <c r="A696" s="114" t="e">
        <f>IF(ISBLANK('Event summary'!#REF!),"",'Event summary'!#REF!)</f>
        <v>#REF!</v>
      </c>
      <c r="B696" s="115">
        <f>IF(ISBLANK('Event summary'!A696),"",'Event summary'!A696)</f>
        <v>696</v>
      </c>
      <c r="C696" s="115" t="str">
        <f>IF(ISBLANK('Event summary'!B696),"",'Event summary'!B696)</f>
        <v>העברת מידע</v>
      </c>
      <c r="D696" s="116" t="str">
        <f>IF(ISBLANK('Event summary'!C696),"",'Event summary'!C696)</f>
        <v>מטופלת נוספה ל Qflow של הרופא התורן הרופא לא עודכן על התוספת.</v>
      </c>
      <c r="E696" s="116" t="str">
        <f>IF(ISBLANK('Event summary'!D696),"",'Event summary'!D696)</f>
        <v>יש לעדכן רופא כשמשבצים מטופל ליומן.</v>
      </c>
      <c r="F696" s="117">
        <f>IF(ISBLANK('Event summary'!E696),"",'Event summary'!E696)</f>
        <v>45669</v>
      </c>
    </row>
    <row r="697" spans="1:6" ht="28.5" x14ac:dyDescent="0.2">
      <c r="A697" s="114" t="e">
        <f>IF(ISBLANK('Event summary'!#REF!),"",'Event summary'!#REF!)</f>
        <v>#REF!</v>
      </c>
      <c r="B697" s="115">
        <f>IF(ISBLANK('Event summary'!A697),"",'Event summary'!A697)</f>
        <v>697</v>
      </c>
      <c r="C697" s="115" t="str">
        <f>IF(ISBLANK('Event summary'!B697),"",'Event summary'!B697)</f>
        <v>תיעוד לא תקין</v>
      </c>
      <c r="D697" s="116" t="str">
        <f>IF(ISBLANK('Event summary'!C697),"",'Event summary'!C697)</f>
        <v>חוסר התאמה בין מרשם קמליון למרשם Aria. ב Aria רשום 5 ימים בשבוע בקמליון רשום 3 פעמים בשבוע.</v>
      </c>
      <c r="E697" s="116" t="str">
        <f>IF(ISBLANK('Event summary'!D697),"",'Event summary'!D697)</f>
        <v>תתקיים פגישה בנושא משימות של  RTTQA; רנטגנאים + רופאים.</v>
      </c>
      <c r="F697" s="117">
        <f>IF(ISBLANK('Event summary'!E697),"",'Event summary'!E697)</f>
        <v>45669</v>
      </c>
    </row>
    <row r="698" spans="1:6" ht="42.75" x14ac:dyDescent="0.2">
      <c r="A698" s="114" t="e">
        <f>IF(ISBLANK('Event summary'!#REF!),"",'Event summary'!#REF!)</f>
        <v>#REF!</v>
      </c>
      <c r="B698" s="115">
        <f>IF(ISBLANK('Event summary'!A698),"",'Event summary'!A698)</f>
        <v>698</v>
      </c>
      <c r="C698" s="115" t="str">
        <f>IF(ISBLANK('Event summary'!B698),"",'Event summary'!B698)</f>
        <v>תקשורת לקויה</v>
      </c>
      <c r="D698" s="116" t="str">
        <f>IF(ISBLANK('Event summary'!C698),"",'Event summary'!C698)</f>
        <v>במרשם בהגבלות לא כתובות יחידות [cc], [Gy] או [%].</v>
      </c>
      <c r="E698" s="116" t="str">
        <f>IF(ISBLANK('Event summary'!D698),"",'Event summary'!D698)</f>
        <v>מרשם משמש כהנחיות לתכנון טיפול. על המרשם להיות מובן וברור ככל הניתן. לרענן לצוות הרופאים איך למלא מרשם. בנוסף, יש לעדכן את התבניות של המרשמים על מנת שיכילו יחידות.</v>
      </c>
      <c r="F698" s="117">
        <f>IF(ISBLANK('Event summary'!E698),"",'Event summary'!E698)</f>
        <v>45669</v>
      </c>
    </row>
    <row r="699" spans="1:6" ht="57" x14ac:dyDescent="0.2">
      <c r="A699" s="114" t="e">
        <f>IF(ISBLANK('Event summary'!#REF!),"",'Event summary'!#REF!)</f>
        <v>#REF!</v>
      </c>
      <c r="B699" s="115">
        <f>IF(ISBLANK('Event summary'!A699),"",'Event summary'!A699)</f>
        <v>699</v>
      </c>
      <c r="C699" s="115" t="str">
        <f>IF(ISBLANK('Event summary'!B699),"",'Event summary'!B699)</f>
        <v>תיעוד לא תקין</v>
      </c>
      <c r="D699" s="116" t="str">
        <f>IF(ISBLANK('Event summary'!C699),"",'Event summary'!C699)</f>
        <v>מרשם ב Aria לא תקין. קיימים שני מוקדים עם שתי מנות שונות. במרשם מופיע CTV1, GTV כמטרות. כמו כן, נדרש בולוס חצי כל יום. לא היה ברור במרשם עם הבולוס הוא לשתי המטרות או לאחת מהן.</v>
      </c>
      <c r="E699" s="116" t="str">
        <f>IF(ISBLANK('Event summary'!D699),"",'Event summary'!D699)</f>
        <v>תיקים עם שמות נפחים חסרי משמעות יש לבקש לשנות את את השם לשם עם משמעות גם בסימון וגם במרשם.</v>
      </c>
      <c r="F699" s="117">
        <f>IF(ISBLANK('Event summary'!E699),"",'Event summary'!E699)</f>
        <v>45669</v>
      </c>
    </row>
    <row r="700" spans="1:6" ht="57" x14ac:dyDescent="0.2">
      <c r="A700" s="114" t="e">
        <f>IF(ISBLANK('Event summary'!#REF!),"",'Event summary'!#REF!)</f>
        <v>#REF!</v>
      </c>
      <c r="B700" s="115">
        <f>IF(ISBLANK('Event summary'!A700),"",'Event summary'!A700)</f>
        <v>700</v>
      </c>
      <c r="C700" s="115" t="str">
        <f>IF(ISBLANK('Event summary'!B700),"",'Event summary'!B700)</f>
        <v>מתן טיפול באופן שגוי</v>
      </c>
      <c r="D700" s="116" t="str">
        <f>IF(ISBLANK('Event summary'!C700),"",'Event summary'!C700)</f>
        <v>בן 10 חדשים קיבל ע"י רופא מרדים אטרופין במקום שטיפה. המרדים שאב מהצינור את האטרופין. המטופל נשאר למעקב ונשלח לשניידר לאחר שהתעורר להמשך מעקב באשפוז יום. המשפחה קיבלה הסבר.</v>
      </c>
      <c r="E700" s="116" t="str">
        <f>IF(ISBLANK('Event summary'!D700),"",'Event summary'!D700)</f>
        <v>נשלח כאירוע. המרדימים יקיבלו פידבק על האירוע.</v>
      </c>
      <c r="F700" s="117">
        <f>IF(ISBLANK('Event summary'!E700),"",'Event summary'!E700)</f>
        <v>45669</v>
      </c>
    </row>
    <row r="701" spans="1:6" ht="28.5" x14ac:dyDescent="0.2">
      <c r="A701" s="114" t="e">
        <f>IF(ISBLANK('Event summary'!#REF!),"",'Event summary'!#REF!)</f>
        <v>#REF!</v>
      </c>
      <c r="B701" s="115">
        <f>IF(ISBLANK('Event summary'!A701),"",'Event summary'!A701)</f>
        <v>701</v>
      </c>
      <c r="C701" s="115" t="str">
        <f>IF(ISBLANK('Event summary'!B701),"",'Event summary'!B701)</f>
        <v>העברת מידע</v>
      </c>
      <c r="D701" s="116" t="str">
        <f>IF(ISBLANK('Event summary'!C701),"",'Event summary'!C701)</f>
        <v>בטיפול ברכיתרפיה במהלך החתימה השניה הוחלט על שינוי התכנית. לכן התדפיס של התכנית והתכנון לא תאמו.</v>
      </c>
      <c r="E701" s="116" t="str">
        <f>IF(ISBLANK('Event summary'!D701),"",'Event summary'!D701)</f>
        <v>יבוצע שנוי בנוהל העבודה בברכיתרפיה. נוהל עבודה חדש יכתב, יאושר ויוטמע.</v>
      </c>
      <c r="F701" s="117">
        <f>IF(ISBLANK('Event summary'!E701),"",'Event summary'!E701)</f>
        <v>45669</v>
      </c>
    </row>
    <row r="702" spans="1:6" ht="42.75" x14ac:dyDescent="0.2">
      <c r="A702" s="114" t="e">
        <f>IF(ISBLANK('Event summary'!#REF!),"",'Event summary'!#REF!)</f>
        <v>#REF!</v>
      </c>
      <c r="B702" s="115">
        <f>IF(ISBLANK('Event summary'!A702),"",'Event summary'!A702)</f>
        <v>702</v>
      </c>
      <c r="C702" s="115" t="str">
        <f>IF(ISBLANK('Event summary'!B702),"",'Event summary'!B702)</f>
        <v>כמעט ניתן טיפול שגוי</v>
      </c>
      <c r="D702" s="116" t="str">
        <f>IF(ISBLANK('Event summary'!C702),"",'Event summary'!C702)</f>
        <v>במכתב קבלה והסכמה לטיפול נכתב טיפול לצלע 9 שמאל. בתכנון ובמרשם Aria תוכנן למוקד מטיפול קודם צלע 6 ימין. התכנית נעצרה ב RTTQA ונעשה תכנון חדש לצד שמאל.</v>
      </c>
      <c r="E702" s="116" t="str">
        <f>IF(ISBLANK('Event summary'!D702),"",'Event summary'!D702)</f>
        <v>להקפיד לבדוק בכל שלב של תכנון ובדיקה אם מרמשמים תואמים בקמליון וב Aria.</v>
      </c>
      <c r="F702" s="117">
        <f>IF(ISBLANK('Event summary'!E702),"",'Event summary'!E702)</f>
        <v>45669</v>
      </c>
    </row>
    <row r="703" spans="1:6" ht="42.75" x14ac:dyDescent="0.2">
      <c r="A703" s="114" t="e">
        <f>IF(ISBLANK('Event summary'!#REF!),"",'Event summary'!#REF!)</f>
        <v>#REF!</v>
      </c>
      <c r="B703" s="115">
        <f>IF(ISBLANK('Event summary'!A703),"",'Event summary'!A703)</f>
        <v>703</v>
      </c>
      <c r="C703" s="115" t="str">
        <f>IF(ISBLANK('Event summary'!B703),"",'Event summary'!B703)</f>
        <v>העברת מידע</v>
      </c>
      <c r="D703" s="116" t="str">
        <f>IF(ISBLANK('Event summary'!C703),"",'Event summary'!C703)</f>
        <v>מטופלת עם סימולציה מרובת מוקדים ומספר השכבות. להדגיש לזימון תורים על ריבוי סימולציות למטופל יחיד על מנת שיוכלו לתאם את משך הסימולציה למטופל.</v>
      </c>
      <c r="E703" s="116" t="str">
        <f>IF(ISBLANK('Event summary'!D703),"",'Event summary'!D703)</f>
        <v>יש לציין במכתב סיכום בקמליון בחלק של "הפניה להמשך טיפול" שיש לבצע מספר סימולציות.</v>
      </c>
      <c r="F703" s="117">
        <f>IF(ISBLANK('Event summary'!E703),"",'Event summary'!E703)</f>
        <v>45683</v>
      </c>
    </row>
    <row r="704" spans="1:6" ht="28.5" x14ac:dyDescent="0.2">
      <c r="A704" s="114" t="e">
        <f>IF(ISBLANK('Event summary'!#REF!),"",'Event summary'!#REF!)</f>
        <v>#REF!</v>
      </c>
      <c r="B704" s="115">
        <f>IF(ISBLANK('Event summary'!A704),"",'Event summary'!A704)</f>
        <v>704</v>
      </c>
      <c r="C704" s="115" t="str">
        <f>IF(ISBLANK('Event summary'!B704),"",'Event summary'!B704)</f>
        <v>תקשורת לקויה</v>
      </c>
      <c r="D704" s="116" t="str">
        <f>IF(ISBLANK('Event summary'!C704),"",'Event summary'!C704)</f>
        <v>אירוע חוזר. תיקים לסימולציה מגיעים ללא טופס סימולציה.</v>
      </c>
      <c r="E704" s="116" t="str">
        <f>IF(ISBLANK('Event summary'!D704),"",'Event summary'!D704)</f>
        <v>רופאים מתבקשים להקפיד על הנחיות ברורות לצוות הסימולציה. יש להקפיד למלא את טופס הסימולציה.</v>
      </c>
      <c r="F704" s="117">
        <f>IF(ISBLANK('Event summary'!E704),"",'Event summary'!E704)</f>
        <v>45683</v>
      </c>
    </row>
    <row r="705" spans="1:6" ht="57" x14ac:dyDescent="0.2">
      <c r="A705" s="114" t="e">
        <f>IF(ISBLANK('Event summary'!#REF!),"",'Event summary'!#REF!)</f>
        <v>#REF!</v>
      </c>
      <c r="B705" s="115">
        <f>IF(ISBLANK('Event summary'!A705),"",'Event summary'!A705)</f>
        <v>705</v>
      </c>
      <c r="C705" s="115" t="str">
        <f>IF(ISBLANK('Event summary'!B705),"",'Event summary'!B705)</f>
        <v>אי עמידה בזמנים</v>
      </c>
      <c r="D705" s="116" t="str">
        <f>IF(ISBLANK('Event summary'!C705),"",'Event summary'!C705)</f>
        <v>מטופל עבר סימולציה ב 4/12/24 התיק הגיע לתכנון כ 3 שבועות לאחר מכן ב 26/12/24. המקרה נמסר לחתימת רופא ב 1/1/25. למחרת הוחזר התיק לתכנון חוזר. מועד הטיפול נדחה ביום הטיפול הצפוי.</v>
      </c>
      <c r="E705" s="116" t="str">
        <f>IF(ISBLANK('Event summary'!D705),"",'Event summary'!D705)</f>
        <v>תתקיים שיחה עם הרופא המטפל. להקפיד לא להחזיק  תיקי טיפול למעלה מ 10 ימים לאחר סימולציה.</v>
      </c>
      <c r="F705" s="117">
        <f>IF(ISBLANK('Event summary'!E705),"",'Event summary'!E705)</f>
        <v>45683</v>
      </c>
    </row>
    <row r="706" spans="1:6" ht="71.25" x14ac:dyDescent="0.2">
      <c r="A706" s="114" t="e">
        <f>IF(ISBLANK('Event summary'!#REF!),"",'Event summary'!#REF!)</f>
        <v>#REF!</v>
      </c>
      <c r="B706" s="115">
        <f>IF(ISBLANK('Event summary'!A706),"",'Event summary'!A706)</f>
        <v>706</v>
      </c>
      <c r="C706" s="115" t="str">
        <f>IF(ISBLANK('Event summary'!B706),"",'Event summary'!B706)</f>
        <v>אי עמידה בזמנים</v>
      </c>
      <c r="D706" s="116" t="str">
        <f>IF(ISBLANK('Event summary'!C706),"",'Event summary'!C706)</f>
        <v xml:space="preserve">מטופל המתין זמן ממושך להכנסת ונפלון. האחיות היו עמוסות עם הרדמות וספייסרים. המטופל הוזמן ל 8:30 והוכנס לאחות להכנסת ונטפלון ב 9:30. למטופל היה תור באשפוז יום ל 10:30. המטופל הועבר ב Qflow לסימולציה על מנת שרופא יבצע את הכנסת ה VF. </v>
      </c>
      <c r="E706" s="116" t="str">
        <f>IF(ISBLANK('Event summary'!D706),"",'Event summary'!D706)</f>
        <v>להקפיד על תקשורת בין הצוותים המטפלים. לעבוד על פי הנוהל ככל הניתן. אם יש צורך לסטות מהנוהל יש לתקשר על השינויים עם הצוות הרלבנטי.</v>
      </c>
      <c r="F706" s="117">
        <f>IF(ISBLANK('Event summary'!E706),"",'Event summary'!E706)</f>
        <v>45683</v>
      </c>
    </row>
    <row r="707" spans="1:6" ht="28.5" x14ac:dyDescent="0.2">
      <c r="A707" s="114" t="e">
        <f>IF(ISBLANK('Event summary'!#REF!),"",'Event summary'!#REF!)</f>
        <v>#REF!</v>
      </c>
      <c r="B707" s="115">
        <f>IF(ISBLANK('Event summary'!A707),"",'Event summary'!A707)</f>
        <v>707</v>
      </c>
      <c r="C707" s="115" t="str">
        <f>IF(ISBLANK('Event summary'!B707),"",'Event summary'!B707)</f>
        <v>העברת מידע</v>
      </c>
      <c r="D707" s="116" t="str">
        <f>IF(ISBLANK('Event summary'!C707),"",'Event summary'!C707)</f>
        <v>בוצע שינוי בתוכנית טיפול במהלך טיפולים ע"י רופא ללא הודעה לצוות המטפל ו- RTTQA</v>
      </c>
      <c r="E707" s="116" t="str">
        <f>IF(ISBLANK('Event summary'!D707),"",'Event summary'!D707)</f>
        <v>להקפיד על תקשורת בין הצוותים המטפלים. יש לתקשר על השינויים עם הצוות הרלבנטי.</v>
      </c>
      <c r="F707" s="117">
        <f>IF(ISBLANK('Event summary'!E707),"",'Event summary'!E707)</f>
        <v>45683</v>
      </c>
    </row>
    <row r="708" spans="1:6" ht="30" x14ac:dyDescent="0.2">
      <c r="A708" s="114" t="e">
        <f>IF(ISBLANK('Event summary'!#REF!),"",'Event summary'!#REF!)</f>
        <v>#REF!</v>
      </c>
      <c r="B708" s="115">
        <f>IF(ISBLANK('Event summary'!A708),"",'Event summary'!A708)</f>
        <v>708</v>
      </c>
      <c r="C708" s="115" t="str">
        <f>IF(ISBLANK('Event summary'!B708),"",'Event summary'!B708)</f>
        <v>כמעט ניתן טיפול שגוי</v>
      </c>
      <c r="D708" s="116" t="str">
        <f>IF(ISBLANK('Event summary'!C708),"",'Event summary'!C708)</f>
        <v>במכתב קבלה, הסכמה לטיפול וטופס סימולציה נכתב טיפול לפמור שמאל. בפועל סומן ותוכנן טיפול לפמור ימין.</v>
      </c>
      <c r="E708" s="116" t="str">
        <f>IF(ISBLANK('Event summary'!D708),"",'Event summary'!D708)</f>
        <v>להקפיד על רישום נכון וספציפי של אתר הטיפול על מנת לוודא שאין טעויות בתכנון וטיפול. התקיימה שיחה עם הרופא המטפל.</v>
      </c>
      <c r="F708" s="117">
        <f>IF(ISBLANK('Event summary'!E708),"",'Event summary'!E708)</f>
        <v>45683</v>
      </c>
    </row>
    <row r="709" spans="1:6" ht="28.5" x14ac:dyDescent="0.2">
      <c r="A709" s="114" t="e">
        <f>IF(ISBLANK('Event summary'!#REF!),"",'Event summary'!#REF!)</f>
        <v>#REF!</v>
      </c>
      <c r="B709" s="115">
        <f>IF(ISBLANK('Event summary'!A709),"",'Event summary'!A709)</f>
        <v>709</v>
      </c>
      <c r="C709" s="115" t="str">
        <f>IF(ISBLANK('Event summary'!B709),"",'Event summary'!B709)</f>
        <v>תיעוד לא תקין</v>
      </c>
      <c r="D709" s="116" t="str">
        <f>IF(ISBLANK('Event summary'!C709),"",'Event summary'!C709)</f>
        <v>טיפול חד פעמי לאיזור פאראורטלי. במרשם כתוב פאראלומברי ובטופס הסכמה חתום עמוד שדרה מותני.</v>
      </c>
      <c r="E709" s="116" t="str">
        <f>IF(ISBLANK('Event summary'!D709),"",'Event summary'!D709)</f>
        <v>להקפיד על רישום נכון וספציפי של אתר הטיפול על מנת לוודא שאין טעויות בתכנון וטיפול.</v>
      </c>
      <c r="F709" s="117">
        <f>IF(ISBLANK('Event summary'!E709),"",'Event summary'!E709)</f>
        <v>45683</v>
      </c>
    </row>
    <row r="710" spans="1:6" ht="42.75" x14ac:dyDescent="0.2">
      <c r="A710" s="114" t="e">
        <f>IF(ISBLANK('Event summary'!#REF!),"",'Event summary'!#REF!)</f>
        <v>#REF!</v>
      </c>
      <c r="B710" s="115">
        <f>IF(ISBLANK('Event summary'!A710),"",'Event summary'!A710)</f>
        <v>710</v>
      </c>
      <c r="C710" s="115" t="str">
        <f>IF(ISBLANK('Event summary'!B710),"",'Event summary'!B710)</f>
        <v>תיעוד לא תקין</v>
      </c>
      <c r="D710" s="116" t="str">
        <f>IF(ISBLANK('Event summary'!C710),"",'Event summary'!C710)</f>
        <v>בקמליון היה כתוב 10Gy x 5 ב- Aria היה כתוב 18Gy x 3. המטופלת היתה צריכה לקבל 10Gy x 5 לכן היה צורך בהוספת פרקציות וחישוב חדש.</v>
      </c>
      <c r="E710" s="116" t="str">
        <f>IF(ISBLANK('Event summary'!D710),"",'Event summary'!D710)</f>
        <v>רופא יוודא שהמרשמים בקמליון וב Aria תואמים. על הפיזיקאי המתכנן מוטלת האחריות לבדוק קמליון בכל תכנון ולוודא תאימות עם המרשם של ה- Aria.</v>
      </c>
      <c r="F710" s="117">
        <f>IF(ISBLANK('Event summary'!E710),"",'Event summary'!E710)</f>
        <v>45683</v>
      </c>
    </row>
    <row r="711" spans="1:6" ht="57" x14ac:dyDescent="0.2">
      <c r="A711" s="114" t="e">
        <f>IF(ISBLANK('Event summary'!#REF!),"",'Event summary'!#REF!)</f>
        <v>#REF!</v>
      </c>
      <c r="B711" s="115">
        <f>IF(ISBLANK('Event summary'!A711),"",'Event summary'!A711)</f>
        <v>711</v>
      </c>
      <c r="C711" s="115" t="str">
        <f>IF(ISBLANK('Event summary'!B711),"",'Event summary'!B711)</f>
        <v>אי עמידה בזמנים</v>
      </c>
      <c r="D711" s="116" t="str">
        <f>IF(ISBLANK('Event summary'!C711),"",'Event summary'!C711)</f>
        <v>מטופלת דחופה סיימה סימולציה בשעה 12:25. בשעה 14:30 סיימו את הסימון. בשעה 16:00 סיימו לתכנן את התיק. בשעה 16:25 רופא חתם על התכנית ובשעה 16:40 התיק שוחרר לרנטגנאים למתן טיפול.</v>
      </c>
      <c r="E711" s="116" t="str">
        <f>IF(ISBLANK('Event summary'!D711),"",'Event summary'!D711)</f>
        <v>להחזיר מטופלים מאושפזים למחלקה עד לסיום תכנון. טיפולים דחופים לאותו היום ינתנו לאחר אישור מנהל היחידה בלבד.</v>
      </c>
      <c r="F711" s="117">
        <f>IF(ISBLANK('Event summary'!E711),"",'Event summary'!E711)</f>
        <v>45683</v>
      </c>
    </row>
    <row r="712" spans="1:6" ht="42.75" x14ac:dyDescent="0.2">
      <c r="A712" s="114" t="e">
        <f>IF(ISBLANK('Event summary'!#REF!),"",'Event summary'!#REF!)</f>
        <v>#REF!</v>
      </c>
      <c r="B712" s="115">
        <f>IF(ISBLANK('Event summary'!A712),"",'Event summary'!A712)</f>
        <v>712</v>
      </c>
      <c r="C712" s="115" t="str">
        <f>IF(ISBLANK('Event summary'!B712),"",'Event summary'!B712)</f>
        <v>אי עמידה בזמנים</v>
      </c>
      <c r="D712" s="116" t="str">
        <f>IF(ISBLANK('Event summary'!C712),"",'Event summary'!C712)</f>
        <v>מטופלת הוזמנה לסימולציה עם חומר ניגוד לשעה 13:40. המטופלת הגיעה בשעה 13:00 והמתינה כשעה להכנס לאחות. המטופלת הועברה לסימולציה בשעה 14:40.</v>
      </c>
      <c r="E712" s="116" t="str">
        <f>IF(ISBLANK('Event summary'!D712),"",'Event summary'!D712)</f>
        <v>יש אחות אחראית סימולציה. להקפיד על תקשורת בין צוותית. לצמצם ככל הניתן את משך הזמן להעברה לסימולציה מקבלה סיעודית.</v>
      </c>
      <c r="F712" s="117">
        <f>IF(ISBLANK('Event summary'!E712),"",'Event summary'!E712)</f>
        <v>45683</v>
      </c>
    </row>
    <row r="713" spans="1:6" ht="28.5" x14ac:dyDescent="0.2">
      <c r="A713" s="114" t="e">
        <f>IF(ISBLANK('Event summary'!#REF!),"",'Event summary'!#REF!)</f>
        <v>#REF!</v>
      </c>
      <c r="B713" s="115">
        <f>IF(ISBLANK('Event summary'!A713),"",'Event summary'!A713)</f>
        <v>713</v>
      </c>
      <c r="C713" s="115" t="str">
        <f>IF(ISBLANK('Event summary'!B713),"",'Event summary'!B713)</f>
        <v>תיעוד לא תקין</v>
      </c>
      <c r="D713" s="116" t="str">
        <f>IF(ISBLANK('Event summary'!C713),"",'Event summary'!C713)</f>
        <v>מטופל הוכנס ל Qflow בשעה שגויה (נדרש תיקון ידני). לפי הרישום חיכה כשעתיים לאחות כשבפועל המתין 10 דקות.</v>
      </c>
      <c r="E713" s="116" t="str">
        <f>IF(ISBLANK('Event summary'!D713),"",'Event summary'!D713)</f>
        <v>בעיה ב Qflow. המזכירות הודכנו שיש לבצע תיקון ידני. צריך להבין את הסוגיה ולגבש פתרון.</v>
      </c>
      <c r="F713" s="117">
        <f>IF(ISBLANK('Event summary'!E713),"",'Event summary'!E713)</f>
        <v>45683</v>
      </c>
    </row>
    <row r="714" spans="1:6" ht="28.5" x14ac:dyDescent="0.2">
      <c r="A714" s="114" t="e">
        <f>IF(ISBLANK('Event summary'!#REF!),"",'Event summary'!#REF!)</f>
        <v>#REF!</v>
      </c>
      <c r="B714" s="115">
        <f>IF(ISBLANK('Event summary'!A714),"",'Event summary'!A714)</f>
        <v>714</v>
      </c>
      <c r="C714" s="115" t="str">
        <f>IF(ISBLANK('Event summary'!B714),"",'Event summary'!B714)</f>
        <v>תקשורת לקויה</v>
      </c>
      <c r="D714" s="116" t="str">
        <f>IF(ISBLANK('Event summary'!C714),"",'Event summary'!C714)</f>
        <v>מטופלת לאחר סימולציה נשלחה הביתה ללא קבלת הדרכה סיעודית של אחות.</v>
      </c>
      <c r="E714" s="116" t="str">
        <f>IF(ISBLANK('Event summary'!D714),"",'Event summary'!D714)</f>
        <v xml:space="preserve"> בסימולצה בוצע תזכורת להעביר ב Qflow לאחות ולא לסגור. קיימת עדיפות שמטופלים יכנסו קודם להדרכת אחות לפני סימולציה.</v>
      </c>
      <c r="F714" s="117">
        <f>IF(ISBLANK('Event summary'!E714),"",'Event summary'!E714)</f>
        <v>45683</v>
      </c>
    </row>
    <row r="715" spans="1:6" ht="30" x14ac:dyDescent="0.2">
      <c r="A715" s="114" t="e">
        <f>IF(ISBLANK('Event summary'!#REF!),"",'Event summary'!#REF!)</f>
        <v>#REF!</v>
      </c>
      <c r="B715" s="115">
        <f>IF(ISBLANK('Event summary'!A715),"",'Event summary'!A715)</f>
        <v>715</v>
      </c>
      <c r="C715" s="115" t="str">
        <f>IF(ISBLANK('Event summary'!B715),"",'Event summary'!B715)</f>
        <v>אי ביצוע הנחיה (צוות)</v>
      </c>
      <c r="D715" s="116" t="str">
        <f>IF(ISBLANK('Event summary'!C715),"",'Event summary'!C715)</f>
        <v>סימונים לא נחתמו ע"י רופא.</v>
      </c>
      <c r="E715" s="116" t="str">
        <f>IF(ISBLANK('Event summary'!D715),"",'Event summary'!D715)</f>
        <v>צוות פיזיקה מתבקש להחזיר תיקים ללא חתימה.</v>
      </c>
      <c r="F715" s="117">
        <f>IF(ISBLANK('Event summary'!E715),"",'Event summary'!E715)</f>
        <v>45683</v>
      </c>
    </row>
    <row r="716" spans="1:6" ht="28.5" x14ac:dyDescent="0.2">
      <c r="A716" s="114" t="e">
        <f>IF(ISBLANK('Event summary'!#REF!),"",'Event summary'!#REF!)</f>
        <v>#REF!</v>
      </c>
      <c r="B716" s="115">
        <f>IF(ISBLANK('Event summary'!A716),"",'Event summary'!A716)</f>
        <v>716</v>
      </c>
      <c r="C716" s="115" t="str">
        <f>IF(ISBLANK('Event summary'!B716),"",'Event summary'!B716)</f>
        <v>תיעוד לא תקין</v>
      </c>
      <c r="D716" s="116" t="str">
        <f>IF(ISBLANK('Event summary'!C716),"",'Event summary'!C716)</f>
        <v>צד הטיפול המופיע במרשם (Lt) אינו תואם את הצד של המרשם בקמליון ושל הסימון (Rt).</v>
      </c>
      <c r="E716" s="116" t="str">
        <f>IF(ISBLANK('Event summary'!D716),"",'Event summary'!D716)</f>
        <v>להקפיד על רישום נכון וספציפי של אתר הטיפול על מנת לוודא שאין טעויות בתכנון וטיפול.</v>
      </c>
      <c r="F716" s="117">
        <f>IF(ISBLANK('Event summary'!E716),"",'Event summary'!E716)</f>
        <v>45683</v>
      </c>
    </row>
    <row r="717" spans="1:6" ht="42.75" x14ac:dyDescent="0.2">
      <c r="A717" s="114" t="e">
        <f>IF(ISBLANK('Event summary'!#REF!),"",'Event summary'!#REF!)</f>
        <v>#REF!</v>
      </c>
      <c r="B717" s="115">
        <f>IF(ISBLANK('Event summary'!A717),"",'Event summary'!A717)</f>
        <v>717</v>
      </c>
      <c r="C717" s="115" t="str">
        <f>IF(ISBLANK('Event summary'!B717),"",'Event summary'!B717)</f>
        <v>אי ביצוע הנחיה (מטופלים)</v>
      </c>
      <c r="D717" s="116" t="str">
        <f>IF(ISBLANK('Event summary'!C717),"",'Event summary'!C717)</f>
        <v>למטופלת שלא משתפת פעולה, התייתה תכנית באלקטרונים עם 1300MU. המטופלת היתה כ 45 דקות על השולחן. התכנית שונתה עקב כך.</v>
      </c>
      <c r="E717" s="116" t="str">
        <f>IF(ISBLANK('Event summary'!D717),"",'Event summary'!D717)</f>
        <v>אם רופא מקבל מטופל עם קשיים בהבנה או בביצוע הנחיות, יש לציין זאת בהערה במרשמים (קמליון ו Aria) ולבקש תכנן טיפול קצר.</v>
      </c>
      <c r="F717" s="117">
        <f>IF(ISBLANK('Event summary'!E717),"",'Event summary'!E717)</f>
        <v>45739</v>
      </c>
    </row>
    <row r="718" spans="1:6" ht="71.25" x14ac:dyDescent="0.2">
      <c r="A718" s="114" t="e">
        <f>IF(ISBLANK('Event summary'!#REF!),"",'Event summary'!#REF!)</f>
        <v>#REF!</v>
      </c>
      <c r="B718" s="115">
        <f>IF(ISBLANK('Event summary'!A718),"",'Event summary'!A718)</f>
        <v>718</v>
      </c>
      <c r="C718" s="115" t="str">
        <f>IF(ISBLANK('Event summary'!B718),"",'Event summary'!B718)</f>
        <v>העברת מידע</v>
      </c>
      <c r="D718" s="116" t="str">
        <f>IF(ISBLANK('Event summary'!C718),"",'Event summary'!C718)</f>
        <v>מטופלת הוזמנה לסימולציה בשעה 8:30. כשהגיעה הוכנסה ל- Q-Flow של "הדרכת אחות לסימולציה". קטגוריה זו אינה שימושית והמטופלת המתינה כשעה ורבע עד ששמו לב שיש מטופלת ממתינה. יש מספר רב של משימות לאחיות ב Q-Flow.</v>
      </c>
      <c r="E718" s="116" t="str">
        <f>IF(ISBLANK('Event summary'!D718),"",'Event summary'!D718)</f>
        <v>קיים תהליך של ייעול ושינוי של יומנים.</v>
      </c>
      <c r="F718" s="117">
        <f>IF(ISBLANK('Event summary'!E718),"",'Event summary'!E718)</f>
        <v>45739</v>
      </c>
    </row>
    <row r="719" spans="1:6" ht="57" x14ac:dyDescent="0.2">
      <c r="A719" s="114" t="e">
        <f>IF(ISBLANK('Event summary'!#REF!),"",'Event summary'!#REF!)</f>
        <v>#REF!</v>
      </c>
      <c r="B719" s="115">
        <f>IF(ISBLANK('Event summary'!A719),"",'Event summary'!A719)</f>
        <v>719</v>
      </c>
      <c r="C719" s="115" t="str">
        <f>IF(ISBLANK('Event summary'!B719),"",'Event summary'!B719)</f>
        <v>חוסר יעילות בעבודה</v>
      </c>
      <c r="D719" s="116" t="str">
        <f>IF(ISBLANK('Event summary'!C719),"",'Event summary'!C719)</f>
        <v>מטופל עבר קבלה רפואית בשעה 9:40. קבלה סיעודית נעשתה בשעה 11:30. המטופל היה צריל לשתות ח"נ + הזרקה ולכן היה צריך להמתין עוד 45 דקות עד ביצוע הסימולציה. הסימולציה הייתה פנויה בחוסר עבודה.</v>
      </c>
      <c r="E719" s="116" t="str">
        <f>IF(ISBLANK('Event summary'!D719),"",'Event summary'!D719)</f>
        <v>קיים תהליך של ייעול ושיפור תהליכים בנושא סיעוד.</v>
      </c>
      <c r="F719" s="117">
        <f>IF(ISBLANK('Event summary'!E719),"",'Event summary'!E719)</f>
        <v>45739</v>
      </c>
    </row>
    <row r="720" spans="1:6" ht="28.5" x14ac:dyDescent="0.2">
      <c r="A720" s="114" t="e">
        <f>IF(ISBLANK('Event summary'!#REF!),"",'Event summary'!#REF!)</f>
        <v>#REF!</v>
      </c>
      <c r="B720" s="115">
        <f>IF(ISBLANK('Event summary'!A720),"",'Event summary'!A720)</f>
        <v>720</v>
      </c>
      <c r="C720" s="115" t="str">
        <f>IF(ISBLANK('Event summary'!B720),"",'Event summary'!B720)</f>
        <v>היעדר תיעוד</v>
      </c>
      <c r="D720" s="116" t="str">
        <f>IF(ISBLANK('Event summary'!C720),"",'Event summary'!C720)</f>
        <v>ב 3 מטופלים מתוך 8 לא היה טופס סימולציה דבר אשר מעקב את משך הסימולציה למטופלים.</v>
      </c>
      <c r="E720" s="116" t="str">
        <f>IF(ISBLANK('Event summary'!D720),"",'Event summary'!D720)</f>
        <v>יש להנחות ולרענון את הנוהל לרופאים והמתמחים.</v>
      </c>
      <c r="F720" s="117">
        <f>IF(ISBLANK('Event summary'!E720),"",'Event summary'!E720)</f>
        <v>45739</v>
      </c>
    </row>
    <row r="721" spans="1:6" ht="57" x14ac:dyDescent="0.2">
      <c r="A721" s="114" t="e">
        <f>IF(ISBLANK('Event summary'!#REF!),"",'Event summary'!#REF!)</f>
        <v>#REF!</v>
      </c>
      <c r="B721" s="115">
        <f>IF(ISBLANK('Event summary'!A721),"",'Event summary'!A721)</f>
        <v>721</v>
      </c>
      <c r="C721" s="115" t="str">
        <f>IF(ISBLANK('Event summary'!B721),"",'Event summary'!B721)</f>
        <v>כמעט ניתן טיפול שגוי</v>
      </c>
      <c r="D721" s="116" t="str">
        <f>IF(ISBLANK('Event summary'!C721),"",'Event summary'!C721)</f>
        <v>חוסר התאמה בין מרשם קמליון ל Aria גרם לתכנון של 20 פרקציות במקום SBRT ל- 5 פרקציות. המקרה נעצר בבקרת איכות רנטגנאים לאחר שעבר תכנון של רופא ופיזיקאי ואישור תכנון.</v>
      </c>
      <c r="E721" s="116" t="str">
        <f>IF(ISBLANK('Event summary'!D721),"",'Event summary'!D721)</f>
        <v>רופא יקפיד על תאימות של המרשמים ב Aria וקמליון. פיזיקאי יפתח קמליון ויוודא את תאימות המרשמים לפני תכנון.</v>
      </c>
      <c r="F721" s="117">
        <f>IF(ISBLANK('Event summary'!E721),"",'Event summary'!E721)</f>
        <v>45739</v>
      </c>
    </row>
    <row r="722" spans="1:6" ht="30" x14ac:dyDescent="0.2">
      <c r="A722" s="114" t="e">
        <f>IF(ISBLANK('Event summary'!#REF!),"",'Event summary'!#REF!)</f>
        <v>#REF!</v>
      </c>
      <c r="B722" s="115">
        <f>IF(ISBLANK('Event summary'!A722),"",'Event summary'!A722)</f>
        <v>722</v>
      </c>
      <c r="C722" s="115" t="str">
        <f>IF(ISBLANK('Event summary'!B722),"",'Event summary'!B722)</f>
        <v>עבודה שלא על פי הנוהל</v>
      </c>
      <c r="D722" s="116" t="str">
        <f>IF(ISBLANK('Event summary'!C722),"",'Event summary'!C722)</f>
        <v>מקרה הגיע לתכנון עם סימונים לא חתומים על ידי רופא.</v>
      </c>
      <c r="E722" s="116" t="str">
        <f>IF(ISBLANK('Event summary'!D722),"",'Event summary'!D722)</f>
        <v>יש להחזיר לרופא ב Care Path תיקים עם סימונים לא חתומים.</v>
      </c>
      <c r="F722" s="117">
        <f>IF(ISBLANK('Event summary'!E722),"",'Event summary'!E722)</f>
        <v>45739</v>
      </c>
    </row>
    <row r="723" spans="1:6" ht="85.5" x14ac:dyDescent="0.2">
      <c r="A723" s="114" t="e">
        <f>IF(ISBLANK('Event summary'!#REF!),"",'Event summary'!#REF!)</f>
        <v>#REF!</v>
      </c>
      <c r="B723" s="115">
        <f>IF(ISBLANK('Event summary'!A723),"",'Event summary'!A723)</f>
        <v>723</v>
      </c>
      <c r="C723" s="115" t="str">
        <f>IF(ISBLANK('Event summary'!B723),"",'Event summary'!B723)</f>
        <v>כמעט ניתן טיפול שגוי</v>
      </c>
      <c r="D723" s="116" t="str">
        <f>IF(ISBLANK('Event summary'!C723),"",'Event summary'!C723)</f>
        <v>תיק לא עבר ישיבת QA בעקבות סימון. הרופא תיקן אך לא עדכן את הפיזיקאי וסגר את ה- Care Path. התיק הגיע למאיץ לטיפול ללא תכנון חוזר של פיזיקאי אשר היה גורם לחוסר התאמה בין המנות לנפחים המסומנים. המקרה התגלה במאיץ כאשר לא הצליחו להעביר Align RT לפני הטיפול.</v>
      </c>
      <c r="E723" s="116" t="str">
        <f>IF(ISBLANK('Event summary'!D723),"",'Event summary'!D723)</f>
        <v xml:space="preserve">רופא צריך לתקשר שינויים בתכנון לפיזיקאי המתכנן ול- RTTQA. להקפיד בישיבת QA לעשות Update Care Path. </v>
      </c>
      <c r="F723" s="117">
        <f>IF(ISBLANK('Event summary'!E723),"",'Event summary'!E723)</f>
        <v>45739</v>
      </c>
    </row>
    <row r="724" spans="1:6" ht="28.5" x14ac:dyDescent="0.2">
      <c r="A724" s="114" t="e">
        <f>IF(ISBLANK('Event summary'!#REF!),"",'Event summary'!#REF!)</f>
        <v>#REF!</v>
      </c>
      <c r="B724" s="115">
        <f>IF(ISBLANK('Event summary'!A724),"",'Event summary'!A724)</f>
        <v>724</v>
      </c>
      <c r="C724" s="115" t="str">
        <f>IF(ISBLANK('Event summary'!B724),"",'Event summary'!B724)</f>
        <v>תיעוד לא תקין</v>
      </c>
      <c r="D724" s="116" t="str">
        <f>IF(ISBLANK('Event summary'!C724),"",'Event summary'!C724)</f>
        <v>בתכנון פרוסטטה היו נפחים PTV 50 ו- PTV 55 במרשם המנות היו ל 52Gy ו- 50Gy. המרשם שונה.</v>
      </c>
      <c r="E724" s="116" t="str">
        <f>IF(ISBLANK('Event summary'!D724),"",'Event summary'!D724)</f>
        <v>יש להקפיד על אחידות באופן מתן שמות לנפחים תוך הקפדה על סימון מתאים.</v>
      </c>
      <c r="F724" s="117">
        <f>IF(ISBLANK('Event summary'!E724),"",'Event summary'!E724)</f>
        <v>45739</v>
      </c>
    </row>
    <row r="725" spans="1:6" ht="42.75" x14ac:dyDescent="0.2">
      <c r="A725" s="114" t="e">
        <f>IF(ISBLANK('Event summary'!#REF!),"",'Event summary'!#REF!)</f>
        <v>#REF!</v>
      </c>
      <c r="B725" s="115">
        <f>IF(ISBLANK('Event summary'!A725),"",'Event summary'!A725)</f>
        <v>725</v>
      </c>
      <c r="C725" s="115" t="str">
        <f>IF(ISBLANK('Event summary'!B725),"",'Event summary'!B725)</f>
        <v>תיעוד לא תקין</v>
      </c>
      <c r="D725" s="116" t="str">
        <f>IF(ISBLANK('Event summary'!C725),"",'Event summary'!C725)</f>
        <v>בקמליון רשום ריאה שמאל למנה של 10Gy x 5. ב- Aria יש מרשם ל- ריאה שמאל 7Gy x 5 ו- ריאה ימין 10Gy x 5. המטופל קיבל טיפול ע"פ מרשם Aria.</v>
      </c>
      <c r="E725" s="116" t="str">
        <f>IF(ISBLANK('Event summary'!D725),"",'Event summary'!D725)</f>
        <v>רופאים יוודאו התאמה בין המרשמים בקמליון וב- Aria. בשלב אישור התכנית יעדכן הרופא את הקמליון אם קיים צורך. פיזיקאי מתכנן יפתח את המרשם המלא ב Aria וב קמליון ויבדוק התאמה.</v>
      </c>
      <c r="F725" s="117">
        <f>IF(ISBLANK('Event summary'!E725),"",'Event summary'!E725)</f>
        <v>45739</v>
      </c>
    </row>
    <row r="726" spans="1:6" ht="28.5" x14ac:dyDescent="0.2">
      <c r="A726" s="114" t="e">
        <f>IF(ISBLANK('Event summary'!#REF!),"",'Event summary'!#REF!)</f>
        <v>#REF!</v>
      </c>
      <c r="B726" s="115">
        <f>IF(ISBLANK('Event summary'!A726),"",'Event summary'!A726)</f>
        <v>726</v>
      </c>
      <c r="C726" s="115" t="str">
        <f>IF(ISBLANK('Event summary'!B726),"",'Event summary'!B726)</f>
        <v>תקשורת לקויה</v>
      </c>
      <c r="D726" s="116" t="str">
        <f>IF(ISBLANK('Event summary'!C726),"",'Event summary'!C726)</f>
        <v>מטופלת לא ידעה שהיתה מוזמנת לסימולציה בשעה 17:30 וחזרה לביתה לאחר הדרכת שד.</v>
      </c>
      <c r="E726" s="116" t="str">
        <f>IF(ISBLANK('Event summary'!D726),"",'Event summary'!D726)</f>
        <v>מתקיים תהליך שיפור השירות בתחום הסיעוד ביחידה.</v>
      </c>
      <c r="F726" s="117">
        <f>IF(ISBLANK('Event summary'!E726),"",'Event summary'!E726)</f>
        <v>45739</v>
      </c>
    </row>
    <row r="727" spans="1:6" ht="28.5" x14ac:dyDescent="0.2">
      <c r="A727" s="114" t="e">
        <f>IF(ISBLANK('Event summary'!#REF!),"",'Event summary'!#REF!)</f>
        <v>#REF!</v>
      </c>
      <c r="B727" s="115">
        <f>IF(ISBLANK('Event summary'!A727),"",'Event summary'!A727)</f>
        <v>727</v>
      </c>
      <c r="C727" s="115" t="str">
        <f>IF(ISBLANK('Event summary'!B727),"",'Event summary'!B727)</f>
        <v>העברת מידע</v>
      </c>
      <c r="D727" s="116" t="str">
        <f>IF(ISBLANK('Event summary'!C727),"",'Event summary'!C727)</f>
        <v>למטופל בוטל תור לסימולציה ע"י הרופא. המידע לא הועבר לזימון תורים ולצוות הסימולציה.</v>
      </c>
      <c r="E727" s="116" t="str">
        <f>IF(ISBLANK('Event summary'!D727),"",'Event summary'!D727)</f>
        <v xml:space="preserve">יש להקפיד על תקשורת נאותה בין הסקטורים לצורך מתן שירות טוב ויעיל. יבוצע חידוד הנוהל לצוות הרופאים. </v>
      </c>
      <c r="F727" s="117">
        <f>IF(ISBLANK('Event summary'!E727),"",'Event summary'!E727)</f>
        <v>45739</v>
      </c>
    </row>
    <row r="728" spans="1:6" ht="57" x14ac:dyDescent="0.2">
      <c r="A728" s="114" t="e">
        <f>IF(ISBLANK('Event summary'!#REF!),"",'Event summary'!#REF!)</f>
        <v>#REF!</v>
      </c>
      <c r="B728" s="115">
        <f>IF(ISBLANK('Event summary'!A728),"",'Event summary'!A728)</f>
        <v>728</v>
      </c>
      <c r="C728" s="115" t="str">
        <f>IF(ISBLANK('Event summary'!B728),"",'Event summary'!B728)</f>
        <v>שגיאה טכנית</v>
      </c>
      <c r="D728" s="116" t="str">
        <f>IF(ISBLANK('Event summary'!C728),"",'Event summary'!C728)</f>
        <v>מטופל קיבל פעמים הזרקת חומר ניגוד. בפעם הראשונה לא הופיע ח"נ בסריקה למרות שהוזרק. הונפלון נבדק ונמצע תקין, לכן הזריקו פעם נוספת עם חומר מקופסה אחרת. כנראה שהחומר לא היה תקין למרות שהיה בתוקף עד נוב' 2026</v>
      </c>
      <c r="E728" s="116" t="str">
        <f>IF(ISBLANK('Event summary'!D728),"",'Event summary'!D728)</f>
        <v>חומר לא תקין, הנושא נבדק מול הספק. אין הנחיות נוספות.</v>
      </c>
      <c r="F728" s="117">
        <f>IF(ISBLANK('Event summary'!E728),"",'Event summary'!E728)</f>
        <v>45739</v>
      </c>
    </row>
    <row r="729" spans="1:6" ht="45" x14ac:dyDescent="0.2">
      <c r="A729" s="114" t="e">
        <f>IF(ISBLANK('Event summary'!#REF!),"",'Event summary'!#REF!)</f>
        <v>#REF!</v>
      </c>
      <c r="B729" s="115">
        <f>IF(ISBLANK('Event summary'!A729),"",'Event summary'!A729)</f>
        <v>729</v>
      </c>
      <c r="C729" s="115" t="str">
        <f>IF(ISBLANK('Event summary'!B729),"",'Event summary'!B729)</f>
        <v>תיק ללא אישורים מספקים</v>
      </c>
      <c r="D729" s="116" t="str">
        <f>IF(ISBLANK('Event summary'!C729),"",'Event summary'!C729)</f>
        <v>טיפול TBI ניתן ללא חתימת רופא על התכנית.</v>
      </c>
      <c r="E729" s="116" t="str">
        <f>IF(ISBLANK('Event summary'!D729),"",'Event summary'!D729)</f>
        <v>תכניות ללא סיטי עם חישוב ידני (TBI, TSI), יעברו ללא חתימה שניה של רופא. חתימה שניה של פיזיקאי תתקיים כמתוכנן.</v>
      </c>
      <c r="F729" s="117">
        <f>IF(ISBLANK('Event summary'!E729),"",'Event summary'!E729)</f>
        <v>45739</v>
      </c>
    </row>
    <row r="730" spans="1:6" ht="28.5" x14ac:dyDescent="0.2">
      <c r="A730" s="114" t="e">
        <f>IF(ISBLANK('Event summary'!#REF!),"",'Event summary'!#REF!)</f>
        <v>#REF!</v>
      </c>
      <c r="B730" s="115">
        <f>IF(ISBLANK('Event summary'!A730),"",'Event summary'!A730)</f>
        <v>730</v>
      </c>
      <c r="C730" s="115" t="str">
        <f>IF(ISBLANK('Event summary'!B730),"",'Event summary'!B730)</f>
        <v>תיעוד לא תקין</v>
      </c>
      <c r="D730" s="116" t="str">
        <f>IF(ISBLANK('Event summary'!C730),"",'Event summary'!C730)</f>
        <v>במרשם ובתכנית ב Aria לא כתוב צד הטיפול. בקמליון רשום צד ימין.</v>
      </c>
      <c r="E730" s="116" t="str">
        <f>IF(ISBLANK('Event summary'!D730),"",'Event summary'!D730)</f>
        <v>בכל איבר זוגי צריך לציין צד הטיפול. באיברים לא זוגיים להפעיל שיכול דעת לגבי הצורך בציון צד הטיפול.</v>
      </c>
      <c r="F730" s="117">
        <f>IF(ISBLANK('Event summary'!E730),"",'Event summary'!E730)</f>
        <v>45739</v>
      </c>
    </row>
    <row r="731" spans="1:6" ht="57" x14ac:dyDescent="0.2">
      <c r="A731" s="114" t="e">
        <f>IF(ISBLANK('Event summary'!#REF!),"",'Event summary'!#REF!)</f>
        <v>#REF!</v>
      </c>
      <c r="B731" s="115">
        <f>IF(ISBLANK('Event summary'!A731),"",'Event summary'!A731)</f>
        <v>731</v>
      </c>
      <c r="C731" s="115" t="str">
        <f>IF(ISBLANK('Event summary'!B731),"",'Event summary'!B731)</f>
        <v>מתן טיפול באופן שגוי</v>
      </c>
      <c r="D731" s="116" t="str">
        <f>IF(ISBLANK('Event summary'!C731),"",'Event summary'!C731)</f>
        <v>במהלך 7 פרקציות מטופלת קיבלה טיפול עם Pitch גבוהה. לאחר בירור של התכנית התברר שבסימולציה של המטופלת המשולש השקוף של המתקן קיבוע לשד היה הפוך (ראה תמונה). המטופלת עברה סימולציה חוזרת ותכנון מחודש.</v>
      </c>
      <c r="E731" s="116" t="str">
        <f>IF(ISBLANK('Event summary'!D731),"",'Event summary'!D731)</f>
        <v>לתת תשומת לב לאופן ההשכבה של המטופל ובפרט לשים לב לפרמטרים של הקיבועים.</v>
      </c>
      <c r="F731" s="117">
        <f>IF(ISBLANK('Event summary'!E731),"",'Event summary'!E731)</f>
        <v>45739</v>
      </c>
    </row>
    <row r="732" spans="1:6" ht="28.5" x14ac:dyDescent="0.2">
      <c r="A732" s="114" t="e">
        <f>IF(ISBLANK('Event summary'!#REF!),"",'Event summary'!#REF!)</f>
        <v>#REF!</v>
      </c>
      <c r="B732" s="115">
        <f>IF(ISBLANK('Event summary'!A732),"",'Event summary'!A732)</f>
        <v>732</v>
      </c>
      <c r="C732" s="115" t="str">
        <f>IF(ISBLANK('Event summary'!B732),"",'Event summary'!B732)</f>
        <v>תיעוד לא תקין</v>
      </c>
      <c r="D732" s="116" t="str">
        <f>IF(ISBLANK('Event summary'!C732),"",'Event summary'!C732)</f>
        <v>השמות של הארקים אינם תואמים לארקים בטיפול.</v>
      </c>
      <c r="E732" s="116" t="str">
        <f>IF(ISBLANK('Event summary'!D732),"",'Event summary'!D732)</f>
        <v>פיזיקאי יקפיד על שמות שדות תואמים לטיפול. חתימה שניה תבדוק שמות שדות. בעבודה על סקריפט לשמות אוטומטי שיבצע התאמה.</v>
      </c>
      <c r="F732" s="117">
        <f>IF(ISBLANK('Event summary'!E732),"",'Event summary'!E732)</f>
        <v>45739</v>
      </c>
    </row>
    <row r="733" spans="1:6" ht="28.5" x14ac:dyDescent="0.2">
      <c r="A733" s="114" t="e">
        <f>IF(ISBLANK('Event summary'!#REF!),"",'Event summary'!#REF!)</f>
        <v>#REF!</v>
      </c>
      <c r="B733" s="115">
        <f>IF(ISBLANK('Event summary'!A733),"",'Event summary'!A733)</f>
        <v>733</v>
      </c>
      <c r="C733" s="115" t="str">
        <f>IF(ISBLANK('Event summary'!B733),"",'Event summary'!B733)</f>
        <v>העברת מידע</v>
      </c>
      <c r="D733" s="116" t="str">
        <f>IF(ISBLANK('Event summary'!C733),"",'Event summary'!C733)</f>
        <v>מטופלת גניקו הוזמנה במנור לסימולציה אחת והייתה צריכה 2 סימולציות אם ובלי מילוי שלפוחית.</v>
      </c>
      <c r="E733" s="116" t="str">
        <f>IF(ISBLANK('Event summary'!D733),"",'Event summary'!D733)</f>
        <v>כל ההנחיות לסימולציה יהיו מתועדות לפני ביצוע הסימולציה.</v>
      </c>
      <c r="F733" s="117">
        <f>IF(ISBLANK('Event summary'!E733),"",'Event summary'!E733)</f>
        <v>45739</v>
      </c>
    </row>
    <row r="734" spans="1:6" ht="45" x14ac:dyDescent="0.2">
      <c r="A734" s="114" t="e">
        <f>IF(ISBLANK('Event summary'!#REF!),"",'Event summary'!#REF!)</f>
        <v>#REF!</v>
      </c>
      <c r="B734" s="115">
        <f>IF(ISBLANK('Event summary'!A734),"",'Event summary'!A734)</f>
        <v>734</v>
      </c>
      <c r="C734" s="115" t="str">
        <f>IF(ISBLANK('Event summary'!B734),"",'Event summary'!B734)</f>
        <v>תיק ללא אישורים מספקים</v>
      </c>
      <c r="D734" s="116" t="str">
        <f>IF(ISBLANK('Event summary'!C734),"",'Event summary'!C734)</f>
        <v>תיק המתין לחתימת רופא לפני טיפול. הרופא לא היה באותו היום ולא דאג להחלפה</v>
      </c>
      <c r="E734" s="116" t="str">
        <f>IF(ISBLANK('Event summary'!D734),"",'Event summary'!D734)</f>
        <v>אחריות של רופא להשלים את את החתימות על התכנונים לפני תחילת הטיפול. אם אינו יכול, באחריותו לבקש מקולגה לגבות אותו. רענון נוהל לצוות הרופאים.</v>
      </c>
      <c r="F734" s="117">
        <f>IF(ISBLANK('Event summary'!E734),"",'Event summary'!E734)</f>
        <v>45739</v>
      </c>
    </row>
    <row r="735" spans="1:6" ht="45" x14ac:dyDescent="0.2">
      <c r="A735" s="114" t="e">
        <f>IF(ISBLANK('Event summary'!#REF!),"",'Event summary'!#REF!)</f>
        <v>#REF!</v>
      </c>
      <c r="B735" s="115">
        <f>IF(ISBLANK('Event summary'!A735),"",'Event summary'!A735)</f>
        <v>735</v>
      </c>
      <c r="C735" s="115" t="str">
        <f>IF(ISBLANK('Event summary'!B735),"",'Event summary'!B735)</f>
        <v>תיק ללא אישורים מספקים</v>
      </c>
      <c r="D735" s="116" t="str">
        <f>IF(ISBLANK('Event summary'!C735),"",'Event summary'!C735)</f>
        <v>תיק המתין לחתימת רופא לפני טיפול. הרופא לא היה באותו היום ולא דאג להחלפה</v>
      </c>
      <c r="E735" s="116" t="str">
        <f>IF(ISBLANK('Event summary'!D735),"",'Event summary'!D735)</f>
        <v>אחריות של רופא להשלים את את החתימות על התכנונים לפני תחילת הטיפול. אם אינו יכול, באחריותו לבקש מקולגה לגבות אותו. רענון נוהל לצוות הרופאים.</v>
      </c>
      <c r="F735" s="117">
        <f>IF(ISBLANK('Event summary'!E735),"",'Event summary'!E735)</f>
        <v>45739</v>
      </c>
    </row>
    <row r="736" spans="1:6" ht="45" x14ac:dyDescent="0.2">
      <c r="A736" s="114" t="e">
        <f>IF(ISBLANK('Event summary'!#REF!),"",'Event summary'!#REF!)</f>
        <v>#REF!</v>
      </c>
      <c r="B736" s="115">
        <f>IF(ISBLANK('Event summary'!A736),"",'Event summary'!A736)</f>
        <v>736</v>
      </c>
      <c r="C736" s="115" t="str">
        <f>IF(ISBLANK('Event summary'!B736),"",'Event summary'!B736)</f>
        <v>תיק ללא אישורים מספקים</v>
      </c>
      <c r="D736" s="116" t="str">
        <f>IF(ISBLANK('Event summary'!C736),"",'Event summary'!C736)</f>
        <v>תיק TSI המתין לחתימת רופא לפני טיפול. התיק נחתם ע"י פיזיקאי ברגע האחרון.</v>
      </c>
      <c r="E736" s="116" t="str">
        <f>IF(ISBLANK('Event summary'!D736),"",'Event summary'!D736)</f>
        <v>תכניות ללא סיטי עם חישוב ידני (TBI, TSI), יעברו ללא חתימה שניה של רופא. חתימה שניה של פיזיקאי תתקיים כמתוכנן.</v>
      </c>
      <c r="F736" s="117">
        <f>IF(ISBLANK('Event summary'!E736),"",'Event summary'!E736)</f>
        <v>45739</v>
      </c>
    </row>
    <row r="737" spans="1:6" ht="30" x14ac:dyDescent="0.2">
      <c r="A737" s="114" t="e">
        <f>IF(ISBLANK('Event summary'!#REF!),"",'Event summary'!#REF!)</f>
        <v>#REF!</v>
      </c>
      <c r="B737" s="115">
        <f>IF(ISBLANK('Event summary'!A737),"",'Event summary'!A737)</f>
        <v>737</v>
      </c>
      <c r="C737" s="115" t="str">
        <f>IF(ISBLANK('Event summary'!B737),"",'Event summary'!B737)</f>
        <v>אי עמידה בזמנים</v>
      </c>
      <c r="D737" s="116" t="str">
        <f>IF(ISBLANK('Event summary'!C737),"",'Event summary'!C737)</f>
        <v>יום לפני הטיפול התיק לא היה מוכן לתכנון (לא היו סימונים). המטופל היה צריך לקבל קיטרודה יומיים לפני הטיפול.</v>
      </c>
      <c r="E737" s="116" t="str">
        <f>IF(ISBLANK('Event summary'!D737),"",'Event summary'!D737)</f>
        <v>שינוי תהליך לטיפולי פולסר</v>
      </c>
      <c r="F737" s="117">
        <f>IF(ISBLANK('Event summary'!E737),"",'Event summary'!E737)</f>
        <v>45739</v>
      </c>
    </row>
    <row r="738" spans="1:6" ht="28.5" x14ac:dyDescent="0.2">
      <c r="A738" s="114" t="e">
        <f>IF(ISBLANK('Event summary'!#REF!),"",'Event summary'!#REF!)</f>
        <v>#REF!</v>
      </c>
      <c r="B738" s="115">
        <f>IF(ISBLANK('Event summary'!A738),"",'Event summary'!A738)</f>
        <v>738</v>
      </c>
      <c r="C738" s="115" t="str">
        <f>IF(ISBLANK('Event summary'!B738),"",'Event summary'!B738)</f>
        <v>העברת מידע</v>
      </c>
      <c r="D738" s="116" t="str">
        <f>IF(ISBLANK('Event summary'!C738),"",'Event summary'!C738)</f>
        <v>מטופלת מאושפזת עברה תכנון דחוף ביום חמישי. לא זומנה לטיפול ביום ראשון.</v>
      </c>
      <c r="E738" s="116" t="str">
        <f>IF(ISBLANK('Event summary'!D738),"",'Event summary'!D738)</f>
        <v>תהליך של בקרת תהליכים תתבצעה ע"י יחידת  בקרה.</v>
      </c>
      <c r="F738" s="117">
        <f>IF(ISBLANK('Event summary'!E738),"",'Event summary'!E738)</f>
        <v>45739</v>
      </c>
    </row>
    <row r="739" spans="1:6" x14ac:dyDescent="0.2">
      <c r="A739" s="114" t="e">
        <f>IF(ISBLANK('Event summary'!#REF!),"",'Event summary'!#REF!)</f>
        <v>#REF!</v>
      </c>
      <c r="B739" s="115">
        <f>IF(ISBLANK('Event summary'!A739),"",'Event summary'!A739)</f>
        <v>739</v>
      </c>
      <c r="C739" s="115" t="str">
        <f>IF(ISBLANK('Event summary'!B739),"",'Event summary'!B739)</f>
        <v>תקשורת לקויה</v>
      </c>
      <c r="D739" s="116" t="str">
        <f>IF(ISBLANK('Event summary'!C739),"",'Event summary'!C739)</f>
        <v>לטיפול פולסר לא היה First day</v>
      </c>
      <c r="E739" s="116" t="str">
        <f>IF(ISBLANK('Event summary'!D739),"",'Event summary'!D739)</f>
        <v>שינוי תהליך לטיפולי פולסר</v>
      </c>
      <c r="F739" s="117">
        <f>IF(ISBLANK('Event summary'!E739),"",'Event summary'!E739)</f>
        <v>45739</v>
      </c>
    </row>
    <row r="740" spans="1:6" ht="57" x14ac:dyDescent="0.2">
      <c r="A740" s="114" t="e">
        <f>IF(ISBLANK('Event summary'!#REF!),"",'Event summary'!#REF!)</f>
        <v>#REF!</v>
      </c>
      <c r="B740" s="115">
        <f>IF(ISBLANK('Event summary'!A740),"",'Event summary'!A740)</f>
        <v>740</v>
      </c>
      <c r="C740" s="115" t="str">
        <f>IF(ISBLANK('Event summary'!B740),"",'Event summary'!B740)</f>
        <v>חוסר בהבנת דרישות הטיפול</v>
      </c>
      <c r="D740" s="116" t="str">
        <f>IF(ISBLANK('Event summary'!C740),"",'Event summary'!C740)</f>
        <v>מטופל לא מסוגל לעמוד בהנחיות הסימולציה. בהנחיות כתוב שלפוחית מלאה בעוד שלמטופל יש קטטר ואינו מסוגל להחזיק שתן. ע"פ הפרוטוקול של Pelvic LN אין כלל דרישה לשלפוחית מלאה.</v>
      </c>
      <c r="E740" s="116" t="str">
        <f>IF(ISBLANK('Event summary'!D740),"",'Event summary'!D740)</f>
        <v>יש לשים לב ליכולות המטופל ולהתאים את תנאי הסימולציה</v>
      </c>
      <c r="F740" s="117">
        <f>IF(ISBLANK('Event summary'!E740),"",'Event summary'!E740)</f>
        <v>45739</v>
      </c>
    </row>
    <row r="741" spans="1:6" ht="28.5" x14ac:dyDescent="0.2">
      <c r="A741" s="114" t="e">
        <f>IF(ISBLANK('Event summary'!#REF!),"",'Event summary'!#REF!)</f>
        <v>#REF!</v>
      </c>
      <c r="B741" s="115">
        <f>IF(ISBLANK('Event summary'!A741),"",'Event summary'!A741)</f>
        <v>741</v>
      </c>
      <c r="C741" s="115" t="str">
        <f>IF(ISBLANK('Event summary'!B741),"",'Event summary'!B741)</f>
        <v>תיעוד לא תקין</v>
      </c>
      <c r="D741" s="116" t="str">
        <f>IF(ISBLANK('Event summary'!C741),"",'Event summary'!C741)</f>
        <v>שם המשפחה של המטופלת היה  Update Care Path. לא ניתן היה לתקן את השם.</v>
      </c>
      <c r="E741" s="116" t="str">
        <f>IF(ISBLANK('Event summary'!D741),"",'Event summary'!D741)</f>
        <v>תקלה טכנית במערכת Aria. בטיפול מול Varian. לא להזין בשדות דמוגרפים של מטופלים שמות פיקטביים.</v>
      </c>
      <c r="F741" s="117">
        <f>IF(ISBLANK('Event summary'!E741),"",'Event summary'!E741)</f>
        <v>45739</v>
      </c>
    </row>
    <row r="742" spans="1:6" ht="57" x14ac:dyDescent="0.2">
      <c r="A742" s="114" t="e">
        <f>IF(ISBLANK('Event summary'!#REF!),"",'Event summary'!#REF!)</f>
        <v>#REF!</v>
      </c>
      <c r="B742" s="115">
        <f>IF(ISBLANK('Event summary'!A742),"",'Event summary'!A742)</f>
        <v>742</v>
      </c>
      <c r="C742" s="115" t="str">
        <f>IF(ISBLANK('Event summary'!B742),"",'Event summary'!B742)</f>
        <v>עבודה שלא על פי הנוהל</v>
      </c>
      <c r="D742" s="116" t="str">
        <f>IF(ISBLANK('Event summary'!C742),"",'Event summary'!C742)</f>
        <v>למטופל עם שני מוקדים תוכנו שני קורסים במקום לאחד את התכניות לקורס אחד.</v>
      </c>
      <c r="E742" s="116" t="str">
        <f>IF(ISBLANK('Event summary'!D742),"",'Event summary'!D742)</f>
        <v>כאשר מתכננים שני קורסים, כל תכנית עולה בנפרד וצריך לעלות את המטופל  פעמיים עם שני זימונים במערכת התורים. לכן, כאשר מטופל מקבל מספר מוקדים באותו העת יש לשים את כל התכניות באותו קורס טיפול. חידוד נוהל מול הרופאים.</v>
      </c>
      <c r="F742" s="117">
        <f>IF(ISBLANK('Event summary'!E742),"",'Event summary'!E742)</f>
        <v>45739</v>
      </c>
    </row>
    <row r="743" spans="1:6" ht="30" x14ac:dyDescent="0.2">
      <c r="A743" s="114" t="e">
        <f>IF(ISBLANK('Event summary'!#REF!),"",'Event summary'!#REF!)</f>
        <v>#REF!</v>
      </c>
      <c r="B743" s="115">
        <f>IF(ISBLANK('Event summary'!A743),"",'Event summary'!A743)</f>
        <v>743</v>
      </c>
      <c r="C743" s="115" t="str">
        <f>IF(ISBLANK('Event summary'!B743),"",'Event summary'!B743)</f>
        <v>עבודה שלא על פי הנוהל</v>
      </c>
      <c r="D743" s="116" t="str">
        <f>IF(ISBLANK('Event summary'!C743),"",'Event summary'!C743)</f>
        <v>למטופל דחוף עם טיפול חד פעמי, נפתח הקורס והתכנית הקודמת.</v>
      </c>
      <c r="E743" s="116" t="str">
        <f>IF(ISBLANK('Event summary'!D743),"",'Event summary'!D743)</f>
        <v>התכנית נפתחה כיוון שהקורס הקודם לא היה סגור וגם היו פרקציות שלא ניתנו בטיפול הקודם. פיזיקאי מתכנן יסגור קורסים ישנים.</v>
      </c>
      <c r="F743" s="117">
        <f>IF(ISBLANK('Event summary'!E743),"",'Event summary'!E743)</f>
        <v>45739</v>
      </c>
    </row>
    <row r="744" spans="1:6" ht="57" x14ac:dyDescent="0.2">
      <c r="A744" s="114" t="e">
        <f>IF(ISBLANK('Event summary'!#REF!),"",'Event summary'!#REF!)</f>
        <v>#REF!</v>
      </c>
      <c r="B744" s="115">
        <f>IF(ISBLANK('Event summary'!A744),"",'Event summary'!A744)</f>
        <v>744</v>
      </c>
      <c r="C744" s="115" t="str">
        <f>IF(ISBLANK('Event summary'!B744),"",'Event summary'!B744)</f>
        <v>העברת מידע</v>
      </c>
      <c r="D744" s="116" t="str">
        <f>IF(ISBLANK('Event summary'!C744),"",'Event summary'!C744)</f>
        <v>בטיפול ראשון, לא היה ברור אם הטיפול Prostate Dual או Prostate SBRT. נשלחו מרקרים במקום זרעי זהב. המטופל שכב על השולחן חצי שעה עד בירור הענין מול הרופא והפיזיקאים המעורבים.</v>
      </c>
      <c r="E744" s="116" t="str">
        <f>IF(ISBLANK('Event summary'!D744),"",'Event summary'!D744)</f>
        <v>להקפיד לשלוח מרקרים רק ב single fraction או dual fraction. אחרת יש לשלוח את נפח המטרה.</v>
      </c>
      <c r="F744" s="117">
        <f>IF(ISBLANK('Event summary'!E744),"",'Event summary'!E744)</f>
        <v>45818</v>
      </c>
    </row>
    <row r="745" spans="1:6" ht="57" x14ac:dyDescent="0.2">
      <c r="A745" s="114" t="e">
        <f>IF(ISBLANK('Event summary'!#REF!),"",'Event summary'!#REF!)</f>
        <v>#REF!</v>
      </c>
      <c r="B745" s="115">
        <f>IF(ISBLANK('Event summary'!A745),"",'Event summary'!A745)</f>
        <v>745</v>
      </c>
      <c r="C745" s="115" t="str">
        <f>IF(ISBLANK('Event summary'!B745),"",'Event summary'!B745)</f>
        <v>תיעוד לא תקין</v>
      </c>
      <c r="D745" s="116" t="str">
        <f>IF(ISBLANK('Event summary'!C745),"",'Event summary'!C745)</f>
        <v>מטופלת שהגיעה לסימולציה לטיפול Pulsar בירך, לא היה ברור אם פרוקסימאלי או דיסטאלי, דבר אשר משפיע על אופן ההשכבה של המטופלת. המטופלת עברה סימולציה נוספת עקב כך</v>
      </c>
      <c r="E745" s="116" t="str">
        <f>IF(ISBLANK('Event summary'!D745),"",'Event summary'!D745)</f>
        <v>הרופא יתן הנחיות מדויקות וברורות על אופן ההשכבה של מטופלים בסימולציה. חשוב להקפיד על תקשורת יעילה בין הצוותים על מנת למנוע שגיאות שנובעות מאי הבנה.</v>
      </c>
      <c r="F745" s="117">
        <f>IF(ISBLANK('Event summary'!E745),"",'Event summary'!E745)</f>
        <v>45818</v>
      </c>
    </row>
    <row r="746" spans="1:6" ht="28.5" x14ac:dyDescent="0.2">
      <c r="A746" s="114" t="e">
        <f>IF(ISBLANK('Event summary'!#REF!),"",'Event summary'!#REF!)</f>
        <v>#REF!</v>
      </c>
      <c r="B746" s="115">
        <f>IF(ISBLANK('Event summary'!A746),"",'Event summary'!A746)</f>
        <v>746</v>
      </c>
      <c r="C746" s="115" t="str">
        <f>IF(ISBLANK('Event summary'!B746),"",'Event summary'!B746)</f>
        <v>העברת מידע</v>
      </c>
      <c r="D746" s="116" t="str">
        <f>IF(ISBLANK('Event summary'!C746),"",'Event summary'!C746)</f>
        <v>מועד תחילת הטיפול נדחה ע"י זימון תורים ללא הודעה לצוות המתכנן.</v>
      </c>
      <c r="E746" s="116" t="str">
        <f>IF(ISBLANK('Event summary'!D746),"",'Event summary'!D746)</f>
        <v>חשוב להקפיד על תקשורת יעילה בין הצוותים.</v>
      </c>
      <c r="F746" s="117">
        <f>IF(ISBLANK('Event summary'!E746),"",'Event summary'!E746)</f>
        <v>45818</v>
      </c>
    </row>
    <row r="747" spans="1:6" ht="57" x14ac:dyDescent="0.2">
      <c r="A747" s="114" t="e">
        <f>IF(ISBLANK('Event summary'!#REF!),"",'Event summary'!#REF!)</f>
        <v>#REF!</v>
      </c>
      <c r="B747" s="115">
        <f>IF(ISBLANK('Event summary'!A747),"",'Event summary'!A747)</f>
        <v>747</v>
      </c>
      <c r="C747" s="115" t="str">
        <f>IF(ISBLANK('Event summary'!B747),"",'Event summary'!B747)</f>
        <v>חוסר תשומת לב</v>
      </c>
      <c r="D747" s="116" t="str">
        <f>IF(ISBLANK('Event summary'!C747),"",'Event summary'!C747)</f>
        <v xml:space="preserve">מטופלת הוזמנה לסימולציה עם שתי סריקות. לשתי הסריקות נדרש חומר ניגוד (גם בשתיה וגם בהזרקה). בנוסף, למטופלת הייתה רגישות ליוד. </v>
      </c>
      <c r="E747" s="116" t="str">
        <f>IF(ISBLANK('Event summary'!D747),"",'Event summary'!D747)</f>
        <v>באחריות רופא ילהקפיד על רגישויות של המטופלים. הרופא ינחה בהתאם את שאר הצוות באמצעות טופס סימולציה וקמליון על אופן הכנת המטופלים לסימולציה. אחות תעשה בקרה על רגישויות בקבלה הסיעודית.</v>
      </c>
      <c r="F747" s="117">
        <f>IF(ISBLANK('Event summary'!E747),"",'Event summary'!E747)</f>
        <v>45818</v>
      </c>
    </row>
    <row r="748" spans="1:6" ht="57" x14ac:dyDescent="0.2">
      <c r="A748" s="114" t="e">
        <f>IF(ISBLANK('Event summary'!#REF!),"",'Event summary'!#REF!)</f>
        <v>#REF!</v>
      </c>
      <c r="B748" s="115">
        <f>IF(ISBLANK('Event summary'!A748),"",'Event summary'!A748)</f>
        <v>748</v>
      </c>
      <c r="C748" s="115" t="str">
        <f>IF(ISBLANK('Event summary'!B748),"",'Event summary'!B748)</f>
        <v>תיעוד לא תקין</v>
      </c>
      <c r="D748" s="116" t="str">
        <f>IF(ISBLANK('Event summary'!C748),"",'Event summary'!C748)</f>
        <v>מטופל זכר הוזמן לסימולציה עם טופס של Cervix והנחיות לחוקן שהמטופל לא הודרך לביצוע. הרופא המטפל לא נכח ולא היה ברור מהוא האיבר שצריך לעבור סימולציה.</v>
      </c>
      <c r="E748" s="116" t="str">
        <f>IF(ISBLANK('Event summary'!D748),"",'Event summary'!D748)</f>
        <v>תשומת לב לפרטים!!! 
הרופא יתן הנחיות מדויקות וברורות על אופן ההשכבה של מטופלים בסימולציה. חשוב להקפיד על תקשורת יעילה בין הצוותים על מנת למנוע שגיאות שנובעות מאי הבנה.</v>
      </c>
      <c r="F748" s="117">
        <f>IF(ISBLANK('Event summary'!E748),"",'Event summary'!E748)</f>
        <v>45818</v>
      </c>
    </row>
    <row r="749" spans="1:6" ht="28.5" x14ac:dyDescent="0.2">
      <c r="A749" s="114" t="e">
        <f>IF(ISBLANK('Event summary'!#REF!),"",'Event summary'!#REF!)</f>
        <v>#REF!</v>
      </c>
      <c r="B749" s="115">
        <f>IF(ISBLANK('Event summary'!A749),"",'Event summary'!A749)</f>
        <v>749</v>
      </c>
      <c r="C749" s="115" t="str">
        <f>IF(ISBLANK('Event summary'!B749),"",'Event summary'!B749)</f>
        <v>תיעוד לא תקין</v>
      </c>
      <c r="D749" s="116" t="str">
        <f>IF(ISBLANK('Event summary'!C749),"",'Event summary'!C749)</f>
        <v>במרשם Aria לטיפול דחוף, היה כתוב 4Gy x 5 בלבד ללא הגדרת נפח מטרה והגדרת כיסוי.</v>
      </c>
      <c r="E749" s="116" t="str">
        <f>IF(ISBLANK('Event summary'!D749),"",'Event summary'!D749)</f>
        <v>מרשם לא תקין יש לקפיד על רישום מדויק ונכון.</v>
      </c>
      <c r="F749" s="117">
        <f>IF(ISBLANK('Event summary'!E749),"",'Event summary'!E749)</f>
        <v>45818</v>
      </c>
    </row>
    <row r="750" spans="1:6" ht="57" x14ac:dyDescent="0.2">
      <c r="A750" s="114" t="e">
        <f>IF(ISBLANK('Event summary'!#REF!),"",'Event summary'!#REF!)</f>
        <v>#REF!</v>
      </c>
      <c r="B750" s="115">
        <f>IF(ISBLANK('Event summary'!A750),"",'Event summary'!A750)</f>
        <v>750</v>
      </c>
      <c r="C750" s="115" t="str">
        <f>IF(ISBLANK('Event summary'!B750),"",'Event summary'!B750)</f>
        <v>העברת מידע</v>
      </c>
      <c r="D750" s="116" t="str">
        <f>IF(ISBLANK('Event summary'!C750),"",'Event summary'!C750)</f>
        <v>מטופל עבר הכנה לסימולציה עם חומר ניגוד בשתיה והזרקה על בסיס טופס סימולציה ישן. למטופל הוכנס ונפלון ושתה חומר ניגוד עקב כך. המטופל הוזמן לסימולציה לע"ש לומבר סקראלי. המקרה דווח כארוע.</v>
      </c>
      <c r="E750" s="116" t="str">
        <f>IF(ISBLANK('Event summary'!D750),"",'Event summary'!D750)</f>
        <v>רופא יקפיד על מילוי טופס סימולציה. רנטגנאים בסימולציה יש לשים לב לתאריך הטופס.</v>
      </c>
      <c r="F750" s="117">
        <f>IF(ISBLANK('Event summary'!E750),"",'Event summary'!E750)</f>
        <v>45818</v>
      </c>
    </row>
    <row r="751" spans="1:6" ht="71.25" x14ac:dyDescent="0.2">
      <c r="A751" s="114" t="e">
        <f>IF(ISBLANK('Event summary'!#REF!),"",'Event summary'!#REF!)</f>
        <v>#REF!</v>
      </c>
      <c r="B751" s="115">
        <f>IF(ISBLANK('Event summary'!A751),"",'Event summary'!A751)</f>
        <v>751</v>
      </c>
      <c r="C751" s="115" t="str">
        <f>IF(ISBLANK('Event summary'!B751),"",'Event summary'!B751)</f>
        <v>חבלה גופנית</v>
      </c>
      <c r="D751" s="116" t="str">
        <f>IF(ISBLANK('Event summary'!C751),"",'Event summary'!C751)</f>
        <v>בסיום הטיפול עברנו לשדה Setup AP על מנת להחזיר את הגנטרי לזווית 0. במקום זאת הגנטרי ירד לזוית 270 ופגע בזרוע של המטופלת. המטופלת צעקה שהמכשיר פוגע בה, אז עצרנו והעלנו את הגנטרי באמצעות Go To.  המטופלת בסדר וללא סימני פגיעה.</v>
      </c>
      <c r="E751" s="116" t="str">
        <f>IF(ISBLANK('Event summary'!D751),"",'Event summary'!D751)</f>
        <v>במהלך התכנון והבדיקה של תכניות יש להקפיד על שמות של השדות והכיוונים. רנטגנאים יקפידו להסתכל על המטופל במצלמות במהלך הטיפול.</v>
      </c>
      <c r="F751" s="117">
        <f>IF(ISBLANK('Event summary'!E751),"",'Event summary'!E751)</f>
        <v>45818</v>
      </c>
    </row>
    <row r="752" spans="1:6" ht="30" x14ac:dyDescent="0.2">
      <c r="A752" s="114" t="e">
        <f>IF(ISBLANK('Event summary'!#REF!),"",'Event summary'!#REF!)</f>
        <v>#REF!</v>
      </c>
      <c r="B752" s="115">
        <f>IF(ISBLANK('Event summary'!A752),"",'Event summary'!A752)</f>
        <v>752</v>
      </c>
      <c r="C752" s="115" t="str">
        <f>IF(ISBLANK('Event summary'!B752),"",'Event summary'!B752)</f>
        <v>אי עמידה בזמנים</v>
      </c>
      <c r="D752" s="116" t="str">
        <f>IF(ISBLANK('Event summary'!C752),"",'Event summary'!C752)</f>
        <v>שלושה תיקי SRS שלא היו מוכנים עד שעה 15:00. צריך היה למצוא רופאים ל QA ולשלוח את התכנון ל Exactrac.</v>
      </c>
      <c r="E752" s="116" t="str">
        <f>IF(ISBLANK('Event summary'!D752),"",'Event summary'!D752)</f>
        <v>יש להקצות פיזיקאי בשלישי ורביעי כדי לסגור תיקים של SRS שצריכים להתחיל.</v>
      </c>
      <c r="F752" s="117">
        <f>IF(ISBLANK('Event summary'!E752),"",'Event summary'!E752)</f>
        <v>45818</v>
      </c>
    </row>
    <row r="753" spans="1:6" ht="42.75" x14ac:dyDescent="0.2">
      <c r="A753" s="114" t="e">
        <f>IF(ISBLANK('Event summary'!#REF!),"",'Event summary'!#REF!)</f>
        <v>#REF!</v>
      </c>
      <c r="B753" s="115">
        <f>IF(ISBLANK('Event summary'!A753),"",'Event summary'!A753)</f>
        <v>753</v>
      </c>
      <c r="C753" s="115" t="str">
        <f>IF(ISBLANK('Event summary'!B753),"",'Event summary'!B753)</f>
        <v>כמעט ניתן טיפול שגוי</v>
      </c>
      <c r="D753" s="116" t="str">
        <f>IF(ISBLANK('Event summary'!C753),"",'Event summary'!C753)</f>
        <v>לאחר שינוי תכנון מ 3 פרקציות לשתי פרקציות, החתימה השניה היתה על התכנית הראשונה (3 פרקציות). נעצר בשלב ההכנה לטיפול (RTTQA).</v>
      </c>
      <c r="E753" s="116" t="str">
        <f>IF(ISBLANK('Event summary'!D753),"",'Event summary'!D753)</f>
        <v>גם פיזיקאי בחתימה שניה וגם רופא לא הבחינו שמספר הפרקציות של התכנית אינו נכון וחתמו על תכנון שגוי. להקפיד במהלך חתימות על תכניות  על בדיקה בקורתית ותשומת לב לפרטים.</v>
      </c>
      <c r="F753" s="117">
        <f>IF(ISBLANK('Event summary'!E753),"",'Event summary'!E753)</f>
        <v>45818</v>
      </c>
    </row>
    <row r="754" spans="1:6" ht="42.75" x14ac:dyDescent="0.2">
      <c r="A754" s="114" t="e">
        <f>IF(ISBLANK('Event summary'!#REF!),"",'Event summary'!#REF!)</f>
        <v>#REF!</v>
      </c>
      <c r="B754" s="115">
        <f>IF(ISBLANK('Event summary'!A754),"",'Event summary'!A754)</f>
        <v>754</v>
      </c>
      <c r="C754" s="115" t="str">
        <f>IF(ISBLANK('Event summary'!B754),"",'Event summary'!B754)</f>
        <v>אי ביצוע הנחיה (צוות)</v>
      </c>
      <c r="D754" s="116" t="str">
        <f>IF(ISBLANK('Event summary'!C754),"",'Event summary'!C754)</f>
        <v>מטופל מוזמנת לטיפול בשעה 15:40 לאחר פניות חוזרות לרופא לאשר את התכנית, הרופא חתם על התיק בשעה 15:00 לאחר התערבות של ההנהלה.</v>
      </c>
      <c r="E754" s="116" t="str">
        <f>IF(ISBLANK('Event summary'!D754),"",'Event summary'!D754)</f>
        <v xml:space="preserve">רופא תורן צריך להיות זמין לפניות של הצוות. בנוסף, לעיתים קיים צורך לתגובה מהירה. </v>
      </c>
      <c r="F754" s="117">
        <f>IF(ISBLANK('Event summary'!E754),"",'Event summary'!E754)</f>
        <v>45818</v>
      </c>
    </row>
    <row r="755" spans="1:6" ht="42.75" x14ac:dyDescent="0.2">
      <c r="A755" s="114" t="e">
        <f>IF(ISBLANK('Event summary'!#REF!),"",'Event summary'!#REF!)</f>
        <v>#REF!</v>
      </c>
      <c r="B755" s="115">
        <f>IF(ISBLANK('Event summary'!A755),"",'Event summary'!A755)</f>
        <v>755</v>
      </c>
      <c r="C755" s="115" t="str">
        <f>IF(ISBLANK('Event summary'!B755),"",'Event summary'!B755)</f>
        <v>תיעוד לא תקין</v>
      </c>
      <c r="D755" s="116" t="str">
        <f>IF(ISBLANK('Event summary'!C755),"",'Event summary'!C755)</f>
        <v>הסכמה לטיפול נחתמה על איזור לא נכון. הסכמה חדשה הודפסה ושונתה לאגן.</v>
      </c>
      <c r="E755" s="116" t="str">
        <f>IF(ISBLANK('Event summary'!D755),"",'Event summary'!D755)</f>
        <v>אם יש הסכמה לטיפול לצד לא נכון, יש לעצור ולהחתים מחדש. לא לעצור טיפול אם אין ציון של אזור הטיפול על טופס ההסכמה. נתזכר שוב לגבי מילוי אזור הטיפול בטופס. אזור נוסף, יש לציין זאת בטופס.</v>
      </c>
      <c r="F755" s="117">
        <f>IF(ISBLANK('Event summary'!E755),"",'Event summary'!E755)</f>
        <v>45818</v>
      </c>
    </row>
    <row r="756" spans="1:6" ht="42.75" x14ac:dyDescent="0.2">
      <c r="A756" s="114" t="e">
        <f>IF(ISBLANK('Event summary'!#REF!),"",'Event summary'!#REF!)</f>
        <v>#REF!</v>
      </c>
      <c r="B756" s="115">
        <f>IF(ISBLANK('Event summary'!A756),"",'Event summary'!A756)</f>
        <v>756</v>
      </c>
      <c r="C756" s="115" t="str">
        <f>IF(ISBLANK('Event summary'!B756),"",'Event summary'!B756)</f>
        <v>תיעוד לא תקין</v>
      </c>
      <c r="D756" s="116" t="str">
        <f>IF(ISBLANK('Event summary'!C756),"",'Event summary'!C756)</f>
        <v>בהסכמה לטיפול היה צריך לחתום על איבר נוסף (קרקפת).</v>
      </c>
      <c r="E756" s="116" t="str">
        <f>IF(ISBLANK('Event summary'!D756),"",'Event summary'!D756)</f>
        <v>אם יש הסכמה לטיפול לצד לא נכון, יש לעצור ולהחתים מחדש. לא לעצור טיפול אם אין ציון של אזור הטיפול על טופס ההסכמה. נתזכר שוב לגבי מילוי אזור הטיפול בטופס. אזור נוסף, יש לציין זאת בטופס.</v>
      </c>
      <c r="F756" s="117">
        <f>IF(ISBLANK('Event summary'!E756),"",'Event summary'!E756)</f>
        <v>45818</v>
      </c>
    </row>
    <row r="757" spans="1:6" ht="42.75" x14ac:dyDescent="0.2">
      <c r="A757" s="114" t="e">
        <f>IF(ISBLANK('Event summary'!#REF!),"",'Event summary'!#REF!)</f>
        <v>#REF!</v>
      </c>
      <c r="B757" s="115">
        <f>IF(ISBLANK('Event summary'!A757),"",'Event summary'!A757)</f>
        <v>757</v>
      </c>
      <c r="C757" s="115" t="str">
        <f>IF(ISBLANK('Event summary'!B757),"",'Event summary'!B757)</f>
        <v>תיעוד לא תקין</v>
      </c>
      <c r="D757" s="116" t="str">
        <f>IF(ISBLANK('Event summary'!C757),"",'Event summary'!C757)</f>
        <v>הסכמה לטיפול נחתמה על צד לא נכון. הסכמה חדשה הודפסה ושונתה מצד ימין לצד שמאל.</v>
      </c>
      <c r="E757" s="116" t="str">
        <f>IF(ISBLANK('Event summary'!D757),"",'Event summary'!D757)</f>
        <v>אם יש הסכמה לטיפול לצד לא נכון, יש לעצור ולהחתים מחדש. לא לעצור טיפול אם אין ציון של אזור הטיפול על טופס ההסכמה. נתזכר שוב לגבי מילוי אזור הטיפול בטופס. אזור נוסף, יש לציין זאת בטופס.</v>
      </c>
      <c r="F757" s="117">
        <f>IF(ISBLANK('Event summary'!E757),"",'Event summary'!E757)</f>
        <v>45818</v>
      </c>
    </row>
    <row r="758" spans="1:6" ht="42.75" x14ac:dyDescent="0.2">
      <c r="A758" s="114" t="e">
        <f>IF(ISBLANK('Event summary'!#REF!),"",'Event summary'!#REF!)</f>
        <v>#REF!</v>
      </c>
      <c r="B758" s="115">
        <f>IF(ISBLANK('Event summary'!A758),"",'Event summary'!A758)</f>
        <v>758</v>
      </c>
      <c r="C758" s="115" t="str">
        <f>IF(ISBLANK('Event summary'!B758),"",'Event summary'!B758)</f>
        <v>תיעוד לא תקין</v>
      </c>
      <c r="D758" s="116" t="str">
        <f>IF(ISBLANK('Event summary'!C758),"",'Event summary'!C758)</f>
        <v>בהסכמה לטיפול היה צריך לחתום על איבר נוסף (C3-C4).</v>
      </c>
      <c r="E758" s="116" t="str">
        <f>IF(ISBLANK('Event summary'!D758),"",'Event summary'!D758)</f>
        <v>אם יש הסכמה לטיפול לצד לא נכון, יש לעצור ולהחתים מחדש. לא לעצור טיפול אם אין ציון של אזור הטיפול על טופס ההסכמה. נתזכר שוב לגבי מילוי אזור הטיפול בטופס. אזור נוסף, יש לציין זאת בטופס.</v>
      </c>
      <c r="F758" s="117">
        <f>IF(ISBLANK('Event summary'!E758),"",'Event summary'!E758)</f>
        <v>45818</v>
      </c>
    </row>
    <row r="759" spans="1:6" ht="28.5" x14ac:dyDescent="0.2">
      <c r="A759" s="114" t="e">
        <f>IF(ISBLANK('Event summary'!#REF!),"",'Event summary'!#REF!)</f>
        <v>#REF!</v>
      </c>
      <c r="B759" s="115">
        <f>IF(ISBLANK('Event summary'!A759),"",'Event summary'!A759)</f>
        <v>759</v>
      </c>
      <c r="C759" s="115" t="str">
        <f>IF(ISBLANK('Event summary'!B759),"",'Event summary'!B759)</f>
        <v>היעדר תיעוד</v>
      </c>
      <c r="D759" s="116" t="str">
        <f>IF(ISBLANK('Event summary'!C759),"",'Event summary'!C759)</f>
        <v>תיק ללא הסכמה לטיפול.</v>
      </c>
      <c r="E759" s="116" t="str">
        <f>IF(ISBLANK('Event summary'!D759),"",'Event summary'!D759)</f>
        <v>מטופל לא יקבל טיפול ללא הסכמה לטיפול. להקפיד על החתמת הטופס וסריקה לתיק המטופל.</v>
      </c>
      <c r="F759" s="117">
        <f>IF(ISBLANK('Event summary'!E759),"",'Event summary'!E759)</f>
        <v>45818</v>
      </c>
    </row>
    <row r="760" spans="1:6" ht="28.5" x14ac:dyDescent="0.2">
      <c r="A760" s="114" t="e">
        <f>IF(ISBLANK('Event summary'!#REF!),"",'Event summary'!#REF!)</f>
        <v>#REF!</v>
      </c>
      <c r="B760" s="115">
        <f>IF(ISBLANK('Event summary'!A760),"",'Event summary'!A760)</f>
        <v>760</v>
      </c>
      <c r="C760" s="115" t="str">
        <f>IF(ISBLANK('Event summary'!B760),"",'Event summary'!B760)</f>
        <v>היעדר תיעוד</v>
      </c>
      <c r="D760" s="116" t="str">
        <f>IF(ISBLANK('Event summary'!C760),"",'Event summary'!C760)</f>
        <v>תיק ללא הסכמה לטיפול.</v>
      </c>
      <c r="E760" s="116" t="str">
        <f>IF(ISBLANK('Event summary'!D760),"",'Event summary'!D760)</f>
        <v>מטופל לא יקבל טיפול ללא הסכמה לטיפול. להקפיד על החתמת הטופס וסריקה לתיק המטופל.</v>
      </c>
      <c r="F760" s="117">
        <f>IF(ISBLANK('Event summary'!E760),"",'Event summary'!E760)</f>
        <v>45818</v>
      </c>
    </row>
    <row r="761" spans="1:6" ht="28.5" x14ac:dyDescent="0.2">
      <c r="A761" s="114" t="e">
        <f>IF(ISBLANK('Event summary'!#REF!),"",'Event summary'!#REF!)</f>
        <v>#REF!</v>
      </c>
      <c r="B761" s="115">
        <f>IF(ISBLANK('Event summary'!A761),"",'Event summary'!A761)</f>
        <v>761</v>
      </c>
      <c r="C761" s="115" t="str">
        <f>IF(ISBLANK('Event summary'!B761),"",'Event summary'!B761)</f>
        <v>היעדר תיעוד</v>
      </c>
      <c r="D761" s="116" t="str">
        <f>IF(ISBLANK('Event summary'!C761),"",'Event summary'!C761)</f>
        <v>תיק ללא הסכמה לטיפול.</v>
      </c>
      <c r="E761" s="116" t="str">
        <f>IF(ISBLANK('Event summary'!D761),"",'Event summary'!D761)</f>
        <v>מטופל לא יקבל טיפול ללא הסכמה לטיפול. להקפיד על החתמת הטופס וסריקה לתיק המטופל.</v>
      </c>
      <c r="F761" s="117">
        <f>IF(ISBLANK('Event summary'!E761),"",'Event summary'!E761)</f>
        <v>45818</v>
      </c>
    </row>
    <row r="762" spans="1:6" ht="42.75" x14ac:dyDescent="0.2">
      <c r="A762" s="114" t="e">
        <f>IF(ISBLANK('Event summary'!#REF!),"",'Event summary'!#REF!)</f>
        <v>#REF!</v>
      </c>
      <c r="B762" s="115">
        <f>IF(ISBLANK('Event summary'!A762),"",'Event summary'!A762)</f>
        <v>762</v>
      </c>
      <c r="C762" s="115" t="str">
        <f>IF(ISBLANK('Event summary'!B762),"",'Event summary'!B762)</f>
        <v>תקשורת לקויה</v>
      </c>
      <c r="D762" s="116" t="str">
        <f>IF(ISBLANK('Event summary'!C762),"",'Event summary'!C762)</f>
        <v>מטופלת לא הגיע לסימולציה. לאחר בירור מול הבת של המטופלת, התברר שהרופאה ביטלה את הסימולציה והעבירה את המטופלת לטיפול פליאטיבי ללא הודעה לצוות המטפל.</v>
      </c>
      <c r="E762" s="116" t="str">
        <f>IF(ISBLANK('Event summary'!D762),"",'Event summary'!D762)</f>
        <v>באחריות הרופא לתקשר שינויים לצוות המטפל (RTTQA, זימון תורים).</v>
      </c>
      <c r="F762" s="117">
        <f>IF(ISBLANK('Event summary'!E762),"",'Event summary'!E762)</f>
        <v>45818</v>
      </c>
    </row>
    <row r="763" spans="1:6" ht="28.5" x14ac:dyDescent="0.2">
      <c r="A763" s="114" t="e">
        <f>IF(ISBLANK('Event summary'!#REF!),"",'Event summary'!#REF!)</f>
        <v>#REF!</v>
      </c>
      <c r="B763" s="115">
        <f>IF(ISBLANK('Event summary'!A763),"",'Event summary'!A763)</f>
        <v>763</v>
      </c>
      <c r="C763" s="115" t="str">
        <f>IF(ISBLANK('Event summary'!B763),"",'Event summary'!B763)</f>
        <v>היעדר תיעוד</v>
      </c>
      <c r="D763" s="116" t="str">
        <f>IF(ISBLANK('Event summary'!C763),"",'Event summary'!C763)</f>
        <v>תיק ללא הסכמה לטיפול.</v>
      </c>
      <c r="E763" s="116" t="str">
        <f>IF(ISBLANK('Event summary'!D763),"",'Event summary'!D763)</f>
        <v>מטופל לא יקבל טיפול ללא הסכמה לטיפול. להקפיד על החתמת הטופס וסריקה לתיק המטופל.</v>
      </c>
      <c r="F763" s="117">
        <f>IF(ISBLANK('Event summary'!E763),"",'Event summary'!E763)</f>
        <v>45818</v>
      </c>
    </row>
    <row r="764" spans="1:6" ht="42.75" x14ac:dyDescent="0.2">
      <c r="A764" s="114" t="e">
        <f>IF(ISBLANK('Event summary'!#REF!),"",'Event summary'!#REF!)</f>
        <v>#REF!</v>
      </c>
      <c r="B764" s="115">
        <f>IF(ISBLANK('Event summary'!A764),"",'Event summary'!A764)</f>
        <v>764</v>
      </c>
      <c r="C764" s="115" t="str">
        <f>IF(ISBLANK('Event summary'!B764),"",'Event summary'!B764)</f>
        <v>אי עמידה בזמנים</v>
      </c>
      <c r="D764" s="116" t="str">
        <f>IF(ISBLANK('Event summary'!C764),"",'Event summary'!C764)</f>
        <v>מטופל הוזמן ל TSI בתאריך 8/5/2025. בבדיקה יומים לפני הטיפול (6/5/2025), התברר שאין מרשם ותכנון של המקרה והרופא המטפל אינו בארץ. הטיפול נדחה ע"י מנהל היחידה.</v>
      </c>
      <c r="E764" s="116" t="str">
        <f>IF(ISBLANK('Event summary'!D764),"",'Event summary'!D764)</f>
        <v>אחריות הרופא לוודא זמינות ומוכנות של התיקים לטיפול.</v>
      </c>
      <c r="F764" s="117">
        <f>IF(ISBLANK('Event summary'!E764),"",'Event summary'!E764)</f>
        <v>45818</v>
      </c>
    </row>
    <row r="765" spans="1:6" ht="28.5" x14ac:dyDescent="0.2">
      <c r="A765" s="114" t="e">
        <f>IF(ISBLANK('Event summary'!#REF!),"",'Event summary'!#REF!)</f>
        <v>#REF!</v>
      </c>
      <c r="B765" s="115">
        <f>IF(ISBLANK('Event summary'!A765),"",'Event summary'!A765)</f>
        <v>765</v>
      </c>
      <c r="C765" s="115" t="str">
        <f>IF(ISBLANK('Event summary'!B765),"",'Event summary'!B765)</f>
        <v>העברת מידע</v>
      </c>
      <c r="D765" s="116" t="str">
        <f>IF(ISBLANK('Event summary'!C765),"",'Event summary'!C765)</f>
        <v>מטופל לא ידע על התור לסימולציה וכן על ההכנה הנלוואת לטיפול.</v>
      </c>
      <c r="E765" s="116" t="str">
        <f>IF(ISBLANK('Event summary'!D765),"",'Event summary'!D765)</f>
        <v>קיים תהליך לשיפור השירות של מטופלי ארמונית.</v>
      </c>
      <c r="F765" s="117">
        <f>IF(ISBLANK('Event summary'!E765),"",'Event summary'!E765)</f>
        <v>45818</v>
      </c>
    </row>
    <row r="766" spans="1:6" ht="42.75" x14ac:dyDescent="0.2">
      <c r="A766" s="114" t="e">
        <f>IF(ISBLANK('Event summary'!#REF!),"",'Event summary'!#REF!)</f>
        <v>#REF!</v>
      </c>
      <c r="B766" s="115">
        <f>IF(ISBLANK('Event summary'!A766),"",'Event summary'!A766)</f>
        <v>766</v>
      </c>
      <c r="C766" s="115" t="str">
        <f>IF(ISBLANK('Event summary'!B766),"",'Event summary'!B766)</f>
        <v>תיעוד לא תקין</v>
      </c>
      <c r="D766" s="116" t="str">
        <f>IF(ISBLANK('Event summary'!C766),"",'Event summary'!C766)</f>
        <v xml:space="preserve">טופס סימולציה לטיפול בכליה ח"פ ביקש ח"נ למרות שלמטופלת יש אלגיות מסכנות חיים. </v>
      </c>
      <c r="E766" s="116" t="str">
        <f>IF(ISBLANK('Event summary'!D766),"",'Event summary'!D766)</f>
        <v>חידוד נוהל רגישות ליוד. יש להקפיד לכתב הודעות בטופס סימולציה, כהודעה קופצת ב Aria. בקבלה סיעודית אחות תוודא תיעוד.</v>
      </c>
      <c r="F766" s="117">
        <f>IF(ISBLANK('Event summary'!E766),"",'Event summary'!E766)</f>
        <v>45818</v>
      </c>
    </row>
    <row r="767" spans="1:6" ht="42.75" x14ac:dyDescent="0.2">
      <c r="A767" s="114" t="e">
        <f>IF(ISBLANK('Event summary'!#REF!),"",'Event summary'!#REF!)</f>
        <v>#REF!</v>
      </c>
      <c r="B767" s="115">
        <f>IF(ISBLANK('Event summary'!A767),"",'Event summary'!A767)</f>
        <v>767</v>
      </c>
      <c r="C767" s="115" t="str">
        <f>IF(ISBLANK('Event summary'!B767),"",'Event summary'!B767)</f>
        <v>העברת מידע</v>
      </c>
      <c r="D767" s="116" t="str">
        <f>IF(ISBLANK('Event summary'!C767),"",'Event summary'!C767)</f>
        <v>בסימולציה ניתנה הנחיה ע"י רופא לבצע סריקה לע"ש. לאחר מכן רופא אחר ביקש לתקן ולסרוק את הסקרום. המטופל עבר סריקה נוספת.</v>
      </c>
      <c r="E767" s="116" t="str">
        <f>IF(ISBLANK('Event summary'!D767),"",'Event summary'!D767)</f>
        <v>יש להקפיד על תקשורת בין מטפלים למניעת סריקות מיותרות.</v>
      </c>
      <c r="F767" s="117">
        <f>IF(ISBLANK('Event summary'!E767),"",'Event summary'!E767)</f>
        <v>45818</v>
      </c>
    </row>
    <row r="768" spans="1:6" ht="30" x14ac:dyDescent="0.2">
      <c r="A768" s="114" t="e">
        <f>IF(ISBLANK('Event summary'!#REF!),"",'Event summary'!#REF!)</f>
        <v>#REF!</v>
      </c>
      <c r="B768" s="115">
        <f>IF(ISBLANK('Event summary'!A768),"",'Event summary'!A768)</f>
        <v>768</v>
      </c>
      <c r="C768" s="115" t="str">
        <f>IF(ISBLANK('Event summary'!B768),"",'Event summary'!B768)</f>
        <v>מתן טיפול באופן שגוי</v>
      </c>
      <c r="D768" s="116" t="str">
        <f>IF(ISBLANK('Event summary'!C768),"",'Event summary'!C768)</f>
        <v>בטיפול TSI הוקרן בטעות שדות PA במקום AP. הטעות תוקנה בטיפול העוקב ואין השפעה דוזימטרית על הטיפול.</v>
      </c>
      <c r="E768" s="116" t="str">
        <f>IF(ISBLANK('Event summary'!D768),"",'Event summary'!D768)</f>
        <v>בעת העלאת מטופלים לטיפול, יש לשים לב לכל פרטי התכנון ולבצע פסק זמן לפני מתן הטיפול.</v>
      </c>
      <c r="F768" s="117">
        <f>IF(ISBLANK('Event summary'!E768),"",'Event summary'!E768)</f>
        <v>45818</v>
      </c>
    </row>
    <row r="769" spans="1:6" ht="57" x14ac:dyDescent="0.2">
      <c r="A769" s="114" t="e">
        <f>IF(ISBLANK('Event summary'!#REF!),"",'Event summary'!#REF!)</f>
        <v>#REF!</v>
      </c>
      <c r="B769" s="115">
        <f>IF(ISBLANK('Event summary'!A769),"",'Event summary'!A769)</f>
        <v>769</v>
      </c>
      <c r="C769" s="115" t="str">
        <f>IF(ISBLANK('Event summary'!B769),"",'Event summary'!B769)</f>
        <v>העברת מידע</v>
      </c>
      <c r="D769" s="116" t="str">
        <f>IF(ISBLANK('Event summary'!C769),"",'Event summary'!C769)</f>
        <v>תיקים נשלחים ל- RTTQA ללא PTV לאחר אישור רופא. ה PTV נחוץ לרנטגנאים במאיץ לצורך מיקום המטופלים. המקרה הזה מייצג מספר רב של מקרים עקב שינוי במסלול זרימת התיקים.</v>
      </c>
      <c r="E769" s="116" t="str">
        <f>IF(ISBLANK('Event summary'!D769),"",'Event summary'!D769)</f>
        <v>פיזיקאי יקפיד לשלוח איבר מטרה כשהוא חותם על reviewed.</v>
      </c>
      <c r="F769" s="117">
        <f>IF(ISBLANK('Event summary'!E769),"",'Event summary'!E769)</f>
        <v>45818</v>
      </c>
    </row>
    <row r="770" spans="1:6" ht="28.5" x14ac:dyDescent="0.2">
      <c r="A770" s="114" t="e">
        <f>IF(ISBLANK('Event summary'!#REF!),"",'Event summary'!#REF!)</f>
        <v>#REF!</v>
      </c>
      <c r="B770" s="115">
        <f>IF(ISBLANK('Event summary'!A770),"",'Event summary'!A770)</f>
        <v>770</v>
      </c>
      <c r="C770" s="115" t="str">
        <f>IF(ISBLANK('Event summary'!B770),"",'Event summary'!B770)</f>
        <v>תיעוד לא תקין</v>
      </c>
      <c r="D770" s="116" t="str">
        <f>IF(ISBLANK('Event summary'!C770),"",'Event summary'!C770)</f>
        <v>שמות השדות בתכנית אינo תואמים לגודל הקשת בפועל. רשום 200-345 כשבפועל מתחיל מ- 181</v>
      </c>
      <c r="E770" s="116" t="str">
        <f>IF(ISBLANK('Event summary'!D770),"",'Event summary'!D770)</f>
        <v>בעת תכנון של תיק יש להקפיד על שמות תכנית, שדות, ונקודת ייחוס (Reference point) בעלי משמעות.</v>
      </c>
      <c r="F770" s="117">
        <f>IF(ISBLANK('Event summary'!E770),"",'Event summary'!E770)</f>
        <v>45818</v>
      </c>
    </row>
    <row r="771" spans="1:6" ht="42.75" x14ac:dyDescent="0.2">
      <c r="A771" s="114" t="e">
        <f>IF(ISBLANK('Event summary'!#REF!),"",'Event summary'!#REF!)</f>
        <v>#REF!</v>
      </c>
      <c r="B771" s="115">
        <f>IF(ISBLANK('Event summary'!A771),"",'Event summary'!A771)</f>
        <v>771</v>
      </c>
      <c r="C771" s="115" t="str">
        <f>IF(ISBLANK('Event summary'!B771),"",'Event summary'!B771)</f>
        <v>מתן טיפול באופן שגוי</v>
      </c>
      <c r="D771" s="116" t="str">
        <f>IF(ISBLANK('Event summary'!C771),"",'Event summary'!C771)</f>
        <v>השלמה של כפות רגליים באלקטרונים לטיפול TSI. בשני טיפולים קיבל בחלק דורסלי במקום בכף הרגל בחלק הפלנטרי. התכנון נעשה בסימון קליני.</v>
      </c>
      <c r="E771" s="116" t="str">
        <f>IF(ISBLANK('Event summary'!D771),"",'Event summary'!D771)</f>
        <v>להקפיד לעבוד לפי נוהל סימון קליני. רופא צריך להיות נוכח בטיפול הראשון.</v>
      </c>
      <c r="F771" s="117">
        <f>IF(ISBLANK('Event summary'!E771),"",'Event summary'!E771)</f>
        <v>45818</v>
      </c>
    </row>
    <row r="772" spans="1:6" ht="42.75" x14ac:dyDescent="0.2">
      <c r="A772" s="114" t="e">
        <f>IF(ISBLANK('Event summary'!#REF!),"",'Event summary'!#REF!)</f>
        <v>#REF!</v>
      </c>
      <c r="B772" s="115">
        <f>IF(ISBLANK('Event summary'!A772),"",'Event summary'!A772)</f>
        <v>772</v>
      </c>
      <c r="C772" s="115" t="str">
        <f>IF(ISBLANK('Event summary'!B772),"",'Event summary'!B772)</f>
        <v>תכנון שגוי</v>
      </c>
      <c r="D772" s="116" t="str">
        <f>IF(ISBLANK('Event summary'!C772),"",'Event summary'!C772)</f>
        <v>תיק דחוף עם 3 מוקדים. במוקד השמאלי השדה ירד מצד ימין תוכנן לזוית 181. ובמוקד הימני השדה ירד מצד שמאל תוכנן לזוית 179.</v>
      </c>
      <c r="E772" s="116" t="str">
        <f>IF(ISBLANK('Event summary'!D772),"",'Event summary'!D772)</f>
        <v>פיזיקאי יקפיד לוודא שהגנטרי יורד מהצד הנכון. פיזיקאי בחתימה שניה יבדוק גם את כיווני הארקים והשדות.</v>
      </c>
      <c r="F772" s="117">
        <f>IF(ISBLANK('Event summary'!E772),"",'Event summary'!E772)</f>
        <v>45818</v>
      </c>
    </row>
    <row r="773" spans="1:6" ht="42.75" x14ac:dyDescent="0.2">
      <c r="A773" s="114" t="e">
        <f>IF(ISBLANK('Event summary'!#REF!),"",'Event summary'!#REF!)</f>
        <v>#REF!</v>
      </c>
      <c r="B773" s="115">
        <f>IF(ISBLANK('Event summary'!A773),"",'Event summary'!A773)</f>
        <v>773</v>
      </c>
      <c r="C773" s="115" t="str">
        <f>IF(ISBLANK('Event summary'!B773),"",'Event summary'!B773)</f>
        <v>תיעוד לא תקין</v>
      </c>
      <c r="D773" s="116" t="str">
        <f>IF(ISBLANK('Event summary'!C773),"",'Event summary'!C773)</f>
        <v>מטופל עם סטומה. בטופס סימולציה היה כתוב הכנה חוקן. בשיחה עם המטופל כהכנה לסימולציה המטופל ציין שיש לו סטומה ונוצרה חוסר נעימות מולו.</v>
      </c>
      <c r="E773" s="116" t="str">
        <f>IF(ISBLANK('Event summary'!D773),"",'Event summary'!D773)</f>
        <v>איו צורך בחוקן למטופל עם סטומה. הרופא המקבל יקפיד על העברת המידע הרלבנטי לצוות המטפל.</v>
      </c>
      <c r="F773" s="117">
        <f>IF(ISBLANK('Event summary'!E773),"",'Event summary'!E773)</f>
        <v>45818</v>
      </c>
    </row>
    <row r="774" spans="1:6" ht="28.5" x14ac:dyDescent="0.2">
      <c r="A774" s="114" t="e">
        <f>IF(ISBLANK('Event summary'!#REF!),"",'Event summary'!#REF!)</f>
        <v>#REF!</v>
      </c>
      <c r="B774" s="115">
        <f>IF(ISBLANK('Event summary'!A774),"",'Event summary'!A774)</f>
        <v>774</v>
      </c>
      <c r="C774" s="115" t="str">
        <f>IF(ISBLANK('Event summary'!B774),"",'Event summary'!B774)</f>
        <v>תקשורת לקויה</v>
      </c>
      <c r="D774" s="116" t="str">
        <f>IF(ISBLANK('Event summary'!C774),"",'Event summary'!C774)</f>
        <v>תכנית SRS שונתה. המידע לא הועבר לצוות המטפל. לאחר שינוי יש לייצא מחדש את התכנית ל Exactrac.</v>
      </c>
      <c r="E774" s="116" t="str">
        <f>IF(ISBLANK('Event summary'!D774),"",'Event summary'!D774)</f>
        <v>ייצוא מחדש: בכל שינוי תכנית SRS, יש לייצא מחדש ל- Exactrac ולעדכן את ה-RTTQA וצוות המאיץ לפני הטיפול.</v>
      </c>
      <c r="F774" s="117">
        <f>IF(ISBLANK('Event summary'!E774),"",'Event summary'!E774)</f>
        <v>45837</v>
      </c>
    </row>
    <row r="775" spans="1:6" ht="28.5" x14ac:dyDescent="0.2">
      <c r="A775" s="114" t="e">
        <f>IF(ISBLANK('Event summary'!#REF!),"",'Event summary'!#REF!)</f>
        <v>#REF!</v>
      </c>
      <c r="B775" s="115">
        <f>IF(ISBLANK('Event summary'!A775),"",'Event summary'!A775)</f>
        <v>775</v>
      </c>
      <c r="C775" s="115" t="str">
        <f>IF(ISBLANK('Event summary'!B775),"",'Event summary'!B775)</f>
        <v>תיעוד לא תקין</v>
      </c>
      <c r="D775" s="116" t="str">
        <f>IF(ISBLANK('Event summary'!C775),"",'Event summary'!C775)</f>
        <v>התיק הגיע ל RTTQA עם מרשם לא חתום וללא פרוטוקול בקמליון. המקרה עבר חתימות ו QA</v>
      </c>
      <c r="E775" s="116" t="str">
        <f>IF(ISBLANK('Event summary'!D775),"",'Event summary'!D775)</f>
        <v>עצירת תהליך: אין לקדם תיק ל- QA או לטיפול ללא מרשם חתום. התיק יוחזר מיידית לרופא להשלמה.</v>
      </c>
      <c r="F775" s="117">
        <f>IF(ISBLANK('Event summary'!E775),"",'Event summary'!E775)</f>
        <v>45837</v>
      </c>
    </row>
    <row r="776" spans="1:6" ht="42.75" x14ac:dyDescent="0.2">
      <c r="A776" s="114" t="e">
        <f>IF(ISBLANK('Event summary'!#REF!),"",'Event summary'!#REF!)</f>
        <v>#REF!</v>
      </c>
      <c r="B776" s="115">
        <f>IF(ISBLANK('Event summary'!A776),"",'Event summary'!A776)</f>
        <v>776</v>
      </c>
      <c r="C776" s="115" t="str">
        <f>IF(ISBLANK('Event summary'!B776),"",'Event summary'!B776)</f>
        <v>העברת מידע</v>
      </c>
      <c r="D776" s="116" t="str">
        <f>IF(ISBLANK('Event summary'!C776),"",'Event summary'!C776)</f>
        <v>תיקי מטופלים מגיע ל RTTQA ללא שליחה של PTV. שליחת PTV נעשית במהלך החתימות על התיק ומשמש לצורך מיקום המטופלים במאיץ.</v>
      </c>
      <c r="E776" s="116" t="str">
        <f>IF(ISBLANK('Event summary'!D776),"",'Event summary'!D776)</f>
        <v>שליחת PTV: על הפיזיקאי בחתימה שנייה והרופא באישור התכנית לוודא שליחת PTV למערכת ל- ARIA.</v>
      </c>
      <c r="F776" s="117">
        <f>IF(ISBLANK('Event summary'!E776),"",'Event summary'!E776)</f>
        <v>45837</v>
      </c>
    </row>
    <row r="777" spans="1:6" ht="57" x14ac:dyDescent="0.2">
      <c r="A777" s="114" t="e">
        <f>IF(ISBLANK('Event summary'!#REF!),"",'Event summary'!#REF!)</f>
        <v>#REF!</v>
      </c>
      <c r="B777" s="115">
        <f>IF(ISBLANK('Event summary'!A777),"",'Event summary'!A777)</f>
        <v>777</v>
      </c>
      <c r="C777" s="115" t="str">
        <f>IF(ISBLANK('Event summary'!B777),"",'Event summary'!B777)</f>
        <v>תיעוד לא תקין</v>
      </c>
      <c r="D777" s="116" t="str">
        <f>IF(ISBLANK('Event summary'!C777),"",'Event summary'!C777)</f>
        <v>בטיפול ראש צוואר עם תכנית 25x2Gy=50Gy + בוסט 8x2Gy=16Gy למנה כוללת של 66Gy; המרשם של הבוסט נכתב ל 33 פרקציות במקום התוספת של 8 פרקציות למנה המשלימה.</v>
      </c>
      <c r="E777" s="116" t="str">
        <f>IF(ISBLANK('Event summary'!D777),"",'Event summary'!D777)</f>
        <v>כתיבה ובקרה למרשמים: ביצוע בדיקה למספר הפרקציות והמנה הכוללת ע"י הפיזיקאי והרופא לפני שחרור התיק.</v>
      </c>
      <c r="F777" s="117">
        <f>IF(ISBLANK('Event summary'!E777),"",'Event summary'!E777)</f>
        <v>45837</v>
      </c>
    </row>
    <row r="778" spans="1:6" ht="42.75" x14ac:dyDescent="0.2">
      <c r="A778" s="114" t="e">
        <f>IF(ISBLANK('Event summary'!#REF!),"",'Event summary'!#REF!)</f>
        <v>#REF!</v>
      </c>
      <c r="B778" s="115">
        <f>IF(ISBLANK('Event summary'!A778),"",'Event summary'!A778)</f>
        <v>778</v>
      </c>
      <c r="C778" s="115" t="str">
        <f>IF(ISBLANK('Event summary'!B778),"",'Event summary'!B778)</f>
        <v>אי עמידה בזמנים</v>
      </c>
      <c r="D778" s="116" t="str">
        <f>IF(ISBLANK('Event summary'!C778),"",'Event summary'!C778)</f>
        <v>מטופל היה צריך להתחיל טיפול ב 9/6 ב 10:40. התיק היה תקוע בחתימה שניה ולא בוצעה מדידה. הוחלט לתת טיפול ראשון ללא מדידה.</v>
      </c>
      <c r="E778" s="116" t="str">
        <f>IF(ISBLANK('Event summary'!D778),"",'Event summary'!D778)</f>
        <v>איסור טיפול ללא QA: אין להתחיל טיפול ללא מדידה אלא אם מנהל אישר את החריגה. RTTQA יבצע בקרה על השלמת התהליך לפני מועד תחילת הטיפולים.</v>
      </c>
      <c r="F778" s="117">
        <f>IF(ISBLANK('Event summary'!E778),"",'Event summary'!E778)</f>
        <v>45837</v>
      </c>
    </row>
    <row r="779" spans="1:6" ht="57" x14ac:dyDescent="0.2">
      <c r="A779" s="114" t="e">
        <f>IF(ISBLANK('Event summary'!#REF!),"",'Event summary'!#REF!)</f>
        <v>#REF!</v>
      </c>
      <c r="B779" s="115">
        <f>IF(ISBLANK('Event summary'!A779),"",'Event summary'!A779)</f>
        <v>779</v>
      </c>
      <c r="C779" s="115" t="str">
        <f>IF(ISBLANK('Event summary'!B779),"",'Event summary'!B779)</f>
        <v>שגיאה בזיהוי מטופל</v>
      </c>
      <c r="D779" s="116" t="str">
        <f>IF(ISBLANK('Event summary'!C779),"",'Event summary'!C779)</f>
        <v>הוכנסה ת.ז. לא נכונה ל Qflow לכן, במאיץ קראו למטופל והוא לא הגיע כיוון שהתור של בשעה מאורחת יותר. המטופל שכן הזינו ל QF היה צריך הכנה ולכן בכל מקרה הגיע למאיץ לקבלת הטיפול.</v>
      </c>
      <c r="E779" s="116" t="str">
        <f>IF(ISBLANK('Event summary'!D779),"",'Event summary'!D779)</f>
        <v>זיהוי בזימון: הקפדה על זיהוי מטופל לפי הנוהל לוודא הקלדת ת.ז. נכונה במערכות הזימון. במקרה של חשש לאי-התאמה, המזכירות תבצע זיהוי כפול מול המטופל.</v>
      </c>
      <c r="F779" s="117">
        <f>IF(ISBLANK('Event summary'!E779),"",'Event summary'!E779)</f>
        <v>45837</v>
      </c>
    </row>
    <row r="780" spans="1:6" ht="28.5" x14ac:dyDescent="0.2">
      <c r="A780" s="114" t="e">
        <f>IF(ISBLANK('Event summary'!#REF!),"",'Event summary'!#REF!)</f>
        <v>#REF!</v>
      </c>
      <c r="B780" s="115">
        <f>IF(ISBLANK('Event summary'!A780),"",'Event summary'!A780)</f>
        <v>780</v>
      </c>
      <c r="C780" s="115" t="str">
        <f>IF(ISBLANK('Event summary'!B780),"",'Event summary'!B780)</f>
        <v>תקשורת לקויה</v>
      </c>
      <c r="D780" s="116" t="str">
        <f>IF(ISBLANK('Event summary'!C780),"",'Event summary'!C780)</f>
        <v>למטופל עם קוצב לב לא היה תעוד בתיק ולכן לא נוטר בשני טיפולים.</v>
      </c>
      <c r="E780" s="116" t="str">
        <f>IF(ISBLANK('Event summary'!D780),"",'Event summary'!D780)</f>
        <v>נוהל קוצבים: הרופא יקפיד על רישום "קוצב לב" בטופס הסימולציה ובמרשם (Note).</v>
      </c>
      <c r="F780" s="117">
        <f>IF(ISBLANK('Event summary'!E780),"",'Event summary'!E780)</f>
        <v>45837</v>
      </c>
    </row>
    <row r="781" spans="1:6" ht="57" x14ac:dyDescent="0.2">
      <c r="A781" s="114" t="e">
        <f>IF(ISBLANK('Event summary'!#REF!),"",'Event summary'!#REF!)</f>
        <v>#REF!</v>
      </c>
      <c r="B781" s="115">
        <f>IF(ISBLANK('Event summary'!A781),"",'Event summary'!A781)</f>
        <v>781</v>
      </c>
      <c r="C781" s="115" t="str">
        <f>IF(ISBLANK('Event summary'!B781),"",'Event summary'!B781)</f>
        <v>אי עמידה בזמנים</v>
      </c>
      <c r="D781" s="116" t="str">
        <f>IF(ISBLANK('Event summary'!C781),"",'Event summary'!C781)</f>
        <v>פליאציה שוחררה לפיזיקה ב 3/6 ב 7 בבוקר (סימולציה נעשתה ב 1/6 ערב חג) עם תור לשעה 15:20. נעשה תכנון רק לאחר שהמטופלת הגיעה לטיפול. התיק שוחרר מהפיזיקה בשעה 17:23.</v>
      </c>
      <c r="E781" s="116" t="str">
        <f>IF(ISBLANK('Event summary'!D781),"",'Event summary'!D781)</f>
        <v>נוהל דחופים: תיקים פליאטיבים יועברו ישירות לפיזיקאי תורן לתכנון מיידי. נוהל פיזיקאי תורן ייכתב ויוגדרו המשימות, תחומי האחריות, ולוחות הזמנים שלו.</v>
      </c>
      <c r="F781" s="117">
        <f>IF(ISBLANK('Event summary'!E781),"",'Event summary'!E781)</f>
        <v>45837</v>
      </c>
    </row>
    <row r="782" spans="1:6" ht="42.75" x14ac:dyDescent="0.2">
      <c r="A782" s="114" t="e">
        <f>IF(ISBLANK('Event summary'!#REF!),"",'Event summary'!#REF!)</f>
        <v>#REF!</v>
      </c>
      <c r="B782" s="115">
        <f>IF(ISBLANK('Event summary'!A782),"",'Event summary'!A782)</f>
        <v>782</v>
      </c>
      <c r="C782" s="115" t="str">
        <f>IF(ISBLANK('Event summary'!B782),"",'Event summary'!B782)</f>
        <v>תיעוד לא תקין</v>
      </c>
      <c r="D782" s="116" t="str">
        <f>IF(ISBLANK('Event summary'!C782),"",'Event summary'!C782)</f>
        <v>חוסר התאמה בין הנחיות סימולציה (טופס סימולציה) לבין הנחיות קמליון (מעקב רפואי אמבולטורי). טופס הסימולציה נכתב לבקשת הצוות ביום הסימולציה ולא נכתב מראש.</v>
      </c>
      <c r="E782" s="116" t="str">
        <f>IF(ISBLANK('Event summary'!D782),"",'Event summary'!D782)</f>
        <v>הכנת תיק: הנחיות סימולציה ופרוטוקול הקרינה חייבים להיכתב ולהיות תואמים לפני כניסת המטופל לחדר הסימולציה.</v>
      </c>
      <c r="F782" s="117">
        <f>IF(ISBLANK('Event summary'!E782),"",'Event summary'!E782)</f>
        <v>45837</v>
      </c>
    </row>
    <row r="783" spans="1:6" ht="57" x14ac:dyDescent="0.2">
      <c r="A783" s="114" t="e">
        <f>IF(ISBLANK('Event summary'!#REF!),"",'Event summary'!#REF!)</f>
        <v>#REF!</v>
      </c>
      <c r="B783" s="115">
        <f>IF(ISBLANK('Event summary'!A783),"",'Event summary'!A783)</f>
        <v>783</v>
      </c>
      <c r="C783" s="115" t="str">
        <f>IF(ISBLANK('Event summary'!B783),"",'Event summary'!B783)</f>
        <v>אי ביצוע הנחיה (צוות)</v>
      </c>
      <c r="D783" s="116" t="str">
        <f>IF(ISBLANK('Event summary'!C783),"",'Event summary'!C783)</f>
        <v>בטיפול השני לאלקטרונים באזור הגבה. צריך היה לסמן על המטופלת ללא מסיכה ולטפל כמו בסימון קליני. במקום זאת נעשה סימון על המסכה ולא ניתן היה לראות את הצלקת. זווית הקולימטור עם אבן אישית לא התאימה לסימון.</v>
      </c>
      <c r="E783" s="116" t="str">
        <f>IF(ISBLANK('Event summary'!D783),"",'Event summary'!D783)</f>
        <v>חיתוך מסיכה: בטיפולי אלקטרונים הדורשים דיוק על העור, בזמן הסימולציה יש צורך להדביק Wire במהלך הכנת המסכה ולגזור אותה. יש לקרוא לרופא לבדוק את השדה בטיפול הראשון.</v>
      </c>
      <c r="F783" s="117">
        <f>IF(ISBLANK('Event summary'!E783),"",'Event summary'!E783)</f>
        <v>45837</v>
      </c>
    </row>
    <row r="784" spans="1:6" ht="42.75" x14ac:dyDescent="0.2">
      <c r="A784" s="114" t="e">
        <f>IF(ISBLANK('Event summary'!#REF!),"",'Event summary'!#REF!)</f>
        <v>#REF!</v>
      </c>
      <c r="B784" s="115">
        <f>IF(ISBLANK('Event summary'!A784),"",'Event summary'!A784)</f>
        <v>784</v>
      </c>
      <c r="C784" s="115" t="str">
        <f>IF(ISBLANK('Event summary'!B784),"",'Event summary'!B784)</f>
        <v>סריקה חוזרת</v>
      </c>
      <c r="D784" s="116" t="str">
        <f>IF(ISBLANK('Event summary'!C784),"",'Event summary'!C784)</f>
        <v>בוצעה סימולציה חוזרת עקב שגיאה באזור הטיפול. נכתב ע"י מתמחה טיפול ל- D4 ושונה ע"י רופא בכיר ל- L4.</v>
      </c>
      <c r="E784" s="116" t="str">
        <f>IF(ISBLANK('Event summary'!D784),"",'Event summary'!D784)</f>
        <v>אימות אזור טיפול: רופא בכיר יאמת את אזור הטיפול המדויק והתיעוד אחרי המתמחה ולפני ביצוע הסריקה כדי למנוע שגיאות וקרינה מיותרת.</v>
      </c>
      <c r="F784" s="117">
        <f>IF(ISBLANK('Event summary'!E784),"",'Event summary'!E784)</f>
        <v>45837</v>
      </c>
    </row>
    <row r="785" spans="1:6" ht="42.75" x14ac:dyDescent="0.2">
      <c r="A785" s="114" t="e">
        <f>IF(ISBLANK('Event summary'!#REF!),"",'Event summary'!#REF!)</f>
        <v>#REF!</v>
      </c>
      <c r="B785" s="115">
        <f>IF(ISBLANK('Event summary'!A785),"",'Event summary'!A785)</f>
        <v>785</v>
      </c>
      <c r="C785" s="115" t="str">
        <f>IF(ISBLANK('Event summary'!B785),"",'Event summary'!B785)</f>
        <v>תיעוד לא תקין</v>
      </c>
      <c r="D785" s="116" t="str">
        <f>IF(ISBLANK('Event summary'!C785),"",'Event summary'!C785)</f>
        <v>אזור הטיפול בכמיליון נכתב ל- RLL כאשר ב- Aria נכתב באופן שגוי מרשם ל- RUL. בפועל סומן ותוכנן ל- RLL. למטופלת מספר נגעים גם ב- RUL (לא לטיפול קרינתי).</v>
      </c>
      <c r="E785" s="116" t="str">
        <f>IF(ISBLANK('Event summary'!D785),"",'Event summary'!D785)</f>
        <v>אחידות רישום: רופא יוודא התאמה מלאה של שם האיבר והצד בין המרשם ב-ARIA לפרוטוקול בכמיליון לפני אישור.</v>
      </c>
      <c r="F785" s="117">
        <f>IF(ISBLANK('Event summary'!E785),"",'Event summary'!E785)</f>
        <v>45837</v>
      </c>
    </row>
    <row r="786" spans="1:6" ht="42.75" x14ac:dyDescent="0.2">
      <c r="A786" s="114" t="e">
        <f>IF(ISBLANK('Event summary'!#REF!),"",'Event summary'!#REF!)</f>
        <v>#REF!</v>
      </c>
      <c r="B786" s="115">
        <f>IF(ISBLANK('Event summary'!A786),"",'Event summary'!A786)</f>
        <v>786</v>
      </c>
      <c r="C786" s="115" t="str">
        <f>IF(ISBLANK('Event summary'!B786),"",'Event summary'!B786)</f>
        <v>מתן טיפול באופן שגוי</v>
      </c>
      <c r="D786" s="116" t="str">
        <f>IF(ISBLANK('Event summary'!C786),"",'Event summary'!C786)</f>
        <v>טיפל TSI בטיפול הרביעי קיבל AP RAO LAO במקום AP RPO LPO.</v>
      </c>
      <c r="E786" s="116" t="str">
        <f>IF(ISBLANK('Event summary'!D786),"",'Event summary'!D786)</f>
        <v>שימוש בתבניות (Templates): תכנון TSI יבוצע על גבי תבניות מוכנות מראש למניעת טעויות כיוון. חובת "פסק זמן" לבדיקת כיוונים לפני טיפול.</v>
      </c>
      <c r="F786" s="117">
        <f>IF(ISBLANK('Event summary'!E786),"",'Event summary'!E786)</f>
        <v>45837</v>
      </c>
    </row>
    <row r="787" spans="1:6" ht="71.25" x14ac:dyDescent="0.2">
      <c r="A787" s="114" t="e">
        <f>IF(ISBLANK('Event summary'!#REF!),"",'Event summary'!#REF!)</f>
        <v>#REF!</v>
      </c>
      <c r="B787" s="115">
        <f>IF(ISBLANK('Event summary'!A787),"",'Event summary'!A787)</f>
        <v>787</v>
      </c>
      <c r="C787" s="115" t="str">
        <f>IF(ISBLANK('Event summary'!B787),"",'Event summary'!B787)</f>
        <v>העברת מידע</v>
      </c>
      <c r="D787" s="116" t="str">
        <f>IF(ISBLANK('Event summary'!C787),"",'Event summary'!C787)</f>
        <v>לשם תכנון, קיים צורך במרשם (Aria), בסימולציה (CT) עדכנית ובסימונים של נפחי המטרה והאיברים בסיכון. לעיתים מטופלים חוזרים לצורך טיפול חדש/חוזר כאשר במערכת התכנון ישנם מספר סימונים בעלי אותו השם ואותו התאריך עדכון.</v>
      </c>
      <c r="E787" s="116" t="str">
        <f>IF(ISBLANK('Event summary'!D787),"",'Event summary'!D787)</f>
        <v>להקפיד ולוודא שה CT הוא העדכני</v>
      </c>
      <c r="F787" s="117">
        <f>IF(ISBLANK('Event summary'!E787),"",'Event summary'!E787)</f>
        <v>45865</v>
      </c>
    </row>
    <row r="788" spans="1:6" ht="42.75" x14ac:dyDescent="0.2">
      <c r="A788" s="114" t="e">
        <f>IF(ISBLANK('Event summary'!#REF!),"",'Event summary'!#REF!)</f>
        <v>#REF!</v>
      </c>
      <c r="B788" s="115">
        <f>IF(ISBLANK('Event summary'!A788),"",'Event summary'!A788)</f>
        <v>788</v>
      </c>
      <c r="C788" s="115" t="str">
        <f>IF(ISBLANK('Event summary'!B788),"",'Event summary'!B788)</f>
        <v>העברת מידע</v>
      </c>
      <c r="D788" s="116" t="str">
        <f>IF(ISBLANK('Event summary'!C788),"",'Event summary'!C788)</f>
        <v>מטופלת עברה סימולציה ב 12/6/2025. ב 29/6/2025 התקשרה לברר מדוע לא קיבלה תורים. התיק לא שוייך לרופא בכיר ולכן לא התקדם ב CP והתעכב בכשבועיים וחצי.</v>
      </c>
      <c r="E788" s="116" t="str">
        <f>IF(ISBLANK('Event summary'!D788),"",'Event summary'!D788)</f>
        <v>ה CP עודכן</v>
      </c>
      <c r="F788" s="117">
        <f>IF(ISBLANK('Event summary'!E788),"",'Event summary'!E788)</f>
        <v>45865</v>
      </c>
    </row>
    <row r="789" spans="1:6" ht="42.75" x14ac:dyDescent="0.2">
      <c r="A789" s="114" t="e">
        <f>IF(ISBLANK('Event summary'!#REF!),"",'Event summary'!#REF!)</f>
        <v>#REF!</v>
      </c>
      <c r="B789" s="115">
        <f>IF(ISBLANK('Event summary'!A789),"",'Event summary'!A789)</f>
        <v>789</v>
      </c>
      <c r="C789" s="115" t="str">
        <f>IF(ISBLANK('Event summary'!B789),"",'Event summary'!B789)</f>
        <v>העברת מידע</v>
      </c>
      <c r="D789" s="116" t="str">
        <f>IF(ISBLANK('Event summary'!C789),"",'Event summary'!C789)</f>
        <v>מטופל נסרק עם סימון לבולוס עבור צלקת בשד ימין. בפועל תוכנן ללא בולוס. במאיץ קפצה הודעה לבולוס והמידע לא הועבר לצוות המטפל.</v>
      </c>
      <c r="E789" s="116" t="str">
        <f>IF(ISBLANK('Event summary'!D789),"",'Event summary'!D789)</f>
        <v xml:space="preserve">אם לא צריך בולוס יש למחוק אותו. </v>
      </c>
      <c r="F789" s="117">
        <f>IF(ISBLANK('Event summary'!E789),"",'Event summary'!E789)</f>
        <v>45865</v>
      </c>
    </row>
    <row r="790" spans="1:6" ht="42.75" x14ac:dyDescent="0.2">
      <c r="A790" s="114" t="e">
        <f>IF(ISBLANK('Event summary'!#REF!),"",'Event summary'!#REF!)</f>
        <v>#REF!</v>
      </c>
      <c r="B790" s="115">
        <f>IF(ISBLANK('Event summary'!A790),"",'Event summary'!A790)</f>
        <v>790</v>
      </c>
      <c r="C790" s="115" t="str">
        <f>IF(ISBLANK('Event summary'!B790),"",'Event summary'!B790)</f>
        <v>העברת מידע</v>
      </c>
      <c r="D790" s="116" t="str">
        <f>IF(ISBLANK('Event summary'!C790),"",'Event summary'!C790)</f>
        <v>מטופל הגיעה לסימולציה לכליה SBRT. לא היו הנחיות לביצוע הסריקה, לא היה טופס סימולציה וגם בקמליון לא היו הנחיות מספקות לגבי הזרקת ח"נ</v>
      </c>
      <c r="E790" s="116" t="str">
        <f>IF(ISBLANK('Event summary'!D790),"",'Event summary'!D790)</f>
        <v>נעשה בירור מול הרופא המטפל.</v>
      </c>
      <c r="F790" s="117">
        <f>IF(ISBLANK('Event summary'!E790),"",'Event summary'!E790)</f>
        <v>45865</v>
      </c>
    </row>
    <row r="791" spans="1:6" ht="42.75" x14ac:dyDescent="0.2">
      <c r="A791" s="114" t="e">
        <f>IF(ISBLANK('Event summary'!#REF!),"",'Event summary'!#REF!)</f>
        <v>#REF!</v>
      </c>
      <c r="B791" s="115">
        <f>IF(ISBLANK('Event summary'!A791),"",'Event summary'!A791)</f>
        <v>791</v>
      </c>
      <c r="C791" s="115" t="str">
        <f>IF(ISBLANK('Event summary'!B791),"",'Event summary'!B791)</f>
        <v>חבלה גופנית</v>
      </c>
      <c r="D791" s="116" t="str">
        <f>IF(ISBLANK('Event summary'!C791),"",'Event summary'!C791)</f>
        <v xml:space="preserve">בסיום הסימולציה המטופל יצא להמתנה והתעלף. רופא ואחות נקראו לסיוע למטופל. המטופל לא סבל מפגיעות. נשלח דו"ח אירוע. </v>
      </c>
      <c r="E791" s="116" t="str">
        <f>IF(ISBLANK('Event summary'!D791),"",'Event summary'!D791)</f>
        <v>אם יש סיבה לחשוד שמטופל אינו חש בטוב יש לקרוא לצוות הסיעוד ללוות את המטופל מהמאיץ להמתנה.</v>
      </c>
      <c r="F791" s="117">
        <f>IF(ISBLANK('Event summary'!E791),"",'Event summary'!E791)</f>
        <v>45865</v>
      </c>
    </row>
    <row r="792" spans="1:6" ht="57" x14ac:dyDescent="0.2">
      <c r="A792" s="114" t="e">
        <f>IF(ISBLANK('Event summary'!#REF!),"",'Event summary'!#REF!)</f>
        <v>#REF!</v>
      </c>
      <c r="B792" s="115">
        <f>IF(ISBLANK('Event summary'!A792),"",'Event summary'!A792)</f>
        <v>792</v>
      </c>
      <c r="C792" s="115" t="str">
        <f>IF(ISBLANK('Event summary'!B792),"",'Event summary'!B792)</f>
        <v>סריקה לא תקינה</v>
      </c>
      <c r="D792" s="116" t="str">
        <f>IF(ISBLANK('Event summary'!C792),"",'Event summary'!C792)</f>
        <v>מטופל נסרק סריקה רגילה לטיפול בירך. הוצע להשכיב את המטופל בכיוון ההפוך עם רגליים קדימה אך הרופא אמר שהסריקה תקינה. בפועל השדה היה ארוך והיה צריך לעבור סריקה חוזרת עם הרגליים קדימה. התכנון נעצר ב RTTQA.</v>
      </c>
      <c r="E792" s="116" t="str">
        <f>IF(ISBLANK('Event summary'!D792),"",'Event summary'!D792)</f>
        <v>לתת הנחיות מדוייקות לסימולצינה ולאפשר לרנטגנאים להחליט על אופן ההשכבה של המטופלים.</v>
      </c>
      <c r="F792" s="117">
        <f>IF(ISBLANK('Event summary'!E792),"",'Event summary'!E792)</f>
        <v>45865</v>
      </c>
    </row>
    <row r="793" spans="1:6" x14ac:dyDescent="0.2">
      <c r="A793" s="114" t="e">
        <f>IF(ISBLANK('Event summary'!#REF!),"",'Event summary'!#REF!)</f>
        <v>#REF!</v>
      </c>
      <c r="B793" s="115">
        <f>IF(ISBLANK('Event summary'!A793),"",'Event summary'!A793)</f>
        <v>793</v>
      </c>
      <c r="C793" s="115" t="str">
        <f>IF(ISBLANK('Event summary'!B793),"",'Event summary'!B793)</f>
        <v>תיעוד לא תקין</v>
      </c>
      <c r="D793" s="116" t="str">
        <f>IF(ISBLANK('Event summary'!C793),"",'Event summary'!C793)</f>
        <v>לא נכתב צד לטיפול גם ב Aria וגם בקמליון</v>
      </c>
      <c r="E793" s="116" t="str">
        <f>IF(ISBLANK('Event summary'!D793),"",'Event summary'!D793)</f>
        <v>יש להקפיד על צד הטיפול.</v>
      </c>
      <c r="F793" s="117">
        <f>IF(ISBLANK('Event summary'!E793),"",'Event summary'!E793)</f>
        <v>45865</v>
      </c>
    </row>
    <row r="794" spans="1:6" ht="28.5" x14ac:dyDescent="0.2">
      <c r="A794" s="114" t="e">
        <f>IF(ISBLANK('Event summary'!#REF!),"",'Event summary'!#REF!)</f>
        <v>#REF!</v>
      </c>
      <c r="B794" s="115">
        <f>IF(ISBLANK('Event summary'!A794),"",'Event summary'!A794)</f>
        <v>794</v>
      </c>
      <c r="C794" s="115" t="str">
        <f>IF(ISBLANK('Event summary'!B794),"",'Event summary'!B794)</f>
        <v>תיעוד לא תקין</v>
      </c>
      <c r="D794" s="116" t="str">
        <f>IF(ISBLANK('Event summary'!C794),"",'Event summary'!C794)</f>
        <v>מטופלת נשלחה לביתה לאחר שינויים במרשם ותכנונים חוזרים.</v>
      </c>
      <c r="E794" s="116" t="str">
        <f>IF(ISBLANK('Event summary'!D794),"",'Event summary'!D794)</f>
        <v>הכשרה של צוותים על אופן כתיבת מרשם.</v>
      </c>
      <c r="F794" s="117">
        <f>IF(ISBLANK('Event summary'!E794),"",'Event summary'!E794)</f>
        <v>45865</v>
      </c>
    </row>
    <row r="795" spans="1:6" ht="42.75" x14ac:dyDescent="0.2">
      <c r="A795" s="114" t="e">
        <f>IF(ISBLANK('Event summary'!#REF!),"",'Event summary'!#REF!)</f>
        <v>#REF!</v>
      </c>
      <c r="B795" s="115">
        <f>IF(ISBLANK('Event summary'!A795),"",'Event summary'!A795)</f>
        <v>795</v>
      </c>
      <c r="C795" s="115" t="str">
        <f>IF(ISBLANK('Event summary'!B795),"",'Event summary'!B795)</f>
        <v>היעדר תיעוד</v>
      </c>
      <c r="D795" s="116" t="str">
        <f>IF(ISBLANK('Event summary'!C795),"",'Event summary'!C795)</f>
        <v>מטופלת הורדה מהמחלקה לקבלת טיפול ללא ליווי של אופוטרופוס וללא חתימה על הסכמה לטיפול. קיים צו בית משפט משנת 2006.</v>
      </c>
      <c r="E795" s="116" t="str">
        <f>IF(ISBLANK('Event summary'!D795),"",'Event summary'!D795)</f>
        <v>באחריות הרופא המטפל לוודא שהאפוטרופוס זמין ומלווה את המטופל.</v>
      </c>
      <c r="F795" s="117">
        <f>IF(ISBLANK('Event summary'!E795),"",'Event summary'!E795)</f>
        <v>45865</v>
      </c>
    </row>
    <row r="796" spans="1:6" ht="28.5" x14ac:dyDescent="0.2">
      <c r="A796" s="114" t="e">
        <f>IF(ISBLANK('Event summary'!#REF!),"",'Event summary'!#REF!)</f>
        <v>#REF!</v>
      </c>
      <c r="B796" s="115">
        <f>IF(ISBLANK('Event summary'!A796),"",'Event summary'!A796)</f>
        <v>796</v>
      </c>
      <c r="C796" s="115" t="str">
        <f>IF(ISBLANK('Event summary'!B796),"",'Event summary'!B796)</f>
        <v>היעדר תיעוד</v>
      </c>
      <c r="D796" s="116" t="str">
        <f>IF(ISBLANK('Event summary'!C796),"",'Event summary'!C796)</f>
        <v>תיק ללא הסכמה לטיפול סרוקה.</v>
      </c>
      <c r="E796" s="116" t="str">
        <f>IF(ISBLANK('Event summary'!D796),"",'Event summary'!D796)</f>
        <v>מטופל לא יקבל טיפול ללא הסכמה לטיפול. להקפיד על החתמת הטופס וסריקה לתיק המטופל.</v>
      </c>
      <c r="F796" s="117">
        <f>IF(ISBLANK('Event summary'!E796),"",'Event summary'!E796)</f>
        <v>45818</v>
      </c>
    </row>
    <row r="797" spans="1:6" ht="57" x14ac:dyDescent="0.2">
      <c r="A797" s="114" t="e">
        <f>IF(ISBLANK('Event summary'!#REF!),"",'Event summary'!#REF!)</f>
        <v>#REF!</v>
      </c>
      <c r="B797" s="115">
        <f>IF(ISBLANK('Event summary'!A797),"",'Event summary'!A797)</f>
        <v>797</v>
      </c>
      <c r="C797" s="115" t="str">
        <f>IF(ISBLANK('Event summary'!B797),"",'Event summary'!B797)</f>
        <v>היעדר תיעוד</v>
      </c>
      <c r="D797" s="116" t="str">
        <f>IF(ISBLANK('Event summary'!C797),"",'Event summary'!C797)</f>
        <v>במהלך טיפול הוחלט ע"י הרופא להוסיף סידרה של טיפולים בקונטאקט במנה של 5Gyx3 בטיפול הראשון תוכננה וניתנה מנה של 3Gy. המנה תוקנה לייתרת הפרקציות. לא נכתב מרשם.</v>
      </c>
      <c r="E797" s="116" t="str">
        <f>IF(ISBLANK('Event summary'!D797),"",'Event summary'!D797)</f>
        <v>הקפדהעל נוהל סימון קליני</v>
      </c>
      <c r="F797" s="117">
        <f>IF(ISBLANK('Event summary'!E797),"",'Event summary'!E797)</f>
        <v>45907</v>
      </c>
    </row>
    <row r="798" spans="1:6" ht="42.75" x14ac:dyDescent="0.2">
      <c r="A798" s="114" t="e">
        <f>IF(ISBLANK('Event summary'!#REF!),"",'Event summary'!#REF!)</f>
        <v>#REF!</v>
      </c>
      <c r="B798" s="115">
        <f>IF(ISBLANK('Event summary'!A798),"",'Event summary'!A798)</f>
        <v>798</v>
      </c>
      <c r="C798" s="115" t="str">
        <f>IF(ISBLANK('Event summary'!B798),"",'Event summary'!B798)</f>
        <v/>
      </c>
      <c r="D798" s="116" t="str">
        <f>IF(ISBLANK('Event summary'!C798),"",'Event summary'!C798)</f>
        <v>במטופלים עם קוצב, לא מתעדים בסימוליה אם הקוצב אינו בסריקה, לכן, מקרים יכולים להתפספס והמידע אינו מקודם הלאה לשלב התכנון והטיפול.</v>
      </c>
      <c r="E798" s="116" t="str">
        <f>IF(ISBLANK('Event summary'!D798),"",'Event summary'!D798)</f>
        <v>עדכון של מסמך סימולציה.</v>
      </c>
      <c r="F798" s="117">
        <f>IF(ISBLANK('Event summary'!E798),"",'Event summary'!E798)</f>
        <v>45907</v>
      </c>
    </row>
    <row r="799" spans="1:6" ht="85.5" x14ac:dyDescent="0.2">
      <c r="A799" s="114" t="e">
        <f>IF(ISBLANK('Event summary'!#REF!),"",'Event summary'!#REF!)</f>
        <v>#REF!</v>
      </c>
      <c r="B799" s="115">
        <f>IF(ISBLANK('Event summary'!A799),"",'Event summary'!A799)</f>
        <v>799</v>
      </c>
      <c r="C799" s="115" t="str">
        <f>IF(ISBLANK('Event summary'!B799),"",'Event summary'!B799)</f>
        <v>אי עמידה בזמנים</v>
      </c>
      <c r="D799" s="116" t="str">
        <f>IF(ISBLANK('Event summary'!C799),"",'Event summary'!C799)</f>
        <v>מטופל הופנה ליחידה לקבלת טיפול ב 7/7/2025 לצורך קבלת טיפול. ב- 16/7 בוצעה סימולציה, ב- 17/7 שוחרר להפיזיקה לתכנון, ב- 21/7 עבר לאישור תכנון, ב- 24/7 עבר QA וב- 29/7 עבר RTTQA. מועד תחילת טיפול 4/8. הרופא המפנה מעוניינת לברר אם משך הזמן ממועד ההפניה עד הטיפול סביר.</v>
      </c>
      <c r="E799" s="116" t="str">
        <f>IF(ISBLANK('Event summary'!D799),"",'Event summary'!D799)</f>
        <v>נבדקו הזמנים ונמצאו שהמטופל קיבל טיפול בזמן סביר</v>
      </c>
      <c r="F799" s="117">
        <f>IF(ISBLANK('Event summary'!E799),"",'Event summary'!E799)</f>
        <v>45907</v>
      </c>
    </row>
    <row r="800" spans="1:6" ht="42.75" x14ac:dyDescent="0.2">
      <c r="A800" s="114" t="e">
        <f>IF(ISBLANK('Event summary'!#REF!),"",'Event summary'!#REF!)</f>
        <v>#REF!</v>
      </c>
      <c r="B800" s="115">
        <f>IF(ISBLANK('Event summary'!A800),"",'Event summary'!A800)</f>
        <v>800</v>
      </c>
      <c r="C800" s="115" t="str">
        <f>IF(ISBLANK('Event summary'!B800),"",'Event summary'!B800)</f>
        <v>העברת מידע</v>
      </c>
      <c r="D800" s="116" t="str">
        <f>IF(ISBLANK('Event summary'!C800),"",'Event summary'!C800)</f>
        <v>במהלך טיפול TSI בשדה PA המאיץ נפל והמטופלת נשלחה לביתה. הוחלט על חלוקה של שארית המנה לשאר הטיפולים כתוספת. המידע לא הועבר לצווות המטפל ולא תועד בקמליון.</v>
      </c>
      <c r="E800" s="116" t="str">
        <f>IF(ISBLANK('Event summary'!D800),"",'Event summary'!D800)</f>
        <v>יש להפנות בעיות במאיץ לםיזיקאי תורן לצורך טיפול</v>
      </c>
      <c r="F800" s="117">
        <f>IF(ISBLANK('Event summary'!E800),"",'Event summary'!E800)</f>
        <v>45907</v>
      </c>
    </row>
    <row r="801" spans="1:6" ht="42.75" x14ac:dyDescent="0.2">
      <c r="A801" s="114" t="e">
        <f>IF(ISBLANK('Event summary'!#REF!),"",'Event summary'!#REF!)</f>
        <v>#REF!</v>
      </c>
      <c r="B801" s="115">
        <f>IF(ISBLANK('Event summary'!A801),"",'Event summary'!A801)</f>
        <v>801</v>
      </c>
      <c r="C801" s="115" t="str">
        <f>IF(ISBLANK('Event summary'!B801),"",'Event summary'!B801)</f>
        <v>נוהל חסר</v>
      </c>
      <c r="D801" s="116" t="str">
        <f>IF(ISBLANK('Event summary'!C801),"",'Event summary'!C801)</f>
        <v>בטיפולי SRS נא לשלוח ל BrainLab את התכנית רק בשלב של RTTQA, אחרת יתכנו שינויים בתכנית ויתכנו בעיות עם שליחה קודמת.</v>
      </c>
      <c r="E801" s="116" t="str">
        <f>IF(ISBLANK('Event summary'!D801),"",'Event summary'!D801)</f>
        <v>טיפולים ישלחו בשלב של RTTQA</v>
      </c>
      <c r="F801" s="117">
        <f>IF(ISBLANK('Event summary'!E801),"",'Event summary'!E801)</f>
        <v>45907</v>
      </c>
    </row>
    <row r="802" spans="1:6" ht="28.5" x14ac:dyDescent="0.2">
      <c r="A802" s="114" t="e">
        <f>IF(ISBLANK('Event summary'!#REF!),"",'Event summary'!#REF!)</f>
        <v>#REF!</v>
      </c>
      <c r="B802" s="115">
        <f>IF(ISBLANK('Event summary'!A802),"",'Event summary'!A802)</f>
        <v>802</v>
      </c>
      <c r="C802" s="115" t="str">
        <f>IF(ISBLANK('Event summary'!B802),"",'Event summary'!B802)</f>
        <v>היעדר תיעוד</v>
      </c>
      <c r="D802" s="116" t="str">
        <f>IF(ISBLANK('Event summary'!C802),"",'Event summary'!C802)</f>
        <v>בטיפול רביעי ללבלב, התגלה במקרה של מטופל יש קוצב לב. הקוצב לא תועד בטופס סימולציה, קמליון ומרשם.</v>
      </c>
      <c r="E802" s="116" t="str">
        <f>IF(ISBLANK('Event summary'!D802),"",'Event summary'!D802)</f>
        <v>רענון הנחיות קוצב</v>
      </c>
      <c r="F802" s="117">
        <f>IF(ISBLANK('Event summary'!E802),"",'Event summary'!E802)</f>
        <v>45907</v>
      </c>
    </row>
    <row r="803" spans="1:6" ht="42.75" x14ac:dyDescent="0.2">
      <c r="A803" s="114" t="e">
        <f>IF(ISBLANK('Event summary'!#REF!),"",'Event summary'!#REF!)</f>
        <v>#REF!</v>
      </c>
      <c r="B803" s="115">
        <f>IF(ISBLANK('Event summary'!A803),"",'Event summary'!A803)</f>
        <v>803</v>
      </c>
      <c r="C803" s="115" t="str">
        <f>IF(ISBLANK('Event summary'!B803),"",'Event summary'!B803)</f>
        <v>כמעט פגיעה במתקן</v>
      </c>
      <c r="D803" s="116" t="str">
        <f>IF(ISBLANK('Event summary'!C803),"",'Event summary'!C803)</f>
        <v>בטיפולי שד בשדה ML בזוויות 300-302 (60-58) מעלות הגנטרי פוגע ביזרוע המטופלת. נא לתכנן החל מ 305 מעלות (55 מעלות)</v>
      </c>
      <c r="E803" s="116" t="str">
        <f>IF(ISBLANK('Event summary'!D803),"",'Event summary'!D803)</f>
        <v>שדות ML לתכנן החל מ 305 (55)</v>
      </c>
      <c r="F803" s="117">
        <f>IF(ISBLANK('Event summary'!E803),"",'Event summary'!E803)</f>
        <v>45907</v>
      </c>
    </row>
    <row r="804" spans="1:6" ht="42.75" x14ac:dyDescent="0.2">
      <c r="A804" s="114" t="e">
        <f>IF(ISBLANK('Event summary'!#REF!),"",'Event summary'!#REF!)</f>
        <v>#REF!</v>
      </c>
      <c r="B804" s="115">
        <f>IF(ISBLANK('Event summary'!A804),"",'Event summary'!A804)</f>
        <v>804</v>
      </c>
      <c r="C804" s="115" t="str">
        <f>IF(ISBLANK('Event summary'!B804),"",'Event summary'!B804)</f>
        <v>כמעט פגיעה במתקן</v>
      </c>
      <c r="D804" s="116" t="str">
        <f>IF(ISBLANK('Event summary'!C804),"",'Event summary'!C804)</f>
        <v>בטיפולי שד בשדה ML בזוויות 300-302 (60-58) מעלות הגנטרי פוגע ביזרוע המטופלת. נא לתכנן החל מ 305 מעלות (55 מעלות)</v>
      </c>
      <c r="E804" s="116" t="str">
        <f>IF(ISBLANK('Event summary'!D804),"",'Event summary'!D804)</f>
        <v>שדות ML לתכנן החל מ 305 (55)</v>
      </c>
      <c r="F804" s="117">
        <f>IF(ISBLANK('Event summary'!E804),"",'Event summary'!E804)</f>
        <v>45907</v>
      </c>
    </row>
    <row r="805" spans="1:6" ht="42.75" x14ac:dyDescent="0.2">
      <c r="A805" s="114" t="e">
        <f>IF(ISBLANK('Event summary'!#REF!),"",'Event summary'!#REF!)</f>
        <v>#REF!</v>
      </c>
      <c r="B805" s="115">
        <f>IF(ISBLANK('Event summary'!A805),"",'Event summary'!A805)</f>
        <v>805</v>
      </c>
      <c r="C805" s="115" t="str">
        <f>IF(ISBLANK('Event summary'!B805),"",'Event summary'!B805)</f>
        <v>תכנון שגוי</v>
      </c>
      <c r="D805" s="116" t="str">
        <f>IF(ISBLANK('Event summary'!C805),"",'Event summary'!C805)</f>
        <v>בסימולציה נעשתה סריקה עם בולוס מודבק בתוך האזן. פיזיקאי לא ידע ותכנן עם בולוס אישי. בבירור מול הרופא צריך לתכנן בלי הבולוס החיצוני.</v>
      </c>
      <c r="E805" s="116" t="str">
        <f>IF(ISBLANK('Event summary'!D805),"",'Event summary'!D805)</f>
        <v>יש להוסיף ב note של המרשם שקיים בולס מובנה (אישי)</v>
      </c>
      <c r="F805" s="117">
        <f>IF(ISBLANK('Event summary'!E805),"",'Event summary'!E805)</f>
        <v>45907</v>
      </c>
    </row>
    <row r="806" spans="1:6" ht="42.75" x14ac:dyDescent="0.2">
      <c r="A806" s="114" t="e">
        <f>IF(ISBLANK('Event summary'!#REF!),"",'Event summary'!#REF!)</f>
        <v>#REF!</v>
      </c>
      <c r="B806" s="115">
        <f>IF(ISBLANK('Event summary'!A806),"",'Event summary'!A806)</f>
        <v>806</v>
      </c>
      <c r="C806" s="115" t="str">
        <f>IF(ISBLANK('Event summary'!B806),"",'Event summary'!B806)</f>
        <v>עבודה שלא על פי הנוהל</v>
      </c>
      <c r="D806" s="116" t="str">
        <f>IF(ISBLANK('Event summary'!C806),"",'Event summary'!C806)</f>
        <v>מטופלת שהיתה צריכה לקבל טיפול חוזר לסטרנום לא היה לה קעקוע והתכנית הועתק מהטיפול הקודם אך לא החליפו ה refferance point והיה צריך לחתום על מנה עודפת.</v>
      </c>
      <c r="E806" s="116" t="str">
        <f>IF(ISBLANK('Event summary'!D806),"",'Event summary'!D806)</f>
        <v>חידוד הנחיות לפיזיקאים</v>
      </c>
      <c r="F806" s="117">
        <f>IF(ISBLANK('Event summary'!E806),"",'Event summary'!E806)</f>
        <v>45907</v>
      </c>
    </row>
    <row r="807" spans="1:6" ht="28.5" x14ac:dyDescent="0.2">
      <c r="A807" s="114" t="e">
        <f>IF(ISBLANK('Event summary'!#REF!),"",'Event summary'!#REF!)</f>
        <v>#REF!</v>
      </c>
      <c r="B807" s="115">
        <f>IF(ISBLANK('Event summary'!A807),"",'Event summary'!A807)</f>
        <v>807</v>
      </c>
      <c r="C807" s="115" t="str">
        <f>IF(ISBLANK('Event summary'!B807),"",'Event summary'!B807)</f>
        <v>נוהל חסר</v>
      </c>
      <c r="D807" s="116" t="str">
        <f>IF(ISBLANK('Event summary'!C807),"",'Event summary'!C807)</f>
        <v>בהכנת מטופל לבלוטות בבטן יש צורך הכנה כגון: צום, תרופה לגזים, מילוי שלפוחית ואולי גם שימוש בלוחץ בטן.</v>
      </c>
      <c r="E807" s="116" t="str">
        <f>IF(ISBLANK('Event summary'!D807),"",'Event summary'!D807)</f>
        <v>להקפיד על הנחיות למטופלים.</v>
      </c>
      <c r="F807" s="117">
        <f>IF(ISBLANK('Event summary'!E807),"",'Event summary'!E807)</f>
        <v>45907</v>
      </c>
    </row>
    <row r="808" spans="1:6" ht="57" x14ac:dyDescent="0.2">
      <c r="A808" s="114" t="e">
        <f>IF(ISBLANK('Event summary'!#REF!),"",'Event summary'!#REF!)</f>
        <v>#REF!</v>
      </c>
      <c r="B808" s="115">
        <f>IF(ISBLANK('Event summary'!A808),"",'Event summary'!A808)</f>
        <v>808</v>
      </c>
      <c r="C808" s="115" t="str">
        <f>IF(ISBLANK('Event summary'!B808),"",'Event summary'!B808)</f>
        <v>תקשורת לקויה</v>
      </c>
      <c r="D808" s="116" t="str">
        <f>IF(ISBLANK('Event summary'!C808),"",'Event summary'!C808)</f>
        <v>מטופלת חוזרת קיבלה מספר טיפולים בשנים 2023-2024 ע"י ד"ר איכט ב 11/24 קיבלה טיפול נוסף ע"י ד"ר קורמן וכעשיו 9/25 ע"י ד"ר אוורבוך ב- Aria  עדין רשום ד"ר איכט כרופא המטפל.</v>
      </c>
      <c r="E808" s="116" t="str">
        <f>IF(ISBLANK('Event summary'!D808),"",'Event summary'!D808)</f>
        <v>בעיה מוכרת ונמצאת בבדיקה</v>
      </c>
      <c r="F808" s="117">
        <f>IF(ISBLANK('Event summary'!E808),"",'Event summary'!E808)</f>
        <v>45991</v>
      </c>
    </row>
    <row r="809" spans="1:6" ht="28.5" x14ac:dyDescent="0.2">
      <c r="A809" s="114" t="e">
        <f>IF(ISBLANK('Event summary'!#REF!),"",'Event summary'!#REF!)</f>
        <v>#REF!</v>
      </c>
      <c r="B809" s="115">
        <f>IF(ISBLANK('Event summary'!A809),"",'Event summary'!A809)</f>
        <v>809</v>
      </c>
      <c r="C809" s="115" t="str">
        <f>IF(ISBLANK('Event summary'!B809),"",'Event summary'!B809)</f>
        <v>תקשורת לקויה</v>
      </c>
      <c r="D809" s="116" t="str">
        <f>IF(ISBLANK('Event summary'!C809),"",'Event summary'!C809)</f>
        <v>למטופל רשום ב Aria שה- Primary onc שלו הוא ד"ר איכט שאינו עובד יותר ביחידה.</v>
      </c>
      <c r="E809" s="116" t="str">
        <f>IF(ISBLANK('Event summary'!D809),"",'Event summary'!D809)</f>
        <v>בעיה מוכרת ונמצאת בבדיקה</v>
      </c>
      <c r="F809" s="117">
        <f>IF(ISBLANK('Event summary'!E809),"",'Event summary'!E809)</f>
        <v>45991</v>
      </c>
    </row>
    <row r="810" spans="1:6" ht="42.75" x14ac:dyDescent="0.2">
      <c r="A810" s="114" t="e">
        <f>IF(ISBLANK('Event summary'!#REF!),"",'Event summary'!#REF!)</f>
        <v>#REF!</v>
      </c>
      <c r="B810" s="115">
        <f>IF(ISBLANK('Event summary'!A810),"",'Event summary'!A810)</f>
        <v>810</v>
      </c>
      <c r="C810" s="115" t="str">
        <f>IF(ISBLANK('Event summary'!B810),"",'Event summary'!B810)</f>
        <v>תיעוד לא תקין</v>
      </c>
      <c r="D810" s="116" t="str">
        <f>IF(ISBLANK('Event summary'!C810),"",'Event summary'!C810)</f>
        <v>תיק לאחר QA עם Update Care Path על מסלול של Liver  במקום מסלול של Lung. הרופא המטפל לא היה בארץ והמקרה היה יכל ליפל בין הכיסאות.</v>
      </c>
      <c r="E810" s="116" t="str">
        <f>IF(ISBLANK('Event summary'!D810),"",'Event summary'!D810)</f>
        <v>בודקים שינוי CP לאיחוד 2 מסלולים לאחד לאחר זימות תורים.</v>
      </c>
      <c r="F810" s="117">
        <f>IF(ISBLANK('Event summary'!E810),"",'Event summary'!E810)</f>
        <v>45991</v>
      </c>
    </row>
    <row r="811" spans="1:6" ht="30" x14ac:dyDescent="0.2">
      <c r="A811" s="114" t="e">
        <f>IF(ISBLANK('Event summary'!#REF!),"",'Event summary'!#REF!)</f>
        <v>#REF!</v>
      </c>
      <c r="B811" s="115">
        <f>IF(ISBLANK('Event summary'!A811),"",'Event summary'!A811)</f>
        <v>811</v>
      </c>
      <c r="C811" s="115" t="str">
        <f>IF(ISBLANK('Event summary'!B811),"",'Event summary'!B811)</f>
        <v>סריקה לא תקינה</v>
      </c>
      <c r="D811" s="116" t="str">
        <f>IF(ISBLANK('Event summary'!C811),"",'Event summary'!C811)</f>
        <v>מטופל FSR עם מסיכה פתוחה נסרק ללא ה BB העליון (ראה תמונה)</v>
      </c>
      <c r="E811" s="116" t="str">
        <f>IF(ISBLANK('Event summary'!D811),"",'Event summary'!D811)</f>
        <v>תזכורת לצוות סימולציה</v>
      </c>
      <c r="F811" s="117">
        <f>IF(ISBLANK('Event summary'!E811),"",'Event summary'!E811)</f>
        <v>45991</v>
      </c>
    </row>
    <row r="812" spans="1:6" ht="57" x14ac:dyDescent="0.2">
      <c r="A812" s="114" t="e">
        <f>IF(ISBLANK('Event summary'!#REF!),"",'Event summary'!#REF!)</f>
        <v>#REF!</v>
      </c>
      <c r="B812" s="115">
        <f>IF(ISBLANK('Event summary'!A812),"",'Event summary'!A812)</f>
        <v>812</v>
      </c>
      <c r="C812" s="115" t="str">
        <f>IF(ISBLANK('Event summary'!B812),"",'Event summary'!B812)</f>
        <v>היעדר תיעוד</v>
      </c>
      <c r="D812" s="116" t="str">
        <f>IF(ISBLANK('Event summary'!C812),"",'Event summary'!C812)</f>
        <v>למטופלת יש קוצב לב ולא היה תיעוד בשום מקום. קיוים הקוצב נודע לנו כיוון שהבן של המטופלת התקשר למזכירות להגיד שלא מצליח להסיג אישור ממרפאת קוצבים. לא היה Document</v>
      </c>
      <c r="E812" s="116" t="str">
        <f>IF(ISBLANK('Event summary'!D812),"",'Event summary'!D812)</f>
        <v>תזכורת לתעד קוצבים לצוות המתכנן. במסמך סימולציה להוסיף שורה של קוצב.</v>
      </c>
      <c r="F812" s="117">
        <f>IF(ISBLANK('Event summary'!E812),"",'Event summary'!E812)</f>
        <v>45991</v>
      </c>
    </row>
    <row r="813" spans="1:6" ht="28.5" x14ac:dyDescent="0.2">
      <c r="A813" s="114" t="e">
        <f>IF(ISBLANK('Event summary'!#REF!),"",'Event summary'!#REF!)</f>
        <v>#REF!</v>
      </c>
      <c r="B813" s="115">
        <f>IF(ISBLANK('Event summary'!A813),"",'Event summary'!A813)</f>
        <v>813</v>
      </c>
      <c r="C813" s="115" t="str">
        <f>IF(ISBLANK('Event summary'!B813),"",'Event summary'!B813)</f>
        <v>תכנון שגוי</v>
      </c>
      <c r="D813" s="116" t="str">
        <f>IF(ISBLANK('Event summary'!C813),"",'Event summary'!C813)</f>
        <v>המטופלת תוכננה על סריקה של BH למרות שהוחלט לטפל ב FB. ד"ר לימון אישר טיפול אחד ב BH עד שיתוכנן על FB.</v>
      </c>
      <c r="E813" s="116" t="str">
        <f>IF(ISBLANK('Event summary'!D813),"",'Event summary'!D813)</f>
        <v>רופא ירשום יקפיד לתעד במרשם BH. לגבי FB בחלק של gaiting יהיה כתוב None</v>
      </c>
      <c r="F813" s="117">
        <f>IF(ISBLANK('Event summary'!E813),"",'Event summary'!E813)</f>
        <v>45991</v>
      </c>
    </row>
    <row r="814" spans="1:6" ht="28.5" x14ac:dyDescent="0.2">
      <c r="A814" s="114" t="e">
        <f>IF(ISBLANK('Event summary'!#REF!),"",'Event summary'!#REF!)</f>
        <v>#REF!</v>
      </c>
      <c r="B814" s="115">
        <f>IF(ISBLANK('Event summary'!A814),"",'Event summary'!A814)</f>
        <v>814</v>
      </c>
      <c r="C814" s="115" t="str">
        <f>IF(ISBLANK('Event summary'!B814),"",'Event summary'!B814)</f>
        <v>העברת מידע</v>
      </c>
      <c r="D814" s="116" t="str">
        <f>IF(ISBLANK('Event summary'!C814),"",'Event summary'!C814)</f>
        <v>נמסר מהסימולציה על מטופלת מאד קשה עם סקויוזיס חריף. מבקשים שיהיה אזכור ב document מהרופא המקבל.</v>
      </c>
      <c r="E814" s="116" t="str">
        <f>IF(ISBLANK('Event summary'!D814),"",'Event summary'!D814)</f>
        <v>יש להתייחס למגבלות השכבה ב note</v>
      </c>
      <c r="F814" s="117">
        <f>IF(ISBLANK('Event summary'!E814),"",'Event summary'!E814)</f>
        <v>45991</v>
      </c>
    </row>
    <row r="815" spans="1:6" ht="30" x14ac:dyDescent="0.2">
      <c r="A815" s="114" t="e">
        <f>IF(ISBLANK('Event summary'!#REF!),"",'Event summary'!#REF!)</f>
        <v>#REF!</v>
      </c>
      <c r="B815" s="115">
        <f>IF(ISBLANK('Event summary'!A815),"",'Event summary'!A815)</f>
        <v>815</v>
      </c>
      <c r="C815" s="115" t="str">
        <f>IF(ISBLANK('Event summary'!B815),"",'Event summary'!B815)</f>
        <v>תגובה טוקסית של מטופל</v>
      </c>
      <c r="D815" s="116" t="str">
        <f>IF(ISBLANK('Event summary'!C815),"",'Event summary'!C815)</f>
        <v>מטופלת פיתחה תגובה אלרגית להזרקת ח"נ יוד לאחר הזרקה של 70cc יוד + 40cc מים.</v>
      </c>
      <c r="E815" s="116" t="str">
        <f>IF(ISBLANK('Event summary'!D815),"",'Event summary'!D815)</f>
        <v>בבדיקה חוזרת לא היתה תגובה אלגית לח"נ לכן אין צורך בידווח. אל אף זאת, מתוכנן רענון לצוות בנושא.</v>
      </c>
      <c r="F815" s="117">
        <f>IF(ISBLANK('Event summary'!E815),"",'Event summary'!E815)</f>
        <v>45991</v>
      </c>
    </row>
    <row r="816" spans="1:6" ht="28.5" x14ac:dyDescent="0.2">
      <c r="A816" s="114" t="e">
        <f>IF(ISBLANK('Event summary'!#REF!),"",'Event summary'!#REF!)</f>
        <v>#REF!</v>
      </c>
      <c r="B816" s="115">
        <f>IF(ISBLANK('Event summary'!A816),"",'Event summary'!A816)</f>
        <v>816</v>
      </c>
      <c r="C816" s="115" t="str">
        <f>IF(ISBLANK('Event summary'!B816),"",'Event summary'!B816)</f>
        <v>היעדר תיעוד</v>
      </c>
      <c r="D816" s="116" t="str">
        <f>IF(ISBLANK('Event summary'!C816),"",'Event summary'!C816)</f>
        <v>מטופל לבית חזה (גבר) בסימולציה שכב על wing+BH. לא היה טופס סימולציה לכן נסרק עם wing ולא Breast Plate.</v>
      </c>
      <c r="E816" s="116" t="str">
        <f>IF(ISBLANK('Event summary'!D816),"",'Event summary'!D816)</f>
        <v>חידוד הנחיות לרופאים.</v>
      </c>
      <c r="F816" s="117">
        <f>IF(ISBLANK('Event summary'!E816),"",'Event summary'!E816)</f>
        <v>45991</v>
      </c>
    </row>
    <row r="817" spans="1:6" ht="30" x14ac:dyDescent="0.2">
      <c r="A817" s="114" t="e">
        <f>IF(ISBLANK('Event summary'!#REF!),"",'Event summary'!#REF!)</f>
        <v>#REF!</v>
      </c>
      <c r="B817" s="115">
        <f>IF(ISBLANK('Event summary'!A817),"",'Event summary'!A817)</f>
        <v>817</v>
      </c>
      <c r="C817" s="115" t="str">
        <f>IF(ISBLANK('Event summary'!B817),"",'Event summary'!B817)</f>
        <v>אי עמידה בזמנים</v>
      </c>
      <c r="D817" s="116" t="str">
        <f>IF(ISBLANK('Event summary'!C817),"",'Event summary'!C817)</f>
        <v>מטופלת שד הוזמנה לטיפול ביום א' ב 7:00. התיק לא היה חתום ע"י רופא כיוון ששוחרר מפיזיקה ביום חמישי ב 16:35</v>
      </c>
      <c r="E817" s="116" t="str">
        <f>IF(ISBLANK('Event summary'!D817),"",'Event summary'!D817)</f>
        <v>קיים תהליך אפיון של זמני הגעת תיקים לא QA</v>
      </c>
      <c r="F817" s="117">
        <f>IF(ISBLANK('Event summary'!E817),"",'Event summary'!E817)</f>
        <v>45991</v>
      </c>
    </row>
    <row r="818" spans="1:6" ht="30" x14ac:dyDescent="0.2">
      <c r="A818" s="114" t="e">
        <f>IF(ISBLANK('Event summary'!#REF!),"",'Event summary'!#REF!)</f>
        <v>#REF!</v>
      </c>
      <c r="B818" s="115">
        <f>IF(ISBLANK('Event summary'!A818),"",'Event summary'!A818)</f>
        <v>818</v>
      </c>
      <c r="C818" s="115" t="str">
        <f>IF(ISBLANK('Event summary'!B818),"",'Event summary'!B818)</f>
        <v>אי עמידה בזמנים</v>
      </c>
      <c r="D818" s="116" t="str">
        <f>IF(ISBLANK('Event summary'!C818),"",'Event summary'!C818)</f>
        <v>מטופלת שד הוזמנה לטיפול ביום א' ב 7:00. התיק לא היה חתום ע"י רופא התיק שוחרר מפיזיקה ביום חמישי ב 11:45</v>
      </c>
      <c r="E818" s="116" t="str">
        <f>IF(ISBLANK('Event summary'!D818),"",'Event summary'!D818)</f>
        <v>קיים תהליך אפיון של זמני הגעת תיקים לא QA</v>
      </c>
      <c r="F818" s="117">
        <f>IF(ISBLANK('Event summary'!E818),"",'Event summary'!E818)</f>
        <v>45991</v>
      </c>
    </row>
    <row r="819" spans="1:6" ht="30" x14ac:dyDescent="0.2">
      <c r="A819" s="114" t="e">
        <f>IF(ISBLANK('Event summary'!#REF!),"",'Event summary'!#REF!)</f>
        <v>#REF!</v>
      </c>
      <c r="B819" s="115">
        <f>IF(ISBLANK('Event summary'!A819),"",'Event summary'!A819)</f>
        <v>819</v>
      </c>
      <c r="C819" s="115" t="str">
        <f>IF(ISBLANK('Event summary'!B819),"",'Event summary'!B819)</f>
        <v>אי עמידה בזמנים</v>
      </c>
      <c r="D819" s="116" t="str">
        <f>IF(ISBLANK('Event summary'!C819),"",'Event summary'!C819)</f>
        <v>מטופלת שד דו"צ הוזמנה לטיפול ביום א' ב 11:00. התיק שוחרר מפיזיקה ביום חמישי ב 17:30.</v>
      </c>
      <c r="E819" s="116" t="str">
        <f>IF(ISBLANK('Event summary'!D819),"",'Event summary'!D819)</f>
        <v>קיים תהליך אפיון של זמני הגעת תיקים לא QA</v>
      </c>
      <c r="F819" s="117">
        <f>IF(ISBLANK('Event summary'!E819),"",'Event summary'!E819)</f>
        <v>45991</v>
      </c>
    </row>
    <row r="820" spans="1:6" ht="57" x14ac:dyDescent="0.2">
      <c r="A820" s="114" t="e">
        <f>IF(ISBLANK('Event summary'!#REF!),"",'Event summary'!#REF!)</f>
        <v>#REF!</v>
      </c>
      <c r="B820" s="115">
        <f>IF(ISBLANK('Event summary'!A820),"",'Event summary'!A820)</f>
        <v>820</v>
      </c>
      <c r="C820" s="115" t="str">
        <f>IF(ISBLANK('Event summary'!B820),"",'Event summary'!B820)</f>
        <v>מתן טיפול באופן שגוי</v>
      </c>
      <c r="D820" s="116" t="str">
        <f>IF(ISBLANK('Event summary'!C820),"",'Event summary'!C820)</f>
        <v>מטופל עם מסיכת CIVCO. מקבל טיפול לשני מוקדים. במסיכה יש בולוס מובנה. בטיפול לקרקפת תוכנן עם תוספת של בולוס חיצוני. בשלושת הטיפולים הראשונים קיבל טיפול ללא בולוס חיצוני. לא היה מובן מה- Setup Note מה נדרש.</v>
      </c>
      <c r="E820" s="116" t="str">
        <f>IF(ISBLANK('Event summary'!D820),"",'Event summary'!D820)</f>
        <v>יש להקפיד על תקשורת יעילה וברורה ב notes. אין לשנות את הניסוח של ההודעה ב note ללא התייעצות עם הפיזיקאי המתכנן.</v>
      </c>
      <c r="F820" s="117">
        <f>IF(ISBLANK('Event summary'!E820),"",'Event summary'!E820)</f>
        <v>45991</v>
      </c>
    </row>
    <row r="821" spans="1:6" ht="99.75" x14ac:dyDescent="0.2">
      <c r="A821" s="114" t="e">
        <f>IF(ISBLANK('Event summary'!#REF!),"",'Event summary'!#REF!)</f>
        <v>#REF!</v>
      </c>
      <c r="B821" s="115">
        <f>IF(ISBLANK('Event summary'!A821),"",'Event summary'!A821)</f>
        <v>821</v>
      </c>
      <c r="C821" s="115" t="str">
        <f>IF(ISBLANK('Event summary'!B821),"",'Event summary'!B821)</f>
        <v>מתן טיפול באופן שגוי</v>
      </c>
      <c r="D821" s="116" t="str">
        <f>IF(ISBLANK('Event summary'!C821),"",'Event summary'!C821)</f>
        <v>מטופל SRS קיבל תת מנה של כ- 20% בפרקציה בודדת (עד כ 4% לטיפול כולו). עבור שני מוקדים סמוכים תוכננו שתי תוכניות אחת עם פרקציה בודדת שמכילה את שני המוקדים ותכנית ואחת עם 4 פרקציות שמכילה רק מוקד אחד. התכנית של המוקד היחיד תוכננה עבור 5Gy x 5 פרקציות והיה צריך להחסיר פרקציה. בטעות החסירו מהמנה ולא מהפרקציה 4Gy x 5 במקום 5Gy x 4.</v>
      </c>
      <c r="E821" s="116" t="str">
        <f>IF(ISBLANK('Event summary'!D821),"",'Event summary'!D821)</f>
        <v>תשומת לב לפרטים</v>
      </c>
      <c r="F821" s="117">
        <f>IF(ISBLANK('Event summary'!E821),"",'Event summary'!E821)</f>
        <v>45991</v>
      </c>
    </row>
    <row r="822" spans="1:6" ht="71.25" x14ac:dyDescent="0.2">
      <c r="A822" s="114" t="e">
        <f>IF(ISBLANK('Event summary'!#REF!),"",'Event summary'!#REF!)</f>
        <v>#REF!</v>
      </c>
      <c r="B822" s="115">
        <f>IF(ISBLANK('Event summary'!A822),"",'Event summary'!A822)</f>
        <v>822</v>
      </c>
      <c r="C822" s="115" t="str">
        <f>IF(ISBLANK('Event summary'!B822),"",'Event summary'!B822)</f>
        <v>עבודה שלא על פי הנוהל</v>
      </c>
      <c r="D822" s="116" t="str">
        <f>IF(ISBLANK('Event summary'!C822),"",'Event summary'!C822)</f>
        <v>מאושפז ממאיר הגיע לקבלה+סימולציה+טיפול. הסימולטור היה תקול ולכן הועבר לסימולציה+טיפול במאיץ 3. ה- CP של המטופל לא הוחלף ולא נסגר. לכן, הרופא המטפל לא כתב מרשם ב- Aria . הטיפול תוכנן ע"פ מרשם של קמליון ע"י הפיזיקאי. המרשם נכתב בדיעבד ע"י הרופא לבקשת הצוות.</v>
      </c>
      <c r="E822" s="116" t="str">
        <f>IF(ISBLANK('Event summary'!D822),"",'Event summary'!D822)</f>
        <v>קיים CP יעודי למקרה זה. יש להקפיד על נהלים. לא מתכננים ללא מרשם.</v>
      </c>
      <c r="F822" s="117">
        <f>IF(ISBLANK('Event summary'!E822),"",'Event summary'!E822)</f>
        <v>45991</v>
      </c>
    </row>
    <row r="823" spans="1:6" ht="57" x14ac:dyDescent="0.2">
      <c r="A823" s="114" t="e">
        <f>IF(ISBLANK('Event summary'!#REF!),"",'Event summary'!#REF!)</f>
        <v>#REF!</v>
      </c>
      <c r="B823" s="115">
        <f>IF(ISBLANK('Event summary'!A823),"",'Event summary'!A823)</f>
        <v>823</v>
      </c>
      <c r="C823" s="115" t="str">
        <f>IF(ISBLANK('Event summary'!B823),"",'Event summary'!B823)</f>
        <v>העברת מידע</v>
      </c>
      <c r="D823" s="116" t="str">
        <f>IF(ISBLANK('Event summary'!C823),"",'Event summary'!C823)</f>
        <v>מטופלת קיבלה מתיירות מרפא דף תאריכי טיפול לברכי כאשר המועד האחרון לטיפול 13/11/2025 ולכן הזמינה כרטיס טיסה. אולם, הטיפול גם כולל קרינה חיצונית שהמטופלת לא לקחה בחשבון.</v>
      </c>
      <c r="E823" s="116" t="str">
        <f>IF(ISBLANK('Event summary'!D823),"",'Event summary'!D823)</f>
        <v>מכון הקרינה יעביר את כלל מועדי הטיפול למטופל.</v>
      </c>
      <c r="F823" s="117">
        <f>IF(ISBLANK('Event summary'!E823),"",'Event summary'!E823)</f>
        <v>45991</v>
      </c>
    </row>
    <row r="824" spans="1:6" ht="57" x14ac:dyDescent="0.2">
      <c r="A824" s="114" t="e">
        <f>IF(ISBLANK('Event summary'!#REF!),"",'Event summary'!#REF!)</f>
        <v>#REF!</v>
      </c>
      <c r="B824" s="115">
        <f>IF(ISBLANK('Event summary'!A824),"",'Event summary'!A824)</f>
        <v>824</v>
      </c>
      <c r="C824" s="115" t="str">
        <f>IF(ISBLANK('Event summary'!B824),"",'Event summary'!B824)</f>
        <v>העברת מידע</v>
      </c>
      <c r="D824" s="116" t="str">
        <f>IF(ISBLANK('Event summary'!C824),"",'Event summary'!C824)</f>
        <v>שם התכנית (Neck) לא תואמת את איזור הקרינה (עין שמאל). בנוסף, קיים בולוס המכסה את סביבת הטיפול אך לא קיים Setup Bolus והתכנית היא בארקים, לכן לא ניתן לדעת כמה הבולוס מכסה ללא Setup.</v>
      </c>
      <c r="E824" s="116" t="str">
        <f>IF(ISBLANK('Event summary'!D824),"",'Event summary'!D824)</f>
        <v>להקפיד על שמות תואמים ועל שדות סטאפ לכל בולוס</v>
      </c>
      <c r="F824" s="117">
        <f>IF(ISBLANK('Event summary'!E824),"",'Event summary'!E824)</f>
        <v>46033</v>
      </c>
    </row>
    <row r="825" spans="1:6" ht="85.5" x14ac:dyDescent="0.2">
      <c r="A825" s="114" t="e">
        <f>IF(ISBLANK('Event summary'!#REF!),"",'Event summary'!#REF!)</f>
        <v>#REF!</v>
      </c>
      <c r="B825" s="115">
        <f>IF(ISBLANK('Event summary'!A825),"",'Event summary'!A825)</f>
        <v>825</v>
      </c>
      <c r="C825" s="115" t="str">
        <f>IF(ISBLANK('Event summary'!B825),"",'Event summary'!B825)</f>
        <v>תיעוד לא תקין</v>
      </c>
      <c r="D825" s="116" t="str">
        <f>IF(ISBLANK('Event summary'!C825),"",'Event summary'!C825)</f>
        <v>בשדה Rt Lung התעוד של ה Gating היה שגוי (0.15- -&gt; 0.15). בשיחת בירור עם שני פיזיקאים נאמר שהכל תקין ללא בדיקה ביקורתית. חתמתי על המקרה (RTTQA) ואישרתי את התכנון. לאחר מכן, במאיץ התגלה שהתעוד אינו תקין כשהמטופל על המיטה. ההרגשה היתה שלא התייחסו בכובד ראש לשאלות שלי.</v>
      </c>
      <c r="E825" s="116" t="str">
        <f>IF(ISBLANK('Event summary'!D825),"",'Event summary'!D825)</f>
        <v>דימה ינחה את הפיזיקאים לקחת ברצינות את הבקשיות לבדיקה משאר צוות.</v>
      </c>
      <c r="F825" s="117">
        <f>IF(ISBLANK('Event summary'!E825),"",'Event summary'!E825)</f>
        <v>46033</v>
      </c>
    </row>
    <row r="826" spans="1:6" ht="57" x14ac:dyDescent="0.2">
      <c r="A826" s="114" t="e">
        <f>IF(ISBLANK('Event summary'!#REF!),"",'Event summary'!#REF!)</f>
        <v>#REF!</v>
      </c>
      <c r="B826" s="115">
        <f>IF(ISBLANK('Event summary'!A826),"",'Event summary'!A826)</f>
        <v>826</v>
      </c>
      <c r="C826" s="115" t="str">
        <f>IF(ISBLANK('Event summary'!B826),"",'Event summary'!B826)</f>
        <v>עבודה שלא על פי הנוהל</v>
      </c>
      <c r="D826" s="116" t="str">
        <f>IF(ISBLANK('Event summary'!C826),"",'Event summary'!C826)</f>
        <v>בטיפול עם Gating טווח הנשימה הוגדר  3.3-3.7 בד"כ מבקשים טווח של 0.5. בטיפול חשבנו שזה טעות. לכן שינינו לערכים שנתנו בסימולציה  3.3-4. ביברור למחרת הובהר שאכן אתכוונו ל 3.3-3.7</v>
      </c>
      <c r="E826" s="116" t="str">
        <f>IF(ISBLANK('Event summary'!D826),"",'Event summary'!D826)</f>
        <v>הנחיות מיוחדות צריכות להיכתב באופן מפורש וברור. ישנה חשיבות לכתיבה והתאמה של הערכים ב setup notes</v>
      </c>
      <c r="F826" s="117">
        <f>IF(ISBLANK('Event summary'!E826),"",'Event summary'!E826)</f>
        <v>46033</v>
      </c>
    </row>
    <row r="827" spans="1:6" ht="85.5" x14ac:dyDescent="0.2">
      <c r="A827" s="114" t="e">
        <f>IF(ISBLANK('Event summary'!#REF!),"",'Event summary'!#REF!)</f>
        <v>#REF!</v>
      </c>
      <c r="B827" s="115">
        <f>IF(ISBLANK('Event summary'!A827),"",'Event summary'!A827)</f>
        <v>827</v>
      </c>
      <c r="C827" s="115" t="str">
        <f>IF(ISBLANK('Event summary'!B827),"",'Event summary'!B827)</f>
        <v>מתן טיפול באופן שגוי</v>
      </c>
      <c r="D827" s="116" t="str">
        <f>IF(ISBLANK('Event summary'!C827),"",'Event summary'!C827)</f>
        <v>בתאריך 21/12/25 במהלך הטיפול המאיץ נפל, לאחר השלמת הטיפול התיק נסגר אך לא נרשם במערכת. ביקשנו מהפיזיקה שיוודאו שהטיפול רשום וסגור. למחרת המקרה עלה והמטופלת קיבלה פרקציה עודפת של התכנית במקום להתחיל את הבוסט. לכן, המטופלת תקבל פרקציה עודפת לטיפול ופרקציה אחת פחות לבוסט.</v>
      </c>
      <c r="E827" s="116" t="str">
        <f>IF(ISBLANK('Event summary'!D827),"",'Event summary'!D827)</f>
        <v>לאחר תקלות במאיץ אשר עלולות להשיפיע על המנות שיקבל המטופל האחריות על וידוא של המנה למטופל תהיה תואמל לתכנון היא משותפת לכל הסקטרים הרלבנטיים. במקרה של נפילת המאיץ יש לבדוק כשעה אחרי שהטיפול נרשם. דיווח יעבור לניהול סיכונים ווריאן.</v>
      </c>
      <c r="F827" s="117">
        <f>IF(ISBLANK('Event summary'!E827),"",'Event summary'!E827)</f>
        <v>46033</v>
      </c>
    </row>
    <row r="828" spans="1:6" ht="114" x14ac:dyDescent="0.2">
      <c r="A828" s="114" t="e">
        <f>IF(ISBLANK('Event summary'!#REF!),"",'Event summary'!#REF!)</f>
        <v>#REF!</v>
      </c>
      <c r="B828" s="115">
        <f>IF(ISBLANK('Event summary'!A828),"",'Event summary'!A828)</f>
        <v>828</v>
      </c>
      <c r="C828" s="115" t="str">
        <f>IF(ISBLANK('Event summary'!B828),"",'Event summary'!B828)</f>
        <v>אי ביצוע הנחיה (צוות)</v>
      </c>
      <c r="D828" s="116" t="str">
        <f>IF(ISBLANK('Event summary'!C828),"",'Event summary'!C828)</f>
        <v>בתאריך 28/12/2025 בשעה 9:00 כתבתי לרופא המטפל לאשר שני מקרים שצריכים להתחיל טיפול באותו היום. בשעה 13:00 הרופא קיבל תזכורת לאשר את התכנונים. בשעה 13:48 הרופא הודיע שלא אישר את התכנונים והחזיר אותם לפיזיקה לתכנון חוזר. בשעה 12:00 נתבקש הרופא לדחות את המטופלים אולם לא ביצע זאת. המטופלים נדחו בסופו של דבר כאשר אחד מהם כבר הגיע למכון ואת השני השיגו לפני שיצא מביתו.</v>
      </c>
      <c r="E828" s="116" t="str">
        <f>IF(ISBLANK('Event summary'!D828),"",'Event summary'!D828)</f>
        <v>כאשר פיזיקאי רווצה לדחות תיק יש לידע את הרופא ו- RTTQA וכן לשלוח מייל לזימון תורים.</v>
      </c>
      <c r="F828" s="117">
        <f>IF(ISBLANK('Event summary'!E828),"",'Event summary'!E828)</f>
        <v>46033</v>
      </c>
    </row>
    <row r="829" spans="1:6" ht="114" x14ac:dyDescent="0.2">
      <c r="A829" s="114" t="e">
        <f>IF(ISBLANK('Event summary'!#REF!),"",'Event summary'!#REF!)</f>
        <v>#REF!</v>
      </c>
      <c r="B829" s="115">
        <f>IF(ISBLANK('Event summary'!A829),"",'Event summary'!A829)</f>
        <v>829</v>
      </c>
      <c r="C829" s="115" t="str">
        <f>IF(ISBLANK('Event summary'!B829),"",'Event summary'!B829)</f>
        <v>אי ביצוע הנחיה (צוות)</v>
      </c>
      <c r="D829" s="116" t="str">
        <f>IF(ISBLANK('Event summary'!C829),"",'Event summary'!C829)</f>
        <v>בתאריך 28/12/2025 בשעה 9:00 כתבתי לרופא המטפל לאשר שני מקרים שצריכים להתחיל טיפול באותו היום. בשעה 13:00 הרופא קיבל תזכורת לאשר את התכנונים. בשעה 13:48 הרופא הודיע שלא אישר את התכנונים והחזיר אותם לפיזיקה לתכנון חוזר. בשעה 12:00 נתבקש הרופא לדחות את המטופלים אולם לא ביצע זאת. המטופלים נדחו בסופו של דבר כאשר אחד מהם כבר הגיע למכון ואת השני השיגו לפני שיצא מביתו.</v>
      </c>
      <c r="E829" s="116" t="str">
        <f>IF(ISBLANK('Event summary'!D829),"",'Event summary'!D829)</f>
        <v>כאשר פיזיקאי רווצה לדחות תיק יש לידע את הרופא ו- RTTQA וכן לשלוח מייל לזימון תורים.</v>
      </c>
      <c r="F829" s="117">
        <f>IF(ISBLANK('Event summary'!E829),"",'Event summary'!E829)</f>
        <v>46033</v>
      </c>
    </row>
    <row r="830" spans="1:6" ht="42.75" x14ac:dyDescent="0.2">
      <c r="A830" s="114" t="e">
        <f>IF(ISBLANK('Event summary'!#REF!),"",'Event summary'!#REF!)</f>
        <v>#REF!</v>
      </c>
      <c r="B830" s="115">
        <f>IF(ISBLANK('Event summary'!A830),"",'Event summary'!A830)</f>
        <v>830</v>
      </c>
      <c r="C830" s="115" t="str">
        <f>IF(ISBLANK('Event summary'!B830),"",'Event summary'!B830)</f>
        <v>פגיעה במתקן</v>
      </c>
      <c r="D830" s="116" t="str">
        <f>IF(ISBLANK('Event summary'!C830),"",'Event summary'!C830)</f>
        <v>מטופל עם מסיכת CIVCO. במוקד של SCAPULA ה- CBCT הוגדר בטעות על סיבוב מלא וגרם להתנגשות של הגנטרי עם המסיכה.</v>
      </c>
      <c r="E830" s="116" t="str">
        <f>IF(ISBLANK('Event summary'!D830),"",'Event summary'!D830)</f>
        <v>לשים לב. טעות אנוש.</v>
      </c>
      <c r="F830" s="117">
        <f>IF(ISBLANK('Event summary'!E830),"",'Event summary'!E830)</f>
        <v>46033</v>
      </c>
    </row>
    <row r="831" spans="1:6" ht="45" x14ac:dyDescent="0.2">
      <c r="A831" s="114" t="e">
        <f>IF(ISBLANK('Event summary'!#REF!),"",'Event summary'!#REF!)</f>
        <v>#REF!</v>
      </c>
      <c r="B831" s="115">
        <f>IF(ISBLANK('Event summary'!A831),"",'Event summary'!A831)</f>
        <v>831</v>
      </c>
      <c r="C831" s="115" t="str">
        <f>IF(ISBLANK('Event summary'!B831),"",'Event summary'!B831)</f>
        <v>תיק ללא אישורים מספקים</v>
      </c>
      <c r="D831" s="116" t="str">
        <f>IF(ISBLANK('Event summary'!C831),"",'Event summary'!C831)</f>
        <v>תיק טיפול הגיע ל RTTQA עם מרשם ב Draft</v>
      </c>
      <c r="E831" s="116" t="str">
        <f>IF(ISBLANK('Event summary'!D831),"",'Event summary'!D831)</f>
        <v xml:space="preserve">להוסיף ל check list של אישור רופא לוודא שהמרשם מאושר. פיזיקאי לא יתכנן אם המרשם אינו מאושר. </v>
      </c>
      <c r="F831" s="117">
        <f>IF(ISBLANK('Event summary'!E831),"",'Event summary'!E831)</f>
        <v>46033</v>
      </c>
    </row>
    <row r="832" spans="1:6" ht="28.5" x14ac:dyDescent="0.2">
      <c r="A832" s="114" t="e">
        <f>IF(ISBLANK('Event summary'!#REF!),"",'Event summary'!#REF!)</f>
        <v>#REF!</v>
      </c>
      <c r="B832" s="115">
        <f>IF(ISBLANK('Event summary'!A832),"",'Event summary'!A832)</f>
        <v>832</v>
      </c>
      <c r="C832" s="115" t="str">
        <f>IF(ISBLANK('Event summary'!B832),"",'Event summary'!B832)</f>
        <v>העברת מידע</v>
      </c>
      <c r="D832" s="116" t="str">
        <f>IF(ISBLANK('Event summary'!C832),"",'Event summary'!C832)</f>
        <v>מטופלת התחילה טיפול כשהיא בצום של 3 שעות לפני הטיפול. לא היה ברור בהנחיות הרפאויות אם צריך או לא צום.</v>
      </c>
      <c r="E832" s="116" t="str">
        <f>IF(ISBLANK('Event summary'!D832),"",'Event summary'!D832)</f>
        <v>רענון הנחיות לצוות רופאים.</v>
      </c>
      <c r="F832" s="117">
        <f>IF(ISBLANK('Event summary'!E832),"",'Event summary'!E832)</f>
        <v>46075</v>
      </c>
    </row>
    <row r="833" spans="1:6" ht="42.75" x14ac:dyDescent="0.2">
      <c r="A833" s="114" t="e">
        <f>IF(ISBLANK('Event summary'!#REF!),"",'Event summary'!#REF!)</f>
        <v>#REF!</v>
      </c>
      <c r="B833" s="115">
        <f>IF(ISBLANK('Event summary'!A833),"",'Event summary'!A833)</f>
        <v>833</v>
      </c>
      <c r="C833" s="115" t="str">
        <f>IF(ISBLANK('Event summary'!B833),"",'Event summary'!B833)</f>
        <v>כמעט ניתן טיפול שגוי</v>
      </c>
      <c r="D833" s="116" t="str">
        <f>IF(ISBLANK('Event summary'!C833),"",'Event summary'!C833)</f>
        <v>לאחר השכבה של המטופלת התברר שההזות Delta Shift אינן נכונות. המטופלת הורדה מהמטיה עד תיקון ההזזות ע"י פיזיקאי.</v>
      </c>
      <c r="E833" s="116" t="str">
        <f>IF(ISBLANK('Event summary'!D833),"",'Event summary'!D833)</f>
        <v>להקפיד לאפס את המרכז וכן לבדוק בחתימה שניה.</v>
      </c>
      <c r="F833" s="117">
        <f>IF(ISBLANK('Event summary'!E833),"",'Event summary'!E833)</f>
        <v>46075</v>
      </c>
    </row>
    <row r="834" spans="1:6" ht="57" x14ac:dyDescent="0.2">
      <c r="A834" s="114" t="e">
        <f>IF(ISBLANK('Event summary'!#REF!),"",'Event summary'!#REF!)</f>
        <v>#REF!</v>
      </c>
      <c r="B834" s="115">
        <f>IF(ISBLANK('Event summary'!A834),"",'Event summary'!A834)</f>
        <v>834</v>
      </c>
      <c r="C834" s="115" t="str">
        <f>IF(ISBLANK('Event summary'!B834),"",'Event summary'!B834)</f>
        <v>תיעוד לא תקין</v>
      </c>
      <c r="D834" s="116" t="str">
        <f>IF(ISBLANK('Event summary'!C834),"",'Event summary'!C834)</f>
        <v>בטיפול ראשון ל- D10 ההזזות לא היו נכונות Delta Shift. בבירור מול פיזיקה התברר שכל מרכז נעשה בסימולציה אחרת עם מרכזים שונים. המטופל הוזמן לסימולציה חוזרת. בנוסף, היה תעוד ל D4 אך היה תכנון ל L4.</v>
      </c>
      <c r="E834" s="116" t="str">
        <f>IF(ISBLANK('Event summary'!D834),"",'Event summary'!D834)</f>
        <v/>
      </c>
      <c r="F834" s="117">
        <f>IF(ISBLANK('Event summary'!E834),"",'Event summary'!E834)</f>
        <v>46075</v>
      </c>
    </row>
    <row r="835" spans="1:6" ht="42.75" x14ac:dyDescent="0.2">
      <c r="A835" s="114" t="e">
        <f>IF(ISBLANK('Event summary'!#REF!),"",'Event summary'!#REF!)</f>
        <v>#REF!</v>
      </c>
      <c r="B835" s="115">
        <f>IF(ISBLANK('Event summary'!A835),"",'Event summary'!A835)</f>
        <v>835</v>
      </c>
      <c r="C835" s="115" t="str">
        <f>IF(ISBLANK('Event summary'!B835),"",'Event summary'!B835)</f>
        <v>העברת מידע</v>
      </c>
      <c r="D835" s="116" t="str">
        <f>IF(ISBLANK('Event summary'!C835),"",'Event summary'!C835)</f>
        <v>מטופל של Prostatic Bed + LN בשם של התכנית רשום Prostatic Bed בלבד. יש צורך להוסיף לשם LN על מנת שהרנטגנאים במאיץ ידעו להוסיף 3 ס"מ לסריקה של ה CBCT</v>
      </c>
      <c r="E835" s="116" t="str">
        <f>IF(ISBLANK('Event summary'!D835),"",'Event summary'!D835)</f>
        <v>תתקיים ישיבה של רופאים + פיזקאים על סטנדרטיזציה של שמות ובדיקה של תכנונים.</v>
      </c>
      <c r="F835" s="117">
        <f>IF(ISBLANK('Event summary'!E835),"",'Event summary'!E835)</f>
        <v>46075</v>
      </c>
    </row>
    <row r="836" spans="1:6" ht="57" x14ac:dyDescent="0.2">
      <c r="A836" s="114" t="e">
        <f>IF(ISBLANK('Event summary'!#REF!),"",'Event summary'!#REF!)</f>
        <v>#REF!</v>
      </c>
      <c r="B836" s="115">
        <f>IF(ISBLANK('Event summary'!A836),"",'Event summary'!A836)</f>
        <v>836</v>
      </c>
      <c r="C836" s="115" t="str">
        <f>IF(ISBLANK('Event summary'!B836),"",'Event summary'!B836)</f>
        <v>כמעט ניתן טיפול שגוי</v>
      </c>
      <c r="D836" s="116" t="str">
        <f>IF(ISBLANK('Event summary'!C836),"",'Event summary'!C836)</f>
        <v>מטופל הגיע אחרי הכנה סיעודית לסימולצייה עם חומר ניגוד בהזרקה. בטופס סימולציה נכתב שהמטופל אסמטי. ביברור עם מתמחה + רופא בכיר התברר שאין להזריק למטופל חומר ניגוד.</v>
      </c>
      <c r="E836" s="116" t="str">
        <f>IF(ISBLANK('Event summary'!D836),"",'Event summary'!D836)</f>
        <v>בוצע רענון לצוות המכון.</v>
      </c>
      <c r="F836" s="117">
        <f>IF(ISBLANK('Event summary'!E836),"",'Event summary'!E836)</f>
        <v>46103</v>
      </c>
    </row>
    <row r="837" spans="1:6" ht="28.5" x14ac:dyDescent="0.2">
      <c r="A837" s="114" t="e">
        <f>IF(ISBLANK('Event summary'!#REF!),"",'Event summary'!#REF!)</f>
        <v>#REF!</v>
      </c>
      <c r="B837" s="115">
        <f>IF(ISBLANK('Event summary'!A837),"",'Event summary'!A837)</f>
        <v>837</v>
      </c>
      <c r="C837" s="115" t="str">
        <f>IF(ISBLANK('Event summary'!B837),"",'Event summary'!B837)</f>
        <v>תיעוד לא תקין</v>
      </c>
      <c r="D837" s="116" t="str">
        <f>IF(ISBLANK('Event summary'!C837),"",'Event summary'!C837)</f>
        <v>הנחיות מנוגדות בטופס סימולציה. לא ברור אם צריך שלפוחית ריקה או מלאה.</v>
      </c>
      <c r="E837" s="116" t="str">
        <f>IF(ISBLANK('Event summary'!D837),"",'Event summary'!D837)</f>
        <v>להקפיד על הנחיות ברורות לצוות המטפל.</v>
      </c>
      <c r="F837" s="117">
        <f>IF(ISBLANK('Event summary'!E837),"",'Event summary'!E837)</f>
        <v>46103</v>
      </c>
    </row>
    <row r="838" spans="1:6" ht="42.75" x14ac:dyDescent="0.2">
      <c r="A838" s="114" t="e">
        <f>IF(ISBLANK('Event summary'!#REF!),"",'Event summary'!#REF!)</f>
        <v>#REF!</v>
      </c>
      <c r="B838" s="115">
        <f>IF(ISBLANK('Event summary'!A838),"",'Event summary'!A838)</f>
        <v>838</v>
      </c>
      <c r="C838" s="115" t="str">
        <f>IF(ISBLANK('Event summary'!B838),"",'Event summary'!B838)</f>
        <v>תיעוד לא תקין</v>
      </c>
      <c r="D838" s="116" t="str">
        <f>IF(ISBLANK('Event summary'!C838),"",'Event summary'!C838)</f>
        <v>מטופלת הגיעה לסימולציה עם טופס סימולציה לרקטום. המטופלת כבר מקבלת טיפול לרקטום. נמצא שקיים גליון קרינה נוסף לסימולציה לריאה.</v>
      </c>
      <c r="E838" s="116" t="str">
        <f>IF(ISBLANK('Event summary'!D838),"",'Event summary'!D838)</f>
        <v>להנחות את הרופאים להוסיף הערה לטופף במידה ויש סימולציה נוספת</v>
      </c>
      <c r="F838" s="117">
        <f>IF(ISBLANK('Event summary'!E838),"",'Event summary'!E838)</f>
        <v>46103</v>
      </c>
    </row>
    <row r="839" spans="1:6" ht="42.75" x14ac:dyDescent="0.2">
      <c r="A839" s="114" t="e">
        <f>IF(ISBLANK('Event summary'!#REF!),"",'Event summary'!#REF!)</f>
        <v>#REF!</v>
      </c>
      <c r="B839" s="115">
        <f>IF(ISBLANK('Event summary'!A839),"",'Event summary'!A839)</f>
        <v>839</v>
      </c>
      <c r="C839" s="115" t="str">
        <f>IF(ISBLANK('Event summary'!B839),"",'Event summary'!B839)</f>
        <v>תכנון שגוי</v>
      </c>
      <c r="D839" s="116" t="str">
        <f>IF(ISBLANK('Event summary'!C839),"",'Event summary'!C839)</f>
        <v>מטופל ריאה תוכנן על FB במקום BH. ב CBCT במאיץ לא ניתן היה למקם את המטופל עכב כך. לאחר שהוחלט לטפל ב FB הכל הסתדר.</v>
      </c>
      <c r="E839" s="116" t="str">
        <f>IF(ISBLANK('Event summary'!D839),"",'Event summary'!D839)</f>
        <v>יש לשים לב שהסימונים הם על סריקה הנכונה ושכיימת הנחיה תואמת במרשם. כשפיזקאי מתכנן על BH יש להקפיד לשייך את עקומת הנשימה.</v>
      </c>
      <c r="F839" s="117">
        <f>IF(ISBLANK('Event summary'!E839),"",'Event summary'!E839)</f>
        <v>46103</v>
      </c>
    </row>
    <row r="840" spans="1:6" ht="42.75" x14ac:dyDescent="0.2">
      <c r="A840" s="114" t="e">
        <f>IF(ISBLANK('Event summary'!#REF!),"",'Event summary'!#REF!)</f>
        <v>#REF!</v>
      </c>
      <c r="B840" s="115">
        <f>IF(ISBLANK('Event summary'!A840),"",'Event summary'!A840)</f>
        <v>840</v>
      </c>
      <c r="C840" s="115" t="str">
        <f>IF(ISBLANK('Event summary'!B840),"",'Event summary'!B840)</f>
        <v>היעדר תיעוד</v>
      </c>
      <c r="D840" s="116" t="str">
        <f>IF(ISBLANK('Event summary'!C840),"",'Event summary'!C840)</f>
        <v>סימולציה נעשתה ב Experiume. במרשם של Aria  לא היה תעוד, לכן תוכנן כ FB.</v>
      </c>
      <c r="E840" s="116" t="str">
        <f>IF(ISBLANK('Event summary'!D840),"",'Event summary'!D840)</f>
        <v>יש לשים לב שהסימונים הם על סריקה הנכונה ושכיימת הנחיה תואמת במרשם. כשפיזקאי מתכנן על BH יש להקפיד לשייך את עקומת הנשימה.</v>
      </c>
      <c r="F840" s="117">
        <f>IF(ISBLANK('Event summary'!E840),"",'Event summary'!E840)</f>
        <v>46103</v>
      </c>
    </row>
    <row r="841" spans="1:6" ht="42.75" x14ac:dyDescent="0.2">
      <c r="A841" s="114" t="e">
        <f>IF(ISBLANK('Event summary'!#REF!),"",'Event summary'!#REF!)</f>
        <v>#REF!</v>
      </c>
      <c r="B841" s="115">
        <f>IF(ISBLANK('Event summary'!A841),"",'Event summary'!A841)</f>
        <v>841</v>
      </c>
      <c r="C841" s="115" t="str">
        <f>IF(ISBLANK('Event summary'!B841),"",'Event summary'!B841)</f>
        <v>היעדר תיעוד</v>
      </c>
      <c r="D841" s="116" t="str">
        <f>IF(ISBLANK('Event summary'!C841),"",'Event summary'!C841)</f>
        <v>סימולציה נעשתה ב Experiume. במרשם של Aria  לא היה תעוד, לכן תוכנן כ FB.</v>
      </c>
      <c r="E841" s="116" t="str">
        <f>IF(ISBLANK('Event summary'!D841),"",'Event summary'!D841)</f>
        <v>יש לשים לב שהסימונים הם על סריקה הנכונה ושכיימת הנחיה תואמת במרשם. כשפיזקאי מתכנן על BH יש להקפיד לשייך את עקומת הנשימה.</v>
      </c>
      <c r="F841" s="117">
        <f>IF(ISBLANK('Event summary'!E841),"",'Event summary'!E841)</f>
        <v>46103</v>
      </c>
    </row>
    <row r="842" spans="1:6" ht="85.5" x14ac:dyDescent="0.2">
      <c r="A842" s="114" t="e">
        <f>IF(ISBLANK('Event summary'!#REF!),"",'Event summary'!#REF!)</f>
        <v>#REF!</v>
      </c>
      <c r="B842" s="115">
        <f>IF(ISBLANK('Event summary'!A842),"",'Event summary'!A842)</f>
        <v>842</v>
      </c>
      <c r="C842" s="115" t="str">
        <f>IF(ISBLANK('Event summary'!B842),"",'Event summary'!B842)</f>
        <v>היעדר תיעוד</v>
      </c>
      <c r="D842" s="116" t="str">
        <f>IF(ISBLANK('Event summary'!C842),"",'Event summary'!C842)</f>
        <v>מטופל עבר סימולציה ב 5/2/26 לאגן ולצלע. המטופל קיבל ב 1/3/26 טיפול לאגן בלבד. למטופל נקבעה סימולציה חוזרת עקב שינוי במוקד השני, אולם, לא היה תעוד מעודכן במערכות השונות וללא טופס סימולציה חדש. עקב כך, כמעט ונסרק לשני האזורים על פי הטופס הקודם שהיה עדין בתוקף מבחינת התאריך. הארוע נעצר על ידי רנטגנאית שהכירה את המקרה.</v>
      </c>
      <c r="E842" s="116" t="str">
        <f>IF(ISBLANK('Event summary'!D842),"",'Event summary'!D842)</f>
        <v>להוסיף טופס סימולציה לכל סריקה חדשה</v>
      </c>
      <c r="F842" s="117">
        <f>IF(ISBLANK('Event summary'!E842),"",'Event summary'!E842)</f>
        <v>46103</v>
      </c>
    </row>
    <row r="843" spans="1:6" ht="28.5" x14ac:dyDescent="0.2">
      <c r="A843" s="114" t="e">
        <f>IF(ISBLANK('Event summary'!#REF!),"",'Event summary'!#REF!)</f>
        <v>#REF!</v>
      </c>
      <c r="B843" s="115">
        <f>IF(ISBLANK('Event summary'!A843),"",'Event summary'!A843)</f>
        <v>843</v>
      </c>
      <c r="C843" s="115" t="str">
        <f>IF(ISBLANK('Event summary'!B843),"",'Event summary'!B843)</f>
        <v>תכנון שגוי</v>
      </c>
      <c r="D843" s="116" t="str">
        <f>IF(ISBLANK('Event summary'!C843),"",'Event summary'!C843)</f>
        <v>הזזות מרכז (Delta Shift) לא נכונות כיוון שלא שלחו את המרכז ל- BB's</v>
      </c>
      <c r="E843" s="116" t="str">
        <f>IF(ISBLANK('Event summary'!D843),"",'Event summary'!D843)</f>
        <v>פיזיקאי צריך להקפיד לוודא שה BB במקום או לאפס אותו אם צריך.</v>
      </c>
      <c r="F843" s="117">
        <f>IF(ISBLANK('Event summary'!E843),"",'Event summary'!E843)</f>
        <v>46103</v>
      </c>
    </row>
    <row r="844" spans="1:6" ht="42.75" x14ac:dyDescent="0.2">
      <c r="A844" s="114" t="e">
        <f>IF(ISBLANK('Event summary'!#REF!),"",'Event summary'!#REF!)</f>
        <v>#REF!</v>
      </c>
      <c r="B844" s="115">
        <f>IF(ISBLANK('Event summary'!A844),"",'Event summary'!A844)</f>
        <v>844</v>
      </c>
      <c r="C844" s="115" t="str">
        <f>IF(ISBLANK('Event summary'!B844),"",'Event summary'!B844)</f>
        <v>מתן טיפול באופן שגוי</v>
      </c>
      <c r="D844" s="116" t="str">
        <f>IF(ISBLANK('Event summary'!C844),"",'Event summary'!C844)</f>
        <v>בטיפול TSI ניתן פעמיים שדה AP Upper במקום AP Upper + AP Lower. הוחלט ע"י הרופא המטפל שבטיפול הבא יקבל פעמיים AP Lower.</v>
      </c>
      <c r="E844" s="116" t="str">
        <f>IF(ISBLANK('Event summary'!D844),"",'Event summary'!D844)</f>
        <v/>
      </c>
      <c r="F844" s="117">
        <f>IF(ISBLANK('Event summary'!E844),"",'Event summary'!E844)</f>
        <v>46103</v>
      </c>
    </row>
    <row r="845" spans="1:6" ht="30" x14ac:dyDescent="0.2">
      <c r="A845" s="114" t="e">
        <f>IF(ISBLANK('Event summary'!#REF!),"",'Event summary'!#REF!)</f>
        <v>#REF!</v>
      </c>
      <c r="B845" s="115">
        <f>IF(ISBLANK('Event summary'!A845),"",'Event summary'!A845)</f>
        <v>845</v>
      </c>
      <c r="C845" s="115" t="str">
        <f>IF(ISBLANK('Event summary'!B845),"",'Event summary'!B845)</f>
        <v>עבודה שלא על פי הנוהל</v>
      </c>
      <c r="D845" s="116" t="str">
        <f>IF(ISBLANK('Event summary'!C845),"",'Event summary'!C845)</f>
        <v>מטופלת Simless נסרקה וטופלה ללא הסכמה לטיפול חתומה. המטופלת השלימה את הטיפול לפני שנתגלה.</v>
      </c>
      <c r="E845" s="116" t="str">
        <f>IF(ISBLANK('Event summary'!D845),"",'Event summary'!D845)</f>
        <v>להקפיד שהקבלה והסימולציה לא תעשה באותו היום.</v>
      </c>
      <c r="F845" s="117">
        <f>IF(ISBLANK('Event summary'!E845),"",'Event summary'!E845)</f>
        <v>46103</v>
      </c>
    </row>
    <row r="846" spans="1:6" ht="28.5" x14ac:dyDescent="0.2">
      <c r="A846" s="114" t="e">
        <f>IF(ISBLANK('Event summary'!#REF!),"",'Event summary'!#REF!)</f>
        <v>#REF!</v>
      </c>
      <c r="B846" s="115">
        <f>IF(ISBLANK('Event summary'!A846),"",'Event summary'!A846)</f>
        <v>846</v>
      </c>
      <c r="C846" s="115" t="str">
        <f>IF(ISBLANK('Event summary'!B846),"",'Event summary'!B846)</f>
        <v>תכנון שגוי</v>
      </c>
      <c r="D846" s="116" t="str">
        <f>IF(ISBLANK('Event summary'!C846),"",'Event summary'!C846)</f>
        <v>הסימונים בטיפול שד עם Breath Hold (BH) סומנו ונחתמו על הסריקה של Free Breathing (FB).</v>
      </c>
      <c r="E846" s="116" t="str">
        <f>IF(ISBLANK('Event summary'!D846),"",'Event summary'!D846)</f>
        <v>יש לשים לב שהסימונים הם על סריקה הנכונה ושקיימת הנחיה תואמת במרשם. להקפיד בתכנון על BH לשייך את עקומת הנשימה.</v>
      </c>
      <c r="F846" s="117">
        <f>IF(ISBLANK('Event summary'!E846),"",'Event summary'!E846)</f>
        <v>46138</v>
      </c>
    </row>
    <row r="847" spans="1:6" ht="42.75" x14ac:dyDescent="0.2">
      <c r="A847" s="114" t="e">
        <f>IF(ISBLANK('Event summary'!#REF!),"",'Event summary'!#REF!)</f>
        <v>#REF!</v>
      </c>
      <c r="B847" s="115">
        <f>IF(ISBLANK('Event summary'!A847),"",'Event summary'!A847)</f>
        <v>847</v>
      </c>
      <c r="C847" s="115" t="str">
        <f>IF(ISBLANK('Event summary'!B847),"",'Event summary'!B847)</f>
        <v>תיעוד לא תקין</v>
      </c>
      <c r="D847" s="116" t="str">
        <f>IF(ISBLANK('Event summary'!C847),"",'Event summary'!C847)</f>
        <v>טופס סימולציה אינו תואם את הפרוטוקול הקרינה. בטופס ביקשו להתחיל את הסריקה ב L3 מצד אחד ולטפל בבלוטות מצד שני. עבור בלוטות נדרשת סריקה ארוכה יותר.</v>
      </c>
      <c r="E847" s="116" t="str">
        <f>IF(ISBLANK('Event summary'!D847),"",'Event summary'!D847)</f>
        <v xml:space="preserve"> תיבדק התבנית (template)  של פרוסטטה עם בלוטות.</v>
      </c>
      <c r="F847" s="117">
        <f>IF(ISBLANK('Event summary'!E847),"",'Event summary'!E847)</f>
        <v>46138</v>
      </c>
    </row>
    <row r="848" spans="1:6" ht="57" x14ac:dyDescent="0.2">
      <c r="A848" s="114" t="e">
        <f>IF(ISBLANK('Event summary'!#REF!),"",'Event summary'!#REF!)</f>
        <v>#REF!</v>
      </c>
      <c r="B848" s="115">
        <f>IF(ISBLANK('Event summary'!A848),"",'Event summary'!A848)</f>
        <v>848</v>
      </c>
      <c r="C848" s="115" t="str">
        <f>IF(ISBLANK('Event summary'!B848),"",'Event summary'!B848)</f>
        <v>תיעוד לא תקין</v>
      </c>
      <c r="D848" s="116" t="str">
        <f>IF(ISBLANK('Event summary'!C848),"",'Event summary'!C848)</f>
        <v>קיימת שגיאה בהגבלות של השלפוחית בתבנית של המרשם GI - rectum short ההגבלה של המנה המקסימאלית לשלפוחית מוחלפת עם ההגבלה למנה המקסימאלית. בנוסף, הרופא המטפל לא חתם על הסימונים.</v>
      </c>
      <c r="E848" s="116" t="str">
        <f>IF(ISBLANK('Event summary'!D848),"",'Event summary'!D848)</f>
        <v>יבוצע תיקון לתבנית של GI - rectum short</v>
      </c>
      <c r="F848" s="117">
        <f>IF(ISBLANK('Event summary'!E848),"",'Event summary'!E848)</f>
        <v>46138</v>
      </c>
    </row>
    <row r="849" spans="1:6" ht="28.5" x14ac:dyDescent="0.2">
      <c r="A849" s="114" t="e">
        <f>IF(ISBLANK('Event summary'!#REF!),"",'Event summary'!#REF!)</f>
        <v>#REF!</v>
      </c>
      <c r="B849" s="115">
        <f>IF(ISBLANK('Event summary'!A849),"",'Event summary'!A849)</f>
        <v>849</v>
      </c>
      <c r="C849" s="115" t="str">
        <f>IF(ISBLANK('Event summary'!B849),"",'Event summary'!B849)</f>
        <v>היעדר תיעוד</v>
      </c>
      <c r="D849" s="116" t="str">
        <f>IF(ISBLANK('Event summary'!C849),"",'Event summary'!C849)</f>
        <v>העדר תיעוד לצום בטופס הסימולציה ובקמליון. במרשם ב- Aria נדרש צום של 3 שעות לפני הטיפול.</v>
      </c>
      <c r="E849" s="116" t="str">
        <f>IF(ISBLANK('Event summary'!D849),"",'Event summary'!D849)</f>
        <v>יתבצע רענון לצוות הרופאים והמתמחים</v>
      </c>
      <c r="F849" s="117">
        <f>IF(ISBLANK('Event summary'!E849),"",'Event summary'!E849)</f>
        <v>46138</v>
      </c>
    </row>
    <row r="850" spans="1:6" ht="42.75" x14ac:dyDescent="0.2">
      <c r="A850" s="114" t="e">
        <f>IF(ISBLANK('Event summary'!#REF!),"",'Event summary'!#REF!)</f>
        <v>#REF!</v>
      </c>
      <c r="B850" s="115">
        <f>IF(ISBLANK('Event summary'!A850),"",'Event summary'!A850)</f>
        <v>850</v>
      </c>
      <c r="C850" s="115" t="str">
        <f>IF(ISBLANK('Event summary'!B850),"",'Event summary'!B850)</f>
        <v>העברת מידע</v>
      </c>
      <c r="D850" s="116" t="str">
        <f>IF(ISBLANK('Event summary'!C850),"",'Event summary'!C850)</f>
        <v>בטיפול 3 מתוך 5 הוחלט ע"י רופא לשנות את התכנון ל- VMAT. התכנית שונתה אך לא אושרה לטיפול. הרנטגנאים במאיץ וב QA לא ידעו על השינוי.</v>
      </c>
      <c r="E850" s="116" t="str">
        <f>IF(ISBLANK('Event summary'!D850),"",'Event summary'!D850)</f>
        <v>במהלך שינויים בתכנון הפיזיקאי המתכנן יידע את RTTQA וכן את זימון תורים אם קיים שינוי במועד הטיפול.</v>
      </c>
      <c r="F850" s="117">
        <f>IF(ISBLANK('Event summary'!E850),"",'Event summary'!E850)</f>
        <v>46138</v>
      </c>
    </row>
    <row r="851" spans="1:6" ht="71.25" x14ac:dyDescent="0.2">
      <c r="A851" s="114" t="e">
        <f>IF(ISBLANK('Event summary'!#REF!),"",'Event summary'!#REF!)</f>
        <v>#REF!</v>
      </c>
      <c r="B851" s="115">
        <f>IF(ISBLANK('Event summary'!A851),"",'Event summary'!A851)</f>
        <v>851</v>
      </c>
      <c r="C851" s="115" t="str">
        <f>IF(ISBLANK('Event summary'!B851),"",'Event summary'!B851)</f>
        <v>העברת מידע</v>
      </c>
      <c r="D851" s="116" t="str">
        <f>IF(ISBLANK('Event summary'!C851),"",'Event summary'!C851)</f>
        <v>בטיפול שני PULSAR בוצעה סריקת CBCT למטופלת ואז נודע לצוות המטפל שהטיפול האימונולוגי שנדחה לחמישה ימים לאחר הטיפול במקום יומיים לפי הפרוטוקול. המטופלת הורדה מהשולחן והטיפול נדחה. הרופא המטפל לא ידע על דחית הטיפול האימונולוגי.</v>
      </c>
      <c r="E851" s="116" t="str">
        <f>IF(ISBLANK('Event summary'!D851),"",'Event summary'!D851)</f>
        <v>על צוות הרופאים לידע את המטופלים שלהם שאם יש שינוי בטיפול האימונולוגי יש להודיע על כך לרופא הקרינה על מנת שנוכל לשנות את מועד הטיפול.</v>
      </c>
      <c r="F851" s="117">
        <f>IF(ISBLANK('Event summary'!E851),"",'Event summary'!E851)</f>
        <v>46138</v>
      </c>
    </row>
    <row r="852" spans="1:6" ht="42.75" x14ac:dyDescent="0.2">
      <c r="A852" s="114" t="e">
        <f>IF(ISBLANK('Event summary'!#REF!),"",'Event summary'!#REF!)</f>
        <v>#REF!</v>
      </c>
      <c r="B852" s="115">
        <f>IF(ISBLANK('Event summary'!A852),"",'Event summary'!A852)</f>
        <v>852</v>
      </c>
      <c r="C852" s="115" t="str">
        <f>IF(ISBLANK('Event summary'!B852),"",'Event summary'!B852)</f>
        <v>סריקה לא תקינה</v>
      </c>
      <c r="D852" s="116" t="str">
        <f>IF(ISBLANK('Event summary'!C852),"",'Event summary'!C852)</f>
        <v>מטופל נסרק בטעות עם שלפוחית מלאה למרות הנחיות בטופס סימולציה לשלפוחית ריקה. בהנחית הרופא המטפל ניתן טיפול עם שלפוחית מלאה.</v>
      </c>
      <c r="E852" s="116" t="str">
        <f>IF(ISBLANK('Event summary'!D852),"",'Event summary'!D852)</f>
        <v>ללא הנחיות מיוחדות</v>
      </c>
      <c r="F852" s="117">
        <f>IF(ISBLANK('Event summary'!E852),"",'Event summary'!E852)</f>
        <v>46138</v>
      </c>
    </row>
    <row r="853" spans="1:6" ht="71.25" x14ac:dyDescent="0.2">
      <c r="A853" s="114" t="e">
        <f>IF(ISBLANK('Event summary'!#REF!),"",'Event summary'!#REF!)</f>
        <v>#REF!</v>
      </c>
      <c r="B853" s="115">
        <f>IF(ISBLANK('Event summary'!A853),"",'Event summary'!A853)</f>
        <v>853</v>
      </c>
      <c r="C853" s="115" t="str">
        <f>IF(ISBLANK('Event summary'!B853),"",'Event summary'!B853)</f>
        <v>חוסר יעילות בעבודה</v>
      </c>
      <c r="D853" s="116" t="str">
        <f>IF(ISBLANK('Event summary'!C853),"",'Event summary'!C853)</f>
        <v>אנו מבקשים לדון על המקרים בהם ניתנות הנחיות נשימה (ins/exp BH) במקום שימוש בלוחץ בטן. במקרים אלו התחושה שהטיפול פחות איכותי עקב הקושי של המטופלים להחזיק את הנשימה. הטיפול מלווה בהרבה עצירות גם ב CBCT ואפילו בתזוזות של המטופלים.</v>
      </c>
      <c r="E853" s="116" t="str">
        <f>IF(ISBLANK('Event summary'!D853),"",'Event summary'!D853)</f>
        <v>תתקיים שיחה על המקרים עם הרופא המטפל.</v>
      </c>
      <c r="F853" s="117">
        <f>IF(ISBLANK('Event summary'!E853),"",'Event summary'!E853)</f>
        <v>46138</v>
      </c>
    </row>
    <row r="854" spans="1:6" ht="71.25" x14ac:dyDescent="0.2">
      <c r="A854" s="114" t="e">
        <f>IF(ISBLANK('Event summary'!#REF!),"",'Event summary'!#REF!)</f>
        <v>#REF!</v>
      </c>
      <c r="B854" s="115">
        <f>IF(ISBLANK('Event summary'!A854),"",'Event summary'!A854)</f>
        <v>854</v>
      </c>
      <c r="C854" s="115" t="str">
        <f>IF(ISBLANK('Event summary'!B854),"",'Event summary'!B854)</f>
        <v>חוסר יעילות בעבודה</v>
      </c>
      <c r="D854" s="116" t="str">
        <f>IF(ISBLANK('Event summary'!C854),"",'Event summary'!C854)</f>
        <v>אנו מבקשים לדון על המקרים בהם ניתנות הנחיות נשימה (ins/exp BH) במקום שימוש בלוחץ בטן. במקרים אלו התחושה שהטיפול פחות איכותי עקב הקושי של המטופלים להחזיק את הנשימה. הטיפול מלווה בהרבה עצירות גם ב CBCT ואפילו בתזוזות של המטופלים.</v>
      </c>
      <c r="E854" s="116" t="str">
        <f>IF(ISBLANK('Event summary'!D854),"",'Event summary'!D854)</f>
        <v>תתקיים שיחה על המקרים עם הרופא המטפל.</v>
      </c>
      <c r="F854" s="117">
        <f>IF(ISBLANK('Event summary'!E854),"",'Event summary'!E854)</f>
        <v>46138</v>
      </c>
    </row>
    <row r="855" spans="1:6" ht="85.5" x14ac:dyDescent="0.2">
      <c r="A855" s="114" t="e">
        <f>IF(ISBLANK('Event summary'!#REF!),"",'Event summary'!#REF!)</f>
        <v>#REF!</v>
      </c>
      <c r="B855" s="115">
        <f>IF(ISBLANK('Event summary'!A855),"",'Event summary'!A855)</f>
        <v>855</v>
      </c>
      <c r="C855" s="115" t="str">
        <f>IF(ISBLANK('Event summary'!B855),"",'Event summary'!B855)</f>
        <v>בעיות קיבוע</v>
      </c>
      <c r="D855" s="116" t="str">
        <f>IF(ISBLANK('Event summary'!C855),"",'Event summary'!C855)</f>
        <v>המטופל עבר סימולציה עם vaclock+bionix בשכיבת Frog. המטופל מתקשה מאד להיכנס ולצאת לפוזיציה של ההשכבה. קיימת סכנה ממשית לנפילה משולחן הטיפול בעת ההשכבה של המטופל. המטופל בן 75 ומקבל 20 פרקציות. קיימת תחושה בקרב הצוות המטפל שהרופא המטפל לא התייחס בכובד ראש לטענות.</v>
      </c>
      <c r="E855" s="116" t="str">
        <f>IF(ISBLANK('Event summary'!D855),"",'Event summary'!D855)</f>
        <v>תתקיים שיחה עם הרופא המטפל.</v>
      </c>
      <c r="F855" s="117">
        <f>IF(ISBLANK('Event summary'!E855),"",'Event summary'!E855)</f>
        <v>46138</v>
      </c>
    </row>
    <row r="856" spans="1:6" ht="42.75" x14ac:dyDescent="0.2">
      <c r="A856" s="114" t="e">
        <f>IF(ISBLANK('Event summary'!#REF!),"",'Event summary'!#REF!)</f>
        <v>#REF!</v>
      </c>
      <c r="B856" s="115">
        <f>IF(ISBLANK('Event summary'!A856),"",'Event summary'!A856)</f>
        <v>856</v>
      </c>
      <c r="C856" s="115" t="str">
        <f>IF(ISBLANK('Event summary'!B856),"",'Event summary'!B856)</f>
        <v>תיעוד לא תקין</v>
      </c>
      <c r="D856" s="116" t="str">
        <f>IF(ISBLANK('Event summary'!C856),"",'Event summary'!C856)</f>
        <v>מטופלת הגיע לסימולציה עם טופס לשד ימין + בלוטות. בקבלה בקמליון כתוב שד שמאל. המטופלת עברה ניתוח בשני הצדדים.</v>
      </c>
      <c r="E856" s="116" t="str">
        <f>IF(ISBLANK('Event summary'!D856),"",'Event summary'!D856)</f>
        <v xml:space="preserve">באחריות הרופא המטפל להקפיד על רישום נכון של צד הטיפול. תבחן אפשרות של שינויים בתהליך של בקרת התיקים (QA) תוך התמקדות על ההיבטים הקליניים של המקרים בישיבה. </v>
      </c>
      <c r="F856" s="117">
        <f>IF(ISBLANK('Event summary'!E856),"",'Event summary'!E856)</f>
        <v>46159</v>
      </c>
    </row>
    <row r="857" spans="1:6" ht="30" x14ac:dyDescent="0.2">
      <c r="A857" s="114" t="e">
        <f>IF(ISBLANK('Event summary'!#REF!),"",'Event summary'!#REF!)</f>
        <v>#REF!</v>
      </c>
      <c r="B857" s="115">
        <f>IF(ISBLANK('Event summary'!A857),"",'Event summary'!A857)</f>
        <v>857</v>
      </c>
      <c r="C857" s="115" t="str">
        <f>IF(ISBLANK('Event summary'!B857),"",'Event summary'!B857)</f>
        <v>כמעט פגיעה במתקן</v>
      </c>
      <c r="D857" s="116" t="str">
        <f>IF(ISBLANK('Event summary'!C857),"",'Event summary'!C857)</f>
        <v>טיפול לצד ימין עם גאנטרי שיורד מצד שמאל. הגאנטרי כמעט פגע במטופלת.</v>
      </c>
      <c r="E857" s="116" t="str">
        <f>IF(ISBLANK('Event summary'!D857),"",'Event summary'!D857)</f>
        <v>יש להקפיד לבדוק כיווני גאנטרי בחתימה השניה וכן ב QA. בקרוב תכנס לפעילות בדיקה של SunCheck שיבדוק זאת.</v>
      </c>
      <c r="F857" s="117">
        <f>IF(ISBLANK('Event summary'!E857),"",'Event summary'!E857)</f>
        <v>46159</v>
      </c>
    </row>
    <row r="858" spans="1:6" ht="57" x14ac:dyDescent="0.2">
      <c r="A858" s="114" t="e">
        <f>IF(ISBLANK('Event summary'!#REF!),"",'Event summary'!#REF!)</f>
        <v>#REF!</v>
      </c>
      <c r="B858" s="115">
        <f>IF(ISBLANK('Event summary'!A858),"",'Event summary'!A858)</f>
        <v>858</v>
      </c>
      <c r="C858" s="115" t="str">
        <f>IF(ISBLANK('Event summary'!B858),"",'Event summary'!B858)</f>
        <v>העברת מידע</v>
      </c>
      <c r="D858" s="116" t="str">
        <f>IF(ISBLANK('Event summary'!C858),"",'Event summary'!C858)</f>
        <v>מטופלת הגיעה לסימולציה ל SBRT כבד. למטופלת רגישות ליוד מתועדת בתיק עם קריאטנין גבוה ותלות כרונית CRN. למרות זאת, בטופס הסימולציה נכתבה בקשה להזרקת חומר ניגוד.</v>
      </c>
      <c r="E858" s="116" t="str">
        <f>IF(ISBLANK('Event summary'!D858),"",'Event summary'!D858)</f>
        <v>תתקיים שיחה עם הרופא המטפל. ברירת המחדל של הטופס סימולציה תשונה: ללא חומר ניגוד.</v>
      </c>
      <c r="F858" s="117">
        <f>IF(ISBLANK('Event summary'!E858),"",'Event summary'!E858)</f>
        <v>46159</v>
      </c>
    </row>
    <row r="859" spans="1:6" ht="42.75" x14ac:dyDescent="0.2">
      <c r="A859" s="114" t="e">
        <f>IF(ISBLANK('Event summary'!#REF!),"",'Event summary'!#REF!)</f>
        <v>#REF!</v>
      </c>
      <c r="B859" s="115">
        <f>IF(ISBLANK('Event summary'!A859),"",'Event summary'!A859)</f>
        <v>859</v>
      </c>
      <c r="C859" s="115" t="str">
        <f>IF(ISBLANK('Event summary'!B859),"",'Event summary'!B859)</f>
        <v>חוסר תשומת לב</v>
      </c>
      <c r="D859" s="116" t="str">
        <f>IF(ISBLANK('Event summary'!C859),"",'Event summary'!C859)</f>
        <v>סימונים שגויים בלימבוס של חוליות ע"ש. הרופא חתם על הסימונים ללא בקרה. הסימון של הגידול נכון. רצוי למחוק סימונים שגויים ולא לחתום עליהם.</v>
      </c>
      <c r="E859" s="116" t="str">
        <f>IF(ISBLANK('Event summary'!D859),"",'Event summary'!D859)</f>
        <v>פיזיקאים רשאים למחוק סימונים מיותרים.</v>
      </c>
      <c r="F859" s="117">
        <f>IF(ISBLANK('Event summary'!E859),"",'Event summary'!E859)</f>
        <v>46159</v>
      </c>
    </row>
    <row r="860" spans="1:6" ht="42.75" x14ac:dyDescent="0.2">
      <c r="A860" s="114" t="e">
        <f>IF(ISBLANK('Event summary'!#REF!),"",'Event summary'!#REF!)</f>
        <v>#REF!</v>
      </c>
      <c r="B860" s="115">
        <f>IF(ISBLANK('Event summary'!A860),"",'Event summary'!A860)</f>
        <v>860</v>
      </c>
      <c r="C860" s="115" t="str">
        <f>IF(ISBLANK('Event summary'!B860),"",'Event summary'!B860)</f>
        <v>אי ביצוע הנחיה (צוות)</v>
      </c>
      <c r="D860" s="116" t="str">
        <f>IF(ISBLANK('Event summary'!C860),"",'Event summary'!C860)</f>
        <v>מבקשים לא לעשות Schedule לתכנונים של ברכי. ה Schedule יעשה בקונסולה של הברכי על ידי הרנטגנאי המטפל.</v>
      </c>
      <c r="E860" s="116" t="str">
        <f>IF(ISBLANK('Event summary'!D860),"",'Event summary'!D860)</f>
        <v>בברכי פיזיקאי ישאיר את ה Schedule לרנטגנאי.</v>
      </c>
      <c r="F860" s="117">
        <f>IF(ISBLANK('Event summary'!E860),"",'Event summary'!E860)</f>
        <v>46159</v>
      </c>
    </row>
    <row r="861" spans="1:6" ht="28.5" x14ac:dyDescent="0.2">
      <c r="A861" s="114" t="e">
        <f>IF(ISBLANK('Event summary'!#REF!),"",'Event summary'!#REF!)</f>
        <v>#REF!</v>
      </c>
      <c r="B861" s="115">
        <f>IF(ISBLANK('Event summary'!A861),"",'Event summary'!A861)</f>
        <v>861</v>
      </c>
      <c r="C861" s="115" t="str">
        <f>IF(ISBLANK('Event summary'!B861),"",'Event summary'!B861)</f>
        <v>תקשורת לקויה</v>
      </c>
      <c r="D861" s="116" t="str">
        <f>IF(ISBLANK('Event summary'!C861),"",'Event summary'!C861)</f>
        <v>מטופלת עם קוצב לב מתועד בקמליון לא תועד במרשם. התכנית תוכננה באנרגיה גבוהה.</v>
      </c>
      <c r="E861" s="116" t="str">
        <f>IF(ISBLANK('Event summary'!D861),"",'Event summary'!D861)</f>
        <v>רופא יקפיד לתעד ב Note במרשם ובטופס סימולציה שיש למטופל קוצב לב</v>
      </c>
      <c r="F861" s="117">
        <f>IF(ISBLANK('Event summary'!E861),"",'Event summary'!E861)</f>
        <v>46159</v>
      </c>
    </row>
    <row r="862" spans="1:6" ht="28.5" x14ac:dyDescent="0.2">
      <c r="A862" s="114" t="e">
        <f>IF(ISBLANK('Event summary'!#REF!),"",'Event summary'!#REF!)</f>
        <v>#REF!</v>
      </c>
      <c r="B862" s="115">
        <f>IF(ISBLANK('Event summary'!A862),"",'Event summary'!A862)</f>
        <v>862</v>
      </c>
      <c r="C862" s="115" t="str">
        <f>IF(ISBLANK('Event summary'!B862),"",'Event summary'!B862)</f>
        <v>תיעוד לא תקין</v>
      </c>
      <c r="D862" s="116" t="str">
        <f>IF(ISBLANK('Event summary'!C862),"",'Event summary'!C862)</f>
        <v>שמות השדות בתכנית אינם תואמים לגודל הקשת בפועל. קיימת סכנה של התנגשות גנטרי במטופלת</v>
      </c>
      <c r="E862" s="116" t="str">
        <f>IF(ISBLANK('Event summary'!D862),"",'Event summary'!D862)</f>
        <v>להקפיד על בדיקת שמות בחתימה שניה. ננסה להוסיף תהליך בקרה אוטומטית</v>
      </c>
      <c r="F862" s="117">
        <f>IF(ISBLANK('Event summary'!E862),"",'Event summary'!E862)</f>
        <v>46159</v>
      </c>
    </row>
    <row r="863" spans="1:6" ht="57" x14ac:dyDescent="0.2">
      <c r="A863" s="114" t="e">
        <f>IF(ISBLANK('Event summary'!#REF!),"",'Event summary'!#REF!)</f>
        <v>#REF!</v>
      </c>
      <c r="B863" s="115">
        <f>IF(ISBLANK('Event summary'!A863),"",'Event summary'!A863)</f>
        <v>863</v>
      </c>
      <c r="C863" s="115" t="str">
        <f>IF(ISBLANK('Event summary'!B863),"",'Event summary'!B863)</f>
        <v>העברת מידע</v>
      </c>
      <c r="D863" s="116" t="str">
        <f>IF(ISBLANK('Event summary'!C863),"",'Event summary'!C863)</f>
        <v>מטופל לא הגיע לטיפולים באופן רציף. נעשתה סימולציה חדשה עם מסיכה חדשה ותכנית חדשה. ב Care Path יש x על הסימולציה ולא תועד כראוי בקמליון. על המסיכה לא נרשם שהמסיכה חדשה.</v>
      </c>
      <c r="E863" s="116" t="str">
        <f>IF(ISBLANK('Event summary'!D863),"",'Event summary'!D863)</f>
        <v>יש למלא פרטים מלאים בקמליון. במסיכה חדשה יש לתעד על המסיכה ובקמליון שהמסיכה חדשה.</v>
      </c>
      <c r="F863" s="117">
        <f>IF(ISBLANK('Event summary'!E863),"",'Event summary'!E863)</f>
        <v>46159</v>
      </c>
    </row>
    <row r="864" spans="1:6" ht="42.75" x14ac:dyDescent="0.2">
      <c r="A864" s="114" t="e">
        <f>IF(ISBLANK('Event summary'!#REF!),"",'Event summary'!#REF!)</f>
        <v>#REF!</v>
      </c>
      <c r="B864" s="115">
        <f>IF(ISBLANK('Event summary'!A864),"",'Event summary'!A864)</f>
        <v>864</v>
      </c>
      <c r="C864" s="115" t="str">
        <f>IF(ISBLANK('Event summary'!B864),"",'Event summary'!B864)</f>
        <v>תיעוד לא תקין</v>
      </c>
      <c r="D864" s="116" t="str">
        <f>IF(ISBLANK('Event summary'!C864),"",'Event summary'!C864)</f>
        <v>מטופלת לאיליום שמאל. במכתב קבלה ובקמליון כתוב איליום ימין. סימולציה, סימון ותכנון נעשו לאיליום שמאל.</v>
      </c>
      <c r="E864" s="116" t="str">
        <f>IF(ISBLANK('Event summary'!D864),"",'Event summary'!D864)</f>
        <v xml:space="preserve">באחריות הרופא המטפל להקפיד על רישום נכון של צד הטיפול. תבחן אפשרות של שינויים בתהליך של בקרת התיקים (QA) תוך התמקדות על ההיבטים הקליניים של המקרים בישיבה. </v>
      </c>
      <c r="F864" s="117">
        <f>IF(ISBLANK('Event summary'!E864),"",'Event summary'!E864)</f>
        <v>46159</v>
      </c>
    </row>
    <row r="865" spans="1:6" ht="28.5" x14ac:dyDescent="0.2">
      <c r="A865" s="114" t="e">
        <f>IF(ISBLANK('Event summary'!#REF!),"",'Event summary'!#REF!)</f>
        <v>#REF!</v>
      </c>
      <c r="B865" s="115">
        <f>IF(ISBLANK('Event summary'!A865),"",'Event summary'!A865)</f>
        <v>865</v>
      </c>
      <c r="C865" s="115" t="str">
        <f>IF(ISBLANK('Event summary'!B865),"",'Event summary'!B865)</f>
        <v>היעדר תיעוד</v>
      </c>
      <c r="D865" s="116" t="str">
        <f>IF(ISBLANK('Event summary'!C865),"",'Event summary'!C865)</f>
        <v>במרשמים ב Aria וקמליון נכתב מרשם ל 55Gy עם  2.75Gy ליום. בפועל תוכנן 52.5Gy עם 2.625Gy ליום.</v>
      </c>
      <c r="E865" s="116" t="str">
        <f>IF(ISBLANK('Event summary'!D865),"",'Event summary'!D865)</f>
        <v>פיזיקאי רשאי לשנות מרשם ולשמור בדראפט על מנת שהרופא מטפל יחתום.</v>
      </c>
      <c r="F865" s="117">
        <f>IF(ISBLANK('Event summary'!E865),"",'Event summary'!E865)</f>
        <v>46159</v>
      </c>
    </row>
    <row r="866" spans="1:6" ht="57" x14ac:dyDescent="0.2">
      <c r="A866" s="114" t="e">
        <f>IF(ISBLANK('Event summary'!#REF!),"",'Event summary'!#REF!)</f>
        <v>#REF!</v>
      </c>
      <c r="B866" s="115">
        <f>IF(ISBLANK('Event summary'!A866),"",'Event summary'!A866)</f>
        <v>866</v>
      </c>
      <c r="C866" s="115" t="str">
        <f>IF(ISBLANK('Event summary'!B866),"",'Event summary'!B866)</f>
        <v>מתן טיפול שלא על פי הפרוטוקול</v>
      </c>
      <c r="D866" s="116" t="str">
        <f>IF(ISBLANK('Event summary'!C866),"",'Event summary'!C866)</f>
        <v>נעשתה סימולציה לילדה בת 4.5 ללא הרדמה. במהלך הטיפולים לא ניתן היה לטפל ללא הרדמה. הרופא המטפל אישר לתת את שארית הטיפולים בהרדמה ללא סימולציה חוזרת.</v>
      </c>
      <c r="E866" s="116" t="str">
        <f>IF(ISBLANK('Event summary'!D866),"",'Event summary'!D866)</f>
        <v>ילדים המגיעים לטיפול בגיל גבולי של טיפול בהרדמה או לא צריך להכין אותם לסימולציה וטיפול בצום גם אם לא יקבלו טיפול בהרדמה. זאת משום שאם בטיפול יהיה צורך להרדים את הילד ניתן יהיה לעשות זאת.</v>
      </c>
      <c r="F866" s="117">
        <f>IF(ISBLANK('Event summary'!E866),"",'Event summary'!E866)</f>
        <v>46159</v>
      </c>
    </row>
    <row r="867" spans="1:6" ht="42.75" x14ac:dyDescent="0.2">
      <c r="A867" s="114" t="e">
        <f>IF(ISBLANK('Event summary'!#REF!),"",'Event summary'!#REF!)</f>
        <v>#REF!</v>
      </c>
      <c r="B867" s="115">
        <f>IF(ISBLANK('Event summary'!A867),"",'Event summary'!A867)</f>
        <v>867</v>
      </c>
      <c r="C867" s="115" t="str">
        <f>IF(ISBLANK('Event summary'!B867),"",'Event summary'!B867)</f>
        <v>תיעוד לא תקין</v>
      </c>
      <c r="D867" s="116" t="str">
        <f>IF(ISBLANK('Event summary'!C867),"",'Event summary'!C867)</f>
        <v>במהלך סיכום טיפול הבחנתי שבקמליון רשום גידול בטן. בפועל בתכנון ובטיפול קיבלה עמוד שדרה ובטן + S1+ Lt Ilium</v>
      </c>
      <c r="E867" s="116" t="str">
        <f>IF(ISBLANK('Event summary'!D867),"",'Event summary'!D867)</f>
        <v>יש להקפיד על רישום מדויק של מוקדי הטיפול. אם יש שינויים יש להקפיד לעדכן את הקמליון. </v>
      </c>
      <c r="F867" s="117">
        <f>IF(ISBLANK('Event summary'!E867),"",'Event summary'!E867)</f>
        <v>46159</v>
      </c>
    </row>
    <row r="868" spans="1:6" ht="42.75" x14ac:dyDescent="0.2">
      <c r="A868" s="114" t="e">
        <f>IF(ISBLANK('Event summary'!#REF!),"",'Event summary'!#REF!)</f>
        <v>#REF!</v>
      </c>
      <c r="B868" s="115">
        <f>IF(ISBLANK('Event summary'!A868),"",'Event summary'!A868)</f>
        <v>868</v>
      </c>
      <c r="C868" s="115" t="str">
        <f>IF(ISBLANK('Event summary'!B868),"",'Event summary'!B868)</f>
        <v>עבודה שלא על פי הנוהל</v>
      </c>
      <c r="D868" s="116" t="str">
        <f>IF(ISBLANK('Event summary'!C868),"",'Event summary'!C868)</f>
        <v>מטופל קיבל טיפול כימי 4 ימים לפני הקרינה. רופאה אמרה לו שניתן לקבל קרינה רק 10 ימים אחרי. בבירור עם הרופאים הטיפול נדחה ב 4 ימים</v>
      </c>
      <c r="E868" s="116" t="str">
        <f>IF(ISBLANK('Event summary'!D868),"",'Event summary'!D868)</f>
        <v/>
      </c>
      <c r="F868" s="117" t="str">
        <f>IF(ISBLANK('Event summary'!E868),"",'Event summary'!E868)</f>
        <v/>
      </c>
    </row>
    <row r="869" spans="1:6" ht="42.75" x14ac:dyDescent="0.2">
      <c r="A869" s="114" t="e">
        <f>IF(ISBLANK('Event summary'!#REF!),"",'Event summary'!#REF!)</f>
        <v>#REF!</v>
      </c>
      <c r="B869" s="115">
        <f>IF(ISBLANK('Event summary'!A869),"",'Event summary'!A869)</f>
        <v>869</v>
      </c>
      <c r="C869" s="115" t="str">
        <f>IF(ISBLANK('Event summary'!B869),"",'Event summary'!B869)</f>
        <v>תקשורת לקויה</v>
      </c>
      <c r="D869" s="116" t="str">
        <f>IF(ISBLANK('Event summary'!C869),"",'Event summary'!C869)</f>
        <v>בישיבת QA תיק נדחה על מנת להוריד מנת טיפול. נוצר Update Care Path אך לא תוכנן. הרופא המתכנן קיבל הודעה ב whats up.</v>
      </c>
      <c r="E869" s="116" t="str">
        <f>IF(ISBLANK('Event summary'!D869),"",'Event summary'!D869)</f>
        <v/>
      </c>
      <c r="F869" s="117" t="str">
        <f>IF(ISBLANK('Event summary'!E869),"",'Event summary'!E869)</f>
        <v/>
      </c>
    </row>
    <row r="870" spans="1:6" ht="42.75" x14ac:dyDescent="0.2">
      <c r="A870" s="114" t="e">
        <f>IF(ISBLANK('Event summary'!#REF!),"",'Event summary'!#REF!)</f>
        <v>#REF!</v>
      </c>
      <c r="B870" s="115">
        <f>IF(ISBLANK('Event summary'!A870),"",'Event summary'!A870)</f>
        <v>870</v>
      </c>
      <c r="C870" s="115" t="str">
        <f>IF(ISBLANK('Event summary'!B870),"",'Event summary'!B870)</f>
        <v>אי ביצוע הנחיה (צוות)</v>
      </c>
      <c r="D870" s="116" t="str">
        <f>IF(ISBLANK('Event summary'!C870),"",'Event summary'!C870)</f>
        <v>בישיבת QA תיק נדחה. הרופא המטפל קיבל הודעה מספר ימים לפני הטיפול, ללא התייחסות. ביום הטיפול הרופא אישר את התכנון.</v>
      </c>
      <c r="E870" s="116" t="str">
        <f>IF(ISBLANK('Event summary'!D870),"",'Event summary'!D870)</f>
        <v/>
      </c>
      <c r="F870" s="117" t="str">
        <f>IF(ISBLANK('Event summary'!E870),"",'Event summary'!E870)</f>
        <v/>
      </c>
    </row>
    <row r="871" spans="1:6" ht="28.5" x14ac:dyDescent="0.2">
      <c r="A871" s="114" t="e">
        <f>IF(ISBLANK('Event summary'!#REF!),"",'Event summary'!#REF!)</f>
        <v>#REF!</v>
      </c>
      <c r="B871" s="115">
        <f>IF(ISBLANK('Event summary'!A871),"",'Event summary'!A871)</f>
        <v>871</v>
      </c>
      <c r="C871" s="115" t="str">
        <f>IF(ISBLANK('Event summary'!B871),"",'Event summary'!B871)</f>
        <v>היעדר תיעוד</v>
      </c>
      <c r="D871" s="116" t="str">
        <f>IF(ISBLANK('Event summary'!C871),"",'Event summary'!C871)</f>
        <v xml:space="preserve"> תיק של מטופל הגיע ל RTTQA. במקרה נודע שלמטופל יש קוצב לב. רק במכתב קבלה מצויין שיש קוצב. </v>
      </c>
      <c r="E871" s="116" t="str">
        <f>IF(ISBLANK('Event summary'!D871),"",'Event summary'!D871)</f>
        <v/>
      </c>
      <c r="F871" s="117" t="str">
        <f>IF(ISBLANK('Event summary'!E871),"",'Event summary'!E871)</f>
        <v/>
      </c>
    </row>
    <row r="872" spans="1:6" ht="30" x14ac:dyDescent="0.2">
      <c r="A872" s="114" t="e">
        <f>IF(ISBLANK('Event summary'!#REF!),"",'Event summary'!#REF!)</f>
        <v>#REF!</v>
      </c>
      <c r="B872" s="115">
        <f>IF(ISBLANK('Event summary'!A872),"",'Event summary'!A872)</f>
        <v>872</v>
      </c>
      <c r="C872" s="115" t="str">
        <f>IF(ISBLANK('Event summary'!B872),"",'Event summary'!B872)</f>
        <v>כמעט פגיעה במתקן</v>
      </c>
      <c r="D872" s="116" t="str">
        <f>IF(ISBLANK('Event summary'!C872),"",'Event summary'!C872)</f>
        <v>מטופלת בת 94 עם קושי בהשכבה. ה- CVRT היה 33cm. לא ניתן היה לעשות CBCT והגנטרי נתקע במיטה.</v>
      </c>
      <c r="E872" s="116" t="str">
        <f>IF(ISBLANK('Event summary'!D872),"",'Event summary'!D872)</f>
        <v/>
      </c>
      <c r="F872" s="117" t="str">
        <f>IF(ISBLANK('Event summary'!E872),"",'Event summary'!E872)</f>
        <v/>
      </c>
    </row>
    <row r="873" spans="1:6" ht="42.75" x14ac:dyDescent="0.2">
      <c r="A873" s="114" t="e">
        <f>IF(ISBLANK('Event summary'!#REF!),"",'Event summary'!#REF!)</f>
        <v>#REF!</v>
      </c>
      <c r="B873" s="115">
        <f>IF(ISBLANK('Event summary'!A873),"",'Event summary'!A873)</f>
        <v>873</v>
      </c>
      <c r="C873" s="115" t="str">
        <f>IF(ISBLANK('Event summary'!B873),"",'Event summary'!B873)</f>
        <v>תכנון שגוי</v>
      </c>
      <c r="D873" s="116" t="str">
        <f>IF(ISBLANK('Event summary'!C873),"",'Event summary'!C873)</f>
        <v>לאחרונה הגיעו מספר מקרים של תכנון שד בהם גובה המיטה נמוך מדי. חשוב שבתכנון גובה המיטה (CVRT) לא יעבור את 30cm.</v>
      </c>
      <c r="E873" s="116" t="str">
        <f>IF(ISBLANK('Event summary'!D873),"",'Event summary'!D873)</f>
        <v/>
      </c>
      <c r="F873" s="117" t="str">
        <f>IF(ISBLANK('Event summary'!E873),"",'Event summary'!E873)</f>
        <v/>
      </c>
    </row>
    <row r="874" spans="1:6" x14ac:dyDescent="0.2">
      <c r="A874" s="114" t="e">
        <f>IF(ISBLANK('Event summary'!#REF!),"",'Event summary'!#REF!)</f>
        <v>#REF!</v>
      </c>
      <c r="B874" s="115">
        <f>IF(ISBLANK('Event summary'!A874),"",'Event summary'!A874)</f>
        <v>874</v>
      </c>
      <c r="C874" s="115" t="str">
        <f>IF(ISBLANK('Event summary'!B874),"",'Event summary'!B874)</f>
        <v/>
      </c>
      <c r="D874" s="116" t="str">
        <f>IF(ISBLANK('Event summary'!C874),"",'Event summary'!C874)</f>
        <v/>
      </c>
      <c r="E874" s="116" t="str">
        <f>IF(ISBLANK('Event summary'!D874),"",'Event summary'!D874)</f>
        <v/>
      </c>
      <c r="F874" s="117" t="str">
        <f>IF(ISBLANK('Event summary'!E874),"",'Event summary'!E874)</f>
        <v/>
      </c>
    </row>
    <row r="875" spans="1:6" x14ac:dyDescent="0.2">
      <c r="A875" s="114" t="e">
        <f>IF(ISBLANK('Event summary'!#REF!),"",'Event summary'!#REF!)</f>
        <v>#REF!</v>
      </c>
      <c r="B875" s="115">
        <f>IF(ISBLANK('Event summary'!A875),"",'Event summary'!A875)</f>
        <v>875</v>
      </c>
      <c r="C875" s="115" t="str">
        <f>IF(ISBLANK('Event summary'!B875),"",'Event summary'!B875)</f>
        <v/>
      </c>
      <c r="D875" s="116" t="str">
        <f>IF(ISBLANK('Event summary'!C875),"",'Event summary'!C875)</f>
        <v/>
      </c>
      <c r="E875" s="116" t="str">
        <f>IF(ISBLANK('Event summary'!D875),"",'Event summary'!D875)</f>
        <v/>
      </c>
      <c r="F875" s="117" t="str">
        <f>IF(ISBLANK('Event summary'!E875),"",'Event summary'!E875)</f>
        <v/>
      </c>
    </row>
    <row r="876" spans="1:6" x14ac:dyDescent="0.2">
      <c r="A876" s="114" t="e">
        <f>IF(ISBLANK('Event summary'!#REF!),"",'Event summary'!#REF!)</f>
        <v>#REF!</v>
      </c>
      <c r="B876" s="115">
        <f>IF(ISBLANK('Event summary'!A876),"",'Event summary'!A876)</f>
        <v>876</v>
      </c>
      <c r="C876" s="115" t="str">
        <f>IF(ISBLANK('Event summary'!B876),"",'Event summary'!B876)</f>
        <v/>
      </c>
      <c r="D876" s="116" t="str">
        <f>IF(ISBLANK('Event summary'!C876),"",'Event summary'!C876)</f>
        <v/>
      </c>
      <c r="E876" s="116" t="str">
        <f>IF(ISBLANK('Event summary'!D876),"",'Event summary'!D876)</f>
        <v/>
      </c>
      <c r="F876" s="117" t="str">
        <f>IF(ISBLANK('Event summary'!E876),"",'Event summary'!E876)</f>
        <v/>
      </c>
    </row>
    <row r="877" spans="1:6" x14ac:dyDescent="0.2">
      <c r="A877" s="114" t="e">
        <f>IF(ISBLANK('Event summary'!#REF!),"",'Event summary'!#REF!)</f>
        <v>#REF!</v>
      </c>
      <c r="B877" s="115">
        <f>IF(ISBLANK('Event summary'!A877),"",'Event summary'!A877)</f>
        <v>877</v>
      </c>
      <c r="C877" s="115" t="str">
        <f>IF(ISBLANK('Event summary'!B877),"",'Event summary'!B877)</f>
        <v/>
      </c>
      <c r="D877" s="116" t="str">
        <f>IF(ISBLANK('Event summary'!C877),"",'Event summary'!C877)</f>
        <v/>
      </c>
      <c r="E877" s="116" t="str">
        <f>IF(ISBLANK('Event summary'!D877),"",'Event summary'!D877)</f>
        <v/>
      </c>
      <c r="F877" s="117" t="str">
        <f>IF(ISBLANK('Event summary'!E877),"",'Event summary'!E877)</f>
        <v/>
      </c>
    </row>
    <row r="878" spans="1:6" x14ac:dyDescent="0.2">
      <c r="A878" s="114" t="e">
        <f>IF(ISBLANK('Event summary'!#REF!),"",'Event summary'!#REF!)</f>
        <v>#REF!</v>
      </c>
      <c r="B878" s="115">
        <f>IF(ISBLANK('Event summary'!A878),"",'Event summary'!A878)</f>
        <v>878</v>
      </c>
      <c r="C878" s="115" t="str">
        <f>IF(ISBLANK('Event summary'!B878),"",'Event summary'!B878)</f>
        <v/>
      </c>
      <c r="D878" s="116" t="str">
        <f>IF(ISBLANK('Event summary'!C878),"",'Event summary'!C878)</f>
        <v/>
      </c>
      <c r="E878" s="116" t="str">
        <f>IF(ISBLANK('Event summary'!D878),"",'Event summary'!D878)</f>
        <v/>
      </c>
      <c r="F878" s="117" t="str">
        <f>IF(ISBLANK('Event summary'!E878),"",'Event summary'!E878)</f>
        <v/>
      </c>
    </row>
    <row r="879" spans="1:6" x14ac:dyDescent="0.2">
      <c r="A879" s="114" t="e">
        <f>IF(ISBLANK('Event summary'!#REF!),"",'Event summary'!#REF!)</f>
        <v>#REF!</v>
      </c>
      <c r="B879" s="115">
        <f>IF(ISBLANK('Event summary'!A879),"",'Event summary'!A879)</f>
        <v>879</v>
      </c>
      <c r="C879" s="115" t="str">
        <f>IF(ISBLANK('Event summary'!B879),"",'Event summary'!B879)</f>
        <v/>
      </c>
      <c r="D879" s="116" t="str">
        <f>IF(ISBLANK('Event summary'!C879),"",'Event summary'!C879)</f>
        <v/>
      </c>
      <c r="E879" s="116" t="str">
        <f>IF(ISBLANK('Event summary'!D879),"",'Event summary'!D879)</f>
        <v/>
      </c>
      <c r="F879" s="117" t="str">
        <f>IF(ISBLANK('Event summary'!E879),"",'Event summary'!E879)</f>
        <v/>
      </c>
    </row>
    <row r="880" spans="1:6" x14ac:dyDescent="0.2">
      <c r="A880" s="114" t="e">
        <f>IF(ISBLANK('Event summary'!#REF!),"",'Event summary'!#REF!)</f>
        <v>#REF!</v>
      </c>
      <c r="B880" s="115">
        <f>IF(ISBLANK('Event summary'!A880),"",'Event summary'!A880)</f>
        <v>880</v>
      </c>
      <c r="C880" s="115" t="str">
        <f>IF(ISBLANK('Event summary'!B880),"",'Event summary'!B880)</f>
        <v/>
      </c>
      <c r="D880" s="116" t="str">
        <f>IF(ISBLANK('Event summary'!C880),"",'Event summary'!C880)</f>
        <v/>
      </c>
      <c r="E880" s="116" t="str">
        <f>IF(ISBLANK('Event summary'!D880),"",'Event summary'!D880)</f>
        <v/>
      </c>
      <c r="F880" s="117" t="str">
        <f>IF(ISBLANK('Event summary'!E880),"",'Event summary'!E880)</f>
        <v/>
      </c>
    </row>
    <row r="881" spans="1:6" x14ac:dyDescent="0.2">
      <c r="A881" s="114" t="e">
        <f>IF(ISBLANK('Event summary'!#REF!),"",'Event summary'!#REF!)</f>
        <v>#REF!</v>
      </c>
      <c r="B881" s="115">
        <f>IF(ISBLANK('Event summary'!A881),"",'Event summary'!A881)</f>
        <v>881</v>
      </c>
      <c r="C881" s="115" t="str">
        <f>IF(ISBLANK('Event summary'!B881),"",'Event summary'!B881)</f>
        <v/>
      </c>
      <c r="D881" s="116" t="str">
        <f>IF(ISBLANK('Event summary'!C881),"",'Event summary'!C881)</f>
        <v/>
      </c>
      <c r="E881" s="116" t="str">
        <f>IF(ISBLANK('Event summary'!D881),"",'Event summary'!D881)</f>
        <v/>
      </c>
      <c r="F881" s="117" t="str">
        <f>IF(ISBLANK('Event summary'!E881),"",'Event summary'!E881)</f>
        <v/>
      </c>
    </row>
    <row r="882" spans="1:6" x14ac:dyDescent="0.2">
      <c r="A882" s="114" t="e">
        <f>IF(ISBLANK('Event summary'!#REF!),"",'Event summary'!#REF!)</f>
        <v>#REF!</v>
      </c>
      <c r="B882" s="115">
        <f>IF(ISBLANK('Event summary'!A882),"",'Event summary'!A882)</f>
        <v>882</v>
      </c>
      <c r="C882" s="115" t="str">
        <f>IF(ISBLANK('Event summary'!B882),"",'Event summary'!B882)</f>
        <v/>
      </c>
      <c r="D882" s="116" t="str">
        <f>IF(ISBLANK('Event summary'!C882),"",'Event summary'!C882)</f>
        <v/>
      </c>
      <c r="E882" s="116" t="str">
        <f>IF(ISBLANK('Event summary'!D882),"",'Event summary'!D882)</f>
        <v/>
      </c>
      <c r="F882" s="117" t="str">
        <f>IF(ISBLANK('Event summary'!E882),"",'Event summary'!E882)</f>
        <v/>
      </c>
    </row>
    <row r="883" spans="1:6" x14ac:dyDescent="0.2">
      <c r="A883" s="114" t="e">
        <f>IF(ISBLANK('Event summary'!#REF!),"",'Event summary'!#REF!)</f>
        <v>#REF!</v>
      </c>
      <c r="B883" s="115">
        <f>IF(ISBLANK('Event summary'!A883),"",'Event summary'!A883)</f>
        <v>883</v>
      </c>
      <c r="C883" s="115" t="str">
        <f>IF(ISBLANK('Event summary'!B883),"",'Event summary'!B883)</f>
        <v/>
      </c>
      <c r="D883" s="116" t="str">
        <f>IF(ISBLANK('Event summary'!C883),"",'Event summary'!C883)</f>
        <v/>
      </c>
      <c r="E883" s="116" t="str">
        <f>IF(ISBLANK('Event summary'!D883),"",'Event summary'!D883)</f>
        <v/>
      </c>
      <c r="F883" s="117" t="str">
        <f>IF(ISBLANK('Event summary'!E883),"",'Event summary'!E883)</f>
        <v/>
      </c>
    </row>
    <row r="884" spans="1:6" x14ac:dyDescent="0.2">
      <c r="A884" s="114" t="e">
        <f>IF(ISBLANK('Event summary'!#REF!),"",'Event summary'!#REF!)</f>
        <v>#REF!</v>
      </c>
      <c r="B884" s="115">
        <f>IF(ISBLANK('Event summary'!A884),"",'Event summary'!A884)</f>
        <v>884</v>
      </c>
      <c r="C884" s="115" t="str">
        <f>IF(ISBLANK('Event summary'!B884),"",'Event summary'!B884)</f>
        <v/>
      </c>
      <c r="D884" s="116" t="str">
        <f>IF(ISBLANK('Event summary'!C884),"",'Event summary'!C884)</f>
        <v/>
      </c>
      <c r="E884" s="116" t="str">
        <f>IF(ISBLANK('Event summary'!D884),"",'Event summary'!D884)</f>
        <v/>
      </c>
      <c r="F884" s="117" t="str">
        <f>IF(ISBLANK('Event summary'!E884),"",'Event summary'!E884)</f>
        <v/>
      </c>
    </row>
    <row r="885" spans="1:6" x14ac:dyDescent="0.2">
      <c r="A885" s="114" t="e">
        <f>IF(ISBLANK('Event summary'!#REF!),"",'Event summary'!#REF!)</f>
        <v>#REF!</v>
      </c>
      <c r="B885" s="115">
        <f>IF(ISBLANK('Event summary'!A885),"",'Event summary'!A885)</f>
        <v>885</v>
      </c>
      <c r="C885" s="115" t="str">
        <f>IF(ISBLANK('Event summary'!B885),"",'Event summary'!B885)</f>
        <v/>
      </c>
      <c r="D885" s="116" t="str">
        <f>IF(ISBLANK('Event summary'!C885),"",'Event summary'!C885)</f>
        <v/>
      </c>
      <c r="E885" s="116" t="str">
        <f>IF(ISBLANK('Event summary'!D885),"",'Event summary'!D885)</f>
        <v/>
      </c>
      <c r="F885" s="117" t="str">
        <f>IF(ISBLANK('Event summary'!E885),"",'Event summary'!E885)</f>
        <v/>
      </c>
    </row>
    <row r="886" spans="1:6" x14ac:dyDescent="0.2">
      <c r="A886" s="114" t="e">
        <f>IF(ISBLANK('Event summary'!#REF!),"",'Event summary'!#REF!)</f>
        <v>#REF!</v>
      </c>
      <c r="B886" s="115">
        <f>IF(ISBLANK('Event summary'!A886),"",'Event summary'!A886)</f>
        <v>886</v>
      </c>
      <c r="C886" s="115" t="str">
        <f>IF(ISBLANK('Event summary'!B886),"",'Event summary'!B886)</f>
        <v/>
      </c>
      <c r="D886" s="116" t="str">
        <f>IF(ISBLANK('Event summary'!C886),"",'Event summary'!C886)</f>
        <v/>
      </c>
      <c r="E886" s="116" t="str">
        <f>IF(ISBLANK('Event summary'!D886),"",'Event summary'!D886)</f>
        <v/>
      </c>
      <c r="F886" s="117" t="str">
        <f>IF(ISBLANK('Event summary'!E886),"",'Event summary'!E886)</f>
        <v/>
      </c>
    </row>
    <row r="887" spans="1:6" x14ac:dyDescent="0.2">
      <c r="A887" s="114" t="e">
        <f>IF(ISBLANK('Event summary'!#REF!),"",'Event summary'!#REF!)</f>
        <v>#REF!</v>
      </c>
      <c r="B887" s="115">
        <f>IF(ISBLANK('Event summary'!A887),"",'Event summary'!A887)</f>
        <v>887</v>
      </c>
      <c r="C887" s="115" t="str">
        <f>IF(ISBLANK('Event summary'!B887),"",'Event summary'!B887)</f>
        <v/>
      </c>
      <c r="D887" s="116" t="str">
        <f>IF(ISBLANK('Event summary'!C887),"",'Event summary'!C887)</f>
        <v/>
      </c>
      <c r="E887" s="116" t="str">
        <f>IF(ISBLANK('Event summary'!D887),"",'Event summary'!D887)</f>
        <v/>
      </c>
      <c r="F887" s="117" t="str">
        <f>IF(ISBLANK('Event summary'!E887),"",'Event summary'!E887)</f>
        <v/>
      </c>
    </row>
    <row r="888" spans="1:6" x14ac:dyDescent="0.2">
      <c r="A888" s="114" t="e">
        <f>IF(ISBLANK('Event summary'!#REF!),"",'Event summary'!#REF!)</f>
        <v>#REF!</v>
      </c>
      <c r="B888" s="115">
        <f>IF(ISBLANK('Event summary'!A888),"",'Event summary'!A888)</f>
        <v>888</v>
      </c>
      <c r="C888" s="115" t="str">
        <f>IF(ISBLANK('Event summary'!B888),"",'Event summary'!B888)</f>
        <v/>
      </c>
      <c r="D888" s="116" t="str">
        <f>IF(ISBLANK('Event summary'!C888),"",'Event summary'!C888)</f>
        <v/>
      </c>
      <c r="E888" s="116" t="str">
        <f>IF(ISBLANK('Event summary'!D888),"",'Event summary'!D888)</f>
        <v/>
      </c>
      <c r="F888" s="117" t="str">
        <f>IF(ISBLANK('Event summary'!E888),"",'Event summary'!E888)</f>
        <v/>
      </c>
    </row>
    <row r="889" spans="1:6" x14ac:dyDescent="0.2">
      <c r="A889" s="114" t="e">
        <f>IF(ISBLANK('Event summary'!#REF!),"",'Event summary'!#REF!)</f>
        <v>#REF!</v>
      </c>
      <c r="B889" s="115">
        <f>IF(ISBLANK('Event summary'!A889),"",'Event summary'!A889)</f>
        <v>889</v>
      </c>
      <c r="C889" s="115" t="str">
        <f>IF(ISBLANK('Event summary'!B889),"",'Event summary'!B889)</f>
        <v/>
      </c>
      <c r="D889" s="116" t="str">
        <f>IF(ISBLANK('Event summary'!C889),"",'Event summary'!C889)</f>
        <v/>
      </c>
      <c r="E889" s="116" t="str">
        <f>IF(ISBLANK('Event summary'!D889),"",'Event summary'!D889)</f>
        <v/>
      </c>
      <c r="F889" s="117" t="str">
        <f>IF(ISBLANK('Event summary'!E889),"",'Event summary'!E889)</f>
        <v/>
      </c>
    </row>
    <row r="890" spans="1:6" x14ac:dyDescent="0.2">
      <c r="A890" s="114" t="e">
        <f>IF(ISBLANK('Event summary'!#REF!),"",'Event summary'!#REF!)</f>
        <v>#REF!</v>
      </c>
      <c r="B890" s="115">
        <f>IF(ISBLANK('Event summary'!A890),"",'Event summary'!A890)</f>
        <v>890</v>
      </c>
      <c r="C890" s="115" t="str">
        <f>IF(ISBLANK('Event summary'!B890),"",'Event summary'!B890)</f>
        <v/>
      </c>
      <c r="D890" s="116" t="str">
        <f>IF(ISBLANK('Event summary'!C890),"",'Event summary'!C890)</f>
        <v/>
      </c>
      <c r="E890" s="116" t="str">
        <f>IF(ISBLANK('Event summary'!D890),"",'Event summary'!D890)</f>
        <v/>
      </c>
      <c r="F890" s="117" t="str">
        <f>IF(ISBLANK('Event summary'!E890),"",'Event summary'!E890)</f>
        <v/>
      </c>
    </row>
    <row r="891" spans="1:6" x14ac:dyDescent="0.2">
      <c r="A891" s="114" t="e">
        <f>IF(ISBLANK('Event summary'!#REF!),"",'Event summary'!#REF!)</f>
        <v>#REF!</v>
      </c>
      <c r="B891" s="115">
        <f>IF(ISBLANK('Event summary'!A891),"",'Event summary'!A891)</f>
        <v>891</v>
      </c>
      <c r="C891" s="115" t="str">
        <f>IF(ISBLANK('Event summary'!B891),"",'Event summary'!B891)</f>
        <v/>
      </c>
      <c r="D891" s="116" t="str">
        <f>IF(ISBLANK('Event summary'!C891),"",'Event summary'!C891)</f>
        <v/>
      </c>
      <c r="E891" s="116" t="str">
        <f>IF(ISBLANK('Event summary'!D891),"",'Event summary'!D891)</f>
        <v/>
      </c>
      <c r="F891" s="117" t="str">
        <f>IF(ISBLANK('Event summary'!E891),"",'Event summary'!E891)</f>
        <v/>
      </c>
    </row>
    <row r="892" spans="1:6" x14ac:dyDescent="0.2">
      <c r="A892" s="114" t="e">
        <f>IF(ISBLANK('Event summary'!#REF!),"",'Event summary'!#REF!)</f>
        <v>#REF!</v>
      </c>
      <c r="B892" s="115">
        <f>IF(ISBLANK('Event summary'!A892),"",'Event summary'!A892)</f>
        <v>892</v>
      </c>
      <c r="C892" s="115" t="str">
        <f>IF(ISBLANK('Event summary'!B892),"",'Event summary'!B892)</f>
        <v/>
      </c>
      <c r="D892" s="116" t="str">
        <f>IF(ISBLANK('Event summary'!C892),"",'Event summary'!C892)</f>
        <v/>
      </c>
      <c r="E892" s="116" t="str">
        <f>IF(ISBLANK('Event summary'!D892),"",'Event summary'!D892)</f>
        <v/>
      </c>
      <c r="F892" s="117" t="str">
        <f>IF(ISBLANK('Event summary'!E892),"",'Event summary'!E892)</f>
        <v/>
      </c>
    </row>
    <row r="893" spans="1:6" x14ac:dyDescent="0.2">
      <c r="A893" s="114" t="e">
        <f>IF(ISBLANK('Event summary'!#REF!),"",'Event summary'!#REF!)</f>
        <v>#REF!</v>
      </c>
      <c r="B893" s="115">
        <f>IF(ISBLANK('Event summary'!A893),"",'Event summary'!A893)</f>
        <v>893</v>
      </c>
      <c r="C893" s="115" t="str">
        <f>IF(ISBLANK('Event summary'!B893),"",'Event summary'!B893)</f>
        <v/>
      </c>
      <c r="D893" s="116" t="str">
        <f>IF(ISBLANK('Event summary'!C893),"",'Event summary'!C893)</f>
        <v/>
      </c>
      <c r="E893" s="116" t="str">
        <f>IF(ISBLANK('Event summary'!D893),"",'Event summary'!D893)</f>
        <v/>
      </c>
      <c r="F893" s="117" t="str">
        <f>IF(ISBLANK('Event summary'!E893),"",'Event summary'!E893)</f>
        <v/>
      </c>
    </row>
    <row r="894" spans="1:6" x14ac:dyDescent="0.2">
      <c r="A894" s="114" t="e">
        <f>IF(ISBLANK('Event summary'!#REF!),"",'Event summary'!#REF!)</f>
        <v>#REF!</v>
      </c>
      <c r="B894" s="115">
        <f>IF(ISBLANK('Event summary'!A894),"",'Event summary'!A894)</f>
        <v>894</v>
      </c>
      <c r="C894" s="115" t="str">
        <f>IF(ISBLANK('Event summary'!B894),"",'Event summary'!B894)</f>
        <v/>
      </c>
      <c r="D894" s="116" t="str">
        <f>IF(ISBLANK('Event summary'!C894),"",'Event summary'!C894)</f>
        <v/>
      </c>
      <c r="E894" s="116" t="str">
        <f>IF(ISBLANK('Event summary'!D894),"",'Event summary'!D894)</f>
        <v/>
      </c>
      <c r="F894" s="117" t="str">
        <f>IF(ISBLANK('Event summary'!E894),"",'Event summary'!E894)</f>
        <v/>
      </c>
    </row>
    <row r="895" spans="1:6" x14ac:dyDescent="0.2">
      <c r="A895" s="114" t="e">
        <f>IF(ISBLANK('Event summary'!#REF!),"",'Event summary'!#REF!)</f>
        <v>#REF!</v>
      </c>
      <c r="B895" s="115">
        <f>IF(ISBLANK('Event summary'!A895),"",'Event summary'!A895)</f>
        <v>895</v>
      </c>
      <c r="C895" s="115" t="str">
        <f>IF(ISBLANK('Event summary'!B895),"",'Event summary'!B895)</f>
        <v/>
      </c>
      <c r="D895" s="116" t="str">
        <f>IF(ISBLANK('Event summary'!C895),"",'Event summary'!C895)</f>
        <v/>
      </c>
      <c r="E895" s="116" t="str">
        <f>IF(ISBLANK('Event summary'!D895),"",'Event summary'!D895)</f>
        <v/>
      </c>
      <c r="F895" s="117" t="str">
        <f>IF(ISBLANK('Event summary'!E895),"",'Event summary'!E895)</f>
        <v/>
      </c>
    </row>
    <row r="896" spans="1:6" x14ac:dyDescent="0.2">
      <c r="A896" s="114" t="e">
        <f>IF(ISBLANK('Event summary'!#REF!),"",'Event summary'!#REF!)</f>
        <v>#REF!</v>
      </c>
      <c r="B896" s="115">
        <f>IF(ISBLANK('Event summary'!A896),"",'Event summary'!A896)</f>
        <v>896</v>
      </c>
      <c r="C896" s="115" t="str">
        <f>IF(ISBLANK('Event summary'!B896),"",'Event summary'!B896)</f>
        <v/>
      </c>
      <c r="D896" s="116" t="str">
        <f>IF(ISBLANK('Event summary'!C896),"",'Event summary'!C896)</f>
        <v/>
      </c>
      <c r="E896" s="116" t="str">
        <f>IF(ISBLANK('Event summary'!D896),"",'Event summary'!D896)</f>
        <v/>
      </c>
      <c r="F896" s="117" t="str">
        <f>IF(ISBLANK('Event summary'!E896),"",'Event summary'!E896)</f>
        <v/>
      </c>
    </row>
    <row r="897" spans="1:6" x14ac:dyDescent="0.2">
      <c r="A897" s="114" t="e">
        <f>IF(ISBLANK('Event summary'!#REF!),"",'Event summary'!#REF!)</f>
        <v>#REF!</v>
      </c>
      <c r="B897" s="115">
        <f>IF(ISBLANK('Event summary'!A897),"",'Event summary'!A897)</f>
        <v>897</v>
      </c>
      <c r="C897" s="115" t="str">
        <f>IF(ISBLANK('Event summary'!B897),"",'Event summary'!B897)</f>
        <v/>
      </c>
      <c r="D897" s="116" t="str">
        <f>IF(ISBLANK('Event summary'!C897),"",'Event summary'!C897)</f>
        <v/>
      </c>
      <c r="E897" s="116" t="str">
        <f>IF(ISBLANK('Event summary'!D897),"",'Event summary'!D897)</f>
        <v/>
      </c>
      <c r="F897" s="117" t="str">
        <f>IF(ISBLANK('Event summary'!E897),"",'Event summary'!E897)</f>
        <v/>
      </c>
    </row>
    <row r="898" spans="1:6" x14ac:dyDescent="0.2">
      <c r="A898" s="114" t="e">
        <f>IF(ISBLANK('Event summary'!#REF!),"",'Event summary'!#REF!)</f>
        <v>#REF!</v>
      </c>
      <c r="B898" s="115">
        <f>IF(ISBLANK('Event summary'!A898),"",'Event summary'!A898)</f>
        <v>898</v>
      </c>
      <c r="C898" s="115" t="str">
        <f>IF(ISBLANK('Event summary'!B898),"",'Event summary'!B898)</f>
        <v/>
      </c>
      <c r="D898" s="116" t="str">
        <f>IF(ISBLANK('Event summary'!C898),"",'Event summary'!C898)</f>
        <v/>
      </c>
      <c r="E898" s="116" t="str">
        <f>IF(ISBLANK('Event summary'!D898),"",'Event summary'!D898)</f>
        <v/>
      </c>
      <c r="F898" s="117" t="str">
        <f>IF(ISBLANK('Event summary'!E898),"",'Event summary'!E898)</f>
        <v/>
      </c>
    </row>
    <row r="899" spans="1:6" x14ac:dyDescent="0.2">
      <c r="A899" s="114" t="e">
        <f>IF(ISBLANK('Event summary'!#REF!),"",'Event summary'!#REF!)</f>
        <v>#REF!</v>
      </c>
      <c r="B899" s="115">
        <f>IF(ISBLANK('Event summary'!A899),"",'Event summary'!A899)</f>
        <v>899</v>
      </c>
      <c r="C899" s="115" t="str">
        <f>IF(ISBLANK('Event summary'!B899),"",'Event summary'!B899)</f>
        <v/>
      </c>
      <c r="D899" s="116" t="str">
        <f>IF(ISBLANK('Event summary'!C899),"",'Event summary'!C899)</f>
        <v/>
      </c>
      <c r="E899" s="116" t="str">
        <f>IF(ISBLANK('Event summary'!D899),"",'Event summary'!D899)</f>
        <v/>
      </c>
      <c r="F899" s="117" t="str">
        <f>IF(ISBLANK('Event summary'!E899),"",'Event summary'!E899)</f>
        <v/>
      </c>
    </row>
    <row r="900" spans="1:6" x14ac:dyDescent="0.2">
      <c r="A900" s="114" t="e">
        <f>IF(ISBLANK('Event summary'!#REF!),"",'Event summary'!#REF!)</f>
        <v>#REF!</v>
      </c>
      <c r="B900" s="115">
        <f>IF(ISBLANK('Event summary'!A900),"",'Event summary'!A900)</f>
        <v>900</v>
      </c>
      <c r="C900" s="115" t="str">
        <f>IF(ISBLANK('Event summary'!B900),"",'Event summary'!B900)</f>
        <v/>
      </c>
      <c r="D900" s="116" t="str">
        <f>IF(ISBLANK('Event summary'!C900),"",'Event summary'!C900)</f>
        <v/>
      </c>
      <c r="E900" s="116" t="str">
        <f>IF(ISBLANK('Event summary'!D900),"",'Event summary'!D900)</f>
        <v/>
      </c>
      <c r="F900" s="117" t="str">
        <f>IF(ISBLANK('Event summary'!E900),"",'Event summary'!E900)</f>
        <v/>
      </c>
    </row>
    <row r="901" spans="1:6" x14ac:dyDescent="0.2">
      <c r="A901" s="114" t="e">
        <f>IF(ISBLANK('Event summary'!#REF!),"",'Event summary'!#REF!)</f>
        <v>#REF!</v>
      </c>
      <c r="B901" s="115">
        <f>IF(ISBLANK('Event summary'!A901),"",'Event summary'!A901)</f>
        <v>901</v>
      </c>
      <c r="C901" s="115" t="str">
        <f>IF(ISBLANK('Event summary'!B901),"",'Event summary'!B901)</f>
        <v/>
      </c>
      <c r="D901" s="116" t="str">
        <f>IF(ISBLANK('Event summary'!C901),"",'Event summary'!C901)</f>
        <v/>
      </c>
      <c r="E901" s="116" t="str">
        <f>IF(ISBLANK('Event summary'!D901),"",'Event summary'!D901)</f>
        <v/>
      </c>
      <c r="F901" s="117" t="str">
        <f>IF(ISBLANK('Event summary'!E901),"",'Event summary'!E901)</f>
        <v/>
      </c>
    </row>
    <row r="902" spans="1:6" x14ac:dyDescent="0.2">
      <c r="A902" s="114" t="e">
        <f>IF(ISBLANK('Event summary'!#REF!),"",'Event summary'!#REF!)</f>
        <v>#REF!</v>
      </c>
      <c r="B902" s="115">
        <f>IF(ISBLANK('Event summary'!A902),"",'Event summary'!A902)</f>
        <v>902</v>
      </c>
      <c r="C902" s="115" t="str">
        <f>IF(ISBLANK('Event summary'!B902),"",'Event summary'!B902)</f>
        <v/>
      </c>
      <c r="D902" s="116" t="str">
        <f>IF(ISBLANK('Event summary'!C902),"",'Event summary'!C902)</f>
        <v/>
      </c>
      <c r="E902" s="116" t="str">
        <f>IF(ISBLANK('Event summary'!D902),"",'Event summary'!D902)</f>
        <v/>
      </c>
      <c r="F902" s="117" t="str">
        <f>IF(ISBLANK('Event summary'!E902),"",'Event summary'!E902)</f>
        <v/>
      </c>
    </row>
    <row r="903" spans="1:6" x14ac:dyDescent="0.2">
      <c r="A903" s="114" t="e">
        <f>IF(ISBLANK('Event summary'!#REF!),"",'Event summary'!#REF!)</f>
        <v>#REF!</v>
      </c>
      <c r="B903" s="115">
        <f>IF(ISBLANK('Event summary'!A903),"",'Event summary'!A903)</f>
        <v>903</v>
      </c>
      <c r="C903" s="115" t="str">
        <f>IF(ISBLANK('Event summary'!B903),"",'Event summary'!B903)</f>
        <v/>
      </c>
      <c r="D903" s="116" t="str">
        <f>IF(ISBLANK('Event summary'!C903),"",'Event summary'!C903)</f>
        <v/>
      </c>
      <c r="E903" s="116" t="str">
        <f>IF(ISBLANK('Event summary'!D903),"",'Event summary'!D903)</f>
        <v/>
      </c>
      <c r="F903" s="117" t="str">
        <f>IF(ISBLANK('Event summary'!E903),"",'Event summary'!E903)</f>
        <v/>
      </c>
    </row>
    <row r="904" spans="1:6" x14ac:dyDescent="0.2">
      <c r="A904" s="114" t="e">
        <f>IF(ISBLANK('Event summary'!#REF!),"",'Event summary'!#REF!)</f>
        <v>#REF!</v>
      </c>
      <c r="B904" s="115">
        <f>IF(ISBLANK('Event summary'!A904),"",'Event summary'!A904)</f>
        <v>904</v>
      </c>
      <c r="C904" s="115" t="str">
        <f>IF(ISBLANK('Event summary'!B904),"",'Event summary'!B904)</f>
        <v/>
      </c>
      <c r="D904" s="116" t="str">
        <f>IF(ISBLANK('Event summary'!C904),"",'Event summary'!C904)</f>
        <v/>
      </c>
      <c r="E904" s="116" t="str">
        <f>IF(ISBLANK('Event summary'!D904),"",'Event summary'!D904)</f>
        <v/>
      </c>
      <c r="F904" s="117" t="str">
        <f>IF(ISBLANK('Event summary'!E904),"",'Event summary'!E904)</f>
        <v/>
      </c>
    </row>
    <row r="905" spans="1:6" x14ac:dyDescent="0.2">
      <c r="A905" s="114" t="e">
        <f>IF(ISBLANK('Event summary'!#REF!),"",'Event summary'!#REF!)</f>
        <v>#REF!</v>
      </c>
      <c r="B905" s="115">
        <f>IF(ISBLANK('Event summary'!A905),"",'Event summary'!A905)</f>
        <v>905</v>
      </c>
      <c r="C905" s="115" t="str">
        <f>IF(ISBLANK('Event summary'!B905),"",'Event summary'!B905)</f>
        <v/>
      </c>
      <c r="D905" s="116" t="str">
        <f>IF(ISBLANK('Event summary'!C905),"",'Event summary'!C905)</f>
        <v/>
      </c>
      <c r="E905" s="116" t="str">
        <f>IF(ISBLANK('Event summary'!D905),"",'Event summary'!D905)</f>
        <v/>
      </c>
      <c r="F905" s="117" t="str">
        <f>IF(ISBLANK('Event summary'!E905),"",'Event summary'!E905)</f>
        <v/>
      </c>
    </row>
    <row r="906" spans="1:6" x14ac:dyDescent="0.2">
      <c r="A906" s="114" t="e">
        <f>IF(ISBLANK('Event summary'!#REF!),"",'Event summary'!#REF!)</f>
        <v>#REF!</v>
      </c>
      <c r="B906" s="115">
        <f>IF(ISBLANK('Event summary'!A906),"",'Event summary'!A906)</f>
        <v>906</v>
      </c>
      <c r="C906" s="115" t="str">
        <f>IF(ISBLANK('Event summary'!B906),"",'Event summary'!B906)</f>
        <v/>
      </c>
      <c r="D906" s="116" t="str">
        <f>IF(ISBLANK('Event summary'!C906),"",'Event summary'!C906)</f>
        <v/>
      </c>
      <c r="E906" s="116" t="str">
        <f>IF(ISBLANK('Event summary'!D906),"",'Event summary'!D906)</f>
        <v/>
      </c>
      <c r="F906" s="117" t="str">
        <f>IF(ISBLANK('Event summary'!E906),"",'Event summary'!E906)</f>
        <v/>
      </c>
    </row>
    <row r="907" spans="1:6" x14ac:dyDescent="0.2">
      <c r="A907" s="114" t="e">
        <f>IF(ISBLANK('Event summary'!#REF!),"",'Event summary'!#REF!)</f>
        <v>#REF!</v>
      </c>
      <c r="B907" s="115">
        <f>IF(ISBLANK('Event summary'!A907),"",'Event summary'!A907)</f>
        <v>907</v>
      </c>
      <c r="C907" s="115" t="str">
        <f>IF(ISBLANK('Event summary'!B907),"",'Event summary'!B907)</f>
        <v/>
      </c>
      <c r="D907" s="116" t="str">
        <f>IF(ISBLANK('Event summary'!C907),"",'Event summary'!C907)</f>
        <v/>
      </c>
      <c r="E907" s="116" t="str">
        <f>IF(ISBLANK('Event summary'!D907),"",'Event summary'!D907)</f>
        <v/>
      </c>
      <c r="F907" s="117" t="str">
        <f>IF(ISBLANK('Event summary'!E907),"",'Event summary'!E907)</f>
        <v/>
      </c>
    </row>
    <row r="908" spans="1:6" x14ac:dyDescent="0.2">
      <c r="A908" s="114" t="e">
        <f>IF(ISBLANK('Event summary'!#REF!),"",'Event summary'!#REF!)</f>
        <v>#REF!</v>
      </c>
      <c r="B908" s="115">
        <f>IF(ISBLANK('Event summary'!A908),"",'Event summary'!A908)</f>
        <v>908</v>
      </c>
      <c r="C908" s="115" t="str">
        <f>IF(ISBLANK('Event summary'!B908),"",'Event summary'!B908)</f>
        <v/>
      </c>
      <c r="D908" s="116" t="str">
        <f>IF(ISBLANK('Event summary'!C908),"",'Event summary'!C908)</f>
        <v/>
      </c>
      <c r="E908" s="116" t="str">
        <f>IF(ISBLANK('Event summary'!D908),"",'Event summary'!D908)</f>
        <v/>
      </c>
      <c r="F908" s="117" t="str">
        <f>IF(ISBLANK('Event summary'!E908),"",'Event summary'!E908)</f>
        <v/>
      </c>
    </row>
    <row r="909" spans="1:6" x14ac:dyDescent="0.2">
      <c r="A909" s="114" t="e">
        <f>IF(ISBLANK('Event summary'!#REF!),"",'Event summary'!#REF!)</f>
        <v>#REF!</v>
      </c>
      <c r="B909" s="115">
        <f>IF(ISBLANK('Event summary'!A909),"",'Event summary'!A909)</f>
        <v>909</v>
      </c>
      <c r="C909" s="115" t="str">
        <f>IF(ISBLANK('Event summary'!B909),"",'Event summary'!B909)</f>
        <v/>
      </c>
      <c r="D909" s="116" t="str">
        <f>IF(ISBLANK('Event summary'!C909),"",'Event summary'!C909)</f>
        <v/>
      </c>
      <c r="E909" s="116" t="str">
        <f>IF(ISBLANK('Event summary'!D909),"",'Event summary'!D909)</f>
        <v/>
      </c>
      <c r="F909" s="117" t="str">
        <f>IF(ISBLANK('Event summary'!E909),"",'Event summary'!E909)</f>
        <v/>
      </c>
    </row>
    <row r="910" spans="1:6" x14ac:dyDescent="0.2">
      <c r="A910" s="114" t="e">
        <f>IF(ISBLANK('Event summary'!#REF!),"",'Event summary'!#REF!)</f>
        <v>#REF!</v>
      </c>
      <c r="B910" s="115">
        <f>IF(ISBLANK('Event summary'!A910),"",'Event summary'!A910)</f>
        <v>910</v>
      </c>
      <c r="C910" s="115" t="str">
        <f>IF(ISBLANK('Event summary'!B910),"",'Event summary'!B910)</f>
        <v/>
      </c>
      <c r="D910" s="116" t="str">
        <f>IF(ISBLANK('Event summary'!C910),"",'Event summary'!C910)</f>
        <v/>
      </c>
      <c r="E910" s="116" t="str">
        <f>IF(ISBLANK('Event summary'!D910),"",'Event summary'!D910)</f>
        <v/>
      </c>
      <c r="F910" s="117" t="str">
        <f>IF(ISBLANK('Event summary'!E910),"",'Event summary'!E910)</f>
        <v/>
      </c>
    </row>
    <row r="911" spans="1:6" x14ac:dyDescent="0.2">
      <c r="A911" s="114" t="e">
        <f>IF(ISBLANK('Event summary'!#REF!),"",'Event summary'!#REF!)</f>
        <v>#REF!</v>
      </c>
      <c r="B911" s="115">
        <f>IF(ISBLANK('Event summary'!A911),"",'Event summary'!A911)</f>
        <v>911</v>
      </c>
      <c r="C911" s="115" t="str">
        <f>IF(ISBLANK('Event summary'!B911),"",'Event summary'!B911)</f>
        <v/>
      </c>
      <c r="D911" s="116" t="str">
        <f>IF(ISBLANK('Event summary'!C911),"",'Event summary'!C911)</f>
        <v/>
      </c>
      <c r="E911" s="116" t="str">
        <f>IF(ISBLANK('Event summary'!D911),"",'Event summary'!D911)</f>
        <v/>
      </c>
      <c r="F911" s="117" t="str">
        <f>IF(ISBLANK('Event summary'!E911),"",'Event summary'!E911)</f>
        <v/>
      </c>
    </row>
    <row r="912" spans="1:6" x14ac:dyDescent="0.2">
      <c r="A912" s="114" t="e">
        <f>IF(ISBLANK('Event summary'!#REF!),"",'Event summary'!#REF!)</f>
        <v>#REF!</v>
      </c>
      <c r="B912" s="115">
        <f>IF(ISBLANK('Event summary'!A912),"",'Event summary'!A912)</f>
        <v>912</v>
      </c>
      <c r="C912" s="115" t="str">
        <f>IF(ISBLANK('Event summary'!B912),"",'Event summary'!B912)</f>
        <v/>
      </c>
      <c r="D912" s="116" t="str">
        <f>IF(ISBLANK('Event summary'!C912),"",'Event summary'!C912)</f>
        <v/>
      </c>
      <c r="E912" s="116" t="str">
        <f>IF(ISBLANK('Event summary'!D912),"",'Event summary'!D912)</f>
        <v/>
      </c>
      <c r="F912" s="117" t="str">
        <f>IF(ISBLANK('Event summary'!E912),"",'Event summary'!E912)</f>
        <v/>
      </c>
    </row>
    <row r="913" spans="1:6" x14ac:dyDescent="0.2">
      <c r="A913" s="114" t="e">
        <f>IF(ISBLANK('Event summary'!#REF!),"",'Event summary'!#REF!)</f>
        <v>#REF!</v>
      </c>
      <c r="B913" s="115">
        <f>IF(ISBLANK('Event summary'!A913),"",'Event summary'!A913)</f>
        <v>913</v>
      </c>
      <c r="C913" s="115" t="str">
        <f>IF(ISBLANK('Event summary'!B913),"",'Event summary'!B913)</f>
        <v/>
      </c>
      <c r="D913" s="116" t="str">
        <f>IF(ISBLANK('Event summary'!C913),"",'Event summary'!C913)</f>
        <v/>
      </c>
      <c r="E913" s="116" t="str">
        <f>IF(ISBLANK('Event summary'!D913),"",'Event summary'!D913)</f>
        <v/>
      </c>
      <c r="F913" s="117" t="str">
        <f>IF(ISBLANK('Event summary'!E913),"",'Event summary'!E913)</f>
        <v/>
      </c>
    </row>
    <row r="914" spans="1:6" x14ac:dyDescent="0.2">
      <c r="A914" s="114" t="e">
        <f>IF(ISBLANK('Event summary'!#REF!),"",'Event summary'!#REF!)</f>
        <v>#REF!</v>
      </c>
      <c r="B914" s="115">
        <f>IF(ISBLANK('Event summary'!A914),"",'Event summary'!A914)</f>
        <v>914</v>
      </c>
      <c r="C914" s="115" t="str">
        <f>IF(ISBLANK('Event summary'!B914),"",'Event summary'!B914)</f>
        <v/>
      </c>
      <c r="D914" s="116" t="str">
        <f>IF(ISBLANK('Event summary'!C914),"",'Event summary'!C914)</f>
        <v/>
      </c>
      <c r="E914" s="116" t="str">
        <f>IF(ISBLANK('Event summary'!D914),"",'Event summary'!D914)</f>
        <v/>
      </c>
      <c r="F914" s="117" t="str">
        <f>IF(ISBLANK('Event summary'!E914),"",'Event summary'!E914)</f>
        <v/>
      </c>
    </row>
    <row r="915" spans="1:6" x14ac:dyDescent="0.2">
      <c r="A915" s="114" t="e">
        <f>IF(ISBLANK('Event summary'!#REF!),"",'Event summary'!#REF!)</f>
        <v>#REF!</v>
      </c>
      <c r="B915" s="115">
        <f>IF(ISBLANK('Event summary'!A915),"",'Event summary'!A915)</f>
        <v>915</v>
      </c>
      <c r="C915" s="115" t="str">
        <f>IF(ISBLANK('Event summary'!B915),"",'Event summary'!B915)</f>
        <v/>
      </c>
      <c r="D915" s="116" t="str">
        <f>IF(ISBLANK('Event summary'!C915),"",'Event summary'!C915)</f>
        <v/>
      </c>
      <c r="E915" s="116" t="str">
        <f>IF(ISBLANK('Event summary'!D915),"",'Event summary'!D915)</f>
        <v/>
      </c>
      <c r="F915" s="117" t="str">
        <f>IF(ISBLANK('Event summary'!E915),"",'Event summary'!E915)</f>
        <v/>
      </c>
    </row>
    <row r="916" spans="1:6" x14ac:dyDescent="0.2">
      <c r="A916" s="114" t="e">
        <f>IF(ISBLANK('Event summary'!#REF!),"",'Event summary'!#REF!)</f>
        <v>#REF!</v>
      </c>
      <c r="B916" s="115">
        <f>IF(ISBLANK('Event summary'!A916),"",'Event summary'!A916)</f>
        <v>916</v>
      </c>
      <c r="C916" s="115" t="str">
        <f>IF(ISBLANK('Event summary'!B916),"",'Event summary'!B916)</f>
        <v/>
      </c>
      <c r="D916" s="116" t="str">
        <f>IF(ISBLANK('Event summary'!C916),"",'Event summary'!C916)</f>
        <v/>
      </c>
      <c r="E916" s="116" t="str">
        <f>IF(ISBLANK('Event summary'!D916),"",'Event summary'!D916)</f>
        <v/>
      </c>
      <c r="F916" s="117" t="str">
        <f>IF(ISBLANK('Event summary'!E916),"",'Event summary'!E916)</f>
        <v/>
      </c>
    </row>
    <row r="917" spans="1:6" x14ac:dyDescent="0.2">
      <c r="A917" s="114" t="e">
        <f>IF(ISBLANK('Event summary'!#REF!),"",'Event summary'!#REF!)</f>
        <v>#REF!</v>
      </c>
      <c r="B917" s="115">
        <f>IF(ISBLANK('Event summary'!A917),"",'Event summary'!A917)</f>
        <v>917</v>
      </c>
      <c r="C917" s="115" t="str">
        <f>IF(ISBLANK('Event summary'!B917),"",'Event summary'!B917)</f>
        <v/>
      </c>
      <c r="D917" s="116" t="str">
        <f>IF(ISBLANK('Event summary'!C917),"",'Event summary'!C917)</f>
        <v/>
      </c>
      <c r="E917" s="116" t="str">
        <f>IF(ISBLANK('Event summary'!D917),"",'Event summary'!D917)</f>
        <v/>
      </c>
      <c r="F917" s="117" t="str">
        <f>IF(ISBLANK('Event summary'!E917),"",'Event summary'!E917)</f>
        <v/>
      </c>
    </row>
    <row r="918" spans="1:6" x14ac:dyDescent="0.2">
      <c r="A918" s="114" t="e">
        <f>IF(ISBLANK('Event summary'!#REF!),"",'Event summary'!#REF!)</f>
        <v>#REF!</v>
      </c>
      <c r="B918" s="115">
        <f>IF(ISBLANK('Event summary'!A918),"",'Event summary'!A918)</f>
        <v>918</v>
      </c>
      <c r="C918" s="115" t="str">
        <f>IF(ISBLANK('Event summary'!B918),"",'Event summary'!B918)</f>
        <v/>
      </c>
      <c r="D918" s="116" t="str">
        <f>IF(ISBLANK('Event summary'!C918),"",'Event summary'!C918)</f>
        <v/>
      </c>
      <c r="E918" s="116" t="str">
        <f>IF(ISBLANK('Event summary'!D918),"",'Event summary'!D918)</f>
        <v/>
      </c>
      <c r="F918" s="117" t="str">
        <f>IF(ISBLANK('Event summary'!E918),"",'Event summary'!E918)</f>
        <v/>
      </c>
    </row>
    <row r="919" spans="1:6" x14ac:dyDescent="0.2">
      <c r="A919" s="114" t="e">
        <f>IF(ISBLANK('Event summary'!#REF!),"",'Event summary'!#REF!)</f>
        <v>#REF!</v>
      </c>
      <c r="B919" s="115">
        <f>IF(ISBLANK('Event summary'!A919),"",'Event summary'!A919)</f>
        <v>919</v>
      </c>
      <c r="C919" s="115" t="str">
        <f>IF(ISBLANK('Event summary'!B919),"",'Event summary'!B919)</f>
        <v/>
      </c>
      <c r="D919" s="116" t="str">
        <f>IF(ISBLANK('Event summary'!C919),"",'Event summary'!C919)</f>
        <v/>
      </c>
      <c r="E919" s="116" t="str">
        <f>IF(ISBLANK('Event summary'!D919),"",'Event summary'!D919)</f>
        <v/>
      </c>
      <c r="F919" s="117" t="str">
        <f>IF(ISBLANK('Event summary'!E919),"",'Event summary'!E919)</f>
        <v/>
      </c>
    </row>
    <row r="920" spans="1:6" x14ac:dyDescent="0.2">
      <c r="A920" s="114" t="e">
        <f>IF(ISBLANK('Event summary'!#REF!),"",'Event summary'!#REF!)</f>
        <v>#REF!</v>
      </c>
      <c r="B920" s="115">
        <f>IF(ISBLANK('Event summary'!A920),"",'Event summary'!A920)</f>
        <v>920</v>
      </c>
      <c r="C920" s="115" t="str">
        <f>IF(ISBLANK('Event summary'!B920),"",'Event summary'!B920)</f>
        <v/>
      </c>
      <c r="D920" s="116" t="str">
        <f>IF(ISBLANK('Event summary'!C920),"",'Event summary'!C920)</f>
        <v/>
      </c>
      <c r="E920" s="116" t="str">
        <f>IF(ISBLANK('Event summary'!D920),"",'Event summary'!D920)</f>
        <v/>
      </c>
      <c r="F920" s="117" t="str">
        <f>IF(ISBLANK('Event summary'!E920),"",'Event summary'!E920)</f>
        <v/>
      </c>
    </row>
    <row r="921" spans="1:6" x14ac:dyDescent="0.2">
      <c r="A921" s="114" t="e">
        <f>IF(ISBLANK('Event summary'!#REF!),"",'Event summary'!#REF!)</f>
        <v>#REF!</v>
      </c>
      <c r="B921" s="115">
        <f>IF(ISBLANK('Event summary'!A921),"",'Event summary'!A921)</f>
        <v>921</v>
      </c>
      <c r="C921" s="115" t="str">
        <f>IF(ISBLANK('Event summary'!B921),"",'Event summary'!B921)</f>
        <v/>
      </c>
      <c r="D921" s="116" t="str">
        <f>IF(ISBLANK('Event summary'!C921),"",'Event summary'!C921)</f>
        <v/>
      </c>
      <c r="E921" s="116" t="str">
        <f>IF(ISBLANK('Event summary'!D921),"",'Event summary'!D921)</f>
        <v/>
      </c>
      <c r="F921" s="117" t="str">
        <f>IF(ISBLANK('Event summary'!E921),"",'Event summary'!E921)</f>
        <v/>
      </c>
    </row>
    <row r="922" spans="1:6" x14ac:dyDescent="0.2">
      <c r="A922" s="114" t="e">
        <f>IF(ISBLANK('Event summary'!#REF!),"",'Event summary'!#REF!)</f>
        <v>#REF!</v>
      </c>
      <c r="B922" s="115">
        <f>IF(ISBLANK('Event summary'!A922),"",'Event summary'!A922)</f>
        <v>922</v>
      </c>
      <c r="C922" s="115" t="str">
        <f>IF(ISBLANK('Event summary'!B922),"",'Event summary'!B922)</f>
        <v/>
      </c>
      <c r="D922" s="116" t="str">
        <f>IF(ISBLANK('Event summary'!C922),"",'Event summary'!C922)</f>
        <v/>
      </c>
      <c r="E922" s="116" t="str">
        <f>IF(ISBLANK('Event summary'!D922),"",'Event summary'!D922)</f>
        <v/>
      </c>
      <c r="F922" s="117" t="str">
        <f>IF(ISBLANK('Event summary'!E922),"",'Event summary'!E922)</f>
        <v/>
      </c>
    </row>
    <row r="923" spans="1:6" x14ac:dyDescent="0.2">
      <c r="A923" s="114" t="e">
        <f>IF(ISBLANK('Event summary'!#REF!),"",'Event summary'!#REF!)</f>
        <v>#REF!</v>
      </c>
      <c r="B923" s="115">
        <f>IF(ISBLANK('Event summary'!A923),"",'Event summary'!A923)</f>
        <v>923</v>
      </c>
      <c r="C923" s="115" t="str">
        <f>IF(ISBLANK('Event summary'!B923),"",'Event summary'!B923)</f>
        <v/>
      </c>
      <c r="D923" s="116" t="str">
        <f>IF(ISBLANK('Event summary'!C923),"",'Event summary'!C923)</f>
        <v/>
      </c>
      <c r="E923" s="116" t="str">
        <f>IF(ISBLANK('Event summary'!D923),"",'Event summary'!D923)</f>
        <v/>
      </c>
      <c r="F923" s="117" t="str">
        <f>IF(ISBLANK('Event summary'!E923),"",'Event summary'!E923)</f>
        <v/>
      </c>
    </row>
    <row r="924" spans="1:6" x14ac:dyDescent="0.2">
      <c r="A924" s="114" t="e">
        <f>IF(ISBLANK('Event summary'!#REF!),"",'Event summary'!#REF!)</f>
        <v>#REF!</v>
      </c>
      <c r="B924" s="115">
        <f>IF(ISBLANK('Event summary'!A924),"",'Event summary'!A924)</f>
        <v>924</v>
      </c>
      <c r="C924" s="115" t="str">
        <f>IF(ISBLANK('Event summary'!B924),"",'Event summary'!B924)</f>
        <v/>
      </c>
      <c r="D924" s="116" t="str">
        <f>IF(ISBLANK('Event summary'!C924),"",'Event summary'!C924)</f>
        <v/>
      </c>
      <c r="E924" s="116" t="str">
        <f>IF(ISBLANK('Event summary'!D924),"",'Event summary'!D924)</f>
        <v/>
      </c>
      <c r="F924" s="117" t="str">
        <f>IF(ISBLANK('Event summary'!E924),"",'Event summary'!E924)</f>
        <v/>
      </c>
    </row>
    <row r="925" spans="1:6" x14ac:dyDescent="0.2">
      <c r="A925" s="114" t="e">
        <f>IF(ISBLANK('Event summary'!#REF!),"",'Event summary'!#REF!)</f>
        <v>#REF!</v>
      </c>
      <c r="B925" s="115">
        <f>IF(ISBLANK('Event summary'!A925),"",'Event summary'!A925)</f>
        <v>925</v>
      </c>
      <c r="C925" s="115" t="str">
        <f>IF(ISBLANK('Event summary'!B925),"",'Event summary'!B925)</f>
        <v/>
      </c>
      <c r="D925" s="116" t="str">
        <f>IF(ISBLANK('Event summary'!C925),"",'Event summary'!C925)</f>
        <v/>
      </c>
      <c r="E925" s="116" t="str">
        <f>IF(ISBLANK('Event summary'!D925),"",'Event summary'!D925)</f>
        <v/>
      </c>
      <c r="F925" s="117" t="str">
        <f>IF(ISBLANK('Event summary'!E925),"",'Event summary'!E925)</f>
        <v/>
      </c>
    </row>
    <row r="926" spans="1:6" x14ac:dyDescent="0.2">
      <c r="A926" s="114" t="e">
        <f>IF(ISBLANK('Event summary'!#REF!),"",'Event summary'!#REF!)</f>
        <v>#REF!</v>
      </c>
      <c r="B926" s="115">
        <f>IF(ISBLANK('Event summary'!A926),"",'Event summary'!A926)</f>
        <v>926</v>
      </c>
      <c r="C926" s="115" t="str">
        <f>IF(ISBLANK('Event summary'!B926),"",'Event summary'!B926)</f>
        <v/>
      </c>
      <c r="D926" s="116" t="str">
        <f>IF(ISBLANK('Event summary'!C926),"",'Event summary'!C926)</f>
        <v/>
      </c>
      <c r="E926" s="116" t="str">
        <f>IF(ISBLANK('Event summary'!D926),"",'Event summary'!D926)</f>
        <v/>
      </c>
      <c r="F926" s="117" t="str">
        <f>IF(ISBLANK('Event summary'!E926),"",'Event summary'!E926)</f>
        <v/>
      </c>
    </row>
    <row r="927" spans="1:6" x14ac:dyDescent="0.2">
      <c r="A927" s="114" t="e">
        <f>IF(ISBLANK('Event summary'!#REF!),"",'Event summary'!#REF!)</f>
        <v>#REF!</v>
      </c>
      <c r="B927" s="115">
        <f>IF(ISBLANK('Event summary'!A927),"",'Event summary'!A927)</f>
        <v>927</v>
      </c>
      <c r="C927" s="115" t="str">
        <f>IF(ISBLANK('Event summary'!B927),"",'Event summary'!B927)</f>
        <v/>
      </c>
      <c r="D927" s="116" t="str">
        <f>IF(ISBLANK('Event summary'!C927),"",'Event summary'!C927)</f>
        <v/>
      </c>
      <c r="E927" s="116" t="str">
        <f>IF(ISBLANK('Event summary'!D927),"",'Event summary'!D927)</f>
        <v/>
      </c>
      <c r="F927" s="117" t="str">
        <f>IF(ISBLANK('Event summary'!E927),"",'Event summary'!E927)</f>
        <v/>
      </c>
    </row>
    <row r="928" spans="1:6" x14ac:dyDescent="0.2">
      <c r="A928" s="114" t="e">
        <f>IF(ISBLANK('Event summary'!#REF!),"",'Event summary'!#REF!)</f>
        <v>#REF!</v>
      </c>
      <c r="B928" s="115">
        <f>IF(ISBLANK('Event summary'!A928),"",'Event summary'!A928)</f>
        <v>928</v>
      </c>
      <c r="C928" s="115" t="str">
        <f>IF(ISBLANK('Event summary'!B928),"",'Event summary'!B928)</f>
        <v/>
      </c>
      <c r="D928" s="116" t="str">
        <f>IF(ISBLANK('Event summary'!C928),"",'Event summary'!C928)</f>
        <v/>
      </c>
      <c r="E928" s="116" t="str">
        <f>IF(ISBLANK('Event summary'!D928),"",'Event summary'!D928)</f>
        <v/>
      </c>
      <c r="F928" s="117" t="str">
        <f>IF(ISBLANK('Event summary'!E928),"",'Event summary'!E928)</f>
        <v/>
      </c>
    </row>
    <row r="929" spans="1:6" x14ac:dyDescent="0.2">
      <c r="A929" s="114" t="e">
        <f>IF(ISBLANK('Event summary'!#REF!),"",'Event summary'!#REF!)</f>
        <v>#REF!</v>
      </c>
      <c r="B929" s="115">
        <f>IF(ISBLANK('Event summary'!A929),"",'Event summary'!A929)</f>
        <v>929</v>
      </c>
      <c r="C929" s="115" t="str">
        <f>IF(ISBLANK('Event summary'!B929),"",'Event summary'!B929)</f>
        <v/>
      </c>
      <c r="D929" s="116" t="str">
        <f>IF(ISBLANK('Event summary'!C929),"",'Event summary'!C929)</f>
        <v/>
      </c>
      <c r="E929" s="116" t="str">
        <f>IF(ISBLANK('Event summary'!D929),"",'Event summary'!D929)</f>
        <v/>
      </c>
      <c r="F929" s="117" t="str">
        <f>IF(ISBLANK('Event summary'!E929),"",'Event summary'!E929)</f>
        <v/>
      </c>
    </row>
    <row r="930" spans="1:6" x14ac:dyDescent="0.2">
      <c r="A930" s="114" t="e">
        <f>IF(ISBLANK('Event summary'!#REF!),"",'Event summary'!#REF!)</f>
        <v>#REF!</v>
      </c>
      <c r="B930" s="115">
        <f>IF(ISBLANK('Event summary'!A930),"",'Event summary'!A930)</f>
        <v>930</v>
      </c>
      <c r="C930" s="115" t="str">
        <f>IF(ISBLANK('Event summary'!B930),"",'Event summary'!B930)</f>
        <v/>
      </c>
      <c r="D930" s="116" t="str">
        <f>IF(ISBLANK('Event summary'!C930),"",'Event summary'!C930)</f>
        <v/>
      </c>
      <c r="E930" s="116" t="str">
        <f>IF(ISBLANK('Event summary'!D930),"",'Event summary'!D930)</f>
        <v/>
      </c>
      <c r="F930" s="117" t="str">
        <f>IF(ISBLANK('Event summary'!E930),"",'Event summary'!E930)</f>
        <v/>
      </c>
    </row>
    <row r="931" spans="1:6" x14ac:dyDescent="0.2">
      <c r="A931" s="114" t="e">
        <f>IF(ISBLANK('Event summary'!#REF!),"",'Event summary'!#REF!)</f>
        <v>#REF!</v>
      </c>
      <c r="B931" s="115">
        <f>IF(ISBLANK('Event summary'!A931),"",'Event summary'!A931)</f>
        <v>931</v>
      </c>
      <c r="C931" s="115" t="str">
        <f>IF(ISBLANK('Event summary'!B931),"",'Event summary'!B931)</f>
        <v/>
      </c>
      <c r="D931" s="116" t="str">
        <f>IF(ISBLANK('Event summary'!C931),"",'Event summary'!C931)</f>
        <v/>
      </c>
      <c r="E931" s="116" t="str">
        <f>IF(ISBLANK('Event summary'!D931),"",'Event summary'!D931)</f>
        <v/>
      </c>
      <c r="F931" s="117" t="str">
        <f>IF(ISBLANK('Event summary'!E931),"",'Event summary'!E931)</f>
        <v/>
      </c>
    </row>
    <row r="932" spans="1:6" x14ac:dyDescent="0.2">
      <c r="A932" s="114" t="e">
        <f>IF(ISBLANK('Event summary'!#REF!),"",'Event summary'!#REF!)</f>
        <v>#REF!</v>
      </c>
      <c r="B932" s="115">
        <f>IF(ISBLANK('Event summary'!A932),"",'Event summary'!A932)</f>
        <v>932</v>
      </c>
      <c r="C932" s="115" t="str">
        <f>IF(ISBLANK('Event summary'!B932),"",'Event summary'!B932)</f>
        <v/>
      </c>
      <c r="D932" s="116" t="str">
        <f>IF(ISBLANK('Event summary'!C932),"",'Event summary'!C932)</f>
        <v/>
      </c>
      <c r="E932" s="116" t="str">
        <f>IF(ISBLANK('Event summary'!D932),"",'Event summary'!D932)</f>
        <v/>
      </c>
      <c r="F932" s="117" t="str">
        <f>IF(ISBLANK('Event summary'!E932),"",'Event summary'!E932)</f>
        <v/>
      </c>
    </row>
    <row r="933" spans="1:6" x14ac:dyDescent="0.2">
      <c r="A933" s="114" t="e">
        <f>IF(ISBLANK('Event summary'!#REF!),"",'Event summary'!#REF!)</f>
        <v>#REF!</v>
      </c>
      <c r="B933" s="115">
        <f>IF(ISBLANK('Event summary'!A933),"",'Event summary'!A933)</f>
        <v>933</v>
      </c>
      <c r="C933" s="115" t="str">
        <f>IF(ISBLANK('Event summary'!B933),"",'Event summary'!B933)</f>
        <v/>
      </c>
      <c r="D933" s="116" t="str">
        <f>IF(ISBLANK('Event summary'!C933),"",'Event summary'!C933)</f>
        <v/>
      </c>
      <c r="E933" s="116" t="str">
        <f>IF(ISBLANK('Event summary'!D933),"",'Event summary'!D933)</f>
        <v/>
      </c>
      <c r="F933" s="117" t="str">
        <f>IF(ISBLANK('Event summary'!E933),"",'Event summary'!E933)</f>
        <v/>
      </c>
    </row>
    <row r="934" spans="1:6" x14ac:dyDescent="0.2">
      <c r="A934" s="114" t="e">
        <f>IF(ISBLANK('Event summary'!#REF!),"",'Event summary'!#REF!)</f>
        <v>#REF!</v>
      </c>
      <c r="B934" s="115">
        <f>IF(ISBLANK('Event summary'!A934),"",'Event summary'!A934)</f>
        <v>934</v>
      </c>
      <c r="C934" s="115" t="str">
        <f>IF(ISBLANK('Event summary'!B934),"",'Event summary'!B934)</f>
        <v/>
      </c>
      <c r="D934" s="116" t="str">
        <f>IF(ISBLANK('Event summary'!C934),"",'Event summary'!C934)</f>
        <v/>
      </c>
      <c r="E934" s="116" t="str">
        <f>IF(ISBLANK('Event summary'!D934),"",'Event summary'!D934)</f>
        <v/>
      </c>
      <c r="F934" s="117" t="str">
        <f>IF(ISBLANK('Event summary'!E934),"",'Event summary'!E934)</f>
        <v/>
      </c>
    </row>
    <row r="935" spans="1:6" x14ac:dyDescent="0.2">
      <c r="A935" s="114" t="e">
        <f>IF(ISBLANK('Event summary'!#REF!),"",'Event summary'!#REF!)</f>
        <v>#REF!</v>
      </c>
      <c r="B935" s="115">
        <f>IF(ISBLANK('Event summary'!A935),"",'Event summary'!A935)</f>
        <v>935</v>
      </c>
      <c r="C935" s="115" t="str">
        <f>IF(ISBLANK('Event summary'!B935),"",'Event summary'!B935)</f>
        <v/>
      </c>
      <c r="D935" s="116" t="str">
        <f>IF(ISBLANK('Event summary'!C935),"",'Event summary'!C935)</f>
        <v/>
      </c>
      <c r="E935" s="116" t="str">
        <f>IF(ISBLANK('Event summary'!D935),"",'Event summary'!D935)</f>
        <v/>
      </c>
      <c r="F935" s="117" t="str">
        <f>IF(ISBLANK('Event summary'!E935),"",'Event summary'!E935)</f>
        <v/>
      </c>
    </row>
    <row r="936" spans="1:6" x14ac:dyDescent="0.2">
      <c r="A936" s="114" t="e">
        <f>IF(ISBLANK('Event summary'!#REF!),"",'Event summary'!#REF!)</f>
        <v>#REF!</v>
      </c>
      <c r="B936" s="115">
        <f>IF(ISBLANK('Event summary'!A936),"",'Event summary'!A936)</f>
        <v>936</v>
      </c>
      <c r="C936" s="115" t="str">
        <f>IF(ISBLANK('Event summary'!B936),"",'Event summary'!B936)</f>
        <v/>
      </c>
      <c r="D936" s="116" t="str">
        <f>IF(ISBLANK('Event summary'!C936),"",'Event summary'!C936)</f>
        <v/>
      </c>
      <c r="E936" s="116" t="str">
        <f>IF(ISBLANK('Event summary'!D936),"",'Event summary'!D936)</f>
        <v/>
      </c>
      <c r="F936" s="117" t="str">
        <f>IF(ISBLANK('Event summary'!E936),"",'Event summary'!E936)</f>
        <v/>
      </c>
    </row>
    <row r="937" spans="1:6" x14ac:dyDescent="0.2">
      <c r="A937" s="114" t="e">
        <f>IF(ISBLANK('Event summary'!#REF!),"",'Event summary'!#REF!)</f>
        <v>#REF!</v>
      </c>
      <c r="B937" s="115">
        <f>IF(ISBLANK('Event summary'!A937),"",'Event summary'!A937)</f>
        <v>937</v>
      </c>
      <c r="C937" s="115" t="str">
        <f>IF(ISBLANK('Event summary'!B937),"",'Event summary'!B937)</f>
        <v/>
      </c>
      <c r="D937" s="116" t="str">
        <f>IF(ISBLANK('Event summary'!C937),"",'Event summary'!C937)</f>
        <v/>
      </c>
      <c r="E937" s="116" t="str">
        <f>IF(ISBLANK('Event summary'!D937),"",'Event summary'!D937)</f>
        <v/>
      </c>
      <c r="F937" s="117" t="str">
        <f>IF(ISBLANK('Event summary'!E937),"",'Event summary'!E937)</f>
        <v/>
      </c>
    </row>
    <row r="938" spans="1:6" x14ac:dyDescent="0.2">
      <c r="A938" s="114" t="e">
        <f>IF(ISBLANK('Event summary'!#REF!),"",'Event summary'!#REF!)</f>
        <v>#REF!</v>
      </c>
      <c r="B938" s="115">
        <f>IF(ISBLANK('Event summary'!A938),"",'Event summary'!A938)</f>
        <v>938</v>
      </c>
      <c r="C938" s="115" t="str">
        <f>IF(ISBLANK('Event summary'!B938),"",'Event summary'!B938)</f>
        <v/>
      </c>
      <c r="D938" s="116" t="str">
        <f>IF(ISBLANK('Event summary'!C938),"",'Event summary'!C938)</f>
        <v/>
      </c>
      <c r="E938" s="116" t="str">
        <f>IF(ISBLANK('Event summary'!D938),"",'Event summary'!D938)</f>
        <v/>
      </c>
      <c r="F938" s="117" t="str">
        <f>IF(ISBLANK('Event summary'!E938),"",'Event summary'!E938)</f>
        <v/>
      </c>
    </row>
    <row r="939" spans="1:6" x14ac:dyDescent="0.2">
      <c r="A939" s="114" t="e">
        <f>IF(ISBLANK('Event summary'!#REF!),"",'Event summary'!#REF!)</f>
        <v>#REF!</v>
      </c>
      <c r="B939" s="115">
        <f>IF(ISBLANK('Event summary'!A939),"",'Event summary'!A939)</f>
        <v>939</v>
      </c>
      <c r="C939" s="115" t="str">
        <f>IF(ISBLANK('Event summary'!B939),"",'Event summary'!B939)</f>
        <v/>
      </c>
      <c r="D939" s="116" t="str">
        <f>IF(ISBLANK('Event summary'!C939),"",'Event summary'!C939)</f>
        <v/>
      </c>
      <c r="E939" s="116" t="str">
        <f>IF(ISBLANK('Event summary'!D939),"",'Event summary'!D939)</f>
        <v/>
      </c>
      <c r="F939" s="117" t="str">
        <f>IF(ISBLANK('Event summary'!E939),"",'Event summary'!E939)</f>
        <v/>
      </c>
    </row>
    <row r="940" spans="1:6" x14ac:dyDescent="0.2">
      <c r="A940" s="114" t="e">
        <f>IF(ISBLANK('Event summary'!#REF!),"",'Event summary'!#REF!)</f>
        <v>#REF!</v>
      </c>
      <c r="B940" s="115">
        <f>IF(ISBLANK('Event summary'!A940),"",'Event summary'!A940)</f>
        <v>940</v>
      </c>
      <c r="C940" s="115" t="str">
        <f>IF(ISBLANK('Event summary'!B940),"",'Event summary'!B940)</f>
        <v/>
      </c>
      <c r="D940" s="116" t="str">
        <f>IF(ISBLANK('Event summary'!C940),"",'Event summary'!C940)</f>
        <v/>
      </c>
      <c r="E940" s="116" t="str">
        <f>IF(ISBLANK('Event summary'!D940),"",'Event summary'!D940)</f>
        <v/>
      </c>
      <c r="F940" s="117" t="str">
        <f>IF(ISBLANK('Event summary'!E940),"",'Event summary'!E940)</f>
        <v/>
      </c>
    </row>
    <row r="941" spans="1:6" x14ac:dyDescent="0.2">
      <c r="A941" s="114" t="e">
        <f>IF(ISBLANK('Event summary'!#REF!),"",'Event summary'!#REF!)</f>
        <v>#REF!</v>
      </c>
      <c r="B941" s="115">
        <f>IF(ISBLANK('Event summary'!A941),"",'Event summary'!A941)</f>
        <v>941</v>
      </c>
      <c r="C941" s="115" t="str">
        <f>IF(ISBLANK('Event summary'!B941),"",'Event summary'!B941)</f>
        <v/>
      </c>
      <c r="D941" s="116" t="str">
        <f>IF(ISBLANK('Event summary'!C941),"",'Event summary'!C941)</f>
        <v/>
      </c>
      <c r="E941" s="116" t="str">
        <f>IF(ISBLANK('Event summary'!D941),"",'Event summary'!D941)</f>
        <v/>
      </c>
      <c r="F941" s="117" t="str">
        <f>IF(ISBLANK('Event summary'!E941),"",'Event summary'!E941)</f>
        <v/>
      </c>
    </row>
    <row r="942" spans="1:6" x14ac:dyDescent="0.2">
      <c r="A942" s="114" t="e">
        <f>IF(ISBLANK('Event summary'!#REF!),"",'Event summary'!#REF!)</f>
        <v>#REF!</v>
      </c>
      <c r="B942" s="115">
        <f>IF(ISBLANK('Event summary'!A942),"",'Event summary'!A942)</f>
        <v>942</v>
      </c>
      <c r="C942" s="115" t="str">
        <f>IF(ISBLANK('Event summary'!B942),"",'Event summary'!B942)</f>
        <v/>
      </c>
      <c r="D942" s="116" t="str">
        <f>IF(ISBLANK('Event summary'!C942),"",'Event summary'!C942)</f>
        <v/>
      </c>
      <c r="E942" s="116" t="str">
        <f>IF(ISBLANK('Event summary'!D942),"",'Event summary'!D942)</f>
        <v/>
      </c>
      <c r="F942" s="117" t="str">
        <f>IF(ISBLANK('Event summary'!E942),"",'Event summary'!E942)</f>
        <v/>
      </c>
    </row>
    <row r="943" spans="1:6" x14ac:dyDescent="0.2">
      <c r="A943" s="114" t="e">
        <f>IF(ISBLANK('Event summary'!#REF!),"",'Event summary'!#REF!)</f>
        <v>#REF!</v>
      </c>
      <c r="B943" s="115">
        <f>IF(ISBLANK('Event summary'!A943),"",'Event summary'!A943)</f>
        <v>943</v>
      </c>
      <c r="C943" s="115" t="str">
        <f>IF(ISBLANK('Event summary'!B943),"",'Event summary'!B943)</f>
        <v/>
      </c>
      <c r="D943" s="116" t="str">
        <f>IF(ISBLANK('Event summary'!C943),"",'Event summary'!C943)</f>
        <v/>
      </c>
      <c r="E943" s="116" t="str">
        <f>IF(ISBLANK('Event summary'!D943),"",'Event summary'!D943)</f>
        <v/>
      </c>
      <c r="F943" s="117" t="str">
        <f>IF(ISBLANK('Event summary'!E943),"",'Event summary'!E943)</f>
        <v/>
      </c>
    </row>
    <row r="944" spans="1:6" x14ac:dyDescent="0.2">
      <c r="A944" s="114" t="e">
        <f>IF(ISBLANK('Event summary'!#REF!),"",'Event summary'!#REF!)</f>
        <v>#REF!</v>
      </c>
      <c r="B944" s="115">
        <f>IF(ISBLANK('Event summary'!A944),"",'Event summary'!A944)</f>
        <v>944</v>
      </c>
      <c r="C944" s="115" t="str">
        <f>IF(ISBLANK('Event summary'!B944),"",'Event summary'!B944)</f>
        <v/>
      </c>
      <c r="D944" s="116" t="str">
        <f>IF(ISBLANK('Event summary'!C944),"",'Event summary'!C944)</f>
        <v/>
      </c>
      <c r="E944" s="116" t="str">
        <f>IF(ISBLANK('Event summary'!D944),"",'Event summary'!D944)</f>
        <v/>
      </c>
      <c r="F944" s="117" t="str">
        <f>IF(ISBLANK('Event summary'!E944),"",'Event summary'!E944)</f>
        <v/>
      </c>
    </row>
    <row r="945" spans="1:6" x14ac:dyDescent="0.2">
      <c r="A945" s="114" t="e">
        <f>IF(ISBLANK('Event summary'!#REF!),"",'Event summary'!#REF!)</f>
        <v>#REF!</v>
      </c>
      <c r="B945" s="115">
        <f>IF(ISBLANK('Event summary'!A945),"",'Event summary'!A945)</f>
        <v>945</v>
      </c>
      <c r="C945" s="115" t="str">
        <f>IF(ISBLANK('Event summary'!B945),"",'Event summary'!B945)</f>
        <v/>
      </c>
      <c r="D945" s="116" t="str">
        <f>IF(ISBLANK('Event summary'!C945),"",'Event summary'!C945)</f>
        <v/>
      </c>
      <c r="E945" s="116" t="str">
        <f>IF(ISBLANK('Event summary'!D945),"",'Event summary'!D945)</f>
        <v/>
      </c>
      <c r="F945" s="117" t="str">
        <f>IF(ISBLANK('Event summary'!E945),"",'Event summary'!E945)</f>
        <v/>
      </c>
    </row>
    <row r="946" spans="1:6" x14ac:dyDescent="0.2">
      <c r="A946" s="114" t="e">
        <f>IF(ISBLANK('Event summary'!#REF!),"",'Event summary'!#REF!)</f>
        <v>#REF!</v>
      </c>
      <c r="B946" s="115">
        <f>IF(ISBLANK('Event summary'!A946),"",'Event summary'!A946)</f>
        <v>946</v>
      </c>
      <c r="C946" s="115" t="str">
        <f>IF(ISBLANK('Event summary'!B946),"",'Event summary'!B946)</f>
        <v/>
      </c>
      <c r="D946" s="116" t="str">
        <f>IF(ISBLANK('Event summary'!C946),"",'Event summary'!C946)</f>
        <v/>
      </c>
      <c r="E946" s="116" t="str">
        <f>IF(ISBLANK('Event summary'!D946),"",'Event summary'!D946)</f>
        <v/>
      </c>
      <c r="F946" s="117" t="str">
        <f>IF(ISBLANK('Event summary'!E946),"",'Event summary'!E946)</f>
        <v/>
      </c>
    </row>
    <row r="947" spans="1:6" x14ac:dyDescent="0.2">
      <c r="A947" s="114" t="e">
        <f>IF(ISBLANK('Event summary'!#REF!),"",'Event summary'!#REF!)</f>
        <v>#REF!</v>
      </c>
      <c r="B947" s="115">
        <f>IF(ISBLANK('Event summary'!A947),"",'Event summary'!A947)</f>
        <v>947</v>
      </c>
      <c r="C947" s="115" t="str">
        <f>IF(ISBLANK('Event summary'!B947),"",'Event summary'!B947)</f>
        <v/>
      </c>
      <c r="D947" s="116" t="str">
        <f>IF(ISBLANK('Event summary'!C947),"",'Event summary'!C947)</f>
        <v/>
      </c>
      <c r="E947" s="116" t="str">
        <f>IF(ISBLANK('Event summary'!D947),"",'Event summary'!D947)</f>
        <v/>
      </c>
      <c r="F947" s="117" t="str">
        <f>IF(ISBLANK('Event summary'!E947),"",'Event summary'!E947)</f>
        <v/>
      </c>
    </row>
    <row r="948" spans="1:6" x14ac:dyDescent="0.2">
      <c r="A948" s="114" t="e">
        <f>IF(ISBLANK('Event summary'!#REF!),"",'Event summary'!#REF!)</f>
        <v>#REF!</v>
      </c>
      <c r="B948" s="115">
        <f>IF(ISBLANK('Event summary'!A948),"",'Event summary'!A948)</f>
        <v>948</v>
      </c>
      <c r="C948" s="115" t="str">
        <f>IF(ISBLANK('Event summary'!B948),"",'Event summary'!B948)</f>
        <v/>
      </c>
      <c r="D948" s="116" t="str">
        <f>IF(ISBLANK('Event summary'!C948),"",'Event summary'!C948)</f>
        <v/>
      </c>
      <c r="E948" s="116" t="str">
        <f>IF(ISBLANK('Event summary'!D948),"",'Event summary'!D948)</f>
        <v/>
      </c>
      <c r="F948" s="117" t="str">
        <f>IF(ISBLANK('Event summary'!E948),"",'Event summary'!E948)</f>
        <v/>
      </c>
    </row>
    <row r="949" spans="1:6" x14ac:dyDescent="0.2">
      <c r="A949" s="114" t="e">
        <f>IF(ISBLANK('Event summary'!#REF!),"",'Event summary'!#REF!)</f>
        <v>#REF!</v>
      </c>
      <c r="B949" s="115">
        <f>IF(ISBLANK('Event summary'!A949),"",'Event summary'!A949)</f>
        <v>949</v>
      </c>
      <c r="C949" s="115" t="str">
        <f>IF(ISBLANK('Event summary'!B949),"",'Event summary'!B949)</f>
        <v/>
      </c>
      <c r="D949" s="116" t="str">
        <f>IF(ISBLANK('Event summary'!C949),"",'Event summary'!C949)</f>
        <v/>
      </c>
      <c r="E949" s="116" t="str">
        <f>IF(ISBLANK('Event summary'!D949),"",'Event summary'!D949)</f>
        <v/>
      </c>
      <c r="F949" s="117" t="str">
        <f>IF(ISBLANK('Event summary'!E949),"",'Event summary'!E949)</f>
        <v/>
      </c>
    </row>
    <row r="950" spans="1:6" x14ac:dyDescent="0.2">
      <c r="A950" s="114" t="e">
        <f>IF(ISBLANK('Event summary'!#REF!),"",'Event summary'!#REF!)</f>
        <v>#REF!</v>
      </c>
      <c r="B950" s="115">
        <f>IF(ISBLANK('Event summary'!A950),"",'Event summary'!A950)</f>
        <v>950</v>
      </c>
      <c r="C950" s="115" t="str">
        <f>IF(ISBLANK('Event summary'!B950),"",'Event summary'!B950)</f>
        <v/>
      </c>
      <c r="D950" s="116" t="str">
        <f>IF(ISBLANK('Event summary'!C950),"",'Event summary'!C950)</f>
        <v/>
      </c>
      <c r="E950" s="116" t="str">
        <f>IF(ISBLANK('Event summary'!D950),"",'Event summary'!D950)</f>
        <v/>
      </c>
      <c r="F950" s="117" t="str">
        <f>IF(ISBLANK('Event summary'!E950),"",'Event summary'!E950)</f>
        <v/>
      </c>
    </row>
    <row r="951" spans="1:6" x14ac:dyDescent="0.2">
      <c r="A951" s="114" t="e">
        <f>IF(ISBLANK('Event summary'!#REF!),"",'Event summary'!#REF!)</f>
        <v>#REF!</v>
      </c>
      <c r="B951" s="115">
        <f>IF(ISBLANK('Event summary'!A951),"",'Event summary'!A951)</f>
        <v>951</v>
      </c>
      <c r="C951" s="115" t="str">
        <f>IF(ISBLANK('Event summary'!B951),"",'Event summary'!B951)</f>
        <v/>
      </c>
      <c r="D951" s="116" t="str">
        <f>IF(ISBLANK('Event summary'!C951),"",'Event summary'!C951)</f>
        <v/>
      </c>
      <c r="E951" s="116" t="str">
        <f>IF(ISBLANK('Event summary'!D951),"",'Event summary'!D951)</f>
        <v/>
      </c>
      <c r="F951" s="117" t="str">
        <f>IF(ISBLANK('Event summary'!E951),"",'Event summary'!E951)</f>
        <v/>
      </c>
    </row>
    <row r="952" spans="1:6" x14ac:dyDescent="0.2">
      <c r="A952" s="114" t="e">
        <f>IF(ISBLANK('Event summary'!#REF!),"",'Event summary'!#REF!)</f>
        <v>#REF!</v>
      </c>
      <c r="B952" s="115">
        <f>IF(ISBLANK('Event summary'!A952),"",'Event summary'!A952)</f>
        <v>952</v>
      </c>
      <c r="C952" s="115" t="str">
        <f>IF(ISBLANK('Event summary'!B952),"",'Event summary'!B952)</f>
        <v/>
      </c>
      <c r="D952" s="116" t="str">
        <f>IF(ISBLANK('Event summary'!C952),"",'Event summary'!C952)</f>
        <v/>
      </c>
      <c r="E952" s="116" t="str">
        <f>IF(ISBLANK('Event summary'!D952),"",'Event summary'!D952)</f>
        <v/>
      </c>
      <c r="F952" s="117" t="str">
        <f>IF(ISBLANK('Event summary'!E952),"",'Event summary'!E952)</f>
        <v/>
      </c>
    </row>
    <row r="953" spans="1:6" x14ac:dyDescent="0.2">
      <c r="A953" s="114" t="e">
        <f>IF(ISBLANK('Event summary'!#REF!),"",'Event summary'!#REF!)</f>
        <v>#REF!</v>
      </c>
      <c r="B953" s="115">
        <f>IF(ISBLANK('Event summary'!A953),"",'Event summary'!A953)</f>
        <v>953</v>
      </c>
      <c r="C953" s="115" t="str">
        <f>IF(ISBLANK('Event summary'!B953),"",'Event summary'!B953)</f>
        <v/>
      </c>
      <c r="D953" s="116" t="str">
        <f>IF(ISBLANK('Event summary'!C953),"",'Event summary'!C953)</f>
        <v/>
      </c>
      <c r="E953" s="116" t="str">
        <f>IF(ISBLANK('Event summary'!D953),"",'Event summary'!D953)</f>
        <v/>
      </c>
      <c r="F953" s="117" t="str">
        <f>IF(ISBLANK('Event summary'!E953),"",'Event summary'!E953)</f>
        <v/>
      </c>
    </row>
    <row r="954" spans="1:6" x14ac:dyDescent="0.2">
      <c r="A954" s="114" t="e">
        <f>IF(ISBLANK('Event summary'!#REF!),"",'Event summary'!#REF!)</f>
        <v>#REF!</v>
      </c>
      <c r="B954" s="115">
        <f>IF(ISBLANK('Event summary'!A954),"",'Event summary'!A954)</f>
        <v>954</v>
      </c>
      <c r="C954" s="115" t="str">
        <f>IF(ISBLANK('Event summary'!B954),"",'Event summary'!B954)</f>
        <v/>
      </c>
      <c r="D954" s="116" t="str">
        <f>IF(ISBLANK('Event summary'!C954),"",'Event summary'!C954)</f>
        <v/>
      </c>
      <c r="E954" s="116" t="str">
        <f>IF(ISBLANK('Event summary'!D954),"",'Event summary'!D954)</f>
        <v/>
      </c>
      <c r="F954" s="117" t="str">
        <f>IF(ISBLANK('Event summary'!E954),"",'Event summary'!E954)</f>
        <v/>
      </c>
    </row>
    <row r="955" spans="1:6" x14ac:dyDescent="0.2">
      <c r="A955" s="114" t="e">
        <f>IF(ISBLANK('Event summary'!#REF!),"",'Event summary'!#REF!)</f>
        <v>#REF!</v>
      </c>
      <c r="B955" s="115">
        <f>IF(ISBLANK('Event summary'!A955),"",'Event summary'!A955)</f>
        <v>955</v>
      </c>
      <c r="C955" s="115" t="str">
        <f>IF(ISBLANK('Event summary'!B955),"",'Event summary'!B955)</f>
        <v/>
      </c>
      <c r="D955" s="116" t="str">
        <f>IF(ISBLANK('Event summary'!C955),"",'Event summary'!C955)</f>
        <v/>
      </c>
      <c r="E955" s="116" t="str">
        <f>IF(ISBLANK('Event summary'!D955),"",'Event summary'!D955)</f>
        <v/>
      </c>
      <c r="F955" s="117" t="str">
        <f>IF(ISBLANK('Event summary'!E955),"",'Event summary'!E955)</f>
        <v/>
      </c>
    </row>
    <row r="956" spans="1:6" x14ac:dyDescent="0.2">
      <c r="A956" s="114" t="e">
        <f>IF(ISBLANK('Event summary'!#REF!),"",'Event summary'!#REF!)</f>
        <v>#REF!</v>
      </c>
      <c r="B956" s="115">
        <f>IF(ISBLANK('Event summary'!A956),"",'Event summary'!A956)</f>
        <v>956</v>
      </c>
      <c r="C956" s="115" t="str">
        <f>IF(ISBLANK('Event summary'!B956),"",'Event summary'!B956)</f>
        <v/>
      </c>
      <c r="D956" s="116" t="str">
        <f>IF(ISBLANK('Event summary'!C956),"",'Event summary'!C956)</f>
        <v/>
      </c>
      <c r="E956" s="116" t="str">
        <f>IF(ISBLANK('Event summary'!D956),"",'Event summary'!D956)</f>
        <v/>
      </c>
      <c r="F956" s="117" t="str">
        <f>IF(ISBLANK('Event summary'!E956),"",'Event summary'!E956)</f>
        <v/>
      </c>
    </row>
    <row r="957" spans="1:6" x14ac:dyDescent="0.2">
      <c r="A957" s="114" t="e">
        <f>IF(ISBLANK('Event summary'!#REF!),"",'Event summary'!#REF!)</f>
        <v>#REF!</v>
      </c>
      <c r="B957" s="115">
        <f>IF(ISBLANK('Event summary'!A957),"",'Event summary'!A957)</f>
        <v>957</v>
      </c>
      <c r="C957" s="115" t="str">
        <f>IF(ISBLANK('Event summary'!B957),"",'Event summary'!B957)</f>
        <v/>
      </c>
      <c r="D957" s="116" t="str">
        <f>IF(ISBLANK('Event summary'!C957),"",'Event summary'!C957)</f>
        <v/>
      </c>
      <c r="E957" s="116" t="str">
        <f>IF(ISBLANK('Event summary'!D957),"",'Event summary'!D957)</f>
        <v/>
      </c>
      <c r="F957" s="117" t="str">
        <f>IF(ISBLANK('Event summary'!E957),"",'Event summary'!E957)</f>
        <v/>
      </c>
    </row>
    <row r="958" spans="1:6" x14ac:dyDescent="0.2">
      <c r="A958" s="114" t="e">
        <f>IF(ISBLANK('Event summary'!#REF!),"",'Event summary'!#REF!)</f>
        <v>#REF!</v>
      </c>
      <c r="B958" s="115">
        <f>IF(ISBLANK('Event summary'!A958),"",'Event summary'!A958)</f>
        <v>958</v>
      </c>
      <c r="C958" s="115" t="str">
        <f>IF(ISBLANK('Event summary'!B958),"",'Event summary'!B958)</f>
        <v/>
      </c>
      <c r="D958" s="116" t="str">
        <f>IF(ISBLANK('Event summary'!C958),"",'Event summary'!C958)</f>
        <v/>
      </c>
      <c r="E958" s="116" t="str">
        <f>IF(ISBLANK('Event summary'!D958),"",'Event summary'!D958)</f>
        <v/>
      </c>
      <c r="F958" s="117" t="str">
        <f>IF(ISBLANK('Event summary'!E958),"",'Event summary'!E958)</f>
        <v/>
      </c>
    </row>
    <row r="959" spans="1:6" x14ac:dyDescent="0.2">
      <c r="A959" s="114" t="e">
        <f>IF(ISBLANK('Event summary'!#REF!),"",'Event summary'!#REF!)</f>
        <v>#REF!</v>
      </c>
      <c r="B959" s="115">
        <f>IF(ISBLANK('Event summary'!A959),"",'Event summary'!A959)</f>
        <v>959</v>
      </c>
      <c r="C959" s="115" t="str">
        <f>IF(ISBLANK('Event summary'!B959),"",'Event summary'!B959)</f>
        <v/>
      </c>
      <c r="D959" s="116" t="str">
        <f>IF(ISBLANK('Event summary'!C959),"",'Event summary'!C959)</f>
        <v/>
      </c>
      <c r="E959" s="116" t="str">
        <f>IF(ISBLANK('Event summary'!D959),"",'Event summary'!D959)</f>
        <v/>
      </c>
      <c r="F959" s="117" t="str">
        <f>IF(ISBLANK('Event summary'!E959),"",'Event summary'!E959)</f>
        <v/>
      </c>
    </row>
    <row r="960" spans="1:6" x14ac:dyDescent="0.2">
      <c r="A960" s="114" t="e">
        <f>IF(ISBLANK('Event summary'!#REF!),"",'Event summary'!#REF!)</f>
        <v>#REF!</v>
      </c>
      <c r="B960" s="115">
        <f>IF(ISBLANK('Event summary'!A960),"",'Event summary'!A960)</f>
        <v>960</v>
      </c>
      <c r="C960" s="115" t="str">
        <f>IF(ISBLANK('Event summary'!B960),"",'Event summary'!B960)</f>
        <v/>
      </c>
      <c r="D960" s="116" t="str">
        <f>IF(ISBLANK('Event summary'!C960),"",'Event summary'!C960)</f>
        <v/>
      </c>
      <c r="E960" s="116" t="str">
        <f>IF(ISBLANK('Event summary'!D960),"",'Event summary'!D960)</f>
        <v/>
      </c>
      <c r="F960" s="117" t="str">
        <f>IF(ISBLANK('Event summary'!E960),"",'Event summary'!E960)</f>
        <v/>
      </c>
    </row>
    <row r="961" spans="1:6" x14ac:dyDescent="0.2">
      <c r="A961" s="114" t="e">
        <f>IF(ISBLANK('Event summary'!#REF!),"",'Event summary'!#REF!)</f>
        <v>#REF!</v>
      </c>
      <c r="B961" s="115">
        <f>IF(ISBLANK('Event summary'!A961),"",'Event summary'!A961)</f>
        <v>961</v>
      </c>
      <c r="C961" s="115" t="str">
        <f>IF(ISBLANK('Event summary'!B961),"",'Event summary'!B961)</f>
        <v/>
      </c>
      <c r="D961" s="116" t="str">
        <f>IF(ISBLANK('Event summary'!C961),"",'Event summary'!C961)</f>
        <v/>
      </c>
      <c r="E961" s="116" t="str">
        <f>IF(ISBLANK('Event summary'!D961),"",'Event summary'!D961)</f>
        <v/>
      </c>
      <c r="F961" s="117" t="str">
        <f>IF(ISBLANK('Event summary'!E961),"",'Event summary'!E961)</f>
        <v/>
      </c>
    </row>
    <row r="962" spans="1:6" x14ac:dyDescent="0.2">
      <c r="A962" s="114" t="e">
        <f>IF(ISBLANK('Event summary'!#REF!),"",'Event summary'!#REF!)</f>
        <v>#REF!</v>
      </c>
      <c r="B962" s="115">
        <f>IF(ISBLANK('Event summary'!A962),"",'Event summary'!A962)</f>
        <v>962</v>
      </c>
      <c r="C962" s="115" t="str">
        <f>IF(ISBLANK('Event summary'!B962),"",'Event summary'!B962)</f>
        <v/>
      </c>
      <c r="D962" s="116" t="str">
        <f>IF(ISBLANK('Event summary'!C962),"",'Event summary'!C962)</f>
        <v/>
      </c>
      <c r="E962" s="116" t="str">
        <f>IF(ISBLANK('Event summary'!D962),"",'Event summary'!D962)</f>
        <v/>
      </c>
      <c r="F962" s="117" t="str">
        <f>IF(ISBLANK('Event summary'!E962),"",'Event summary'!E962)</f>
        <v/>
      </c>
    </row>
    <row r="963" spans="1:6" x14ac:dyDescent="0.2">
      <c r="A963" s="114" t="e">
        <f>IF(ISBLANK('Event summary'!#REF!),"",'Event summary'!#REF!)</f>
        <v>#REF!</v>
      </c>
      <c r="B963" s="115">
        <f>IF(ISBLANK('Event summary'!A963),"",'Event summary'!A963)</f>
        <v>963</v>
      </c>
      <c r="C963" s="115" t="str">
        <f>IF(ISBLANK('Event summary'!B963),"",'Event summary'!B963)</f>
        <v/>
      </c>
      <c r="D963" s="116" t="str">
        <f>IF(ISBLANK('Event summary'!C963),"",'Event summary'!C963)</f>
        <v/>
      </c>
      <c r="E963" s="116" t="str">
        <f>IF(ISBLANK('Event summary'!D963),"",'Event summary'!D963)</f>
        <v/>
      </c>
      <c r="F963" s="117" t="str">
        <f>IF(ISBLANK('Event summary'!E963),"",'Event summary'!E963)</f>
        <v/>
      </c>
    </row>
    <row r="964" spans="1:6" x14ac:dyDescent="0.2">
      <c r="A964" s="114" t="e">
        <f>IF(ISBLANK('Event summary'!#REF!),"",'Event summary'!#REF!)</f>
        <v>#REF!</v>
      </c>
      <c r="B964" s="115">
        <f>IF(ISBLANK('Event summary'!A964),"",'Event summary'!A964)</f>
        <v>964</v>
      </c>
      <c r="C964" s="115" t="str">
        <f>IF(ISBLANK('Event summary'!B964),"",'Event summary'!B964)</f>
        <v/>
      </c>
      <c r="D964" s="116" t="str">
        <f>IF(ISBLANK('Event summary'!C964),"",'Event summary'!C964)</f>
        <v/>
      </c>
      <c r="E964" s="116" t="str">
        <f>IF(ISBLANK('Event summary'!D964),"",'Event summary'!D964)</f>
        <v/>
      </c>
      <c r="F964" s="117" t="str">
        <f>IF(ISBLANK('Event summary'!E964),"",'Event summary'!E964)</f>
        <v/>
      </c>
    </row>
    <row r="965" spans="1:6" x14ac:dyDescent="0.2">
      <c r="A965" s="114" t="e">
        <f>IF(ISBLANK('Event summary'!#REF!),"",'Event summary'!#REF!)</f>
        <v>#REF!</v>
      </c>
      <c r="B965" s="115">
        <f>IF(ISBLANK('Event summary'!A965),"",'Event summary'!A965)</f>
        <v>965</v>
      </c>
      <c r="C965" s="115" t="str">
        <f>IF(ISBLANK('Event summary'!B965),"",'Event summary'!B965)</f>
        <v/>
      </c>
      <c r="D965" s="116" t="str">
        <f>IF(ISBLANK('Event summary'!C965),"",'Event summary'!C965)</f>
        <v/>
      </c>
      <c r="E965" s="116" t="str">
        <f>IF(ISBLANK('Event summary'!D965),"",'Event summary'!D965)</f>
        <v/>
      </c>
      <c r="F965" s="117" t="str">
        <f>IF(ISBLANK('Event summary'!E965),"",'Event summary'!E965)</f>
        <v/>
      </c>
    </row>
    <row r="966" spans="1:6" x14ac:dyDescent="0.2">
      <c r="A966" s="114" t="e">
        <f>IF(ISBLANK('Event summary'!#REF!),"",'Event summary'!#REF!)</f>
        <v>#REF!</v>
      </c>
      <c r="B966" s="115">
        <f>IF(ISBLANK('Event summary'!A966),"",'Event summary'!A966)</f>
        <v>966</v>
      </c>
      <c r="C966" s="115" t="str">
        <f>IF(ISBLANK('Event summary'!B966),"",'Event summary'!B966)</f>
        <v/>
      </c>
      <c r="D966" s="116" t="str">
        <f>IF(ISBLANK('Event summary'!C966),"",'Event summary'!C966)</f>
        <v/>
      </c>
      <c r="E966" s="116" t="str">
        <f>IF(ISBLANK('Event summary'!D966),"",'Event summary'!D966)</f>
        <v/>
      </c>
      <c r="F966" s="117" t="str">
        <f>IF(ISBLANK('Event summary'!E966),"",'Event summary'!E966)</f>
        <v/>
      </c>
    </row>
    <row r="967" spans="1:6" x14ac:dyDescent="0.2">
      <c r="A967" s="114" t="e">
        <f>IF(ISBLANK('Event summary'!#REF!),"",'Event summary'!#REF!)</f>
        <v>#REF!</v>
      </c>
      <c r="B967" s="115">
        <f>IF(ISBLANK('Event summary'!A967),"",'Event summary'!A967)</f>
        <v>967</v>
      </c>
      <c r="C967" s="115" t="str">
        <f>IF(ISBLANK('Event summary'!B967),"",'Event summary'!B967)</f>
        <v/>
      </c>
      <c r="D967" s="116" t="str">
        <f>IF(ISBLANK('Event summary'!C967),"",'Event summary'!C967)</f>
        <v/>
      </c>
      <c r="E967" s="116" t="str">
        <f>IF(ISBLANK('Event summary'!D967),"",'Event summary'!D967)</f>
        <v/>
      </c>
      <c r="F967" s="117" t="str">
        <f>IF(ISBLANK('Event summary'!E967),"",'Event summary'!E967)</f>
        <v/>
      </c>
    </row>
    <row r="968" spans="1:6" x14ac:dyDescent="0.2">
      <c r="A968" s="114" t="e">
        <f>IF(ISBLANK('Event summary'!#REF!),"",'Event summary'!#REF!)</f>
        <v>#REF!</v>
      </c>
      <c r="B968" s="115">
        <f>IF(ISBLANK('Event summary'!A968),"",'Event summary'!A968)</f>
        <v>968</v>
      </c>
      <c r="C968" s="115" t="str">
        <f>IF(ISBLANK('Event summary'!B968),"",'Event summary'!B968)</f>
        <v/>
      </c>
      <c r="D968" s="116" t="str">
        <f>IF(ISBLANK('Event summary'!C968),"",'Event summary'!C968)</f>
        <v/>
      </c>
      <c r="E968" s="116" t="str">
        <f>IF(ISBLANK('Event summary'!D968),"",'Event summary'!D968)</f>
        <v/>
      </c>
      <c r="F968" s="117" t="str">
        <f>IF(ISBLANK('Event summary'!E968),"",'Event summary'!E968)</f>
        <v/>
      </c>
    </row>
    <row r="969" spans="1:6" x14ac:dyDescent="0.2">
      <c r="A969" s="114" t="e">
        <f>IF(ISBLANK('Event summary'!#REF!),"",'Event summary'!#REF!)</f>
        <v>#REF!</v>
      </c>
      <c r="B969" s="115">
        <f>IF(ISBLANK('Event summary'!A969),"",'Event summary'!A969)</f>
        <v>969</v>
      </c>
      <c r="C969" s="115" t="str">
        <f>IF(ISBLANK('Event summary'!B969),"",'Event summary'!B969)</f>
        <v/>
      </c>
      <c r="D969" s="116" t="str">
        <f>IF(ISBLANK('Event summary'!C969),"",'Event summary'!C969)</f>
        <v/>
      </c>
      <c r="E969" s="116" t="str">
        <f>IF(ISBLANK('Event summary'!D969),"",'Event summary'!D969)</f>
        <v/>
      </c>
      <c r="F969" s="117" t="str">
        <f>IF(ISBLANK('Event summary'!E969),"",'Event summary'!E969)</f>
        <v/>
      </c>
    </row>
    <row r="970" spans="1:6" x14ac:dyDescent="0.2">
      <c r="A970" s="114" t="e">
        <f>IF(ISBLANK('Event summary'!#REF!),"",'Event summary'!#REF!)</f>
        <v>#REF!</v>
      </c>
      <c r="B970" s="115">
        <f>IF(ISBLANK('Event summary'!A970),"",'Event summary'!A970)</f>
        <v>970</v>
      </c>
      <c r="C970" s="115" t="str">
        <f>IF(ISBLANK('Event summary'!B970),"",'Event summary'!B970)</f>
        <v/>
      </c>
      <c r="D970" s="116" t="str">
        <f>IF(ISBLANK('Event summary'!C970),"",'Event summary'!C970)</f>
        <v/>
      </c>
      <c r="E970" s="116" t="str">
        <f>IF(ISBLANK('Event summary'!D970),"",'Event summary'!D970)</f>
        <v/>
      </c>
      <c r="F970" s="117" t="str">
        <f>IF(ISBLANK('Event summary'!E970),"",'Event summary'!E970)</f>
        <v/>
      </c>
    </row>
    <row r="971" spans="1:6" x14ac:dyDescent="0.2">
      <c r="A971" s="114" t="e">
        <f>IF(ISBLANK('Event summary'!#REF!),"",'Event summary'!#REF!)</f>
        <v>#REF!</v>
      </c>
      <c r="B971" s="115">
        <f>IF(ISBLANK('Event summary'!A971),"",'Event summary'!A971)</f>
        <v>971</v>
      </c>
      <c r="C971" s="115" t="str">
        <f>IF(ISBLANK('Event summary'!B971),"",'Event summary'!B971)</f>
        <v/>
      </c>
      <c r="D971" s="116" t="str">
        <f>IF(ISBLANK('Event summary'!C971),"",'Event summary'!C971)</f>
        <v/>
      </c>
      <c r="E971" s="116" t="str">
        <f>IF(ISBLANK('Event summary'!D971),"",'Event summary'!D971)</f>
        <v/>
      </c>
      <c r="F971" s="117" t="str">
        <f>IF(ISBLANK('Event summary'!E971),"",'Event summary'!E971)</f>
        <v/>
      </c>
    </row>
    <row r="972" spans="1:6" x14ac:dyDescent="0.2">
      <c r="A972" s="114" t="e">
        <f>IF(ISBLANK('Event summary'!#REF!),"",'Event summary'!#REF!)</f>
        <v>#REF!</v>
      </c>
      <c r="B972" s="115">
        <f>IF(ISBLANK('Event summary'!A972),"",'Event summary'!A972)</f>
        <v>972</v>
      </c>
      <c r="C972" s="115" t="str">
        <f>IF(ISBLANK('Event summary'!B972),"",'Event summary'!B972)</f>
        <v/>
      </c>
      <c r="D972" s="116" t="str">
        <f>IF(ISBLANK('Event summary'!C972),"",'Event summary'!C972)</f>
        <v/>
      </c>
      <c r="E972" s="116" t="str">
        <f>IF(ISBLANK('Event summary'!D972),"",'Event summary'!D972)</f>
        <v/>
      </c>
      <c r="F972" s="117" t="str">
        <f>IF(ISBLANK('Event summary'!E972),"",'Event summary'!E972)</f>
        <v/>
      </c>
    </row>
    <row r="973" spans="1:6" x14ac:dyDescent="0.2">
      <c r="A973" s="114" t="e">
        <f>IF(ISBLANK('Event summary'!#REF!),"",'Event summary'!#REF!)</f>
        <v>#REF!</v>
      </c>
      <c r="B973" s="115">
        <f>IF(ISBLANK('Event summary'!A973),"",'Event summary'!A973)</f>
        <v>973</v>
      </c>
      <c r="C973" s="115" t="str">
        <f>IF(ISBLANK('Event summary'!B973),"",'Event summary'!B973)</f>
        <v/>
      </c>
      <c r="D973" s="116" t="str">
        <f>IF(ISBLANK('Event summary'!C973),"",'Event summary'!C973)</f>
        <v/>
      </c>
      <c r="E973" s="116" t="str">
        <f>IF(ISBLANK('Event summary'!D973),"",'Event summary'!D973)</f>
        <v/>
      </c>
      <c r="F973" s="117" t="str">
        <f>IF(ISBLANK('Event summary'!E973),"",'Event summary'!E973)</f>
        <v/>
      </c>
    </row>
    <row r="974" spans="1:6" x14ac:dyDescent="0.2">
      <c r="A974" s="114" t="e">
        <f>IF(ISBLANK('Event summary'!#REF!),"",'Event summary'!#REF!)</f>
        <v>#REF!</v>
      </c>
      <c r="B974" s="115">
        <f>IF(ISBLANK('Event summary'!A974),"",'Event summary'!A974)</f>
        <v>974</v>
      </c>
      <c r="C974" s="115" t="str">
        <f>IF(ISBLANK('Event summary'!B974),"",'Event summary'!B974)</f>
        <v/>
      </c>
      <c r="D974" s="116" t="str">
        <f>IF(ISBLANK('Event summary'!C974),"",'Event summary'!C974)</f>
        <v/>
      </c>
      <c r="E974" s="116" t="str">
        <f>IF(ISBLANK('Event summary'!D974),"",'Event summary'!D974)</f>
        <v/>
      </c>
      <c r="F974" s="117" t="str">
        <f>IF(ISBLANK('Event summary'!E974),"",'Event summary'!E974)</f>
        <v/>
      </c>
    </row>
    <row r="975" spans="1:6" x14ac:dyDescent="0.2">
      <c r="A975" s="114" t="e">
        <f>IF(ISBLANK('Event summary'!#REF!),"",'Event summary'!#REF!)</f>
        <v>#REF!</v>
      </c>
      <c r="B975" s="115">
        <f>IF(ISBLANK('Event summary'!A975),"",'Event summary'!A975)</f>
        <v>975</v>
      </c>
      <c r="C975" s="115" t="str">
        <f>IF(ISBLANK('Event summary'!B975),"",'Event summary'!B975)</f>
        <v/>
      </c>
      <c r="D975" s="116" t="str">
        <f>IF(ISBLANK('Event summary'!C975),"",'Event summary'!C975)</f>
        <v/>
      </c>
      <c r="E975" s="116" t="str">
        <f>IF(ISBLANK('Event summary'!D975),"",'Event summary'!D975)</f>
        <v/>
      </c>
      <c r="F975" s="117" t="str">
        <f>IF(ISBLANK('Event summary'!E975),"",'Event summary'!E975)</f>
        <v/>
      </c>
    </row>
    <row r="976" spans="1:6" x14ac:dyDescent="0.2">
      <c r="A976" s="114" t="e">
        <f>IF(ISBLANK('Event summary'!#REF!),"",'Event summary'!#REF!)</f>
        <v>#REF!</v>
      </c>
      <c r="B976" s="115">
        <f>IF(ISBLANK('Event summary'!A976),"",'Event summary'!A976)</f>
        <v>976</v>
      </c>
      <c r="C976" s="115" t="str">
        <f>IF(ISBLANK('Event summary'!B976),"",'Event summary'!B976)</f>
        <v/>
      </c>
      <c r="D976" s="116" t="str">
        <f>IF(ISBLANK('Event summary'!C976),"",'Event summary'!C976)</f>
        <v/>
      </c>
      <c r="E976" s="116" t="str">
        <f>IF(ISBLANK('Event summary'!D976),"",'Event summary'!D976)</f>
        <v/>
      </c>
      <c r="F976" s="117" t="str">
        <f>IF(ISBLANK('Event summary'!E976),"",'Event summary'!E976)</f>
        <v/>
      </c>
    </row>
    <row r="977" spans="1:6" x14ac:dyDescent="0.2">
      <c r="A977" s="114" t="e">
        <f>IF(ISBLANK('Event summary'!#REF!),"",'Event summary'!#REF!)</f>
        <v>#REF!</v>
      </c>
      <c r="B977" s="115">
        <f>IF(ISBLANK('Event summary'!A977),"",'Event summary'!A977)</f>
        <v>977</v>
      </c>
      <c r="C977" s="115" t="str">
        <f>IF(ISBLANK('Event summary'!B977),"",'Event summary'!B977)</f>
        <v/>
      </c>
      <c r="D977" s="116" t="str">
        <f>IF(ISBLANK('Event summary'!C977),"",'Event summary'!C977)</f>
        <v/>
      </c>
      <c r="E977" s="116" t="str">
        <f>IF(ISBLANK('Event summary'!D977),"",'Event summary'!D977)</f>
        <v/>
      </c>
      <c r="F977" s="117" t="str">
        <f>IF(ISBLANK('Event summary'!E977),"",'Event summary'!E977)</f>
        <v/>
      </c>
    </row>
    <row r="978" spans="1:6" x14ac:dyDescent="0.2">
      <c r="A978" s="114" t="e">
        <f>IF(ISBLANK('Event summary'!#REF!),"",'Event summary'!#REF!)</f>
        <v>#REF!</v>
      </c>
      <c r="B978" s="115">
        <f>IF(ISBLANK('Event summary'!A978),"",'Event summary'!A978)</f>
        <v>978</v>
      </c>
      <c r="C978" s="115" t="str">
        <f>IF(ISBLANK('Event summary'!B978),"",'Event summary'!B978)</f>
        <v/>
      </c>
      <c r="D978" s="116" t="str">
        <f>IF(ISBLANK('Event summary'!C978),"",'Event summary'!C978)</f>
        <v/>
      </c>
      <c r="E978" s="116" t="str">
        <f>IF(ISBLANK('Event summary'!D978),"",'Event summary'!D978)</f>
        <v/>
      </c>
      <c r="F978" s="117" t="str">
        <f>IF(ISBLANK('Event summary'!E978),"",'Event summary'!E978)</f>
        <v/>
      </c>
    </row>
    <row r="979" spans="1:6" x14ac:dyDescent="0.2">
      <c r="A979" s="114" t="e">
        <f>IF(ISBLANK('Event summary'!#REF!),"",'Event summary'!#REF!)</f>
        <v>#REF!</v>
      </c>
      <c r="B979" s="115">
        <f>IF(ISBLANK('Event summary'!A979),"",'Event summary'!A979)</f>
        <v>979</v>
      </c>
      <c r="C979" s="115" t="str">
        <f>IF(ISBLANK('Event summary'!B979),"",'Event summary'!B979)</f>
        <v/>
      </c>
      <c r="D979" s="116" t="str">
        <f>IF(ISBLANK('Event summary'!C979),"",'Event summary'!C979)</f>
        <v/>
      </c>
      <c r="E979" s="116" t="str">
        <f>IF(ISBLANK('Event summary'!D979),"",'Event summary'!D979)</f>
        <v/>
      </c>
      <c r="F979" s="117" t="str">
        <f>IF(ISBLANK('Event summary'!E979),"",'Event summary'!E979)</f>
        <v/>
      </c>
    </row>
    <row r="980" spans="1:6" x14ac:dyDescent="0.2">
      <c r="A980" s="114" t="e">
        <f>IF(ISBLANK('Event summary'!#REF!),"",'Event summary'!#REF!)</f>
        <v>#REF!</v>
      </c>
      <c r="B980" s="115">
        <f>IF(ISBLANK('Event summary'!A980),"",'Event summary'!A980)</f>
        <v>980</v>
      </c>
      <c r="C980" s="115" t="str">
        <f>IF(ISBLANK('Event summary'!B980),"",'Event summary'!B980)</f>
        <v/>
      </c>
      <c r="D980" s="116" t="str">
        <f>IF(ISBLANK('Event summary'!C980),"",'Event summary'!C980)</f>
        <v/>
      </c>
      <c r="E980" s="116" t="str">
        <f>IF(ISBLANK('Event summary'!D980),"",'Event summary'!D980)</f>
        <v/>
      </c>
      <c r="F980" s="117" t="str">
        <f>IF(ISBLANK('Event summary'!E980),"",'Event summary'!E980)</f>
        <v/>
      </c>
    </row>
    <row r="981" spans="1:6" x14ac:dyDescent="0.2">
      <c r="A981" s="114" t="e">
        <f>IF(ISBLANK('Event summary'!#REF!),"",'Event summary'!#REF!)</f>
        <v>#REF!</v>
      </c>
      <c r="B981" s="115">
        <f>IF(ISBLANK('Event summary'!A981),"",'Event summary'!A981)</f>
        <v>981</v>
      </c>
      <c r="C981" s="115" t="str">
        <f>IF(ISBLANK('Event summary'!B981),"",'Event summary'!B981)</f>
        <v/>
      </c>
      <c r="D981" s="116" t="str">
        <f>IF(ISBLANK('Event summary'!C981),"",'Event summary'!C981)</f>
        <v/>
      </c>
      <c r="E981" s="116" t="str">
        <f>IF(ISBLANK('Event summary'!D981),"",'Event summary'!D981)</f>
        <v/>
      </c>
      <c r="F981" s="117" t="str">
        <f>IF(ISBLANK('Event summary'!E981),"",'Event summary'!E981)</f>
        <v/>
      </c>
    </row>
    <row r="982" spans="1:6" x14ac:dyDescent="0.2">
      <c r="A982" s="114" t="e">
        <f>IF(ISBLANK('Event summary'!#REF!),"",'Event summary'!#REF!)</f>
        <v>#REF!</v>
      </c>
      <c r="B982" s="115">
        <f>IF(ISBLANK('Event summary'!A982),"",'Event summary'!A982)</f>
        <v>982</v>
      </c>
      <c r="C982" s="115" t="str">
        <f>IF(ISBLANK('Event summary'!B982),"",'Event summary'!B982)</f>
        <v/>
      </c>
      <c r="D982" s="116" t="str">
        <f>IF(ISBLANK('Event summary'!C982),"",'Event summary'!C982)</f>
        <v/>
      </c>
      <c r="E982" s="116" t="str">
        <f>IF(ISBLANK('Event summary'!D982),"",'Event summary'!D982)</f>
        <v/>
      </c>
      <c r="F982" s="117" t="str">
        <f>IF(ISBLANK('Event summary'!E982),"",'Event summary'!E982)</f>
        <v/>
      </c>
    </row>
    <row r="983" spans="1:6" x14ac:dyDescent="0.2">
      <c r="A983" s="114" t="e">
        <f>IF(ISBLANK('Event summary'!#REF!),"",'Event summary'!#REF!)</f>
        <v>#REF!</v>
      </c>
      <c r="B983" s="115">
        <f>IF(ISBLANK('Event summary'!A983),"",'Event summary'!A983)</f>
        <v>983</v>
      </c>
      <c r="C983" s="115" t="str">
        <f>IF(ISBLANK('Event summary'!B983),"",'Event summary'!B983)</f>
        <v/>
      </c>
      <c r="D983" s="116" t="str">
        <f>IF(ISBLANK('Event summary'!C983),"",'Event summary'!C983)</f>
        <v/>
      </c>
      <c r="E983" s="116" t="str">
        <f>IF(ISBLANK('Event summary'!D983),"",'Event summary'!D983)</f>
        <v/>
      </c>
      <c r="F983" s="117" t="str">
        <f>IF(ISBLANK('Event summary'!E983),"",'Event summary'!E983)</f>
        <v/>
      </c>
    </row>
    <row r="984" spans="1:6" x14ac:dyDescent="0.2">
      <c r="A984" s="114" t="e">
        <f>IF(ISBLANK('Event summary'!#REF!),"",'Event summary'!#REF!)</f>
        <v>#REF!</v>
      </c>
      <c r="B984" s="115">
        <f>IF(ISBLANK('Event summary'!A984),"",'Event summary'!A984)</f>
        <v>984</v>
      </c>
      <c r="C984" s="115" t="str">
        <f>IF(ISBLANK('Event summary'!B984),"",'Event summary'!B984)</f>
        <v/>
      </c>
      <c r="D984" s="116" t="str">
        <f>IF(ISBLANK('Event summary'!C984),"",'Event summary'!C984)</f>
        <v/>
      </c>
      <c r="E984" s="116" t="str">
        <f>IF(ISBLANK('Event summary'!D984),"",'Event summary'!D984)</f>
        <v/>
      </c>
      <c r="F984" s="117" t="str">
        <f>IF(ISBLANK('Event summary'!E984),"",'Event summary'!E984)</f>
        <v/>
      </c>
    </row>
    <row r="985" spans="1:6" x14ac:dyDescent="0.2">
      <c r="A985" s="114" t="e">
        <f>IF(ISBLANK('Event summary'!#REF!),"",'Event summary'!#REF!)</f>
        <v>#REF!</v>
      </c>
      <c r="B985" s="115">
        <f>IF(ISBLANK('Event summary'!A985),"",'Event summary'!A985)</f>
        <v>985</v>
      </c>
      <c r="C985" s="115" t="str">
        <f>IF(ISBLANK('Event summary'!B985),"",'Event summary'!B985)</f>
        <v/>
      </c>
      <c r="D985" s="116" t="str">
        <f>IF(ISBLANK('Event summary'!C985),"",'Event summary'!C985)</f>
        <v/>
      </c>
      <c r="E985" s="116" t="str">
        <f>IF(ISBLANK('Event summary'!D985),"",'Event summary'!D985)</f>
        <v/>
      </c>
      <c r="F985" s="117" t="str">
        <f>IF(ISBLANK('Event summary'!E985),"",'Event summary'!E985)</f>
        <v/>
      </c>
    </row>
    <row r="986" spans="1:6" x14ac:dyDescent="0.2">
      <c r="A986" s="114" t="e">
        <f>IF(ISBLANK('Event summary'!#REF!),"",'Event summary'!#REF!)</f>
        <v>#REF!</v>
      </c>
      <c r="B986" s="115">
        <f>IF(ISBLANK('Event summary'!A986),"",'Event summary'!A986)</f>
        <v>986</v>
      </c>
      <c r="C986" s="115" t="str">
        <f>IF(ISBLANK('Event summary'!B986),"",'Event summary'!B986)</f>
        <v/>
      </c>
      <c r="D986" s="116" t="str">
        <f>IF(ISBLANK('Event summary'!C986),"",'Event summary'!C986)</f>
        <v/>
      </c>
      <c r="E986" s="116" t="str">
        <f>IF(ISBLANK('Event summary'!D986),"",'Event summary'!D986)</f>
        <v/>
      </c>
      <c r="F986" s="117" t="str">
        <f>IF(ISBLANK('Event summary'!E986),"",'Event summary'!E986)</f>
        <v/>
      </c>
    </row>
    <row r="987" spans="1:6" x14ac:dyDescent="0.2">
      <c r="A987" s="114" t="e">
        <f>IF(ISBLANK('Event summary'!#REF!),"",'Event summary'!#REF!)</f>
        <v>#REF!</v>
      </c>
      <c r="B987" s="115">
        <f>IF(ISBLANK('Event summary'!A987),"",'Event summary'!A987)</f>
        <v>987</v>
      </c>
      <c r="C987" s="115" t="str">
        <f>IF(ISBLANK('Event summary'!B987),"",'Event summary'!B987)</f>
        <v/>
      </c>
      <c r="D987" s="116" t="str">
        <f>IF(ISBLANK('Event summary'!C987),"",'Event summary'!C987)</f>
        <v/>
      </c>
      <c r="E987" s="116" t="str">
        <f>IF(ISBLANK('Event summary'!D987),"",'Event summary'!D987)</f>
        <v/>
      </c>
      <c r="F987" s="117" t="str">
        <f>IF(ISBLANK('Event summary'!E987),"",'Event summary'!E987)</f>
        <v/>
      </c>
    </row>
    <row r="988" spans="1:6" x14ac:dyDescent="0.2">
      <c r="A988" s="114" t="e">
        <f>IF(ISBLANK('Event summary'!#REF!),"",'Event summary'!#REF!)</f>
        <v>#REF!</v>
      </c>
      <c r="B988" s="115">
        <f>IF(ISBLANK('Event summary'!A988),"",'Event summary'!A988)</f>
        <v>988</v>
      </c>
      <c r="C988" s="115" t="str">
        <f>IF(ISBLANK('Event summary'!B988),"",'Event summary'!B988)</f>
        <v/>
      </c>
      <c r="D988" s="116" t="str">
        <f>IF(ISBLANK('Event summary'!C988),"",'Event summary'!C988)</f>
        <v/>
      </c>
      <c r="E988" s="116" t="str">
        <f>IF(ISBLANK('Event summary'!D988),"",'Event summary'!D988)</f>
        <v/>
      </c>
      <c r="F988" s="117" t="str">
        <f>IF(ISBLANK('Event summary'!E988),"",'Event summary'!E988)</f>
        <v/>
      </c>
    </row>
    <row r="989" spans="1:6" x14ac:dyDescent="0.2">
      <c r="A989" s="114" t="e">
        <f>IF(ISBLANK('Event summary'!#REF!),"",'Event summary'!#REF!)</f>
        <v>#REF!</v>
      </c>
      <c r="B989" s="115">
        <f>IF(ISBLANK('Event summary'!A989),"",'Event summary'!A989)</f>
        <v>989</v>
      </c>
      <c r="C989" s="115" t="str">
        <f>IF(ISBLANK('Event summary'!B989),"",'Event summary'!B989)</f>
        <v/>
      </c>
      <c r="D989" s="116" t="str">
        <f>IF(ISBLANK('Event summary'!C989),"",'Event summary'!C989)</f>
        <v/>
      </c>
      <c r="E989" s="116" t="str">
        <f>IF(ISBLANK('Event summary'!D989),"",'Event summary'!D989)</f>
        <v/>
      </c>
      <c r="F989" s="117" t="str">
        <f>IF(ISBLANK('Event summary'!E989),"",'Event summary'!E989)</f>
        <v/>
      </c>
    </row>
    <row r="990" spans="1:6" x14ac:dyDescent="0.2">
      <c r="A990" s="114" t="e">
        <f>IF(ISBLANK('Event summary'!#REF!),"",'Event summary'!#REF!)</f>
        <v>#REF!</v>
      </c>
      <c r="B990" s="115">
        <f>IF(ISBLANK('Event summary'!A990),"",'Event summary'!A990)</f>
        <v>990</v>
      </c>
      <c r="C990" s="115" t="str">
        <f>IF(ISBLANK('Event summary'!B990),"",'Event summary'!B990)</f>
        <v/>
      </c>
      <c r="D990" s="116" t="str">
        <f>IF(ISBLANK('Event summary'!C990),"",'Event summary'!C990)</f>
        <v/>
      </c>
      <c r="E990" s="116" t="str">
        <f>IF(ISBLANK('Event summary'!D990),"",'Event summary'!D990)</f>
        <v/>
      </c>
      <c r="F990" s="117" t="str">
        <f>IF(ISBLANK('Event summary'!E990),"",'Event summary'!E990)</f>
        <v/>
      </c>
    </row>
    <row r="991" spans="1:6" x14ac:dyDescent="0.2">
      <c r="A991" s="114" t="e">
        <f>IF(ISBLANK('Event summary'!#REF!),"",'Event summary'!#REF!)</f>
        <v>#REF!</v>
      </c>
      <c r="B991" s="115">
        <f>IF(ISBLANK('Event summary'!A991),"",'Event summary'!A991)</f>
        <v>991</v>
      </c>
      <c r="C991" s="115" t="str">
        <f>IF(ISBLANK('Event summary'!B991),"",'Event summary'!B991)</f>
        <v/>
      </c>
      <c r="D991" s="116" t="str">
        <f>IF(ISBLANK('Event summary'!C991),"",'Event summary'!C991)</f>
        <v/>
      </c>
      <c r="E991" s="116" t="str">
        <f>IF(ISBLANK('Event summary'!D991),"",'Event summary'!D991)</f>
        <v/>
      </c>
      <c r="F991" s="117" t="str">
        <f>IF(ISBLANK('Event summary'!E991),"",'Event summary'!E991)</f>
        <v/>
      </c>
    </row>
    <row r="992" spans="1:6" x14ac:dyDescent="0.2">
      <c r="A992" s="114" t="e">
        <f>IF(ISBLANK('Event summary'!#REF!),"",'Event summary'!#REF!)</f>
        <v>#REF!</v>
      </c>
      <c r="B992" s="115">
        <f>IF(ISBLANK('Event summary'!A992),"",'Event summary'!A992)</f>
        <v>992</v>
      </c>
      <c r="C992" s="115" t="str">
        <f>IF(ISBLANK('Event summary'!B992),"",'Event summary'!B992)</f>
        <v/>
      </c>
      <c r="D992" s="116" t="str">
        <f>IF(ISBLANK('Event summary'!C992),"",'Event summary'!C992)</f>
        <v/>
      </c>
      <c r="E992" s="116" t="str">
        <f>IF(ISBLANK('Event summary'!D992),"",'Event summary'!D992)</f>
        <v/>
      </c>
      <c r="F992" s="117" t="str">
        <f>IF(ISBLANK('Event summary'!E992),"",'Event summary'!E992)</f>
        <v/>
      </c>
    </row>
    <row r="993" spans="1:6" x14ac:dyDescent="0.2">
      <c r="A993" s="114" t="e">
        <f>IF(ISBLANK('Event summary'!#REF!),"",'Event summary'!#REF!)</f>
        <v>#REF!</v>
      </c>
      <c r="B993" s="115">
        <f>IF(ISBLANK('Event summary'!A993),"",'Event summary'!A993)</f>
        <v>993</v>
      </c>
      <c r="C993" s="115" t="str">
        <f>IF(ISBLANK('Event summary'!B993),"",'Event summary'!B993)</f>
        <v/>
      </c>
      <c r="D993" s="116" t="str">
        <f>IF(ISBLANK('Event summary'!C993),"",'Event summary'!C993)</f>
        <v/>
      </c>
      <c r="E993" s="116" t="str">
        <f>IF(ISBLANK('Event summary'!D993),"",'Event summary'!D993)</f>
        <v/>
      </c>
      <c r="F993" s="117" t="str">
        <f>IF(ISBLANK('Event summary'!E993),"",'Event summary'!E993)</f>
        <v/>
      </c>
    </row>
    <row r="994" spans="1:6" x14ac:dyDescent="0.2">
      <c r="A994" s="114" t="e">
        <f>IF(ISBLANK('Event summary'!#REF!),"",'Event summary'!#REF!)</f>
        <v>#REF!</v>
      </c>
      <c r="B994" s="115">
        <f>IF(ISBLANK('Event summary'!A994),"",'Event summary'!A994)</f>
        <v>994</v>
      </c>
      <c r="C994" s="115" t="str">
        <f>IF(ISBLANK('Event summary'!B994),"",'Event summary'!B994)</f>
        <v/>
      </c>
      <c r="D994" s="116" t="str">
        <f>IF(ISBLANK('Event summary'!C994),"",'Event summary'!C994)</f>
        <v/>
      </c>
      <c r="E994" s="116" t="str">
        <f>IF(ISBLANK('Event summary'!D994),"",'Event summary'!D994)</f>
        <v/>
      </c>
      <c r="F994" s="117" t="str">
        <f>IF(ISBLANK('Event summary'!E994),"",'Event summary'!E994)</f>
        <v/>
      </c>
    </row>
    <row r="995" spans="1:6" x14ac:dyDescent="0.2">
      <c r="A995" s="114" t="e">
        <f>IF(ISBLANK('Event summary'!#REF!),"",'Event summary'!#REF!)</f>
        <v>#REF!</v>
      </c>
      <c r="B995" s="115">
        <f>IF(ISBLANK('Event summary'!A995),"",'Event summary'!A995)</f>
        <v>995</v>
      </c>
      <c r="C995" s="115" t="str">
        <f>IF(ISBLANK('Event summary'!B995),"",'Event summary'!B995)</f>
        <v/>
      </c>
      <c r="D995" s="116" t="str">
        <f>IF(ISBLANK('Event summary'!C995),"",'Event summary'!C995)</f>
        <v/>
      </c>
      <c r="E995" s="116" t="str">
        <f>IF(ISBLANK('Event summary'!D995),"",'Event summary'!D995)</f>
        <v/>
      </c>
      <c r="F995" s="117" t="str">
        <f>IF(ISBLANK('Event summary'!E995),"",'Event summary'!E995)</f>
        <v/>
      </c>
    </row>
    <row r="996" spans="1:6" x14ac:dyDescent="0.2">
      <c r="A996" s="114" t="e">
        <f>IF(ISBLANK('Event summary'!#REF!),"",'Event summary'!#REF!)</f>
        <v>#REF!</v>
      </c>
      <c r="B996" s="115">
        <f>IF(ISBLANK('Event summary'!A996),"",'Event summary'!A996)</f>
        <v>996</v>
      </c>
      <c r="C996" s="115" t="str">
        <f>IF(ISBLANK('Event summary'!B996),"",'Event summary'!B996)</f>
        <v/>
      </c>
      <c r="D996" s="116" t="str">
        <f>IF(ISBLANK('Event summary'!C996),"",'Event summary'!C996)</f>
        <v/>
      </c>
      <c r="E996" s="116" t="str">
        <f>IF(ISBLANK('Event summary'!D996),"",'Event summary'!D996)</f>
        <v/>
      </c>
      <c r="F996" s="117" t="str">
        <f>IF(ISBLANK('Event summary'!E996),"",'Event summary'!E996)</f>
        <v/>
      </c>
    </row>
    <row r="997" spans="1:6" x14ac:dyDescent="0.2">
      <c r="A997" s="114" t="e">
        <f>IF(ISBLANK('Event summary'!#REF!),"",'Event summary'!#REF!)</f>
        <v>#REF!</v>
      </c>
      <c r="B997" s="115">
        <f>IF(ISBLANK('Event summary'!A997),"",'Event summary'!A997)</f>
        <v>997</v>
      </c>
      <c r="C997" s="115" t="str">
        <f>IF(ISBLANK('Event summary'!B997),"",'Event summary'!B997)</f>
        <v/>
      </c>
      <c r="D997" s="116" t="str">
        <f>IF(ISBLANK('Event summary'!C997),"",'Event summary'!C997)</f>
        <v/>
      </c>
      <c r="E997" s="116" t="str">
        <f>IF(ISBLANK('Event summary'!D997),"",'Event summary'!D997)</f>
        <v/>
      </c>
      <c r="F997" s="117" t="str">
        <f>IF(ISBLANK('Event summary'!E997),"",'Event summary'!E997)</f>
        <v/>
      </c>
    </row>
    <row r="998" spans="1:6" x14ac:dyDescent="0.2">
      <c r="A998" s="114" t="e">
        <f>IF(ISBLANK('Event summary'!#REF!),"",'Event summary'!#REF!)</f>
        <v>#REF!</v>
      </c>
      <c r="B998" s="115">
        <f>IF(ISBLANK('Event summary'!A998),"",'Event summary'!A998)</f>
        <v>998</v>
      </c>
      <c r="C998" s="115" t="str">
        <f>IF(ISBLANK('Event summary'!B998),"",'Event summary'!B998)</f>
        <v/>
      </c>
      <c r="D998" s="116" t="str">
        <f>IF(ISBLANK('Event summary'!C998),"",'Event summary'!C998)</f>
        <v/>
      </c>
      <c r="E998" s="116" t="str">
        <f>IF(ISBLANK('Event summary'!D998),"",'Event summary'!D998)</f>
        <v/>
      </c>
      <c r="F998" s="117" t="str">
        <f>IF(ISBLANK('Event summary'!E998),"",'Event summary'!E998)</f>
        <v/>
      </c>
    </row>
    <row r="999" spans="1:6" x14ac:dyDescent="0.2">
      <c r="A999" s="114" t="e">
        <f>IF(ISBLANK('Event summary'!#REF!),"",'Event summary'!#REF!)</f>
        <v>#REF!</v>
      </c>
      <c r="B999" s="115">
        <f>IF(ISBLANK('Event summary'!A999),"",'Event summary'!A999)</f>
        <v>999</v>
      </c>
      <c r="C999" s="115" t="str">
        <f>IF(ISBLANK('Event summary'!B999),"",'Event summary'!B999)</f>
        <v/>
      </c>
      <c r="D999" s="116" t="str">
        <f>IF(ISBLANK('Event summary'!C999),"",'Event summary'!C999)</f>
        <v/>
      </c>
      <c r="E999" s="116" t="str">
        <f>IF(ISBLANK('Event summary'!D999),"",'Event summary'!D999)</f>
        <v/>
      </c>
      <c r="F999" s="117" t="str">
        <f>IF(ISBLANK('Event summary'!E999),"",'Event summary'!E999)</f>
        <v/>
      </c>
    </row>
    <row r="1000" spans="1:6" x14ac:dyDescent="0.2">
      <c r="A1000" s="114" t="e">
        <f>IF(ISBLANK('Event summary'!#REF!),"",'Event summary'!#REF!)</f>
        <v>#REF!</v>
      </c>
      <c r="B1000" s="115">
        <f>IF(ISBLANK('Event summary'!A1000),"",'Event summary'!A1000)</f>
        <v>1000</v>
      </c>
      <c r="C1000" s="115" t="str">
        <f>IF(ISBLANK('Event summary'!B1000),"",'Event summary'!B1000)</f>
        <v/>
      </c>
      <c r="D1000" s="116" t="str">
        <f>IF(ISBLANK('Event summary'!C1000),"",'Event summary'!C1000)</f>
        <v/>
      </c>
      <c r="E1000" s="116" t="str">
        <f>IF(ISBLANK('Event summary'!D1000),"",'Event summary'!D1000)</f>
        <v/>
      </c>
      <c r="F1000" s="117" t="str">
        <f>IF(ISBLANK('Event summary'!E1000),"",'Event summary'!E1000)</f>
        <v/>
      </c>
    </row>
    <row r="1001" spans="1:6" x14ac:dyDescent="0.2">
      <c r="A1001" s="114" t="e">
        <f>IF(ISBLANK('Event summary'!#REF!),"",'Event summary'!#REF!)</f>
        <v>#REF!</v>
      </c>
      <c r="B1001" s="115">
        <f>IF(ISBLANK('Event summary'!A1001),"",'Event summary'!A1001)</f>
        <v>1001</v>
      </c>
      <c r="C1001" s="115" t="str">
        <f>IF(ISBLANK('Event summary'!B1001),"",'Event summary'!B1001)</f>
        <v/>
      </c>
      <c r="D1001" s="116" t="str">
        <f>IF(ISBLANK('Event summary'!C1001),"",'Event summary'!C1001)</f>
        <v/>
      </c>
      <c r="E1001" s="116" t="str">
        <f>IF(ISBLANK('Event summary'!D1001),"",'Event summary'!D1001)</f>
        <v/>
      </c>
      <c r="F1001" s="117" t="str">
        <f>IF(ISBLANK('Event summary'!E1001),"",'Event summary'!E1001)</f>
        <v/>
      </c>
    </row>
    <row r="1002" spans="1:6" x14ac:dyDescent="0.2">
      <c r="A1002" s="114" t="e">
        <f>IF(ISBLANK('Event summary'!#REF!),"",'Event summary'!#REF!)</f>
        <v>#REF!</v>
      </c>
      <c r="B1002" s="115">
        <f>IF(ISBLANK('Event summary'!A1002),"",'Event summary'!A1002)</f>
        <v>1002</v>
      </c>
      <c r="C1002" s="115" t="str">
        <f>IF(ISBLANK('Event summary'!B1002),"",'Event summary'!B1002)</f>
        <v/>
      </c>
      <c r="D1002" s="116" t="str">
        <f>IF(ISBLANK('Event summary'!C1002),"",'Event summary'!C1002)</f>
        <v/>
      </c>
      <c r="E1002" s="116" t="str">
        <f>IF(ISBLANK('Event summary'!D1002),"",'Event summary'!D1002)</f>
        <v/>
      </c>
      <c r="F1002" s="117" t="str">
        <f>IF(ISBLANK('Event summary'!E1002),"",'Event summary'!E1002)</f>
        <v/>
      </c>
    </row>
    <row r="1003" spans="1:6" x14ac:dyDescent="0.2">
      <c r="A1003" s="114" t="e">
        <f>IF(ISBLANK('Event summary'!#REF!),"",'Event summary'!#REF!)</f>
        <v>#REF!</v>
      </c>
      <c r="B1003" s="115">
        <f>IF(ISBLANK('Event summary'!A1003),"",'Event summary'!A1003)</f>
        <v>1003</v>
      </c>
      <c r="C1003" s="115" t="str">
        <f>IF(ISBLANK('Event summary'!B1003),"",'Event summary'!B1003)</f>
        <v/>
      </c>
      <c r="D1003" s="116" t="str">
        <f>IF(ISBLANK('Event summary'!C1003),"",'Event summary'!C1003)</f>
        <v/>
      </c>
      <c r="E1003" s="116" t="str">
        <f>IF(ISBLANK('Event summary'!D1003),"",'Event summary'!D1003)</f>
        <v/>
      </c>
      <c r="F1003" s="117" t="str">
        <f>IF(ISBLANK('Event summary'!E1003),"",'Event summary'!E1003)</f>
        <v/>
      </c>
    </row>
    <row r="1004" spans="1:6" x14ac:dyDescent="0.2">
      <c r="A1004" s="114" t="e">
        <f>IF(ISBLANK('Event summary'!#REF!),"",'Event summary'!#REF!)</f>
        <v>#REF!</v>
      </c>
      <c r="B1004" s="115">
        <f>IF(ISBLANK('Event summary'!A1004),"",'Event summary'!A1004)</f>
        <v>1004</v>
      </c>
      <c r="C1004" s="115" t="str">
        <f>IF(ISBLANK('Event summary'!B1004),"",'Event summary'!B1004)</f>
        <v/>
      </c>
      <c r="D1004" s="116" t="str">
        <f>IF(ISBLANK('Event summary'!C1004),"",'Event summary'!C1004)</f>
        <v/>
      </c>
      <c r="E1004" s="116" t="str">
        <f>IF(ISBLANK('Event summary'!D1004),"",'Event summary'!D1004)</f>
        <v/>
      </c>
      <c r="F1004" s="117" t="str">
        <f>IF(ISBLANK('Event summary'!E1004),"",'Event summary'!E1004)</f>
        <v/>
      </c>
    </row>
    <row r="1005" spans="1:6" x14ac:dyDescent="0.2">
      <c r="A1005" s="114" t="e">
        <f>IF(ISBLANK('Event summary'!#REF!),"",'Event summary'!#REF!)</f>
        <v>#REF!</v>
      </c>
      <c r="B1005" s="115">
        <f>IF(ISBLANK('Event summary'!A1005),"",'Event summary'!A1005)</f>
        <v>1005</v>
      </c>
      <c r="C1005" s="115" t="str">
        <f>IF(ISBLANK('Event summary'!B1005),"",'Event summary'!B1005)</f>
        <v/>
      </c>
      <c r="D1005" s="116" t="str">
        <f>IF(ISBLANK('Event summary'!C1005),"",'Event summary'!C1005)</f>
        <v/>
      </c>
      <c r="E1005" s="116" t="str">
        <f>IF(ISBLANK('Event summary'!D1005),"",'Event summary'!D1005)</f>
        <v/>
      </c>
      <c r="F1005" s="117" t="str">
        <f>IF(ISBLANK('Event summary'!E1005),"",'Event summary'!E1005)</f>
        <v/>
      </c>
    </row>
    <row r="1006" spans="1:6" x14ac:dyDescent="0.2">
      <c r="A1006" s="114" t="e">
        <f>IF(ISBLANK('Event summary'!#REF!),"",'Event summary'!#REF!)</f>
        <v>#REF!</v>
      </c>
      <c r="B1006" s="115">
        <f>IF(ISBLANK('Event summary'!A1006),"",'Event summary'!A1006)</f>
        <v>1006</v>
      </c>
      <c r="C1006" s="115" t="str">
        <f>IF(ISBLANK('Event summary'!B1006),"",'Event summary'!B1006)</f>
        <v/>
      </c>
      <c r="D1006" s="116" t="str">
        <f>IF(ISBLANK('Event summary'!C1006),"",'Event summary'!C1006)</f>
        <v/>
      </c>
      <c r="E1006" s="116" t="str">
        <f>IF(ISBLANK('Event summary'!D1006),"",'Event summary'!D1006)</f>
        <v/>
      </c>
      <c r="F1006" s="117" t="str">
        <f>IF(ISBLANK('Event summary'!E1006),"",'Event summary'!E1006)</f>
        <v/>
      </c>
    </row>
    <row r="1007" spans="1:6" x14ac:dyDescent="0.2">
      <c r="A1007" s="114" t="e">
        <f>IF(ISBLANK('Event summary'!#REF!),"",'Event summary'!#REF!)</f>
        <v>#REF!</v>
      </c>
      <c r="B1007" s="115">
        <f>IF(ISBLANK('Event summary'!A1007),"",'Event summary'!A1007)</f>
        <v>1007</v>
      </c>
      <c r="C1007" s="115" t="str">
        <f>IF(ISBLANK('Event summary'!B1007),"",'Event summary'!B1007)</f>
        <v/>
      </c>
      <c r="D1007" s="116" t="str">
        <f>IF(ISBLANK('Event summary'!C1007),"",'Event summary'!C1007)</f>
        <v/>
      </c>
      <c r="E1007" s="116" t="str">
        <f>IF(ISBLANK('Event summary'!D1007),"",'Event summary'!D1007)</f>
        <v/>
      </c>
      <c r="F1007" s="117" t="str">
        <f>IF(ISBLANK('Event summary'!E1007),"",'Event summary'!E1007)</f>
        <v/>
      </c>
    </row>
    <row r="1008" spans="1:6" x14ac:dyDescent="0.2">
      <c r="A1008" s="114" t="e">
        <f>IF(ISBLANK('Event summary'!#REF!),"",'Event summary'!#REF!)</f>
        <v>#REF!</v>
      </c>
      <c r="B1008" s="115">
        <f>IF(ISBLANK('Event summary'!A1008),"",'Event summary'!A1008)</f>
        <v>1008</v>
      </c>
      <c r="C1008" s="115" t="str">
        <f>IF(ISBLANK('Event summary'!B1008),"",'Event summary'!B1008)</f>
        <v/>
      </c>
      <c r="D1008" s="116" t="str">
        <f>IF(ISBLANK('Event summary'!C1008),"",'Event summary'!C1008)</f>
        <v/>
      </c>
      <c r="E1008" s="116" t="str">
        <f>IF(ISBLANK('Event summary'!D1008),"",'Event summary'!D1008)</f>
        <v/>
      </c>
      <c r="F1008" s="117" t="str">
        <f>IF(ISBLANK('Event summary'!E1008),"",'Event summary'!E1008)</f>
        <v/>
      </c>
    </row>
    <row r="1009" spans="1:6" x14ac:dyDescent="0.2">
      <c r="A1009" s="114" t="e">
        <f>IF(ISBLANK('Event summary'!#REF!),"",'Event summary'!#REF!)</f>
        <v>#REF!</v>
      </c>
      <c r="B1009" s="115">
        <f>IF(ISBLANK('Event summary'!A1009),"",'Event summary'!A1009)</f>
        <v>1009</v>
      </c>
      <c r="C1009" s="115" t="str">
        <f>IF(ISBLANK('Event summary'!B1009),"",'Event summary'!B1009)</f>
        <v/>
      </c>
      <c r="D1009" s="116" t="str">
        <f>IF(ISBLANK('Event summary'!C1009),"",'Event summary'!C1009)</f>
        <v/>
      </c>
      <c r="E1009" s="116" t="str">
        <f>IF(ISBLANK('Event summary'!D1009),"",'Event summary'!D1009)</f>
        <v/>
      </c>
      <c r="F1009" s="117" t="str">
        <f>IF(ISBLANK('Event summary'!E1009),"",'Event summary'!E1009)</f>
        <v/>
      </c>
    </row>
    <row r="1010" spans="1:6" x14ac:dyDescent="0.2">
      <c r="A1010" s="114" t="e">
        <f>IF(ISBLANK('Event summary'!#REF!),"",'Event summary'!#REF!)</f>
        <v>#REF!</v>
      </c>
      <c r="B1010" s="115">
        <f>IF(ISBLANK('Event summary'!A1010),"",'Event summary'!A1010)</f>
        <v>1010</v>
      </c>
      <c r="C1010" s="115" t="str">
        <f>IF(ISBLANK('Event summary'!B1010),"",'Event summary'!B1010)</f>
        <v/>
      </c>
      <c r="D1010" s="116" t="str">
        <f>IF(ISBLANK('Event summary'!C1010),"",'Event summary'!C1010)</f>
        <v/>
      </c>
      <c r="E1010" s="116" t="str">
        <f>IF(ISBLANK('Event summary'!D1010),"",'Event summary'!D1010)</f>
        <v/>
      </c>
      <c r="F1010" s="117" t="str">
        <f>IF(ISBLANK('Event summary'!E1010),"",'Event summary'!E1010)</f>
        <v/>
      </c>
    </row>
    <row r="1011" spans="1:6" x14ac:dyDescent="0.2">
      <c r="A1011" s="114" t="e">
        <f>IF(ISBLANK('Event summary'!#REF!),"",'Event summary'!#REF!)</f>
        <v>#REF!</v>
      </c>
      <c r="B1011" s="115">
        <f>IF(ISBLANK('Event summary'!A1011),"",'Event summary'!A1011)</f>
        <v>1011</v>
      </c>
      <c r="C1011" s="115" t="str">
        <f>IF(ISBLANK('Event summary'!B1011),"",'Event summary'!B1011)</f>
        <v/>
      </c>
      <c r="D1011" s="116" t="str">
        <f>IF(ISBLANK('Event summary'!C1011),"",'Event summary'!C1011)</f>
        <v/>
      </c>
      <c r="E1011" s="116" t="str">
        <f>IF(ISBLANK('Event summary'!D1011),"",'Event summary'!D1011)</f>
        <v/>
      </c>
      <c r="F1011" s="117" t="str">
        <f>IF(ISBLANK('Event summary'!E1011),"",'Event summary'!E1011)</f>
        <v/>
      </c>
    </row>
    <row r="1012" spans="1:6" x14ac:dyDescent="0.2">
      <c r="A1012" s="114" t="e">
        <f>IF(ISBLANK('Event summary'!#REF!),"",'Event summary'!#REF!)</f>
        <v>#REF!</v>
      </c>
      <c r="B1012" s="115">
        <f>IF(ISBLANK('Event summary'!A1012),"",'Event summary'!A1012)</f>
        <v>1012</v>
      </c>
      <c r="C1012" s="115" t="str">
        <f>IF(ISBLANK('Event summary'!B1012),"",'Event summary'!B1012)</f>
        <v/>
      </c>
      <c r="D1012" s="116" t="str">
        <f>IF(ISBLANK('Event summary'!C1012),"",'Event summary'!C1012)</f>
        <v/>
      </c>
      <c r="E1012" s="116" t="str">
        <f>IF(ISBLANK('Event summary'!D1012),"",'Event summary'!D1012)</f>
        <v/>
      </c>
      <c r="F1012" s="117" t="str">
        <f>IF(ISBLANK('Event summary'!E1012),"",'Event summary'!E1012)</f>
        <v/>
      </c>
    </row>
    <row r="1013" spans="1:6" x14ac:dyDescent="0.2">
      <c r="A1013" s="114" t="e">
        <f>IF(ISBLANK('Event summary'!#REF!),"",'Event summary'!#REF!)</f>
        <v>#REF!</v>
      </c>
      <c r="B1013" s="115">
        <f>IF(ISBLANK('Event summary'!A1013),"",'Event summary'!A1013)</f>
        <v>1013</v>
      </c>
      <c r="C1013" s="115" t="str">
        <f>IF(ISBLANK('Event summary'!B1013),"",'Event summary'!B1013)</f>
        <v/>
      </c>
      <c r="D1013" s="116" t="str">
        <f>IF(ISBLANK('Event summary'!C1013),"",'Event summary'!C1013)</f>
        <v/>
      </c>
      <c r="E1013" s="116" t="str">
        <f>IF(ISBLANK('Event summary'!D1013),"",'Event summary'!D1013)</f>
        <v/>
      </c>
      <c r="F1013" s="117" t="str">
        <f>IF(ISBLANK('Event summary'!E1013),"",'Event summary'!E1013)</f>
        <v/>
      </c>
    </row>
    <row r="1014" spans="1:6" x14ac:dyDescent="0.2">
      <c r="A1014" s="114" t="e">
        <f>IF(ISBLANK('Event summary'!#REF!),"",'Event summary'!#REF!)</f>
        <v>#REF!</v>
      </c>
      <c r="B1014" s="115">
        <f>IF(ISBLANK('Event summary'!A1014),"",'Event summary'!A1014)</f>
        <v>1014</v>
      </c>
      <c r="C1014" s="115" t="str">
        <f>IF(ISBLANK('Event summary'!B1014),"",'Event summary'!B1014)</f>
        <v/>
      </c>
      <c r="D1014" s="116" t="str">
        <f>IF(ISBLANK('Event summary'!C1014),"",'Event summary'!C1014)</f>
        <v/>
      </c>
      <c r="E1014" s="116" t="str">
        <f>IF(ISBLANK('Event summary'!D1014),"",'Event summary'!D1014)</f>
        <v/>
      </c>
      <c r="F1014" s="117" t="str">
        <f>IF(ISBLANK('Event summary'!E1014),"",'Event summary'!E1014)</f>
        <v/>
      </c>
    </row>
    <row r="1015" spans="1:6" x14ac:dyDescent="0.2">
      <c r="A1015" s="114" t="e">
        <f>IF(ISBLANK('Event summary'!#REF!),"",'Event summary'!#REF!)</f>
        <v>#REF!</v>
      </c>
      <c r="B1015" s="115">
        <f>IF(ISBLANK('Event summary'!A1015),"",'Event summary'!A1015)</f>
        <v>1015</v>
      </c>
      <c r="C1015" s="115" t="str">
        <f>IF(ISBLANK('Event summary'!B1015),"",'Event summary'!B1015)</f>
        <v/>
      </c>
      <c r="D1015" s="116" t="str">
        <f>IF(ISBLANK('Event summary'!C1015),"",'Event summary'!C1015)</f>
        <v/>
      </c>
      <c r="E1015" s="116" t="str">
        <f>IF(ISBLANK('Event summary'!D1015),"",'Event summary'!D1015)</f>
        <v/>
      </c>
      <c r="F1015" s="117" t="str">
        <f>IF(ISBLANK('Event summary'!E1015),"",'Event summary'!E1015)</f>
        <v/>
      </c>
    </row>
    <row r="1016" spans="1:6" x14ac:dyDescent="0.2">
      <c r="A1016" s="114" t="e">
        <f>IF(ISBLANK('Event summary'!#REF!),"",'Event summary'!#REF!)</f>
        <v>#REF!</v>
      </c>
      <c r="B1016" s="115">
        <f>IF(ISBLANK('Event summary'!A1016),"",'Event summary'!A1016)</f>
        <v>1016</v>
      </c>
      <c r="C1016" s="115" t="str">
        <f>IF(ISBLANK('Event summary'!B1016),"",'Event summary'!B1016)</f>
        <v/>
      </c>
      <c r="D1016" s="116" t="str">
        <f>IF(ISBLANK('Event summary'!C1016),"",'Event summary'!C1016)</f>
        <v/>
      </c>
      <c r="E1016" s="116" t="str">
        <f>IF(ISBLANK('Event summary'!D1016),"",'Event summary'!D1016)</f>
        <v/>
      </c>
      <c r="F1016" s="117" t="str">
        <f>IF(ISBLANK('Event summary'!E1016),"",'Event summary'!E1016)</f>
        <v/>
      </c>
    </row>
    <row r="1017" spans="1:6" x14ac:dyDescent="0.2">
      <c r="A1017" s="114" t="e">
        <f>IF(ISBLANK('Event summary'!#REF!),"",'Event summary'!#REF!)</f>
        <v>#REF!</v>
      </c>
      <c r="B1017" s="115">
        <f>IF(ISBLANK('Event summary'!A1017),"",'Event summary'!A1017)</f>
        <v>1017</v>
      </c>
      <c r="C1017" s="115" t="str">
        <f>IF(ISBLANK('Event summary'!B1017),"",'Event summary'!B1017)</f>
        <v/>
      </c>
      <c r="D1017" s="116" t="str">
        <f>IF(ISBLANK('Event summary'!C1017),"",'Event summary'!C1017)</f>
        <v/>
      </c>
      <c r="E1017" s="116" t="str">
        <f>IF(ISBLANK('Event summary'!D1017),"",'Event summary'!D1017)</f>
        <v/>
      </c>
      <c r="F1017" s="117" t="str">
        <f>IF(ISBLANK('Event summary'!E1017),"",'Event summary'!E1017)</f>
        <v/>
      </c>
    </row>
    <row r="1018" spans="1:6" x14ac:dyDescent="0.2">
      <c r="A1018" s="114" t="e">
        <f>IF(ISBLANK('Event summary'!#REF!),"",'Event summary'!#REF!)</f>
        <v>#REF!</v>
      </c>
      <c r="B1018" s="115">
        <f>IF(ISBLANK('Event summary'!A1018),"",'Event summary'!A1018)</f>
        <v>1018</v>
      </c>
      <c r="C1018" s="115" t="str">
        <f>IF(ISBLANK('Event summary'!B1018),"",'Event summary'!B1018)</f>
        <v/>
      </c>
      <c r="D1018" s="116" t="str">
        <f>IF(ISBLANK('Event summary'!C1018),"",'Event summary'!C1018)</f>
        <v/>
      </c>
      <c r="E1018" s="116" t="str">
        <f>IF(ISBLANK('Event summary'!D1018),"",'Event summary'!D1018)</f>
        <v/>
      </c>
      <c r="F1018" s="117" t="str">
        <f>IF(ISBLANK('Event summary'!E1018),"",'Event summary'!E1018)</f>
        <v/>
      </c>
    </row>
    <row r="1019" spans="1:6" x14ac:dyDescent="0.2">
      <c r="A1019" s="114" t="e">
        <f>IF(ISBLANK('Event summary'!#REF!),"",'Event summary'!#REF!)</f>
        <v>#REF!</v>
      </c>
      <c r="B1019" s="115">
        <f>IF(ISBLANK('Event summary'!A1019),"",'Event summary'!A1019)</f>
        <v>1019</v>
      </c>
      <c r="C1019" s="115" t="str">
        <f>IF(ISBLANK('Event summary'!B1019),"",'Event summary'!B1019)</f>
        <v/>
      </c>
      <c r="D1019" s="116" t="str">
        <f>IF(ISBLANK('Event summary'!C1019),"",'Event summary'!C1019)</f>
        <v/>
      </c>
      <c r="E1019" s="116" t="str">
        <f>IF(ISBLANK('Event summary'!D1019),"",'Event summary'!D1019)</f>
        <v/>
      </c>
      <c r="F1019" s="117" t="str">
        <f>IF(ISBLANK('Event summary'!E1019),"",'Event summary'!E1019)</f>
        <v/>
      </c>
    </row>
    <row r="1020" spans="1:6" x14ac:dyDescent="0.2">
      <c r="A1020" s="114" t="e">
        <f>IF(ISBLANK('Event summary'!#REF!),"",'Event summary'!#REF!)</f>
        <v>#REF!</v>
      </c>
      <c r="B1020" s="115">
        <f>IF(ISBLANK('Event summary'!A1020),"",'Event summary'!A1020)</f>
        <v>1020</v>
      </c>
      <c r="C1020" s="115" t="str">
        <f>IF(ISBLANK('Event summary'!B1020),"",'Event summary'!B1020)</f>
        <v/>
      </c>
      <c r="D1020" s="116" t="str">
        <f>IF(ISBLANK('Event summary'!C1020),"",'Event summary'!C1020)</f>
        <v/>
      </c>
      <c r="E1020" s="116" t="str">
        <f>IF(ISBLANK('Event summary'!D1020),"",'Event summary'!D1020)</f>
        <v/>
      </c>
      <c r="F1020" s="117" t="str">
        <f>IF(ISBLANK('Event summary'!E1020),"",'Event summary'!E1020)</f>
        <v/>
      </c>
    </row>
    <row r="1021" spans="1:6" x14ac:dyDescent="0.2">
      <c r="A1021" s="114" t="e">
        <f>IF(ISBLANK('Event summary'!#REF!),"",'Event summary'!#REF!)</f>
        <v>#REF!</v>
      </c>
      <c r="B1021" s="115">
        <f>IF(ISBLANK('Event summary'!A1021),"",'Event summary'!A1021)</f>
        <v>1021</v>
      </c>
      <c r="C1021" s="115" t="str">
        <f>IF(ISBLANK('Event summary'!B1021),"",'Event summary'!B1021)</f>
        <v/>
      </c>
      <c r="D1021" s="116" t="str">
        <f>IF(ISBLANK('Event summary'!C1021),"",'Event summary'!C1021)</f>
        <v/>
      </c>
      <c r="E1021" s="116" t="str">
        <f>IF(ISBLANK('Event summary'!D1021),"",'Event summary'!D1021)</f>
        <v/>
      </c>
      <c r="F1021" s="117" t="str">
        <f>IF(ISBLANK('Event summary'!E1021),"",'Event summary'!E1021)</f>
        <v/>
      </c>
    </row>
    <row r="1022" spans="1:6" x14ac:dyDescent="0.2">
      <c r="A1022" s="114" t="e">
        <f>IF(ISBLANK('Event summary'!#REF!),"",'Event summary'!#REF!)</f>
        <v>#REF!</v>
      </c>
      <c r="B1022" s="115">
        <f>IF(ISBLANK('Event summary'!A1022),"",'Event summary'!A1022)</f>
        <v>1022</v>
      </c>
      <c r="C1022" s="115" t="str">
        <f>IF(ISBLANK('Event summary'!B1022),"",'Event summary'!B1022)</f>
        <v/>
      </c>
      <c r="D1022" s="116" t="str">
        <f>IF(ISBLANK('Event summary'!C1022),"",'Event summary'!C1022)</f>
        <v/>
      </c>
      <c r="E1022" s="116" t="str">
        <f>IF(ISBLANK('Event summary'!D1022),"",'Event summary'!D1022)</f>
        <v/>
      </c>
      <c r="F1022" s="117" t="str">
        <f>IF(ISBLANK('Event summary'!E1022),"",'Event summary'!E1022)</f>
        <v/>
      </c>
    </row>
    <row r="1023" spans="1:6" x14ac:dyDescent="0.2">
      <c r="A1023" s="114" t="e">
        <f>IF(ISBLANK('Event summary'!#REF!),"",'Event summary'!#REF!)</f>
        <v>#REF!</v>
      </c>
      <c r="B1023" s="115">
        <f>IF(ISBLANK('Event summary'!A1023),"",'Event summary'!A1023)</f>
        <v>1023</v>
      </c>
      <c r="C1023" s="115" t="str">
        <f>IF(ISBLANK('Event summary'!B1023),"",'Event summary'!B1023)</f>
        <v/>
      </c>
      <c r="D1023" s="116" t="str">
        <f>IF(ISBLANK('Event summary'!C1023),"",'Event summary'!C1023)</f>
        <v/>
      </c>
      <c r="E1023" s="116" t="str">
        <f>IF(ISBLANK('Event summary'!D1023),"",'Event summary'!D1023)</f>
        <v/>
      </c>
      <c r="F1023" s="117" t="str">
        <f>IF(ISBLANK('Event summary'!E1023),"",'Event summary'!E1023)</f>
        <v/>
      </c>
    </row>
    <row r="1024" spans="1:6" x14ac:dyDescent="0.2">
      <c r="A1024" s="114" t="e">
        <f>IF(ISBLANK('Event summary'!#REF!),"",'Event summary'!#REF!)</f>
        <v>#REF!</v>
      </c>
      <c r="B1024" s="115">
        <f>IF(ISBLANK('Event summary'!A1024),"",'Event summary'!A1024)</f>
        <v>1024</v>
      </c>
      <c r="C1024" s="115" t="str">
        <f>IF(ISBLANK('Event summary'!B1024),"",'Event summary'!B1024)</f>
        <v/>
      </c>
      <c r="D1024" s="116" t="str">
        <f>IF(ISBLANK('Event summary'!C1024),"",'Event summary'!C1024)</f>
        <v/>
      </c>
      <c r="E1024" s="116" t="str">
        <f>IF(ISBLANK('Event summary'!D1024),"",'Event summary'!D1024)</f>
        <v/>
      </c>
      <c r="F1024" s="117" t="str">
        <f>IF(ISBLANK('Event summary'!E1024),"",'Event summary'!E1024)</f>
        <v/>
      </c>
    </row>
    <row r="1025" spans="1:6" x14ac:dyDescent="0.2">
      <c r="A1025" s="114" t="e">
        <f>IF(ISBLANK('Event summary'!#REF!),"",'Event summary'!#REF!)</f>
        <v>#REF!</v>
      </c>
      <c r="B1025" s="115">
        <f>IF(ISBLANK('Event summary'!A1025),"",'Event summary'!A1025)</f>
        <v>1025</v>
      </c>
      <c r="C1025" s="115" t="str">
        <f>IF(ISBLANK('Event summary'!B1025),"",'Event summary'!B1025)</f>
        <v/>
      </c>
      <c r="D1025" s="116" t="str">
        <f>IF(ISBLANK('Event summary'!C1025),"",'Event summary'!C1025)</f>
        <v/>
      </c>
      <c r="E1025" s="116" t="str">
        <f>IF(ISBLANK('Event summary'!D1025),"",'Event summary'!D1025)</f>
        <v/>
      </c>
      <c r="F1025" s="117" t="str">
        <f>IF(ISBLANK('Event summary'!E1025),"",'Event summary'!E1025)</f>
        <v/>
      </c>
    </row>
    <row r="1026" spans="1:6" x14ac:dyDescent="0.2">
      <c r="A1026" s="114" t="e">
        <f>IF(ISBLANK('Event summary'!#REF!),"",'Event summary'!#REF!)</f>
        <v>#REF!</v>
      </c>
      <c r="B1026" s="115">
        <f>IF(ISBLANK('Event summary'!A1026),"",'Event summary'!A1026)</f>
        <v>1026</v>
      </c>
      <c r="C1026" s="115" t="str">
        <f>IF(ISBLANK('Event summary'!B1026),"",'Event summary'!B1026)</f>
        <v/>
      </c>
      <c r="D1026" s="116" t="str">
        <f>IF(ISBLANK('Event summary'!C1026),"",'Event summary'!C1026)</f>
        <v/>
      </c>
      <c r="E1026" s="116" t="str">
        <f>IF(ISBLANK('Event summary'!D1026),"",'Event summary'!D1026)</f>
        <v/>
      </c>
      <c r="F1026" s="117" t="str">
        <f>IF(ISBLANK('Event summary'!E1026),"",'Event summary'!E1026)</f>
        <v/>
      </c>
    </row>
    <row r="1027" spans="1:6" x14ac:dyDescent="0.2">
      <c r="A1027" s="114" t="e">
        <f>IF(ISBLANK('Event summary'!#REF!),"",'Event summary'!#REF!)</f>
        <v>#REF!</v>
      </c>
      <c r="B1027" s="115">
        <f>IF(ISBLANK('Event summary'!A1027),"",'Event summary'!A1027)</f>
        <v>1027</v>
      </c>
      <c r="C1027" s="115" t="str">
        <f>IF(ISBLANK('Event summary'!B1027),"",'Event summary'!B1027)</f>
        <v/>
      </c>
      <c r="D1027" s="116" t="str">
        <f>IF(ISBLANK('Event summary'!C1027),"",'Event summary'!C1027)</f>
        <v/>
      </c>
      <c r="E1027" s="116" t="str">
        <f>IF(ISBLANK('Event summary'!D1027),"",'Event summary'!D1027)</f>
        <v/>
      </c>
      <c r="F1027" s="117" t="str">
        <f>IF(ISBLANK('Event summary'!E1027),"",'Event summary'!E1027)</f>
        <v/>
      </c>
    </row>
    <row r="1028" spans="1:6" x14ac:dyDescent="0.2">
      <c r="A1028" s="114" t="e">
        <f>IF(ISBLANK('Event summary'!#REF!),"",'Event summary'!#REF!)</f>
        <v>#REF!</v>
      </c>
      <c r="B1028" s="115">
        <f>IF(ISBLANK('Event summary'!A1028),"",'Event summary'!A1028)</f>
        <v>1028</v>
      </c>
      <c r="C1028" s="115" t="str">
        <f>IF(ISBLANK('Event summary'!B1028),"",'Event summary'!B1028)</f>
        <v/>
      </c>
      <c r="D1028" s="116" t="str">
        <f>IF(ISBLANK('Event summary'!C1028),"",'Event summary'!C1028)</f>
        <v/>
      </c>
      <c r="E1028" s="116" t="str">
        <f>IF(ISBLANK('Event summary'!D1028),"",'Event summary'!D1028)</f>
        <v/>
      </c>
      <c r="F1028" s="117" t="str">
        <f>IF(ISBLANK('Event summary'!E1028),"",'Event summary'!E1028)</f>
        <v/>
      </c>
    </row>
    <row r="1029" spans="1:6" x14ac:dyDescent="0.2">
      <c r="A1029" s="114" t="e">
        <f>IF(ISBLANK('Event summary'!#REF!),"",'Event summary'!#REF!)</f>
        <v>#REF!</v>
      </c>
      <c r="B1029" s="115">
        <f>IF(ISBLANK('Event summary'!A1029),"",'Event summary'!A1029)</f>
        <v>1029</v>
      </c>
      <c r="C1029" s="115" t="str">
        <f>IF(ISBLANK('Event summary'!B1029),"",'Event summary'!B1029)</f>
        <v/>
      </c>
      <c r="D1029" s="116" t="str">
        <f>IF(ISBLANK('Event summary'!C1029),"",'Event summary'!C1029)</f>
        <v/>
      </c>
      <c r="E1029" s="116" t="str">
        <f>IF(ISBLANK('Event summary'!D1029),"",'Event summary'!D1029)</f>
        <v/>
      </c>
      <c r="F1029" s="117" t="str">
        <f>IF(ISBLANK('Event summary'!E1029),"",'Event summary'!E1029)</f>
        <v/>
      </c>
    </row>
    <row r="1030" spans="1:6" x14ac:dyDescent="0.2">
      <c r="A1030" s="114" t="e">
        <f>IF(ISBLANK('Event summary'!#REF!),"",'Event summary'!#REF!)</f>
        <v>#REF!</v>
      </c>
      <c r="B1030" s="115">
        <f>IF(ISBLANK('Event summary'!A1030),"",'Event summary'!A1030)</f>
        <v>1030</v>
      </c>
      <c r="C1030" s="115" t="str">
        <f>IF(ISBLANK('Event summary'!B1030),"",'Event summary'!B1030)</f>
        <v/>
      </c>
      <c r="D1030" s="116" t="str">
        <f>IF(ISBLANK('Event summary'!C1030),"",'Event summary'!C1030)</f>
        <v/>
      </c>
      <c r="E1030" s="116" t="str">
        <f>IF(ISBLANK('Event summary'!D1030),"",'Event summary'!D1030)</f>
        <v/>
      </c>
      <c r="F1030" s="117" t="str">
        <f>IF(ISBLANK('Event summary'!E1030),"",'Event summary'!E1030)</f>
        <v/>
      </c>
    </row>
    <row r="1031" spans="1:6" x14ac:dyDescent="0.2">
      <c r="A1031" s="114" t="e">
        <f>IF(ISBLANK('Event summary'!#REF!),"",'Event summary'!#REF!)</f>
        <v>#REF!</v>
      </c>
      <c r="B1031" s="115">
        <f>IF(ISBLANK('Event summary'!A1031),"",'Event summary'!A1031)</f>
        <v>1031</v>
      </c>
      <c r="C1031" s="115" t="str">
        <f>IF(ISBLANK('Event summary'!B1031),"",'Event summary'!B1031)</f>
        <v/>
      </c>
      <c r="D1031" s="116" t="str">
        <f>IF(ISBLANK('Event summary'!C1031),"",'Event summary'!C1031)</f>
        <v/>
      </c>
      <c r="E1031" s="116" t="str">
        <f>IF(ISBLANK('Event summary'!D1031),"",'Event summary'!D1031)</f>
        <v/>
      </c>
      <c r="F1031" s="117" t="str">
        <f>IF(ISBLANK('Event summary'!E1031),"",'Event summary'!E1031)</f>
        <v/>
      </c>
    </row>
    <row r="1032" spans="1:6" x14ac:dyDescent="0.2">
      <c r="A1032" s="114" t="e">
        <f>IF(ISBLANK('Event summary'!#REF!),"",'Event summary'!#REF!)</f>
        <v>#REF!</v>
      </c>
      <c r="B1032" s="115">
        <f>IF(ISBLANK('Event summary'!A1032),"",'Event summary'!A1032)</f>
        <v>1032</v>
      </c>
      <c r="C1032" s="115" t="str">
        <f>IF(ISBLANK('Event summary'!B1032),"",'Event summary'!B1032)</f>
        <v/>
      </c>
      <c r="D1032" s="116" t="str">
        <f>IF(ISBLANK('Event summary'!C1032),"",'Event summary'!C1032)</f>
        <v/>
      </c>
      <c r="E1032" s="116" t="str">
        <f>IF(ISBLANK('Event summary'!D1032),"",'Event summary'!D1032)</f>
        <v/>
      </c>
      <c r="F1032" s="117" t="str">
        <f>IF(ISBLANK('Event summary'!E1032),"",'Event summary'!E1032)</f>
        <v/>
      </c>
    </row>
    <row r="1033" spans="1:6" x14ac:dyDescent="0.2">
      <c r="A1033" s="114" t="e">
        <f>IF(ISBLANK('Event summary'!#REF!),"",'Event summary'!#REF!)</f>
        <v>#REF!</v>
      </c>
      <c r="B1033" s="115">
        <f>IF(ISBLANK('Event summary'!A1033),"",'Event summary'!A1033)</f>
        <v>1033</v>
      </c>
      <c r="C1033" s="115" t="str">
        <f>IF(ISBLANK('Event summary'!B1033),"",'Event summary'!B1033)</f>
        <v/>
      </c>
      <c r="D1033" s="116" t="str">
        <f>IF(ISBLANK('Event summary'!C1033),"",'Event summary'!C1033)</f>
        <v/>
      </c>
      <c r="E1033" s="116" t="str">
        <f>IF(ISBLANK('Event summary'!D1033),"",'Event summary'!D1033)</f>
        <v/>
      </c>
      <c r="F1033" s="117" t="str">
        <f>IF(ISBLANK('Event summary'!E1033),"",'Event summary'!E1033)</f>
        <v/>
      </c>
    </row>
    <row r="1034" spans="1:6" x14ac:dyDescent="0.2">
      <c r="A1034" s="114" t="e">
        <f>IF(ISBLANK('Event summary'!#REF!),"",'Event summary'!#REF!)</f>
        <v>#REF!</v>
      </c>
      <c r="B1034" s="115">
        <f>IF(ISBLANK('Event summary'!A1034),"",'Event summary'!A1034)</f>
        <v>1034</v>
      </c>
      <c r="C1034" s="115" t="str">
        <f>IF(ISBLANK('Event summary'!B1034),"",'Event summary'!B1034)</f>
        <v/>
      </c>
      <c r="D1034" s="116" t="str">
        <f>IF(ISBLANK('Event summary'!C1034),"",'Event summary'!C1034)</f>
        <v/>
      </c>
      <c r="E1034" s="116" t="str">
        <f>IF(ISBLANK('Event summary'!D1034),"",'Event summary'!D1034)</f>
        <v/>
      </c>
      <c r="F1034" s="117" t="str">
        <f>IF(ISBLANK('Event summary'!E1034),"",'Event summary'!E1034)</f>
        <v/>
      </c>
    </row>
    <row r="1035" spans="1:6" x14ac:dyDescent="0.2">
      <c r="A1035" s="114" t="e">
        <f>IF(ISBLANK('Event summary'!#REF!),"",'Event summary'!#REF!)</f>
        <v>#REF!</v>
      </c>
      <c r="B1035" s="115">
        <f>IF(ISBLANK('Event summary'!A1035),"",'Event summary'!A1035)</f>
        <v>1035</v>
      </c>
      <c r="C1035" s="115" t="str">
        <f>IF(ISBLANK('Event summary'!B1035),"",'Event summary'!B1035)</f>
        <v/>
      </c>
      <c r="D1035" s="116" t="str">
        <f>IF(ISBLANK('Event summary'!C1035),"",'Event summary'!C1035)</f>
        <v/>
      </c>
      <c r="E1035" s="116" t="str">
        <f>IF(ISBLANK('Event summary'!D1035),"",'Event summary'!D1035)</f>
        <v/>
      </c>
      <c r="F1035" s="117" t="str">
        <f>IF(ISBLANK('Event summary'!E1035),"",'Event summary'!E1035)</f>
        <v/>
      </c>
    </row>
    <row r="1036" spans="1:6" x14ac:dyDescent="0.2">
      <c r="A1036" s="114" t="e">
        <f>IF(ISBLANK('Event summary'!#REF!),"",'Event summary'!#REF!)</f>
        <v>#REF!</v>
      </c>
      <c r="B1036" s="115">
        <f>IF(ISBLANK('Event summary'!A1036),"",'Event summary'!A1036)</f>
        <v>1036</v>
      </c>
      <c r="C1036" s="115" t="str">
        <f>IF(ISBLANK('Event summary'!B1036),"",'Event summary'!B1036)</f>
        <v/>
      </c>
      <c r="D1036" s="116" t="str">
        <f>IF(ISBLANK('Event summary'!C1036),"",'Event summary'!C1036)</f>
        <v/>
      </c>
      <c r="E1036" s="116" t="str">
        <f>IF(ISBLANK('Event summary'!D1036),"",'Event summary'!D1036)</f>
        <v/>
      </c>
      <c r="F1036" s="117" t="str">
        <f>IF(ISBLANK('Event summary'!E1036),"",'Event summary'!E1036)</f>
        <v/>
      </c>
    </row>
    <row r="1037" spans="1:6" x14ac:dyDescent="0.2">
      <c r="A1037" s="114" t="e">
        <f>IF(ISBLANK('Event summary'!#REF!),"",'Event summary'!#REF!)</f>
        <v>#REF!</v>
      </c>
      <c r="B1037" s="115">
        <f>IF(ISBLANK('Event summary'!A1037),"",'Event summary'!A1037)</f>
        <v>1037</v>
      </c>
      <c r="C1037" s="115" t="str">
        <f>IF(ISBLANK('Event summary'!B1037),"",'Event summary'!B1037)</f>
        <v/>
      </c>
      <c r="D1037" s="116" t="str">
        <f>IF(ISBLANK('Event summary'!C1037),"",'Event summary'!C1037)</f>
        <v/>
      </c>
      <c r="E1037" s="116" t="str">
        <f>IF(ISBLANK('Event summary'!D1037),"",'Event summary'!D1037)</f>
        <v/>
      </c>
      <c r="F1037" s="117" t="str">
        <f>IF(ISBLANK('Event summary'!E1037),"",'Event summary'!E1037)</f>
        <v/>
      </c>
    </row>
    <row r="1038" spans="1:6" x14ac:dyDescent="0.2">
      <c r="A1038" s="114" t="e">
        <f>IF(ISBLANK('Event summary'!#REF!),"",'Event summary'!#REF!)</f>
        <v>#REF!</v>
      </c>
      <c r="B1038" s="115">
        <f>IF(ISBLANK('Event summary'!A1038),"",'Event summary'!A1038)</f>
        <v>1038</v>
      </c>
      <c r="C1038" s="115" t="str">
        <f>IF(ISBLANK('Event summary'!B1038),"",'Event summary'!B1038)</f>
        <v/>
      </c>
      <c r="D1038" s="116" t="str">
        <f>IF(ISBLANK('Event summary'!C1038),"",'Event summary'!C1038)</f>
        <v/>
      </c>
      <c r="E1038" s="116" t="str">
        <f>IF(ISBLANK('Event summary'!D1038),"",'Event summary'!D1038)</f>
        <v/>
      </c>
      <c r="F1038" s="117" t="str">
        <f>IF(ISBLANK('Event summary'!E1038),"",'Event summary'!E1038)</f>
        <v/>
      </c>
    </row>
    <row r="1039" spans="1:6" x14ac:dyDescent="0.2">
      <c r="A1039" s="114" t="e">
        <f>IF(ISBLANK('Event summary'!#REF!),"",'Event summary'!#REF!)</f>
        <v>#REF!</v>
      </c>
      <c r="B1039" s="115">
        <f>IF(ISBLANK('Event summary'!A1039),"",'Event summary'!A1039)</f>
        <v>1039</v>
      </c>
      <c r="C1039" s="115" t="str">
        <f>IF(ISBLANK('Event summary'!B1039),"",'Event summary'!B1039)</f>
        <v/>
      </c>
      <c r="D1039" s="116" t="str">
        <f>IF(ISBLANK('Event summary'!C1039),"",'Event summary'!C1039)</f>
        <v/>
      </c>
      <c r="E1039" s="116" t="str">
        <f>IF(ISBLANK('Event summary'!D1039),"",'Event summary'!D1039)</f>
        <v/>
      </c>
      <c r="F1039" s="117" t="str">
        <f>IF(ISBLANK('Event summary'!E1039),"",'Event summary'!E1039)</f>
        <v/>
      </c>
    </row>
    <row r="1040" spans="1:6" x14ac:dyDescent="0.2">
      <c r="A1040" s="114" t="e">
        <f>IF(ISBLANK('Event summary'!#REF!),"",'Event summary'!#REF!)</f>
        <v>#REF!</v>
      </c>
      <c r="B1040" s="115">
        <f>IF(ISBLANK('Event summary'!A1040),"",'Event summary'!A1040)</f>
        <v>1040</v>
      </c>
      <c r="C1040" s="115" t="str">
        <f>IF(ISBLANK('Event summary'!B1040),"",'Event summary'!B1040)</f>
        <v/>
      </c>
      <c r="D1040" s="116" t="str">
        <f>IF(ISBLANK('Event summary'!C1040),"",'Event summary'!C1040)</f>
        <v/>
      </c>
      <c r="E1040" s="116" t="str">
        <f>IF(ISBLANK('Event summary'!D1040),"",'Event summary'!D1040)</f>
        <v/>
      </c>
      <c r="F1040" s="117" t="str">
        <f>IF(ISBLANK('Event summary'!E1040),"",'Event summary'!E1040)</f>
        <v/>
      </c>
    </row>
    <row r="1041" spans="1:6" x14ac:dyDescent="0.2">
      <c r="A1041" s="114" t="e">
        <f>IF(ISBLANK('Event summary'!#REF!),"",'Event summary'!#REF!)</f>
        <v>#REF!</v>
      </c>
      <c r="B1041" s="115">
        <f>IF(ISBLANK('Event summary'!A1041),"",'Event summary'!A1041)</f>
        <v>1041</v>
      </c>
      <c r="C1041" s="115" t="str">
        <f>IF(ISBLANK('Event summary'!B1041),"",'Event summary'!B1041)</f>
        <v/>
      </c>
      <c r="D1041" s="116" t="str">
        <f>IF(ISBLANK('Event summary'!C1041),"",'Event summary'!C1041)</f>
        <v/>
      </c>
      <c r="E1041" s="116" t="str">
        <f>IF(ISBLANK('Event summary'!D1041),"",'Event summary'!D1041)</f>
        <v/>
      </c>
      <c r="F1041" s="117" t="str">
        <f>IF(ISBLANK('Event summary'!E1041),"",'Event summary'!E1041)</f>
        <v/>
      </c>
    </row>
    <row r="1042" spans="1:6" x14ac:dyDescent="0.2">
      <c r="A1042" s="114" t="e">
        <f>IF(ISBLANK('Event summary'!#REF!),"",'Event summary'!#REF!)</f>
        <v>#REF!</v>
      </c>
      <c r="B1042" s="115">
        <f>IF(ISBLANK('Event summary'!A1042),"",'Event summary'!A1042)</f>
        <v>1042</v>
      </c>
      <c r="C1042" s="115" t="str">
        <f>IF(ISBLANK('Event summary'!B1042),"",'Event summary'!B1042)</f>
        <v/>
      </c>
      <c r="D1042" s="116" t="str">
        <f>IF(ISBLANK('Event summary'!C1042),"",'Event summary'!C1042)</f>
        <v/>
      </c>
      <c r="E1042" s="116" t="str">
        <f>IF(ISBLANK('Event summary'!D1042),"",'Event summary'!D1042)</f>
        <v/>
      </c>
      <c r="F1042" s="117" t="str">
        <f>IF(ISBLANK('Event summary'!E1042),"",'Event summary'!E1042)</f>
        <v/>
      </c>
    </row>
    <row r="1043" spans="1:6" x14ac:dyDescent="0.2">
      <c r="A1043" s="114" t="e">
        <f>IF(ISBLANK('Event summary'!#REF!),"",'Event summary'!#REF!)</f>
        <v>#REF!</v>
      </c>
      <c r="B1043" s="115">
        <f>IF(ISBLANK('Event summary'!A1043),"",'Event summary'!A1043)</f>
        <v>1043</v>
      </c>
      <c r="C1043" s="115" t="str">
        <f>IF(ISBLANK('Event summary'!B1043),"",'Event summary'!B1043)</f>
        <v/>
      </c>
      <c r="D1043" s="116" t="str">
        <f>IF(ISBLANK('Event summary'!C1043),"",'Event summary'!C1043)</f>
        <v/>
      </c>
      <c r="E1043" s="116" t="str">
        <f>IF(ISBLANK('Event summary'!D1043),"",'Event summary'!D1043)</f>
        <v/>
      </c>
      <c r="F1043" s="117" t="str">
        <f>IF(ISBLANK('Event summary'!E1043),"",'Event summary'!E1043)</f>
        <v/>
      </c>
    </row>
    <row r="1044" spans="1:6" x14ac:dyDescent="0.2">
      <c r="A1044" s="114" t="e">
        <f>IF(ISBLANK('Event summary'!#REF!),"",'Event summary'!#REF!)</f>
        <v>#REF!</v>
      </c>
      <c r="B1044" s="115">
        <f>IF(ISBLANK('Event summary'!A1044),"",'Event summary'!A1044)</f>
        <v>1044</v>
      </c>
      <c r="C1044" s="115" t="str">
        <f>IF(ISBLANK('Event summary'!B1044),"",'Event summary'!B1044)</f>
        <v/>
      </c>
      <c r="D1044" s="116" t="str">
        <f>IF(ISBLANK('Event summary'!C1044),"",'Event summary'!C1044)</f>
        <v/>
      </c>
      <c r="E1044" s="116" t="str">
        <f>IF(ISBLANK('Event summary'!D1044),"",'Event summary'!D1044)</f>
        <v/>
      </c>
      <c r="F1044" s="117" t="str">
        <f>IF(ISBLANK('Event summary'!E1044),"",'Event summary'!E1044)</f>
        <v/>
      </c>
    </row>
    <row r="1045" spans="1:6" x14ac:dyDescent="0.2">
      <c r="A1045" s="114" t="e">
        <f>IF(ISBLANK('Event summary'!#REF!),"",'Event summary'!#REF!)</f>
        <v>#REF!</v>
      </c>
      <c r="B1045" s="115">
        <f>IF(ISBLANK('Event summary'!A1045),"",'Event summary'!A1045)</f>
        <v>1045</v>
      </c>
      <c r="C1045" s="115" t="str">
        <f>IF(ISBLANK('Event summary'!B1045),"",'Event summary'!B1045)</f>
        <v/>
      </c>
      <c r="D1045" s="116" t="str">
        <f>IF(ISBLANK('Event summary'!C1045),"",'Event summary'!C1045)</f>
        <v/>
      </c>
      <c r="E1045" s="116" t="str">
        <f>IF(ISBLANK('Event summary'!D1045),"",'Event summary'!D1045)</f>
        <v/>
      </c>
      <c r="F1045" s="117" t="str">
        <f>IF(ISBLANK('Event summary'!E1045),"",'Event summary'!E1045)</f>
        <v/>
      </c>
    </row>
    <row r="1046" spans="1:6" x14ac:dyDescent="0.2">
      <c r="A1046" s="114" t="e">
        <f>IF(ISBLANK('Event summary'!#REF!),"",'Event summary'!#REF!)</f>
        <v>#REF!</v>
      </c>
      <c r="B1046" s="115">
        <f>IF(ISBLANK('Event summary'!A1046),"",'Event summary'!A1046)</f>
        <v>1046</v>
      </c>
      <c r="C1046" s="115" t="str">
        <f>IF(ISBLANK('Event summary'!B1046),"",'Event summary'!B1046)</f>
        <v/>
      </c>
      <c r="D1046" s="116" t="str">
        <f>IF(ISBLANK('Event summary'!C1046),"",'Event summary'!C1046)</f>
        <v/>
      </c>
      <c r="E1046" s="116" t="str">
        <f>IF(ISBLANK('Event summary'!D1046),"",'Event summary'!D1046)</f>
        <v/>
      </c>
      <c r="F1046" s="117" t="str">
        <f>IF(ISBLANK('Event summary'!E1046),"",'Event summary'!E1046)</f>
        <v/>
      </c>
    </row>
    <row r="1047" spans="1:6" x14ac:dyDescent="0.2">
      <c r="A1047" s="114" t="e">
        <f>IF(ISBLANK('Event summary'!#REF!),"",'Event summary'!#REF!)</f>
        <v>#REF!</v>
      </c>
      <c r="B1047" s="115">
        <f>IF(ISBLANK('Event summary'!A1047),"",'Event summary'!A1047)</f>
        <v>1047</v>
      </c>
      <c r="C1047" s="115" t="str">
        <f>IF(ISBLANK('Event summary'!B1047),"",'Event summary'!B1047)</f>
        <v/>
      </c>
      <c r="D1047" s="116" t="str">
        <f>IF(ISBLANK('Event summary'!C1047),"",'Event summary'!C1047)</f>
        <v/>
      </c>
      <c r="E1047" s="116" t="str">
        <f>IF(ISBLANK('Event summary'!D1047),"",'Event summary'!D1047)</f>
        <v/>
      </c>
      <c r="F1047" s="117" t="str">
        <f>IF(ISBLANK('Event summary'!E1047),"",'Event summary'!E1047)</f>
        <v/>
      </c>
    </row>
    <row r="1048" spans="1:6" x14ac:dyDescent="0.2">
      <c r="A1048" s="114" t="e">
        <f>IF(ISBLANK('Event summary'!#REF!),"",'Event summary'!#REF!)</f>
        <v>#REF!</v>
      </c>
      <c r="B1048" s="115">
        <f>IF(ISBLANK('Event summary'!A1048),"",'Event summary'!A1048)</f>
        <v>1048</v>
      </c>
      <c r="C1048" s="115" t="str">
        <f>IF(ISBLANK('Event summary'!B1048),"",'Event summary'!B1048)</f>
        <v/>
      </c>
      <c r="D1048" s="116" t="str">
        <f>IF(ISBLANK('Event summary'!C1048),"",'Event summary'!C1048)</f>
        <v/>
      </c>
      <c r="E1048" s="116" t="str">
        <f>IF(ISBLANK('Event summary'!D1048),"",'Event summary'!D1048)</f>
        <v/>
      </c>
      <c r="F1048" s="117" t="str">
        <f>IF(ISBLANK('Event summary'!E1048),"",'Event summary'!E1048)</f>
        <v/>
      </c>
    </row>
    <row r="1049" spans="1:6" x14ac:dyDescent="0.2">
      <c r="A1049" s="114" t="e">
        <f>IF(ISBLANK('Event summary'!#REF!),"",'Event summary'!#REF!)</f>
        <v>#REF!</v>
      </c>
      <c r="B1049" s="115">
        <f>IF(ISBLANK('Event summary'!A1049),"",'Event summary'!A1049)</f>
        <v>1049</v>
      </c>
      <c r="C1049" s="115" t="str">
        <f>IF(ISBLANK('Event summary'!B1049),"",'Event summary'!B1049)</f>
        <v/>
      </c>
      <c r="D1049" s="116" t="str">
        <f>IF(ISBLANK('Event summary'!C1049),"",'Event summary'!C1049)</f>
        <v/>
      </c>
      <c r="E1049" s="116" t="str">
        <f>IF(ISBLANK('Event summary'!D1049),"",'Event summary'!D1049)</f>
        <v/>
      </c>
      <c r="F1049" s="117" t="str">
        <f>IF(ISBLANK('Event summary'!E1049),"",'Event summary'!E1049)</f>
        <v/>
      </c>
    </row>
    <row r="1050" spans="1:6" x14ac:dyDescent="0.2">
      <c r="A1050" s="114" t="e">
        <f>IF(ISBLANK('Event summary'!#REF!),"",'Event summary'!#REF!)</f>
        <v>#REF!</v>
      </c>
      <c r="B1050" s="115">
        <f>IF(ISBLANK('Event summary'!A1050),"",'Event summary'!A1050)</f>
        <v>1050</v>
      </c>
      <c r="C1050" s="115" t="str">
        <f>IF(ISBLANK('Event summary'!B1050),"",'Event summary'!B1050)</f>
        <v/>
      </c>
      <c r="D1050" s="116" t="str">
        <f>IF(ISBLANK('Event summary'!C1050),"",'Event summary'!C1050)</f>
        <v/>
      </c>
      <c r="E1050" s="116" t="str">
        <f>IF(ISBLANK('Event summary'!D1050),"",'Event summary'!D1050)</f>
        <v/>
      </c>
      <c r="F1050" s="117" t="str">
        <f>IF(ISBLANK('Event summary'!E1050),"",'Event summary'!E1050)</f>
        <v/>
      </c>
    </row>
    <row r="1051" spans="1:6" x14ac:dyDescent="0.2">
      <c r="A1051" s="114" t="e">
        <f>IF(ISBLANK('Event summary'!#REF!),"",'Event summary'!#REF!)</f>
        <v>#REF!</v>
      </c>
      <c r="B1051" s="115">
        <f>IF(ISBLANK('Event summary'!A1051),"",'Event summary'!A1051)</f>
        <v>1051</v>
      </c>
      <c r="C1051" s="115" t="str">
        <f>IF(ISBLANK('Event summary'!B1051),"",'Event summary'!B1051)</f>
        <v/>
      </c>
      <c r="D1051" s="116" t="str">
        <f>IF(ISBLANK('Event summary'!C1051),"",'Event summary'!C1051)</f>
        <v/>
      </c>
      <c r="E1051" s="116" t="str">
        <f>IF(ISBLANK('Event summary'!D1051),"",'Event summary'!D1051)</f>
        <v/>
      </c>
      <c r="F1051" s="117" t="str">
        <f>IF(ISBLANK('Event summary'!E1051),"",'Event summary'!E1051)</f>
        <v/>
      </c>
    </row>
    <row r="1052" spans="1:6" x14ac:dyDescent="0.2">
      <c r="A1052" s="114" t="e">
        <f>IF(ISBLANK('Event summary'!#REF!),"",'Event summary'!#REF!)</f>
        <v>#REF!</v>
      </c>
      <c r="B1052" s="115">
        <f>IF(ISBLANK('Event summary'!A1052),"",'Event summary'!A1052)</f>
        <v>1052</v>
      </c>
      <c r="C1052" s="115" t="str">
        <f>IF(ISBLANK('Event summary'!B1052),"",'Event summary'!B1052)</f>
        <v/>
      </c>
      <c r="D1052" s="116" t="str">
        <f>IF(ISBLANK('Event summary'!C1052),"",'Event summary'!C1052)</f>
        <v/>
      </c>
      <c r="E1052" s="116" t="str">
        <f>IF(ISBLANK('Event summary'!D1052),"",'Event summary'!D1052)</f>
        <v/>
      </c>
      <c r="F1052" s="117" t="str">
        <f>IF(ISBLANK('Event summary'!E1052),"",'Event summary'!E1052)</f>
        <v/>
      </c>
    </row>
    <row r="1053" spans="1:6" x14ac:dyDescent="0.2">
      <c r="A1053" s="114" t="e">
        <f>IF(ISBLANK('Event summary'!#REF!),"",'Event summary'!#REF!)</f>
        <v>#REF!</v>
      </c>
      <c r="B1053" s="115">
        <f>IF(ISBLANK('Event summary'!A1053),"",'Event summary'!A1053)</f>
        <v>1053</v>
      </c>
      <c r="C1053" s="115" t="str">
        <f>IF(ISBLANK('Event summary'!B1053),"",'Event summary'!B1053)</f>
        <v/>
      </c>
      <c r="D1053" s="116" t="str">
        <f>IF(ISBLANK('Event summary'!C1053),"",'Event summary'!C1053)</f>
        <v/>
      </c>
      <c r="E1053" s="116" t="str">
        <f>IF(ISBLANK('Event summary'!D1053),"",'Event summary'!D1053)</f>
        <v/>
      </c>
      <c r="F1053" s="117" t="str">
        <f>IF(ISBLANK('Event summary'!E1053),"",'Event summary'!E1053)</f>
        <v/>
      </c>
    </row>
    <row r="1054" spans="1:6" x14ac:dyDescent="0.2">
      <c r="A1054" s="114" t="e">
        <f>IF(ISBLANK('Event summary'!#REF!),"",'Event summary'!#REF!)</f>
        <v>#REF!</v>
      </c>
      <c r="B1054" s="115">
        <f>IF(ISBLANK('Event summary'!A1054),"",'Event summary'!A1054)</f>
        <v>1054</v>
      </c>
      <c r="C1054" s="115" t="str">
        <f>IF(ISBLANK('Event summary'!B1054),"",'Event summary'!B1054)</f>
        <v/>
      </c>
      <c r="D1054" s="116" t="str">
        <f>IF(ISBLANK('Event summary'!C1054),"",'Event summary'!C1054)</f>
        <v/>
      </c>
      <c r="E1054" s="116" t="str">
        <f>IF(ISBLANK('Event summary'!D1054),"",'Event summary'!D1054)</f>
        <v/>
      </c>
      <c r="F1054" s="117" t="str">
        <f>IF(ISBLANK('Event summary'!E1054),"",'Event summary'!E1054)</f>
        <v/>
      </c>
    </row>
    <row r="1055" spans="1:6" x14ac:dyDescent="0.2">
      <c r="A1055" s="114" t="e">
        <f>IF(ISBLANK('Event summary'!#REF!),"",'Event summary'!#REF!)</f>
        <v>#REF!</v>
      </c>
      <c r="B1055" s="115">
        <f>IF(ISBLANK('Event summary'!A1055),"",'Event summary'!A1055)</f>
        <v>1055</v>
      </c>
      <c r="C1055" s="115" t="str">
        <f>IF(ISBLANK('Event summary'!B1055),"",'Event summary'!B1055)</f>
        <v/>
      </c>
      <c r="D1055" s="116" t="str">
        <f>IF(ISBLANK('Event summary'!C1055),"",'Event summary'!C1055)</f>
        <v/>
      </c>
      <c r="E1055" s="116" t="str">
        <f>IF(ISBLANK('Event summary'!D1055),"",'Event summary'!D1055)</f>
        <v/>
      </c>
      <c r="F1055" s="117" t="str">
        <f>IF(ISBLANK('Event summary'!E1055),"",'Event summary'!E1055)</f>
        <v/>
      </c>
    </row>
    <row r="1056" spans="1:6" x14ac:dyDescent="0.2">
      <c r="A1056" s="114" t="e">
        <f>IF(ISBLANK('Event summary'!#REF!),"",'Event summary'!#REF!)</f>
        <v>#REF!</v>
      </c>
      <c r="B1056" s="115">
        <f>IF(ISBLANK('Event summary'!A1056),"",'Event summary'!A1056)</f>
        <v>1056</v>
      </c>
      <c r="C1056" s="115" t="str">
        <f>IF(ISBLANK('Event summary'!B1056),"",'Event summary'!B1056)</f>
        <v/>
      </c>
      <c r="D1056" s="116" t="str">
        <f>IF(ISBLANK('Event summary'!C1056),"",'Event summary'!C1056)</f>
        <v/>
      </c>
      <c r="E1056" s="116" t="str">
        <f>IF(ISBLANK('Event summary'!D1056),"",'Event summary'!D1056)</f>
        <v/>
      </c>
      <c r="F1056" s="117" t="str">
        <f>IF(ISBLANK('Event summary'!E1056),"",'Event summary'!E1056)</f>
        <v/>
      </c>
    </row>
    <row r="1057" spans="1:6" x14ac:dyDescent="0.2">
      <c r="A1057" s="114" t="e">
        <f>IF(ISBLANK('Event summary'!#REF!),"",'Event summary'!#REF!)</f>
        <v>#REF!</v>
      </c>
      <c r="B1057" s="115">
        <f>IF(ISBLANK('Event summary'!A1057),"",'Event summary'!A1057)</f>
        <v>1057</v>
      </c>
      <c r="C1057" s="115" t="str">
        <f>IF(ISBLANK('Event summary'!B1057),"",'Event summary'!B1057)</f>
        <v/>
      </c>
      <c r="D1057" s="116" t="str">
        <f>IF(ISBLANK('Event summary'!C1057),"",'Event summary'!C1057)</f>
        <v/>
      </c>
      <c r="E1057" s="116" t="str">
        <f>IF(ISBLANK('Event summary'!D1057),"",'Event summary'!D1057)</f>
        <v/>
      </c>
      <c r="F1057" s="117" t="str">
        <f>IF(ISBLANK('Event summary'!E1057),"",'Event summary'!E1057)</f>
        <v/>
      </c>
    </row>
    <row r="1058" spans="1:6" x14ac:dyDescent="0.2">
      <c r="A1058" s="114" t="e">
        <f>IF(ISBLANK('Event summary'!#REF!),"",'Event summary'!#REF!)</f>
        <v>#REF!</v>
      </c>
      <c r="B1058" s="115">
        <f>IF(ISBLANK('Event summary'!A1058),"",'Event summary'!A1058)</f>
        <v>1058</v>
      </c>
      <c r="C1058" s="115" t="str">
        <f>IF(ISBLANK('Event summary'!B1058),"",'Event summary'!B1058)</f>
        <v/>
      </c>
      <c r="D1058" s="116" t="str">
        <f>IF(ISBLANK('Event summary'!C1058),"",'Event summary'!C1058)</f>
        <v/>
      </c>
      <c r="E1058" s="116" t="str">
        <f>IF(ISBLANK('Event summary'!D1058),"",'Event summary'!D1058)</f>
        <v/>
      </c>
      <c r="F1058" s="117" t="str">
        <f>IF(ISBLANK('Event summary'!E1058),"",'Event summary'!E1058)</f>
        <v/>
      </c>
    </row>
    <row r="1059" spans="1:6" x14ac:dyDescent="0.2">
      <c r="A1059" s="114" t="e">
        <f>IF(ISBLANK('Event summary'!#REF!),"",'Event summary'!#REF!)</f>
        <v>#REF!</v>
      </c>
      <c r="B1059" s="115">
        <f>IF(ISBLANK('Event summary'!A1059),"",'Event summary'!A1059)</f>
        <v>1059</v>
      </c>
      <c r="C1059" s="115" t="str">
        <f>IF(ISBLANK('Event summary'!B1059),"",'Event summary'!B1059)</f>
        <v/>
      </c>
      <c r="D1059" s="116" t="str">
        <f>IF(ISBLANK('Event summary'!C1059),"",'Event summary'!C1059)</f>
        <v/>
      </c>
      <c r="E1059" s="116" t="str">
        <f>IF(ISBLANK('Event summary'!D1059),"",'Event summary'!D1059)</f>
        <v/>
      </c>
      <c r="F1059" s="117" t="str">
        <f>IF(ISBLANK('Event summary'!E1059),"",'Event summary'!E1059)</f>
        <v/>
      </c>
    </row>
    <row r="1060" spans="1:6" x14ac:dyDescent="0.2">
      <c r="A1060" s="114" t="e">
        <f>IF(ISBLANK('Event summary'!#REF!),"",'Event summary'!#REF!)</f>
        <v>#REF!</v>
      </c>
      <c r="B1060" s="115">
        <f>IF(ISBLANK('Event summary'!A1060),"",'Event summary'!A1060)</f>
        <v>1060</v>
      </c>
      <c r="C1060" s="115" t="str">
        <f>IF(ISBLANK('Event summary'!B1060),"",'Event summary'!B1060)</f>
        <v/>
      </c>
      <c r="D1060" s="116" t="str">
        <f>IF(ISBLANK('Event summary'!C1060),"",'Event summary'!C1060)</f>
        <v/>
      </c>
      <c r="E1060" s="116" t="str">
        <f>IF(ISBLANK('Event summary'!D1060),"",'Event summary'!D1060)</f>
        <v/>
      </c>
      <c r="F1060" s="117" t="str">
        <f>IF(ISBLANK('Event summary'!E1060),"",'Event summary'!E1060)</f>
        <v/>
      </c>
    </row>
    <row r="1061" spans="1:6" x14ac:dyDescent="0.2">
      <c r="A1061" s="114" t="e">
        <f>IF(ISBLANK('Event summary'!#REF!),"",'Event summary'!#REF!)</f>
        <v>#REF!</v>
      </c>
      <c r="B1061" s="115">
        <f>IF(ISBLANK('Event summary'!A1061),"",'Event summary'!A1061)</f>
        <v>1061</v>
      </c>
      <c r="C1061" s="115" t="str">
        <f>IF(ISBLANK('Event summary'!B1061),"",'Event summary'!B1061)</f>
        <v/>
      </c>
      <c r="D1061" s="116" t="str">
        <f>IF(ISBLANK('Event summary'!C1061),"",'Event summary'!C1061)</f>
        <v/>
      </c>
      <c r="E1061" s="116" t="str">
        <f>IF(ISBLANK('Event summary'!D1061),"",'Event summary'!D1061)</f>
        <v/>
      </c>
      <c r="F1061" s="117" t="str">
        <f>IF(ISBLANK('Event summary'!E1061),"",'Event summary'!E1061)</f>
        <v/>
      </c>
    </row>
    <row r="1062" spans="1:6" x14ac:dyDescent="0.2">
      <c r="A1062" s="114" t="e">
        <f>IF(ISBLANK('Event summary'!#REF!),"",'Event summary'!#REF!)</f>
        <v>#REF!</v>
      </c>
      <c r="B1062" s="115">
        <f>IF(ISBLANK('Event summary'!A1062),"",'Event summary'!A1062)</f>
        <v>1062</v>
      </c>
      <c r="C1062" s="115" t="str">
        <f>IF(ISBLANK('Event summary'!B1062),"",'Event summary'!B1062)</f>
        <v/>
      </c>
      <c r="D1062" s="116" t="str">
        <f>IF(ISBLANK('Event summary'!C1062),"",'Event summary'!C1062)</f>
        <v/>
      </c>
      <c r="E1062" s="116" t="str">
        <f>IF(ISBLANK('Event summary'!D1062),"",'Event summary'!D1062)</f>
        <v/>
      </c>
      <c r="F1062" s="117" t="str">
        <f>IF(ISBLANK('Event summary'!E1062),"",'Event summary'!E1062)</f>
        <v/>
      </c>
    </row>
    <row r="1063" spans="1:6" x14ac:dyDescent="0.2">
      <c r="A1063" s="114" t="e">
        <f>IF(ISBLANK('Event summary'!#REF!),"",'Event summary'!#REF!)</f>
        <v>#REF!</v>
      </c>
      <c r="B1063" s="115">
        <f>IF(ISBLANK('Event summary'!A1063),"",'Event summary'!A1063)</f>
        <v>1063</v>
      </c>
      <c r="C1063" s="115" t="str">
        <f>IF(ISBLANK('Event summary'!B1063),"",'Event summary'!B1063)</f>
        <v/>
      </c>
      <c r="D1063" s="116" t="str">
        <f>IF(ISBLANK('Event summary'!C1063),"",'Event summary'!C1063)</f>
        <v/>
      </c>
      <c r="E1063" s="116" t="str">
        <f>IF(ISBLANK('Event summary'!D1063),"",'Event summary'!D1063)</f>
        <v/>
      </c>
      <c r="F1063" s="117" t="str">
        <f>IF(ISBLANK('Event summary'!E1063),"",'Event summary'!E1063)</f>
        <v/>
      </c>
    </row>
    <row r="1064" spans="1:6" x14ac:dyDescent="0.2">
      <c r="A1064" s="114" t="e">
        <f>IF(ISBLANK('Event summary'!#REF!),"",'Event summary'!#REF!)</f>
        <v>#REF!</v>
      </c>
      <c r="B1064" s="115">
        <f>IF(ISBLANK('Event summary'!A1064),"",'Event summary'!A1064)</f>
        <v>1064</v>
      </c>
      <c r="C1064" s="115" t="str">
        <f>IF(ISBLANK('Event summary'!B1064),"",'Event summary'!B1064)</f>
        <v/>
      </c>
      <c r="D1064" s="116" t="str">
        <f>IF(ISBLANK('Event summary'!C1064),"",'Event summary'!C1064)</f>
        <v/>
      </c>
      <c r="E1064" s="116" t="str">
        <f>IF(ISBLANK('Event summary'!D1064),"",'Event summary'!D1064)</f>
        <v/>
      </c>
      <c r="F1064" s="117" t="str">
        <f>IF(ISBLANK('Event summary'!E1064),"",'Event summary'!E1064)</f>
        <v/>
      </c>
    </row>
    <row r="1065" spans="1:6" x14ac:dyDescent="0.2">
      <c r="A1065" s="114" t="e">
        <f>IF(ISBLANK('Event summary'!#REF!),"",'Event summary'!#REF!)</f>
        <v>#REF!</v>
      </c>
      <c r="B1065" s="115">
        <f>IF(ISBLANK('Event summary'!A1065),"",'Event summary'!A1065)</f>
        <v>1065</v>
      </c>
      <c r="C1065" s="115" t="str">
        <f>IF(ISBLANK('Event summary'!B1065),"",'Event summary'!B1065)</f>
        <v/>
      </c>
      <c r="D1065" s="116" t="str">
        <f>IF(ISBLANK('Event summary'!C1065),"",'Event summary'!C1065)</f>
        <v/>
      </c>
      <c r="E1065" s="116" t="str">
        <f>IF(ISBLANK('Event summary'!D1065),"",'Event summary'!D1065)</f>
        <v/>
      </c>
      <c r="F1065" s="117" t="str">
        <f>IF(ISBLANK('Event summary'!E1065),"",'Event summary'!E1065)</f>
        <v/>
      </c>
    </row>
    <row r="1066" spans="1:6" x14ac:dyDescent="0.2">
      <c r="A1066" s="114" t="e">
        <f>IF(ISBLANK('Event summary'!#REF!),"",'Event summary'!#REF!)</f>
        <v>#REF!</v>
      </c>
      <c r="B1066" s="115">
        <f>IF(ISBLANK('Event summary'!A1066),"",'Event summary'!A1066)</f>
        <v>1066</v>
      </c>
      <c r="C1066" s="115" t="str">
        <f>IF(ISBLANK('Event summary'!B1066),"",'Event summary'!B1066)</f>
        <v/>
      </c>
      <c r="D1066" s="116" t="str">
        <f>IF(ISBLANK('Event summary'!C1066),"",'Event summary'!C1066)</f>
        <v/>
      </c>
      <c r="E1066" s="116" t="str">
        <f>IF(ISBLANK('Event summary'!D1066),"",'Event summary'!D1066)</f>
        <v/>
      </c>
      <c r="F1066" s="117" t="str">
        <f>IF(ISBLANK('Event summary'!E1066),"",'Event summary'!E1066)</f>
        <v/>
      </c>
    </row>
    <row r="1067" spans="1:6" x14ac:dyDescent="0.2">
      <c r="A1067" s="114" t="e">
        <f>IF(ISBLANK('Event summary'!#REF!),"",'Event summary'!#REF!)</f>
        <v>#REF!</v>
      </c>
      <c r="B1067" s="115">
        <f>IF(ISBLANK('Event summary'!A1067),"",'Event summary'!A1067)</f>
        <v>1067</v>
      </c>
      <c r="C1067" s="115" t="str">
        <f>IF(ISBLANK('Event summary'!B1067),"",'Event summary'!B1067)</f>
        <v/>
      </c>
      <c r="D1067" s="116" t="str">
        <f>IF(ISBLANK('Event summary'!C1067),"",'Event summary'!C1067)</f>
        <v/>
      </c>
      <c r="E1067" s="116" t="str">
        <f>IF(ISBLANK('Event summary'!D1067),"",'Event summary'!D1067)</f>
        <v/>
      </c>
      <c r="F1067" s="117" t="str">
        <f>IF(ISBLANK('Event summary'!E1067),"",'Event summary'!E1067)</f>
        <v/>
      </c>
    </row>
    <row r="1068" spans="1:6" x14ac:dyDescent="0.2">
      <c r="A1068" s="114" t="e">
        <f>IF(ISBLANK('Event summary'!#REF!),"",'Event summary'!#REF!)</f>
        <v>#REF!</v>
      </c>
      <c r="B1068" s="115">
        <f>IF(ISBLANK('Event summary'!A1068),"",'Event summary'!A1068)</f>
        <v>1068</v>
      </c>
      <c r="C1068" s="115" t="str">
        <f>IF(ISBLANK('Event summary'!B1068),"",'Event summary'!B1068)</f>
        <v/>
      </c>
      <c r="D1068" s="116" t="str">
        <f>IF(ISBLANK('Event summary'!C1068),"",'Event summary'!C1068)</f>
        <v/>
      </c>
      <c r="E1068" s="116" t="str">
        <f>IF(ISBLANK('Event summary'!D1068),"",'Event summary'!D1068)</f>
        <v/>
      </c>
      <c r="F1068" s="117" t="str">
        <f>IF(ISBLANK('Event summary'!E1068),"",'Event summary'!E1068)</f>
        <v/>
      </c>
    </row>
    <row r="1069" spans="1:6" x14ac:dyDescent="0.2">
      <c r="A1069" s="114" t="e">
        <f>IF(ISBLANK('Event summary'!#REF!),"",'Event summary'!#REF!)</f>
        <v>#REF!</v>
      </c>
      <c r="B1069" s="115">
        <f>IF(ISBLANK('Event summary'!A1069),"",'Event summary'!A1069)</f>
        <v>1069</v>
      </c>
      <c r="C1069" s="115" t="str">
        <f>IF(ISBLANK('Event summary'!B1069),"",'Event summary'!B1069)</f>
        <v/>
      </c>
      <c r="D1069" s="116" t="str">
        <f>IF(ISBLANK('Event summary'!C1069),"",'Event summary'!C1069)</f>
        <v/>
      </c>
      <c r="E1069" s="116" t="str">
        <f>IF(ISBLANK('Event summary'!D1069),"",'Event summary'!D1069)</f>
        <v/>
      </c>
      <c r="F1069" s="117" t="str">
        <f>IF(ISBLANK('Event summary'!E1069),"",'Event summary'!E1069)</f>
        <v/>
      </c>
    </row>
    <row r="1070" spans="1:6" x14ac:dyDescent="0.2">
      <c r="A1070" s="114" t="e">
        <f>IF(ISBLANK('Event summary'!#REF!),"",'Event summary'!#REF!)</f>
        <v>#REF!</v>
      </c>
      <c r="B1070" s="115">
        <f>IF(ISBLANK('Event summary'!A1070),"",'Event summary'!A1070)</f>
        <v>1070</v>
      </c>
      <c r="C1070" s="115" t="str">
        <f>IF(ISBLANK('Event summary'!B1070),"",'Event summary'!B1070)</f>
        <v/>
      </c>
      <c r="D1070" s="116" t="str">
        <f>IF(ISBLANK('Event summary'!C1070),"",'Event summary'!C1070)</f>
        <v/>
      </c>
      <c r="E1070" s="116" t="str">
        <f>IF(ISBLANK('Event summary'!D1070),"",'Event summary'!D1070)</f>
        <v/>
      </c>
      <c r="F1070" s="117" t="str">
        <f>IF(ISBLANK('Event summary'!E1070),"",'Event summary'!E1070)</f>
        <v/>
      </c>
    </row>
    <row r="1071" spans="1:6" x14ac:dyDescent="0.2">
      <c r="A1071" s="114" t="e">
        <f>IF(ISBLANK('Event summary'!#REF!),"",'Event summary'!#REF!)</f>
        <v>#REF!</v>
      </c>
      <c r="B1071" s="115">
        <f>IF(ISBLANK('Event summary'!A1071),"",'Event summary'!A1071)</f>
        <v>1071</v>
      </c>
      <c r="C1071" s="115" t="str">
        <f>IF(ISBLANK('Event summary'!B1071),"",'Event summary'!B1071)</f>
        <v/>
      </c>
      <c r="D1071" s="116" t="str">
        <f>IF(ISBLANK('Event summary'!C1071),"",'Event summary'!C1071)</f>
        <v/>
      </c>
      <c r="E1071" s="116" t="str">
        <f>IF(ISBLANK('Event summary'!D1071),"",'Event summary'!D1071)</f>
        <v/>
      </c>
      <c r="F1071" s="117" t="str">
        <f>IF(ISBLANK('Event summary'!E1071),"",'Event summary'!E1071)</f>
        <v/>
      </c>
    </row>
    <row r="1072" spans="1:6" x14ac:dyDescent="0.2">
      <c r="A1072" s="114" t="e">
        <f>IF(ISBLANK('Event summary'!#REF!),"",'Event summary'!#REF!)</f>
        <v>#REF!</v>
      </c>
      <c r="B1072" s="115">
        <f>IF(ISBLANK('Event summary'!A1072),"",'Event summary'!A1072)</f>
        <v>1072</v>
      </c>
      <c r="C1072" s="115" t="str">
        <f>IF(ISBLANK('Event summary'!B1072),"",'Event summary'!B1072)</f>
        <v/>
      </c>
      <c r="D1072" s="116" t="str">
        <f>IF(ISBLANK('Event summary'!C1072),"",'Event summary'!C1072)</f>
        <v/>
      </c>
      <c r="E1072" s="116" t="str">
        <f>IF(ISBLANK('Event summary'!D1072),"",'Event summary'!D1072)</f>
        <v/>
      </c>
      <c r="F1072" s="117" t="str">
        <f>IF(ISBLANK('Event summary'!E1072),"",'Event summary'!E1072)</f>
        <v/>
      </c>
    </row>
    <row r="1073" spans="1:6" x14ac:dyDescent="0.2">
      <c r="A1073" s="114" t="e">
        <f>IF(ISBLANK('Event summary'!#REF!),"",'Event summary'!#REF!)</f>
        <v>#REF!</v>
      </c>
      <c r="B1073" s="115">
        <f>IF(ISBLANK('Event summary'!A1073),"",'Event summary'!A1073)</f>
        <v>1073</v>
      </c>
      <c r="C1073" s="115" t="str">
        <f>IF(ISBLANK('Event summary'!B1073),"",'Event summary'!B1073)</f>
        <v/>
      </c>
      <c r="D1073" s="116" t="str">
        <f>IF(ISBLANK('Event summary'!C1073),"",'Event summary'!C1073)</f>
        <v/>
      </c>
      <c r="E1073" s="116" t="str">
        <f>IF(ISBLANK('Event summary'!D1073),"",'Event summary'!D1073)</f>
        <v/>
      </c>
      <c r="F1073" s="117" t="str">
        <f>IF(ISBLANK('Event summary'!E1073),"",'Event summary'!E1073)</f>
        <v/>
      </c>
    </row>
    <row r="1074" spans="1:6" x14ac:dyDescent="0.2">
      <c r="A1074" s="114" t="e">
        <f>IF(ISBLANK('Event summary'!#REF!),"",'Event summary'!#REF!)</f>
        <v>#REF!</v>
      </c>
      <c r="B1074" s="115">
        <f>IF(ISBLANK('Event summary'!A1074),"",'Event summary'!A1074)</f>
        <v>1074</v>
      </c>
      <c r="C1074" s="115" t="str">
        <f>IF(ISBLANK('Event summary'!B1074),"",'Event summary'!B1074)</f>
        <v/>
      </c>
      <c r="D1074" s="116" t="str">
        <f>IF(ISBLANK('Event summary'!C1074),"",'Event summary'!C1074)</f>
        <v/>
      </c>
      <c r="E1074" s="116" t="str">
        <f>IF(ISBLANK('Event summary'!D1074),"",'Event summary'!D1074)</f>
        <v/>
      </c>
      <c r="F1074" s="117" t="str">
        <f>IF(ISBLANK('Event summary'!E1074),"",'Event summary'!E1074)</f>
        <v/>
      </c>
    </row>
    <row r="1075" spans="1:6" x14ac:dyDescent="0.2">
      <c r="A1075" s="114" t="e">
        <f>IF(ISBLANK('Event summary'!#REF!),"",'Event summary'!#REF!)</f>
        <v>#REF!</v>
      </c>
      <c r="B1075" s="115">
        <f>IF(ISBLANK('Event summary'!A1075),"",'Event summary'!A1075)</f>
        <v>1075</v>
      </c>
      <c r="C1075" s="115" t="str">
        <f>IF(ISBLANK('Event summary'!B1075),"",'Event summary'!B1075)</f>
        <v/>
      </c>
      <c r="D1075" s="116" t="str">
        <f>IF(ISBLANK('Event summary'!C1075),"",'Event summary'!C1075)</f>
        <v/>
      </c>
      <c r="E1075" s="116" t="str">
        <f>IF(ISBLANK('Event summary'!D1075),"",'Event summary'!D1075)</f>
        <v/>
      </c>
      <c r="F1075" s="117" t="str">
        <f>IF(ISBLANK('Event summary'!E1075),"",'Event summary'!E1075)</f>
        <v/>
      </c>
    </row>
    <row r="1076" spans="1:6" x14ac:dyDescent="0.2">
      <c r="A1076" s="114" t="e">
        <f>IF(ISBLANK('Event summary'!#REF!),"",'Event summary'!#REF!)</f>
        <v>#REF!</v>
      </c>
      <c r="B1076" s="115">
        <f>IF(ISBLANK('Event summary'!A1076),"",'Event summary'!A1076)</f>
        <v>1076</v>
      </c>
      <c r="C1076" s="115" t="str">
        <f>IF(ISBLANK('Event summary'!B1076),"",'Event summary'!B1076)</f>
        <v/>
      </c>
      <c r="D1076" s="116" t="str">
        <f>IF(ISBLANK('Event summary'!C1076),"",'Event summary'!C1076)</f>
        <v/>
      </c>
      <c r="E1076" s="116" t="str">
        <f>IF(ISBLANK('Event summary'!D1076),"",'Event summary'!D1076)</f>
        <v/>
      </c>
      <c r="F1076" s="117" t="str">
        <f>IF(ISBLANK('Event summary'!E1076),"",'Event summary'!E1076)</f>
        <v/>
      </c>
    </row>
    <row r="1077" spans="1:6" x14ac:dyDescent="0.2">
      <c r="A1077" s="114" t="e">
        <f>IF(ISBLANK('Event summary'!#REF!),"",'Event summary'!#REF!)</f>
        <v>#REF!</v>
      </c>
      <c r="B1077" s="115">
        <f>IF(ISBLANK('Event summary'!A1077),"",'Event summary'!A1077)</f>
        <v>1077</v>
      </c>
      <c r="C1077" s="115" t="str">
        <f>IF(ISBLANK('Event summary'!B1077),"",'Event summary'!B1077)</f>
        <v/>
      </c>
      <c r="D1077" s="116" t="str">
        <f>IF(ISBLANK('Event summary'!C1077),"",'Event summary'!C1077)</f>
        <v/>
      </c>
      <c r="E1077" s="116" t="str">
        <f>IF(ISBLANK('Event summary'!D1077),"",'Event summary'!D1077)</f>
        <v/>
      </c>
      <c r="F1077" s="117" t="str">
        <f>IF(ISBLANK('Event summary'!E1077),"",'Event summary'!E1077)</f>
        <v/>
      </c>
    </row>
    <row r="1078" spans="1:6" x14ac:dyDescent="0.2">
      <c r="A1078" s="114" t="e">
        <f>IF(ISBLANK('Event summary'!#REF!),"",'Event summary'!#REF!)</f>
        <v>#REF!</v>
      </c>
      <c r="B1078" s="115">
        <f>IF(ISBLANK('Event summary'!A1078),"",'Event summary'!A1078)</f>
        <v>1078</v>
      </c>
      <c r="C1078" s="115" t="str">
        <f>IF(ISBLANK('Event summary'!B1078),"",'Event summary'!B1078)</f>
        <v/>
      </c>
      <c r="D1078" s="116" t="str">
        <f>IF(ISBLANK('Event summary'!C1078),"",'Event summary'!C1078)</f>
        <v/>
      </c>
      <c r="E1078" s="116" t="str">
        <f>IF(ISBLANK('Event summary'!D1078),"",'Event summary'!D1078)</f>
        <v/>
      </c>
      <c r="F1078" s="117" t="str">
        <f>IF(ISBLANK('Event summary'!E1078),"",'Event summary'!E1078)</f>
        <v/>
      </c>
    </row>
    <row r="1079" spans="1:6" x14ac:dyDescent="0.2">
      <c r="A1079" s="114" t="e">
        <f>IF(ISBLANK('Event summary'!#REF!),"",'Event summary'!#REF!)</f>
        <v>#REF!</v>
      </c>
      <c r="B1079" s="115">
        <f>IF(ISBLANK('Event summary'!A1079),"",'Event summary'!A1079)</f>
        <v>1079</v>
      </c>
      <c r="C1079" s="115" t="str">
        <f>IF(ISBLANK('Event summary'!B1079),"",'Event summary'!B1079)</f>
        <v/>
      </c>
      <c r="D1079" s="116" t="str">
        <f>IF(ISBLANK('Event summary'!C1079),"",'Event summary'!C1079)</f>
        <v/>
      </c>
      <c r="E1079" s="116" t="str">
        <f>IF(ISBLANK('Event summary'!D1079),"",'Event summary'!D1079)</f>
        <v/>
      </c>
      <c r="F1079" s="117" t="str">
        <f>IF(ISBLANK('Event summary'!E1079),"",'Event summary'!E1079)</f>
        <v/>
      </c>
    </row>
    <row r="1080" spans="1:6" x14ac:dyDescent="0.2">
      <c r="A1080" s="114" t="e">
        <f>IF(ISBLANK('Event summary'!#REF!),"",'Event summary'!#REF!)</f>
        <v>#REF!</v>
      </c>
      <c r="B1080" s="115">
        <f>IF(ISBLANK('Event summary'!A1080),"",'Event summary'!A1080)</f>
        <v>1080</v>
      </c>
      <c r="C1080" s="115" t="str">
        <f>IF(ISBLANK('Event summary'!B1080),"",'Event summary'!B1080)</f>
        <v/>
      </c>
      <c r="D1080" s="116" t="str">
        <f>IF(ISBLANK('Event summary'!C1080),"",'Event summary'!C1080)</f>
        <v/>
      </c>
      <c r="E1080" s="116" t="str">
        <f>IF(ISBLANK('Event summary'!D1080),"",'Event summary'!D1080)</f>
        <v/>
      </c>
      <c r="F1080" s="117" t="str">
        <f>IF(ISBLANK('Event summary'!E1080),"",'Event summary'!E1080)</f>
        <v/>
      </c>
    </row>
    <row r="1081" spans="1:6" x14ac:dyDescent="0.2">
      <c r="A1081" s="114" t="e">
        <f>IF(ISBLANK('Event summary'!#REF!),"",'Event summary'!#REF!)</f>
        <v>#REF!</v>
      </c>
      <c r="B1081" s="115">
        <f>IF(ISBLANK('Event summary'!A1081),"",'Event summary'!A1081)</f>
        <v>1081</v>
      </c>
      <c r="C1081" s="115" t="str">
        <f>IF(ISBLANK('Event summary'!B1081),"",'Event summary'!B1081)</f>
        <v/>
      </c>
      <c r="D1081" s="116" t="str">
        <f>IF(ISBLANK('Event summary'!C1081),"",'Event summary'!C1081)</f>
        <v/>
      </c>
      <c r="E1081" s="116" t="str">
        <f>IF(ISBLANK('Event summary'!D1081),"",'Event summary'!D1081)</f>
        <v/>
      </c>
      <c r="F1081" s="117" t="str">
        <f>IF(ISBLANK('Event summary'!E1081),"",'Event summary'!E1081)</f>
        <v/>
      </c>
    </row>
    <row r="1082" spans="1:6" x14ac:dyDescent="0.2">
      <c r="A1082" s="114" t="e">
        <f>IF(ISBLANK('Event summary'!#REF!),"",'Event summary'!#REF!)</f>
        <v>#REF!</v>
      </c>
      <c r="B1082" s="115">
        <f>IF(ISBLANK('Event summary'!A1082),"",'Event summary'!A1082)</f>
        <v>1082</v>
      </c>
      <c r="C1082" s="115" t="str">
        <f>IF(ISBLANK('Event summary'!B1082),"",'Event summary'!B1082)</f>
        <v/>
      </c>
      <c r="D1082" s="116" t="str">
        <f>IF(ISBLANK('Event summary'!C1082),"",'Event summary'!C1082)</f>
        <v/>
      </c>
      <c r="E1082" s="116" t="str">
        <f>IF(ISBLANK('Event summary'!D1082),"",'Event summary'!D1082)</f>
        <v/>
      </c>
      <c r="F1082" s="117" t="str">
        <f>IF(ISBLANK('Event summary'!E1082),"",'Event summary'!E1082)</f>
        <v/>
      </c>
    </row>
    <row r="1083" spans="1:6" x14ac:dyDescent="0.2">
      <c r="A1083" s="114" t="e">
        <f>IF(ISBLANK('Event summary'!#REF!),"",'Event summary'!#REF!)</f>
        <v>#REF!</v>
      </c>
      <c r="B1083" s="115">
        <f>IF(ISBLANK('Event summary'!A1083),"",'Event summary'!A1083)</f>
        <v>1083</v>
      </c>
      <c r="C1083" s="115" t="str">
        <f>IF(ISBLANK('Event summary'!B1083),"",'Event summary'!B1083)</f>
        <v/>
      </c>
      <c r="D1083" s="116" t="str">
        <f>IF(ISBLANK('Event summary'!C1083),"",'Event summary'!C1083)</f>
        <v/>
      </c>
      <c r="E1083" s="116" t="str">
        <f>IF(ISBLANK('Event summary'!D1083),"",'Event summary'!D1083)</f>
        <v/>
      </c>
      <c r="F1083" s="117" t="str">
        <f>IF(ISBLANK('Event summary'!E1083),"",'Event summary'!E1083)</f>
        <v/>
      </c>
    </row>
    <row r="1084" spans="1:6" x14ac:dyDescent="0.2">
      <c r="A1084" s="114" t="e">
        <f>IF(ISBLANK('Event summary'!#REF!),"",'Event summary'!#REF!)</f>
        <v>#REF!</v>
      </c>
      <c r="B1084" s="115">
        <f>IF(ISBLANK('Event summary'!A1084),"",'Event summary'!A1084)</f>
        <v>1084</v>
      </c>
      <c r="C1084" s="115" t="str">
        <f>IF(ISBLANK('Event summary'!B1084),"",'Event summary'!B1084)</f>
        <v/>
      </c>
      <c r="D1084" s="116" t="str">
        <f>IF(ISBLANK('Event summary'!C1084),"",'Event summary'!C1084)</f>
        <v/>
      </c>
      <c r="E1084" s="116" t="str">
        <f>IF(ISBLANK('Event summary'!D1084),"",'Event summary'!D1084)</f>
        <v/>
      </c>
      <c r="F1084" s="117" t="str">
        <f>IF(ISBLANK('Event summary'!E1084),"",'Event summary'!E1084)</f>
        <v/>
      </c>
    </row>
    <row r="1085" spans="1:6" x14ac:dyDescent="0.2">
      <c r="A1085" s="114" t="e">
        <f>IF(ISBLANK('Event summary'!#REF!),"",'Event summary'!#REF!)</f>
        <v>#REF!</v>
      </c>
      <c r="B1085" s="115">
        <f>IF(ISBLANK('Event summary'!A1085),"",'Event summary'!A1085)</f>
        <v>1085</v>
      </c>
      <c r="C1085" s="115" t="str">
        <f>IF(ISBLANK('Event summary'!B1085),"",'Event summary'!B1085)</f>
        <v/>
      </c>
      <c r="D1085" s="116" t="str">
        <f>IF(ISBLANK('Event summary'!C1085),"",'Event summary'!C1085)</f>
        <v/>
      </c>
      <c r="E1085" s="116" t="str">
        <f>IF(ISBLANK('Event summary'!D1085),"",'Event summary'!D1085)</f>
        <v/>
      </c>
      <c r="F1085" s="117" t="str">
        <f>IF(ISBLANK('Event summary'!E1085),"",'Event summary'!E1085)</f>
        <v/>
      </c>
    </row>
    <row r="1086" spans="1:6" x14ac:dyDescent="0.2">
      <c r="A1086" s="114" t="e">
        <f>IF(ISBLANK('Event summary'!#REF!),"",'Event summary'!#REF!)</f>
        <v>#REF!</v>
      </c>
      <c r="B1086" s="115">
        <f>IF(ISBLANK('Event summary'!A1086),"",'Event summary'!A1086)</f>
        <v>1086</v>
      </c>
      <c r="C1086" s="115" t="str">
        <f>IF(ISBLANK('Event summary'!B1086),"",'Event summary'!B1086)</f>
        <v/>
      </c>
      <c r="D1086" s="116" t="str">
        <f>IF(ISBLANK('Event summary'!C1086),"",'Event summary'!C1086)</f>
        <v/>
      </c>
      <c r="E1086" s="116" t="str">
        <f>IF(ISBLANK('Event summary'!D1086),"",'Event summary'!D1086)</f>
        <v/>
      </c>
      <c r="F1086" s="117" t="str">
        <f>IF(ISBLANK('Event summary'!E1086),"",'Event summary'!E1086)</f>
        <v/>
      </c>
    </row>
    <row r="1087" spans="1:6" x14ac:dyDescent="0.2">
      <c r="A1087" s="114" t="e">
        <f>IF(ISBLANK('Event summary'!#REF!),"",'Event summary'!#REF!)</f>
        <v>#REF!</v>
      </c>
      <c r="B1087" s="115">
        <f>IF(ISBLANK('Event summary'!A1087),"",'Event summary'!A1087)</f>
        <v>1087</v>
      </c>
      <c r="C1087" s="115" t="str">
        <f>IF(ISBLANK('Event summary'!B1087),"",'Event summary'!B1087)</f>
        <v/>
      </c>
      <c r="D1087" s="116" t="str">
        <f>IF(ISBLANK('Event summary'!C1087),"",'Event summary'!C1087)</f>
        <v/>
      </c>
      <c r="E1087" s="116" t="str">
        <f>IF(ISBLANK('Event summary'!D1087),"",'Event summary'!D1087)</f>
        <v/>
      </c>
      <c r="F1087" s="117" t="str">
        <f>IF(ISBLANK('Event summary'!E1087),"",'Event summary'!E1087)</f>
        <v/>
      </c>
    </row>
    <row r="1088" spans="1:6" x14ac:dyDescent="0.2">
      <c r="A1088" s="114" t="e">
        <f>IF(ISBLANK('Event summary'!#REF!),"",'Event summary'!#REF!)</f>
        <v>#REF!</v>
      </c>
      <c r="B1088" s="115">
        <f>IF(ISBLANK('Event summary'!A1088),"",'Event summary'!A1088)</f>
        <v>1088</v>
      </c>
      <c r="C1088" s="115" t="str">
        <f>IF(ISBLANK('Event summary'!B1088),"",'Event summary'!B1088)</f>
        <v/>
      </c>
      <c r="D1088" s="116" t="str">
        <f>IF(ISBLANK('Event summary'!C1088),"",'Event summary'!C1088)</f>
        <v/>
      </c>
      <c r="E1088" s="116" t="str">
        <f>IF(ISBLANK('Event summary'!D1088),"",'Event summary'!D1088)</f>
        <v/>
      </c>
      <c r="F1088" s="117" t="str">
        <f>IF(ISBLANK('Event summary'!E1088),"",'Event summary'!E1088)</f>
        <v/>
      </c>
    </row>
    <row r="1089" spans="1:6" x14ac:dyDescent="0.2">
      <c r="A1089" s="114" t="e">
        <f>IF(ISBLANK('Event summary'!#REF!),"",'Event summary'!#REF!)</f>
        <v>#REF!</v>
      </c>
      <c r="B1089" s="115">
        <f>IF(ISBLANK('Event summary'!A1089),"",'Event summary'!A1089)</f>
        <v>1089</v>
      </c>
      <c r="C1089" s="115" t="str">
        <f>IF(ISBLANK('Event summary'!B1089),"",'Event summary'!B1089)</f>
        <v/>
      </c>
      <c r="D1089" s="116" t="str">
        <f>IF(ISBLANK('Event summary'!C1089),"",'Event summary'!C1089)</f>
        <v/>
      </c>
      <c r="E1089" s="116" t="str">
        <f>IF(ISBLANK('Event summary'!D1089),"",'Event summary'!D1089)</f>
        <v/>
      </c>
      <c r="F1089" s="117" t="str">
        <f>IF(ISBLANK('Event summary'!E1089),"",'Event summary'!E1089)</f>
        <v/>
      </c>
    </row>
    <row r="1090" spans="1:6" x14ac:dyDescent="0.2">
      <c r="A1090" s="114" t="e">
        <f>IF(ISBLANK('Event summary'!#REF!),"",'Event summary'!#REF!)</f>
        <v>#REF!</v>
      </c>
      <c r="B1090" s="115">
        <f>IF(ISBLANK('Event summary'!A1090),"",'Event summary'!A1090)</f>
        <v>1090</v>
      </c>
      <c r="C1090" s="115" t="str">
        <f>IF(ISBLANK('Event summary'!B1090),"",'Event summary'!B1090)</f>
        <v/>
      </c>
      <c r="D1090" s="116" t="str">
        <f>IF(ISBLANK('Event summary'!C1090),"",'Event summary'!C1090)</f>
        <v/>
      </c>
      <c r="E1090" s="116" t="str">
        <f>IF(ISBLANK('Event summary'!D1090),"",'Event summary'!D1090)</f>
        <v/>
      </c>
      <c r="F1090" s="117" t="str">
        <f>IF(ISBLANK('Event summary'!E1090),"",'Event summary'!E1090)</f>
        <v/>
      </c>
    </row>
    <row r="1091" spans="1:6" x14ac:dyDescent="0.2">
      <c r="A1091" s="114" t="e">
        <f>IF(ISBLANK('Event summary'!#REF!),"",'Event summary'!#REF!)</f>
        <v>#REF!</v>
      </c>
      <c r="B1091" s="115">
        <f>IF(ISBLANK('Event summary'!A1091),"",'Event summary'!A1091)</f>
        <v>1091</v>
      </c>
      <c r="C1091" s="115" t="str">
        <f>IF(ISBLANK('Event summary'!B1091),"",'Event summary'!B1091)</f>
        <v/>
      </c>
      <c r="D1091" s="116" t="str">
        <f>IF(ISBLANK('Event summary'!C1091),"",'Event summary'!C1091)</f>
        <v/>
      </c>
      <c r="E1091" s="116" t="str">
        <f>IF(ISBLANK('Event summary'!D1091),"",'Event summary'!D1091)</f>
        <v/>
      </c>
      <c r="F1091" s="117" t="str">
        <f>IF(ISBLANK('Event summary'!E1091),"",'Event summary'!E1091)</f>
        <v/>
      </c>
    </row>
    <row r="1092" spans="1:6" x14ac:dyDescent="0.2">
      <c r="A1092" s="114" t="e">
        <f>IF(ISBLANK('Event summary'!#REF!),"",'Event summary'!#REF!)</f>
        <v>#REF!</v>
      </c>
      <c r="B1092" s="115">
        <f>IF(ISBLANK('Event summary'!A1092),"",'Event summary'!A1092)</f>
        <v>1092</v>
      </c>
      <c r="C1092" s="115" t="str">
        <f>IF(ISBLANK('Event summary'!B1092),"",'Event summary'!B1092)</f>
        <v/>
      </c>
      <c r="D1092" s="116" t="str">
        <f>IF(ISBLANK('Event summary'!C1092),"",'Event summary'!C1092)</f>
        <v/>
      </c>
      <c r="E1092" s="116" t="str">
        <f>IF(ISBLANK('Event summary'!D1092),"",'Event summary'!D1092)</f>
        <v/>
      </c>
      <c r="F1092" s="117" t="str">
        <f>IF(ISBLANK('Event summary'!E1092),"",'Event summary'!E1092)</f>
        <v/>
      </c>
    </row>
    <row r="1093" spans="1:6" x14ac:dyDescent="0.2">
      <c r="A1093" s="114" t="e">
        <f>IF(ISBLANK('Event summary'!#REF!),"",'Event summary'!#REF!)</f>
        <v>#REF!</v>
      </c>
      <c r="B1093" s="115">
        <f>IF(ISBLANK('Event summary'!A1093),"",'Event summary'!A1093)</f>
        <v>1093</v>
      </c>
      <c r="C1093" s="115" t="str">
        <f>IF(ISBLANK('Event summary'!B1093),"",'Event summary'!B1093)</f>
        <v/>
      </c>
      <c r="D1093" s="116" t="str">
        <f>IF(ISBLANK('Event summary'!C1093),"",'Event summary'!C1093)</f>
        <v/>
      </c>
      <c r="E1093" s="116" t="str">
        <f>IF(ISBLANK('Event summary'!D1093),"",'Event summary'!D1093)</f>
        <v/>
      </c>
      <c r="F1093" s="117" t="str">
        <f>IF(ISBLANK('Event summary'!E1093),"",'Event summary'!E1093)</f>
        <v/>
      </c>
    </row>
    <row r="1094" spans="1:6" x14ac:dyDescent="0.2">
      <c r="A1094" s="114" t="e">
        <f>IF(ISBLANK('Event summary'!#REF!),"",'Event summary'!#REF!)</f>
        <v>#REF!</v>
      </c>
      <c r="B1094" s="115">
        <f>IF(ISBLANK('Event summary'!A1094),"",'Event summary'!A1094)</f>
        <v>1094</v>
      </c>
      <c r="C1094" s="115" t="str">
        <f>IF(ISBLANK('Event summary'!B1094),"",'Event summary'!B1094)</f>
        <v/>
      </c>
      <c r="D1094" s="116" t="str">
        <f>IF(ISBLANK('Event summary'!C1094),"",'Event summary'!C1094)</f>
        <v/>
      </c>
      <c r="E1094" s="116" t="str">
        <f>IF(ISBLANK('Event summary'!D1094),"",'Event summary'!D1094)</f>
        <v/>
      </c>
      <c r="F1094" s="117" t="str">
        <f>IF(ISBLANK('Event summary'!E1094),"",'Event summary'!E1094)</f>
        <v/>
      </c>
    </row>
    <row r="1095" spans="1:6" x14ac:dyDescent="0.2">
      <c r="A1095" s="114" t="e">
        <f>IF(ISBLANK('Event summary'!#REF!),"",'Event summary'!#REF!)</f>
        <v>#REF!</v>
      </c>
      <c r="B1095" s="115">
        <f>IF(ISBLANK('Event summary'!A1095),"",'Event summary'!A1095)</f>
        <v>1095</v>
      </c>
      <c r="C1095" s="115" t="str">
        <f>IF(ISBLANK('Event summary'!B1095),"",'Event summary'!B1095)</f>
        <v/>
      </c>
      <c r="D1095" s="116" t="str">
        <f>IF(ISBLANK('Event summary'!C1095),"",'Event summary'!C1095)</f>
        <v/>
      </c>
      <c r="E1095" s="116" t="str">
        <f>IF(ISBLANK('Event summary'!D1095),"",'Event summary'!D1095)</f>
        <v/>
      </c>
      <c r="F1095" s="117" t="str">
        <f>IF(ISBLANK('Event summary'!E1095),"",'Event summary'!E1095)</f>
        <v/>
      </c>
    </row>
    <row r="1096" spans="1:6" x14ac:dyDescent="0.2">
      <c r="A1096" s="114" t="e">
        <f>IF(ISBLANK('Event summary'!#REF!),"",'Event summary'!#REF!)</f>
        <v>#REF!</v>
      </c>
      <c r="B1096" s="115">
        <f>IF(ISBLANK('Event summary'!A1096),"",'Event summary'!A1096)</f>
        <v>1096</v>
      </c>
      <c r="C1096" s="115" t="str">
        <f>IF(ISBLANK('Event summary'!B1096),"",'Event summary'!B1096)</f>
        <v/>
      </c>
      <c r="D1096" s="116" t="str">
        <f>IF(ISBLANK('Event summary'!C1096),"",'Event summary'!C1096)</f>
        <v/>
      </c>
      <c r="E1096" s="116" t="str">
        <f>IF(ISBLANK('Event summary'!D1096),"",'Event summary'!D1096)</f>
        <v/>
      </c>
      <c r="F1096" s="117" t="str">
        <f>IF(ISBLANK('Event summary'!E1096),"",'Event summary'!E1096)</f>
        <v/>
      </c>
    </row>
    <row r="1097" spans="1:6" x14ac:dyDescent="0.2">
      <c r="A1097" s="114" t="e">
        <f>IF(ISBLANK('Event summary'!#REF!),"",'Event summary'!#REF!)</f>
        <v>#REF!</v>
      </c>
      <c r="B1097" s="115">
        <f>IF(ISBLANK('Event summary'!A1097),"",'Event summary'!A1097)</f>
        <v>1097</v>
      </c>
      <c r="C1097" s="115" t="str">
        <f>IF(ISBLANK('Event summary'!B1097),"",'Event summary'!B1097)</f>
        <v/>
      </c>
      <c r="D1097" s="116" t="str">
        <f>IF(ISBLANK('Event summary'!C1097),"",'Event summary'!C1097)</f>
        <v/>
      </c>
      <c r="E1097" s="116" t="str">
        <f>IF(ISBLANK('Event summary'!D1097),"",'Event summary'!D1097)</f>
        <v/>
      </c>
      <c r="F1097" s="117" t="str">
        <f>IF(ISBLANK('Event summary'!E1097),"",'Event summary'!E1097)</f>
        <v/>
      </c>
    </row>
    <row r="1098" spans="1:6" x14ac:dyDescent="0.2">
      <c r="A1098" s="114" t="e">
        <f>IF(ISBLANK('Event summary'!#REF!),"",'Event summary'!#REF!)</f>
        <v>#REF!</v>
      </c>
      <c r="B1098" s="115">
        <f>IF(ISBLANK('Event summary'!A1098),"",'Event summary'!A1098)</f>
        <v>1098</v>
      </c>
      <c r="C1098" s="115" t="str">
        <f>IF(ISBLANK('Event summary'!B1098),"",'Event summary'!B1098)</f>
        <v/>
      </c>
      <c r="D1098" s="116" t="str">
        <f>IF(ISBLANK('Event summary'!C1098),"",'Event summary'!C1098)</f>
        <v/>
      </c>
      <c r="E1098" s="116" t="str">
        <f>IF(ISBLANK('Event summary'!D1098),"",'Event summary'!D1098)</f>
        <v/>
      </c>
      <c r="F1098" s="117" t="str">
        <f>IF(ISBLANK('Event summary'!E1098),"",'Event summary'!E1098)</f>
        <v/>
      </c>
    </row>
    <row r="1099" spans="1:6" x14ac:dyDescent="0.2">
      <c r="A1099" s="114" t="e">
        <f>IF(ISBLANK('Event summary'!#REF!),"",'Event summary'!#REF!)</f>
        <v>#REF!</v>
      </c>
      <c r="B1099" s="115">
        <f>IF(ISBLANK('Event summary'!A1099),"",'Event summary'!A1099)</f>
        <v>1099</v>
      </c>
      <c r="C1099" s="115" t="str">
        <f>IF(ISBLANK('Event summary'!B1099),"",'Event summary'!B1099)</f>
        <v/>
      </c>
      <c r="D1099" s="116" t="str">
        <f>IF(ISBLANK('Event summary'!C1099),"",'Event summary'!C1099)</f>
        <v/>
      </c>
      <c r="E1099" s="116" t="str">
        <f>IF(ISBLANK('Event summary'!D1099),"",'Event summary'!D1099)</f>
        <v/>
      </c>
      <c r="F1099" s="117" t="str">
        <f>IF(ISBLANK('Event summary'!E1099),"",'Event summary'!E1099)</f>
        <v/>
      </c>
    </row>
    <row r="1100" spans="1:6" x14ac:dyDescent="0.2">
      <c r="A1100" s="114" t="e">
        <f>IF(ISBLANK('Event summary'!#REF!),"",'Event summary'!#REF!)</f>
        <v>#REF!</v>
      </c>
      <c r="B1100" s="115">
        <f>IF(ISBLANK('Event summary'!A1100),"",'Event summary'!A1100)</f>
        <v>1100</v>
      </c>
      <c r="C1100" s="115" t="str">
        <f>IF(ISBLANK('Event summary'!B1100),"",'Event summary'!B1100)</f>
        <v/>
      </c>
      <c r="D1100" s="116" t="str">
        <f>IF(ISBLANK('Event summary'!C1100),"",'Event summary'!C1100)</f>
        <v/>
      </c>
      <c r="E1100" s="116" t="str">
        <f>IF(ISBLANK('Event summary'!D1100),"",'Event summary'!D1100)</f>
        <v/>
      </c>
      <c r="F1100" s="117" t="str">
        <f>IF(ISBLANK('Event summary'!E1100),"",'Event summary'!E1100)</f>
        <v/>
      </c>
    </row>
    <row r="1101" spans="1:6" x14ac:dyDescent="0.2">
      <c r="A1101" s="114" t="e">
        <f>IF(ISBLANK('Event summary'!#REF!),"",'Event summary'!#REF!)</f>
        <v>#REF!</v>
      </c>
      <c r="B1101" s="115">
        <f>IF(ISBLANK('Event summary'!A1101),"",'Event summary'!A1101)</f>
        <v>1101</v>
      </c>
      <c r="C1101" s="115" t="str">
        <f>IF(ISBLANK('Event summary'!B1101),"",'Event summary'!B1101)</f>
        <v/>
      </c>
      <c r="D1101" s="116" t="str">
        <f>IF(ISBLANK('Event summary'!C1101),"",'Event summary'!C1101)</f>
        <v/>
      </c>
      <c r="E1101" s="116" t="str">
        <f>IF(ISBLANK('Event summary'!D1101),"",'Event summary'!D1101)</f>
        <v/>
      </c>
      <c r="F1101" s="117" t="str">
        <f>IF(ISBLANK('Event summary'!E1101),"",'Event summary'!E1101)</f>
        <v/>
      </c>
    </row>
    <row r="1102" spans="1:6" x14ac:dyDescent="0.2">
      <c r="A1102" s="114" t="e">
        <f>IF(ISBLANK('Event summary'!#REF!),"",'Event summary'!#REF!)</f>
        <v>#REF!</v>
      </c>
      <c r="B1102" s="115">
        <f>IF(ISBLANK('Event summary'!A1102),"",'Event summary'!A1102)</f>
        <v>1102</v>
      </c>
      <c r="C1102" s="115" t="str">
        <f>IF(ISBLANK('Event summary'!B1102),"",'Event summary'!B1102)</f>
        <v/>
      </c>
      <c r="D1102" s="116" t="str">
        <f>IF(ISBLANK('Event summary'!C1102),"",'Event summary'!C1102)</f>
        <v/>
      </c>
      <c r="E1102" s="116" t="str">
        <f>IF(ISBLANK('Event summary'!D1102),"",'Event summary'!D1102)</f>
        <v/>
      </c>
      <c r="F1102" s="117" t="str">
        <f>IF(ISBLANK('Event summary'!E1102),"",'Event summary'!E1102)</f>
        <v/>
      </c>
    </row>
    <row r="1103" spans="1:6" x14ac:dyDescent="0.2">
      <c r="A1103" s="114" t="e">
        <f>IF(ISBLANK('Event summary'!#REF!),"",'Event summary'!#REF!)</f>
        <v>#REF!</v>
      </c>
      <c r="B1103" s="115">
        <f>IF(ISBLANK('Event summary'!A1103),"",'Event summary'!A1103)</f>
        <v>1103</v>
      </c>
      <c r="C1103" s="115" t="str">
        <f>IF(ISBLANK('Event summary'!B1103),"",'Event summary'!B1103)</f>
        <v/>
      </c>
      <c r="D1103" s="116" t="str">
        <f>IF(ISBLANK('Event summary'!C1103),"",'Event summary'!C1103)</f>
        <v/>
      </c>
      <c r="E1103" s="116" t="str">
        <f>IF(ISBLANK('Event summary'!D1103),"",'Event summary'!D1103)</f>
        <v/>
      </c>
      <c r="F1103" s="117" t="str">
        <f>IF(ISBLANK('Event summary'!E1103),"",'Event summary'!E1103)</f>
        <v/>
      </c>
    </row>
    <row r="1104" spans="1:6" x14ac:dyDescent="0.2">
      <c r="A1104" s="114" t="e">
        <f>IF(ISBLANK('Event summary'!#REF!),"",'Event summary'!#REF!)</f>
        <v>#REF!</v>
      </c>
      <c r="B1104" s="115">
        <f>IF(ISBLANK('Event summary'!A1104),"",'Event summary'!A1104)</f>
        <v>1104</v>
      </c>
      <c r="C1104" s="115" t="str">
        <f>IF(ISBLANK('Event summary'!B1104),"",'Event summary'!B1104)</f>
        <v/>
      </c>
      <c r="D1104" s="116" t="str">
        <f>IF(ISBLANK('Event summary'!C1104),"",'Event summary'!C1104)</f>
        <v/>
      </c>
      <c r="E1104" s="116" t="str">
        <f>IF(ISBLANK('Event summary'!D1104),"",'Event summary'!D1104)</f>
        <v/>
      </c>
      <c r="F1104" s="117" t="str">
        <f>IF(ISBLANK('Event summary'!E1104),"",'Event summary'!E1104)</f>
        <v/>
      </c>
    </row>
    <row r="1105" spans="1:6" x14ac:dyDescent="0.2">
      <c r="A1105" s="114" t="e">
        <f>IF(ISBLANK('Event summary'!#REF!),"",'Event summary'!#REF!)</f>
        <v>#REF!</v>
      </c>
      <c r="B1105" s="115">
        <f>IF(ISBLANK('Event summary'!A1105),"",'Event summary'!A1105)</f>
        <v>1105</v>
      </c>
      <c r="C1105" s="115" t="str">
        <f>IF(ISBLANK('Event summary'!B1105),"",'Event summary'!B1105)</f>
        <v/>
      </c>
      <c r="D1105" s="116" t="str">
        <f>IF(ISBLANK('Event summary'!C1105),"",'Event summary'!C1105)</f>
        <v/>
      </c>
      <c r="E1105" s="116" t="str">
        <f>IF(ISBLANK('Event summary'!D1105),"",'Event summary'!D1105)</f>
        <v/>
      </c>
      <c r="F1105" s="117" t="str">
        <f>IF(ISBLANK('Event summary'!E1105),"",'Event summary'!E1105)</f>
        <v/>
      </c>
    </row>
    <row r="1106" spans="1:6" x14ac:dyDescent="0.2">
      <c r="A1106" s="114" t="e">
        <f>IF(ISBLANK('Event summary'!#REF!),"",'Event summary'!#REF!)</f>
        <v>#REF!</v>
      </c>
      <c r="B1106" s="115">
        <f>IF(ISBLANK('Event summary'!A1106),"",'Event summary'!A1106)</f>
        <v>1106</v>
      </c>
      <c r="C1106" s="115" t="str">
        <f>IF(ISBLANK('Event summary'!B1106),"",'Event summary'!B1106)</f>
        <v/>
      </c>
      <c r="D1106" s="116" t="str">
        <f>IF(ISBLANK('Event summary'!C1106),"",'Event summary'!C1106)</f>
        <v/>
      </c>
      <c r="E1106" s="116" t="str">
        <f>IF(ISBLANK('Event summary'!D1106),"",'Event summary'!D1106)</f>
        <v/>
      </c>
      <c r="F1106" s="117" t="str">
        <f>IF(ISBLANK('Event summary'!E1106),"",'Event summary'!E1106)</f>
        <v/>
      </c>
    </row>
    <row r="1107" spans="1:6" x14ac:dyDescent="0.2">
      <c r="A1107" s="114" t="e">
        <f>IF(ISBLANK('Event summary'!#REF!),"",'Event summary'!#REF!)</f>
        <v>#REF!</v>
      </c>
      <c r="B1107" s="115">
        <f>IF(ISBLANK('Event summary'!A1107),"",'Event summary'!A1107)</f>
        <v>1107</v>
      </c>
      <c r="C1107" s="115" t="str">
        <f>IF(ISBLANK('Event summary'!B1107),"",'Event summary'!B1107)</f>
        <v/>
      </c>
      <c r="D1107" s="116" t="str">
        <f>IF(ISBLANK('Event summary'!C1107),"",'Event summary'!C1107)</f>
        <v/>
      </c>
      <c r="E1107" s="116" t="str">
        <f>IF(ISBLANK('Event summary'!D1107),"",'Event summary'!D1107)</f>
        <v/>
      </c>
      <c r="F1107" s="117" t="str">
        <f>IF(ISBLANK('Event summary'!E1107),"",'Event summary'!E1107)</f>
        <v/>
      </c>
    </row>
    <row r="1108" spans="1:6" x14ac:dyDescent="0.2">
      <c r="A1108" s="114" t="e">
        <f>IF(ISBLANK('Event summary'!#REF!),"",'Event summary'!#REF!)</f>
        <v>#REF!</v>
      </c>
      <c r="B1108" s="115">
        <f>IF(ISBLANK('Event summary'!A1108),"",'Event summary'!A1108)</f>
        <v>1108</v>
      </c>
      <c r="C1108" s="115" t="str">
        <f>IF(ISBLANK('Event summary'!B1108),"",'Event summary'!B1108)</f>
        <v/>
      </c>
      <c r="D1108" s="116" t="str">
        <f>IF(ISBLANK('Event summary'!C1108),"",'Event summary'!C1108)</f>
        <v/>
      </c>
      <c r="E1108" s="116" t="str">
        <f>IF(ISBLANK('Event summary'!D1108),"",'Event summary'!D1108)</f>
        <v/>
      </c>
      <c r="F1108" s="117" t="str">
        <f>IF(ISBLANK('Event summary'!E1108),"",'Event summary'!E1108)</f>
        <v/>
      </c>
    </row>
    <row r="1109" spans="1:6" x14ac:dyDescent="0.2">
      <c r="A1109" s="114" t="e">
        <f>IF(ISBLANK('Event summary'!#REF!),"",'Event summary'!#REF!)</f>
        <v>#REF!</v>
      </c>
      <c r="B1109" s="115">
        <f>IF(ISBLANK('Event summary'!A1109),"",'Event summary'!A1109)</f>
        <v>1109</v>
      </c>
      <c r="C1109" s="115" t="str">
        <f>IF(ISBLANK('Event summary'!B1109),"",'Event summary'!B1109)</f>
        <v/>
      </c>
      <c r="D1109" s="116" t="str">
        <f>IF(ISBLANK('Event summary'!C1109),"",'Event summary'!C1109)</f>
        <v/>
      </c>
      <c r="E1109" s="116" t="str">
        <f>IF(ISBLANK('Event summary'!D1109),"",'Event summary'!D1109)</f>
        <v/>
      </c>
      <c r="F1109" s="117" t="str">
        <f>IF(ISBLANK('Event summary'!E1109),"",'Event summary'!E1109)</f>
        <v/>
      </c>
    </row>
    <row r="1110" spans="1:6" x14ac:dyDescent="0.2">
      <c r="A1110" s="114" t="e">
        <f>IF(ISBLANK('Event summary'!#REF!),"",'Event summary'!#REF!)</f>
        <v>#REF!</v>
      </c>
      <c r="B1110" s="115">
        <f>IF(ISBLANK('Event summary'!A1110),"",'Event summary'!A1110)</f>
        <v>1110</v>
      </c>
      <c r="C1110" s="115" t="str">
        <f>IF(ISBLANK('Event summary'!B1110),"",'Event summary'!B1110)</f>
        <v/>
      </c>
      <c r="D1110" s="116" t="str">
        <f>IF(ISBLANK('Event summary'!C1110),"",'Event summary'!C1110)</f>
        <v/>
      </c>
      <c r="E1110" s="116" t="str">
        <f>IF(ISBLANK('Event summary'!D1110),"",'Event summary'!D1110)</f>
        <v/>
      </c>
      <c r="F1110" s="117" t="str">
        <f>IF(ISBLANK('Event summary'!E1110),"",'Event summary'!E1110)</f>
        <v/>
      </c>
    </row>
    <row r="1111" spans="1:6" x14ac:dyDescent="0.2">
      <c r="A1111" s="114" t="e">
        <f>IF(ISBLANK('Event summary'!#REF!),"",'Event summary'!#REF!)</f>
        <v>#REF!</v>
      </c>
      <c r="B1111" s="115">
        <f>IF(ISBLANK('Event summary'!A1111),"",'Event summary'!A1111)</f>
        <v>1111</v>
      </c>
      <c r="C1111" s="115" t="str">
        <f>IF(ISBLANK('Event summary'!B1111),"",'Event summary'!B1111)</f>
        <v/>
      </c>
      <c r="D1111" s="116" t="str">
        <f>IF(ISBLANK('Event summary'!C1111),"",'Event summary'!C1111)</f>
        <v/>
      </c>
      <c r="E1111" s="116" t="str">
        <f>IF(ISBLANK('Event summary'!D1111),"",'Event summary'!D1111)</f>
        <v/>
      </c>
      <c r="F1111" s="117" t="str">
        <f>IF(ISBLANK('Event summary'!E1111),"",'Event summary'!E1111)</f>
        <v/>
      </c>
    </row>
    <row r="1112" spans="1:6" x14ac:dyDescent="0.2">
      <c r="A1112" s="114" t="e">
        <f>IF(ISBLANK('Event summary'!#REF!),"",'Event summary'!#REF!)</f>
        <v>#REF!</v>
      </c>
      <c r="B1112" s="115">
        <f>IF(ISBLANK('Event summary'!A1112),"",'Event summary'!A1112)</f>
        <v>1112</v>
      </c>
      <c r="C1112" s="115" t="str">
        <f>IF(ISBLANK('Event summary'!B1112),"",'Event summary'!B1112)</f>
        <v/>
      </c>
      <c r="D1112" s="116" t="str">
        <f>IF(ISBLANK('Event summary'!C1112),"",'Event summary'!C1112)</f>
        <v/>
      </c>
      <c r="E1112" s="116" t="str">
        <f>IF(ISBLANK('Event summary'!D1112),"",'Event summary'!D1112)</f>
        <v/>
      </c>
      <c r="F1112" s="117" t="str">
        <f>IF(ISBLANK('Event summary'!E1112),"",'Event summary'!E1112)</f>
        <v/>
      </c>
    </row>
    <row r="1113" spans="1:6" x14ac:dyDescent="0.2">
      <c r="A1113" s="114" t="e">
        <f>IF(ISBLANK('Event summary'!#REF!),"",'Event summary'!#REF!)</f>
        <v>#REF!</v>
      </c>
      <c r="B1113" s="115">
        <f>IF(ISBLANK('Event summary'!A1113),"",'Event summary'!A1113)</f>
        <v>1113</v>
      </c>
      <c r="C1113" s="115" t="str">
        <f>IF(ISBLANK('Event summary'!B1113),"",'Event summary'!B1113)</f>
        <v/>
      </c>
      <c r="D1113" s="116" t="str">
        <f>IF(ISBLANK('Event summary'!C1113),"",'Event summary'!C1113)</f>
        <v/>
      </c>
      <c r="E1113" s="116" t="str">
        <f>IF(ISBLANK('Event summary'!D1113),"",'Event summary'!D1113)</f>
        <v/>
      </c>
      <c r="F1113" s="117" t="str">
        <f>IF(ISBLANK('Event summary'!E1113),"",'Event summary'!E1113)</f>
        <v/>
      </c>
    </row>
    <row r="1114" spans="1:6" x14ac:dyDescent="0.2">
      <c r="A1114" s="114" t="e">
        <f>IF(ISBLANK('Event summary'!#REF!),"",'Event summary'!#REF!)</f>
        <v>#REF!</v>
      </c>
      <c r="B1114" s="115">
        <f>IF(ISBLANK('Event summary'!A1114),"",'Event summary'!A1114)</f>
        <v>1114</v>
      </c>
      <c r="C1114" s="115" t="str">
        <f>IF(ISBLANK('Event summary'!B1114),"",'Event summary'!B1114)</f>
        <v/>
      </c>
      <c r="D1114" s="116" t="str">
        <f>IF(ISBLANK('Event summary'!C1114),"",'Event summary'!C1114)</f>
        <v/>
      </c>
      <c r="E1114" s="116" t="str">
        <f>IF(ISBLANK('Event summary'!D1114),"",'Event summary'!D1114)</f>
        <v/>
      </c>
      <c r="F1114" s="117" t="str">
        <f>IF(ISBLANK('Event summary'!E1114),"",'Event summary'!E1114)</f>
        <v/>
      </c>
    </row>
    <row r="1115" spans="1:6" x14ac:dyDescent="0.2">
      <c r="A1115" s="114" t="e">
        <f>IF(ISBLANK('Event summary'!#REF!),"",'Event summary'!#REF!)</f>
        <v>#REF!</v>
      </c>
      <c r="B1115" s="115">
        <f>IF(ISBLANK('Event summary'!A1115),"",'Event summary'!A1115)</f>
        <v>1115</v>
      </c>
      <c r="C1115" s="115" t="str">
        <f>IF(ISBLANK('Event summary'!B1115),"",'Event summary'!B1115)</f>
        <v/>
      </c>
      <c r="D1115" s="116" t="str">
        <f>IF(ISBLANK('Event summary'!C1115),"",'Event summary'!C1115)</f>
        <v/>
      </c>
      <c r="E1115" s="116" t="str">
        <f>IF(ISBLANK('Event summary'!D1115),"",'Event summary'!D1115)</f>
        <v/>
      </c>
      <c r="F1115" s="117" t="str">
        <f>IF(ISBLANK('Event summary'!E1115),"",'Event summary'!E1115)</f>
        <v/>
      </c>
    </row>
    <row r="1116" spans="1:6" x14ac:dyDescent="0.2">
      <c r="A1116" s="114" t="e">
        <f>IF(ISBLANK('Event summary'!#REF!),"",'Event summary'!#REF!)</f>
        <v>#REF!</v>
      </c>
      <c r="B1116" s="115">
        <f>IF(ISBLANK('Event summary'!A1116),"",'Event summary'!A1116)</f>
        <v>1116</v>
      </c>
      <c r="C1116" s="115" t="str">
        <f>IF(ISBLANK('Event summary'!B1116),"",'Event summary'!B1116)</f>
        <v/>
      </c>
      <c r="D1116" s="116" t="str">
        <f>IF(ISBLANK('Event summary'!C1116),"",'Event summary'!C1116)</f>
        <v/>
      </c>
      <c r="E1116" s="116" t="str">
        <f>IF(ISBLANK('Event summary'!D1116),"",'Event summary'!D1116)</f>
        <v/>
      </c>
      <c r="F1116" s="117" t="str">
        <f>IF(ISBLANK('Event summary'!E1116),"",'Event summary'!E1116)</f>
        <v/>
      </c>
    </row>
    <row r="1117" spans="1:6" x14ac:dyDescent="0.2">
      <c r="A1117" s="114" t="e">
        <f>IF(ISBLANK('Event summary'!#REF!),"",'Event summary'!#REF!)</f>
        <v>#REF!</v>
      </c>
      <c r="B1117" s="115">
        <f>IF(ISBLANK('Event summary'!A1117),"",'Event summary'!A1117)</f>
        <v>1117</v>
      </c>
      <c r="C1117" s="115" t="str">
        <f>IF(ISBLANK('Event summary'!B1117),"",'Event summary'!B1117)</f>
        <v/>
      </c>
      <c r="D1117" s="116" t="str">
        <f>IF(ISBLANK('Event summary'!C1117),"",'Event summary'!C1117)</f>
        <v/>
      </c>
      <c r="E1117" s="116" t="str">
        <f>IF(ISBLANK('Event summary'!D1117),"",'Event summary'!D1117)</f>
        <v/>
      </c>
      <c r="F1117" s="117" t="str">
        <f>IF(ISBLANK('Event summary'!E1117),"",'Event summary'!E1117)</f>
        <v/>
      </c>
    </row>
    <row r="1118" spans="1:6" x14ac:dyDescent="0.2">
      <c r="A1118" s="114" t="e">
        <f>IF(ISBLANK('Event summary'!#REF!),"",'Event summary'!#REF!)</f>
        <v>#REF!</v>
      </c>
      <c r="B1118" s="115">
        <f>IF(ISBLANK('Event summary'!A1118),"",'Event summary'!A1118)</f>
        <v>1118</v>
      </c>
      <c r="C1118" s="115" t="str">
        <f>IF(ISBLANK('Event summary'!B1118),"",'Event summary'!B1118)</f>
        <v/>
      </c>
      <c r="D1118" s="116" t="str">
        <f>IF(ISBLANK('Event summary'!C1118),"",'Event summary'!C1118)</f>
        <v/>
      </c>
      <c r="E1118" s="116" t="str">
        <f>IF(ISBLANK('Event summary'!D1118),"",'Event summary'!D1118)</f>
        <v/>
      </c>
      <c r="F1118" s="117" t="str">
        <f>IF(ISBLANK('Event summary'!E1118),"",'Event summary'!E1118)</f>
        <v/>
      </c>
    </row>
    <row r="1119" spans="1:6" x14ac:dyDescent="0.2">
      <c r="A1119" s="114" t="e">
        <f>IF(ISBLANK('Event summary'!#REF!),"",'Event summary'!#REF!)</f>
        <v>#REF!</v>
      </c>
      <c r="B1119" s="115">
        <f>IF(ISBLANK('Event summary'!A1119),"",'Event summary'!A1119)</f>
        <v>1119</v>
      </c>
      <c r="C1119" s="115" t="str">
        <f>IF(ISBLANK('Event summary'!B1119),"",'Event summary'!B1119)</f>
        <v/>
      </c>
      <c r="D1119" s="116" t="str">
        <f>IF(ISBLANK('Event summary'!C1119),"",'Event summary'!C1119)</f>
        <v/>
      </c>
      <c r="E1119" s="116" t="str">
        <f>IF(ISBLANK('Event summary'!D1119),"",'Event summary'!D1119)</f>
        <v/>
      </c>
      <c r="F1119" s="117" t="str">
        <f>IF(ISBLANK('Event summary'!E1119),"",'Event summary'!E1119)</f>
        <v/>
      </c>
    </row>
    <row r="1120" spans="1:6" x14ac:dyDescent="0.2">
      <c r="A1120" s="114" t="e">
        <f>IF(ISBLANK('Event summary'!#REF!),"",'Event summary'!#REF!)</f>
        <v>#REF!</v>
      </c>
      <c r="B1120" s="115">
        <f>IF(ISBLANK('Event summary'!A1120),"",'Event summary'!A1120)</f>
        <v>1120</v>
      </c>
      <c r="C1120" s="115" t="str">
        <f>IF(ISBLANK('Event summary'!B1120),"",'Event summary'!B1120)</f>
        <v/>
      </c>
      <c r="D1120" s="116" t="str">
        <f>IF(ISBLANK('Event summary'!C1120),"",'Event summary'!C1120)</f>
        <v/>
      </c>
      <c r="E1120" s="116" t="str">
        <f>IF(ISBLANK('Event summary'!D1120),"",'Event summary'!D1120)</f>
        <v/>
      </c>
      <c r="F1120" s="117" t="str">
        <f>IF(ISBLANK('Event summary'!E1120),"",'Event summary'!E1120)</f>
        <v/>
      </c>
    </row>
    <row r="1121" spans="1:6" x14ac:dyDescent="0.2">
      <c r="A1121" s="114" t="e">
        <f>IF(ISBLANK('Event summary'!#REF!),"",'Event summary'!#REF!)</f>
        <v>#REF!</v>
      </c>
      <c r="B1121" s="115">
        <f>IF(ISBLANK('Event summary'!A1121),"",'Event summary'!A1121)</f>
        <v>1121</v>
      </c>
      <c r="C1121" s="115" t="str">
        <f>IF(ISBLANK('Event summary'!B1121),"",'Event summary'!B1121)</f>
        <v/>
      </c>
      <c r="D1121" s="116" t="str">
        <f>IF(ISBLANK('Event summary'!C1121),"",'Event summary'!C1121)</f>
        <v/>
      </c>
      <c r="E1121" s="116" t="str">
        <f>IF(ISBLANK('Event summary'!D1121),"",'Event summary'!D1121)</f>
        <v/>
      </c>
      <c r="F1121" s="117" t="str">
        <f>IF(ISBLANK('Event summary'!E1121),"",'Event summary'!E1121)</f>
        <v/>
      </c>
    </row>
    <row r="1122" spans="1:6" x14ac:dyDescent="0.2">
      <c r="A1122" s="114" t="e">
        <f>IF(ISBLANK('Event summary'!#REF!),"",'Event summary'!#REF!)</f>
        <v>#REF!</v>
      </c>
      <c r="B1122" s="115">
        <f>IF(ISBLANK('Event summary'!A1122),"",'Event summary'!A1122)</f>
        <v>1122</v>
      </c>
      <c r="C1122" s="115" t="str">
        <f>IF(ISBLANK('Event summary'!B1122),"",'Event summary'!B1122)</f>
        <v/>
      </c>
      <c r="D1122" s="116" t="str">
        <f>IF(ISBLANK('Event summary'!C1122),"",'Event summary'!C1122)</f>
        <v/>
      </c>
      <c r="E1122" s="116" t="str">
        <f>IF(ISBLANK('Event summary'!D1122),"",'Event summary'!D1122)</f>
        <v/>
      </c>
      <c r="F1122" s="117" t="str">
        <f>IF(ISBLANK('Event summary'!E1122),"",'Event summary'!E1122)</f>
        <v/>
      </c>
    </row>
    <row r="1123" spans="1:6" x14ac:dyDescent="0.2">
      <c r="A1123" s="114" t="e">
        <f>IF(ISBLANK('Event summary'!#REF!),"",'Event summary'!#REF!)</f>
        <v>#REF!</v>
      </c>
      <c r="B1123" s="115">
        <f>IF(ISBLANK('Event summary'!A1123),"",'Event summary'!A1123)</f>
        <v>1123</v>
      </c>
      <c r="C1123" s="115" t="str">
        <f>IF(ISBLANK('Event summary'!B1123),"",'Event summary'!B1123)</f>
        <v/>
      </c>
      <c r="D1123" s="116" t="str">
        <f>IF(ISBLANK('Event summary'!C1123),"",'Event summary'!C1123)</f>
        <v/>
      </c>
      <c r="E1123" s="116" t="str">
        <f>IF(ISBLANK('Event summary'!D1123),"",'Event summary'!D1123)</f>
        <v/>
      </c>
      <c r="F1123" s="117" t="str">
        <f>IF(ISBLANK('Event summary'!E1123),"",'Event summary'!E1123)</f>
        <v/>
      </c>
    </row>
    <row r="1124" spans="1:6" x14ac:dyDescent="0.2">
      <c r="A1124" s="114" t="e">
        <f>IF(ISBLANK('Event summary'!#REF!),"",'Event summary'!#REF!)</f>
        <v>#REF!</v>
      </c>
      <c r="B1124" s="115">
        <f>IF(ISBLANK('Event summary'!A1124),"",'Event summary'!A1124)</f>
        <v>1124</v>
      </c>
      <c r="C1124" s="115" t="str">
        <f>IF(ISBLANK('Event summary'!B1124),"",'Event summary'!B1124)</f>
        <v/>
      </c>
      <c r="D1124" s="116" t="str">
        <f>IF(ISBLANK('Event summary'!C1124),"",'Event summary'!C1124)</f>
        <v/>
      </c>
      <c r="E1124" s="116" t="str">
        <f>IF(ISBLANK('Event summary'!D1124),"",'Event summary'!D1124)</f>
        <v/>
      </c>
      <c r="F1124" s="117" t="str">
        <f>IF(ISBLANK('Event summary'!E1124),"",'Event summary'!E1124)</f>
        <v/>
      </c>
    </row>
    <row r="1125" spans="1:6" x14ac:dyDescent="0.2">
      <c r="A1125" s="114" t="e">
        <f>IF(ISBLANK('Event summary'!#REF!),"",'Event summary'!#REF!)</f>
        <v>#REF!</v>
      </c>
      <c r="B1125" s="115">
        <f>IF(ISBLANK('Event summary'!A1125),"",'Event summary'!A1125)</f>
        <v>1125</v>
      </c>
      <c r="C1125" s="115" t="str">
        <f>IF(ISBLANK('Event summary'!B1125),"",'Event summary'!B1125)</f>
        <v/>
      </c>
      <c r="D1125" s="116" t="str">
        <f>IF(ISBLANK('Event summary'!C1125),"",'Event summary'!C1125)</f>
        <v/>
      </c>
      <c r="E1125" s="116" t="str">
        <f>IF(ISBLANK('Event summary'!D1125),"",'Event summary'!D1125)</f>
        <v/>
      </c>
      <c r="F1125" s="117" t="str">
        <f>IF(ISBLANK('Event summary'!E1125),"",'Event summary'!E1125)</f>
        <v/>
      </c>
    </row>
    <row r="1126" spans="1:6" x14ac:dyDescent="0.2">
      <c r="A1126" s="114" t="e">
        <f>IF(ISBLANK('Event summary'!#REF!),"",'Event summary'!#REF!)</f>
        <v>#REF!</v>
      </c>
      <c r="B1126" s="115">
        <f>IF(ISBLANK('Event summary'!A1126),"",'Event summary'!A1126)</f>
        <v>1126</v>
      </c>
      <c r="C1126" s="115" t="str">
        <f>IF(ISBLANK('Event summary'!B1126),"",'Event summary'!B1126)</f>
        <v/>
      </c>
      <c r="D1126" s="116" t="str">
        <f>IF(ISBLANK('Event summary'!C1126),"",'Event summary'!C1126)</f>
        <v/>
      </c>
      <c r="E1126" s="116" t="str">
        <f>IF(ISBLANK('Event summary'!D1126),"",'Event summary'!D1126)</f>
        <v/>
      </c>
      <c r="F1126" s="117" t="str">
        <f>IF(ISBLANK('Event summary'!E1126),"",'Event summary'!E1126)</f>
        <v/>
      </c>
    </row>
    <row r="1127" spans="1:6" x14ac:dyDescent="0.2">
      <c r="A1127" s="114" t="e">
        <f>IF(ISBLANK('Event summary'!#REF!),"",'Event summary'!#REF!)</f>
        <v>#REF!</v>
      </c>
      <c r="B1127" s="115">
        <f>IF(ISBLANK('Event summary'!A1127),"",'Event summary'!A1127)</f>
        <v>1127</v>
      </c>
      <c r="C1127" s="115" t="str">
        <f>IF(ISBLANK('Event summary'!B1127),"",'Event summary'!B1127)</f>
        <v/>
      </c>
      <c r="D1127" s="116" t="str">
        <f>IF(ISBLANK('Event summary'!C1127),"",'Event summary'!C1127)</f>
        <v/>
      </c>
      <c r="E1127" s="116" t="str">
        <f>IF(ISBLANK('Event summary'!D1127),"",'Event summary'!D1127)</f>
        <v/>
      </c>
      <c r="F1127" s="117" t="str">
        <f>IF(ISBLANK('Event summary'!E1127),"",'Event summary'!E1127)</f>
        <v/>
      </c>
    </row>
    <row r="1128" spans="1:6" x14ac:dyDescent="0.2">
      <c r="A1128" s="114" t="e">
        <f>IF(ISBLANK('Event summary'!#REF!),"",'Event summary'!#REF!)</f>
        <v>#REF!</v>
      </c>
      <c r="B1128" s="115">
        <f>IF(ISBLANK('Event summary'!A1128),"",'Event summary'!A1128)</f>
        <v>1128</v>
      </c>
      <c r="C1128" s="115" t="str">
        <f>IF(ISBLANK('Event summary'!B1128),"",'Event summary'!B1128)</f>
        <v/>
      </c>
      <c r="D1128" s="116" t="str">
        <f>IF(ISBLANK('Event summary'!C1128),"",'Event summary'!C1128)</f>
        <v/>
      </c>
      <c r="E1128" s="116" t="str">
        <f>IF(ISBLANK('Event summary'!D1128),"",'Event summary'!D1128)</f>
        <v/>
      </c>
      <c r="F1128" s="117" t="str">
        <f>IF(ISBLANK('Event summary'!E1128),"",'Event summary'!E1128)</f>
        <v/>
      </c>
    </row>
    <row r="1129" spans="1:6" x14ac:dyDescent="0.2">
      <c r="A1129" s="114" t="e">
        <f>IF(ISBLANK('Event summary'!#REF!),"",'Event summary'!#REF!)</f>
        <v>#REF!</v>
      </c>
      <c r="B1129" s="115">
        <f>IF(ISBLANK('Event summary'!A1129),"",'Event summary'!A1129)</f>
        <v>1129</v>
      </c>
      <c r="C1129" s="115" t="str">
        <f>IF(ISBLANK('Event summary'!B1129),"",'Event summary'!B1129)</f>
        <v/>
      </c>
      <c r="D1129" s="116" t="str">
        <f>IF(ISBLANK('Event summary'!C1129),"",'Event summary'!C1129)</f>
        <v/>
      </c>
      <c r="E1129" s="116" t="str">
        <f>IF(ISBLANK('Event summary'!D1129),"",'Event summary'!D1129)</f>
        <v/>
      </c>
      <c r="F1129" s="117" t="str">
        <f>IF(ISBLANK('Event summary'!E1129),"",'Event summary'!E1129)</f>
        <v/>
      </c>
    </row>
    <row r="1130" spans="1:6" x14ac:dyDescent="0.2">
      <c r="A1130" s="114" t="e">
        <f>IF(ISBLANK('Event summary'!#REF!),"",'Event summary'!#REF!)</f>
        <v>#REF!</v>
      </c>
      <c r="B1130" s="115">
        <f>IF(ISBLANK('Event summary'!A1130),"",'Event summary'!A1130)</f>
        <v>1130</v>
      </c>
      <c r="C1130" s="115" t="str">
        <f>IF(ISBLANK('Event summary'!B1130),"",'Event summary'!B1130)</f>
        <v/>
      </c>
      <c r="D1130" s="116" t="str">
        <f>IF(ISBLANK('Event summary'!C1130),"",'Event summary'!C1130)</f>
        <v/>
      </c>
      <c r="E1130" s="116" t="str">
        <f>IF(ISBLANK('Event summary'!D1130),"",'Event summary'!D1130)</f>
        <v/>
      </c>
      <c r="F1130" s="117" t="str">
        <f>IF(ISBLANK('Event summary'!E1130),"",'Event summary'!E1130)</f>
        <v/>
      </c>
    </row>
    <row r="1131" spans="1:6" x14ac:dyDescent="0.2">
      <c r="A1131" s="114" t="e">
        <f>IF(ISBLANK('Event summary'!#REF!),"",'Event summary'!#REF!)</f>
        <v>#REF!</v>
      </c>
      <c r="B1131" s="115">
        <f>IF(ISBLANK('Event summary'!A1131),"",'Event summary'!A1131)</f>
        <v>1131</v>
      </c>
      <c r="C1131" s="115" t="str">
        <f>IF(ISBLANK('Event summary'!B1131),"",'Event summary'!B1131)</f>
        <v/>
      </c>
      <c r="D1131" s="116" t="str">
        <f>IF(ISBLANK('Event summary'!C1131),"",'Event summary'!C1131)</f>
        <v/>
      </c>
      <c r="E1131" s="116" t="str">
        <f>IF(ISBLANK('Event summary'!D1131),"",'Event summary'!D1131)</f>
        <v/>
      </c>
      <c r="F1131" s="117" t="str">
        <f>IF(ISBLANK('Event summary'!E1131),"",'Event summary'!E1131)</f>
        <v/>
      </c>
    </row>
    <row r="1132" spans="1:6" x14ac:dyDescent="0.2">
      <c r="A1132" s="114" t="e">
        <f>IF(ISBLANK('Event summary'!#REF!),"",'Event summary'!#REF!)</f>
        <v>#REF!</v>
      </c>
      <c r="B1132" s="115">
        <f>IF(ISBLANK('Event summary'!A1132),"",'Event summary'!A1132)</f>
        <v>1132</v>
      </c>
      <c r="C1132" s="115" t="str">
        <f>IF(ISBLANK('Event summary'!B1132),"",'Event summary'!B1132)</f>
        <v/>
      </c>
      <c r="D1132" s="116" t="str">
        <f>IF(ISBLANK('Event summary'!C1132),"",'Event summary'!C1132)</f>
        <v/>
      </c>
      <c r="E1132" s="116" t="str">
        <f>IF(ISBLANK('Event summary'!D1132),"",'Event summary'!D1132)</f>
        <v/>
      </c>
      <c r="F1132" s="117" t="str">
        <f>IF(ISBLANK('Event summary'!E1132),"",'Event summary'!E1132)</f>
        <v/>
      </c>
    </row>
    <row r="1133" spans="1:6" x14ac:dyDescent="0.2">
      <c r="A1133" s="114" t="e">
        <f>IF(ISBLANK('Event summary'!#REF!),"",'Event summary'!#REF!)</f>
        <v>#REF!</v>
      </c>
      <c r="B1133" s="115">
        <f>IF(ISBLANK('Event summary'!A1133),"",'Event summary'!A1133)</f>
        <v>1133</v>
      </c>
      <c r="C1133" s="115" t="str">
        <f>IF(ISBLANK('Event summary'!B1133),"",'Event summary'!B1133)</f>
        <v/>
      </c>
      <c r="D1133" s="116" t="str">
        <f>IF(ISBLANK('Event summary'!C1133),"",'Event summary'!C1133)</f>
        <v/>
      </c>
      <c r="E1133" s="116" t="str">
        <f>IF(ISBLANK('Event summary'!D1133),"",'Event summary'!D1133)</f>
        <v/>
      </c>
      <c r="F1133" s="117" t="str">
        <f>IF(ISBLANK('Event summary'!E1133),"",'Event summary'!E1133)</f>
        <v/>
      </c>
    </row>
    <row r="1134" spans="1:6" x14ac:dyDescent="0.2">
      <c r="A1134" s="114" t="e">
        <f>IF(ISBLANK('Event summary'!#REF!),"",'Event summary'!#REF!)</f>
        <v>#REF!</v>
      </c>
      <c r="B1134" s="115">
        <f>IF(ISBLANK('Event summary'!A1134),"",'Event summary'!A1134)</f>
        <v>1134</v>
      </c>
      <c r="C1134" s="115" t="str">
        <f>IF(ISBLANK('Event summary'!B1134),"",'Event summary'!B1134)</f>
        <v/>
      </c>
      <c r="D1134" s="116" t="str">
        <f>IF(ISBLANK('Event summary'!C1134),"",'Event summary'!C1134)</f>
        <v/>
      </c>
      <c r="E1134" s="116" t="str">
        <f>IF(ISBLANK('Event summary'!D1134),"",'Event summary'!D1134)</f>
        <v/>
      </c>
      <c r="F1134" s="117" t="str">
        <f>IF(ISBLANK('Event summary'!E1134),"",'Event summary'!E1134)</f>
        <v/>
      </c>
    </row>
    <row r="1135" spans="1:6" x14ac:dyDescent="0.2">
      <c r="A1135" s="114" t="e">
        <f>IF(ISBLANK('Event summary'!#REF!),"",'Event summary'!#REF!)</f>
        <v>#REF!</v>
      </c>
      <c r="B1135" s="115">
        <f>IF(ISBLANK('Event summary'!A1135),"",'Event summary'!A1135)</f>
        <v>1135</v>
      </c>
      <c r="C1135" s="115" t="str">
        <f>IF(ISBLANK('Event summary'!B1135),"",'Event summary'!B1135)</f>
        <v/>
      </c>
      <c r="D1135" s="116" t="str">
        <f>IF(ISBLANK('Event summary'!C1135),"",'Event summary'!C1135)</f>
        <v/>
      </c>
      <c r="E1135" s="116" t="str">
        <f>IF(ISBLANK('Event summary'!D1135),"",'Event summary'!D1135)</f>
        <v/>
      </c>
      <c r="F1135" s="117" t="str">
        <f>IF(ISBLANK('Event summary'!E1135),"",'Event summary'!E1135)</f>
        <v/>
      </c>
    </row>
    <row r="1136" spans="1:6" x14ac:dyDescent="0.2">
      <c r="A1136" s="114" t="e">
        <f>IF(ISBLANK('Event summary'!#REF!),"",'Event summary'!#REF!)</f>
        <v>#REF!</v>
      </c>
      <c r="B1136" s="115">
        <f>IF(ISBLANK('Event summary'!A1136),"",'Event summary'!A1136)</f>
        <v>1136</v>
      </c>
      <c r="C1136" s="115" t="str">
        <f>IF(ISBLANK('Event summary'!B1136),"",'Event summary'!B1136)</f>
        <v/>
      </c>
      <c r="D1136" s="116" t="str">
        <f>IF(ISBLANK('Event summary'!C1136),"",'Event summary'!C1136)</f>
        <v/>
      </c>
      <c r="E1136" s="116" t="str">
        <f>IF(ISBLANK('Event summary'!D1136),"",'Event summary'!D1136)</f>
        <v/>
      </c>
      <c r="F1136" s="117" t="str">
        <f>IF(ISBLANK('Event summary'!E1136),"",'Event summary'!E1136)</f>
        <v/>
      </c>
    </row>
    <row r="1137" spans="1:6" x14ac:dyDescent="0.2">
      <c r="A1137" s="114" t="e">
        <f>IF(ISBLANK('Event summary'!#REF!),"",'Event summary'!#REF!)</f>
        <v>#REF!</v>
      </c>
      <c r="B1137" s="115">
        <f>IF(ISBLANK('Event summary'!A1137),"",'Event summary'!A1137)</f>
        <v>1137</v>
      </c>
      <c r="C1137" s="115" t="str">
        <f>IF(ISBLANK('Event summary'!B1137),"",'Event summary'!B1137)</f>
        <v/>
      </c>
      <c r="D1137" s="116" t="str">
        <f>IF(ISBLANK('Event summary'!C1137),"",'Event summary'!C1137)</f>
        <v/>
      </c>
      <c r="E1137" s="116" t="str">
        <f>IF(ISBLANK('Event summary'!D1137),"",'Event summary'!D1137)</f>
        <v/>
      </c>
      <c r="F1137" s="117" t="str">
        <f>IF(ISBLANK('Event summary'!E1137),"",'Event summary'!E1137)</f>
        <v/>
      </c>
    </row>
    <row r="1138" spans="1:6" x14ac:dyDescent="0.2">
      <c r="A1138" s="114" t="e">
        <f>IF(ISBLANK('Event summary'!#REF!),"",'Event summary'!#REF!)</f>
        <v>#REF!</v>
      </c>
      <c r="B1138" s="115">
        <f>IF(ISBLANK('Event summary'!A1138),"",'Event summary'!A1138)</f>
        <v>1138</v>
      </c>
      <c r="C1138" s="115" t="str">
        <f>IF(ISBLANK('Event summary'!B1138),"",'Event summary'!B1138)</f>
        <v/>
      </c>
      <c r="D1138" s="116" t="str">
        <f>IF(ISBLANK('Event summary'!C1138),"",'Event summary'!C1138)</f>
        <v/>
      </c>
      <c r="E1138" s="116" t="str">
        <f>IF(ISBLANK('Event summary'!D1138),"",'Event summary'!D1138)</f>
        <v/>
      </c>
      <c r="F1138" s="117" t="str">
        <f>IF(ISBLANK('Event summary'!E1138),"",'Event summary'!E1138)</f>
        <v/>
      </c>
    </row>
    <row r="1139" spans="1:6" x14ac:dyDescent="0.2">
      <c r="A1139" s="114" t="e">
        <f>IF(ISBLANK('Event summary'!#REF!),"",'Event summary'!#REF!)</f>
        <v>#REF!</v>
      </c>
      <c r="B1139" s="115">
        <f>IF(ISBLANK('Event summary'!A1139),"",'Event summary'!A1139)</f>
        <v>1139</v>
      </c>
      <c r="C1139" s="115" t="str">
        <f>IF(ISBLANK('Event summary'!B1139),"",'Event summary'!B1139)</f>
        <v/>
      </c>
      <c r="D1139" s="116" t="str">
        <f>IF(ISBLANK('Event summary'!C1139),"",'Event summary'!C1139)</f>
        <v/>
      </c>
      <c r="E1139" s="116" t="str">
        <f>IF(ISBLANK('Event summary'!D1139),"",'Event summary'!D1139)</f>
        <v/>
      </c>
      <c r="F1139" s="117" t="str">
        <f>IF(ISBLANK('Event summary'!E1139),"",'Event summary'!E1139)</f>
        <v/>
      </c>
    </row>
    <row r="1140" spans="1:6" x14ac:dyDescent="0.2">
      <c r="A1140" s="114" t="e">
        <f>IF(ISBLANK('Event summary'!#REF!),"",'Event summary'!#REF!)</f>
        <v>#REF!</v>
      </c>
      <c r="B1140" s="115">
        <f>IF(ISBLANK('Event summary'!A1140),"",'Event summary'!A1140)</f>
        <v>1140</v>
      </c>
      <c r="C1140" s="115" t="str">
        <f>IF(ISBLANK('Event summary'!B1140),"",'Event summary'!B1140)</f>
        <v/>
      </c>
      <c r="D1140" s="116" t="str">
        <f>IF(ISBLANK('Event summary'!C1140),"",'Event summary'!C1140)</f>
        <v/>
      </c>
      <c r="E1140" s="116" t="str">
        <f>IF(ISBLANK('Event summary'!D1140),"",'Event summary'!D1140)</f>
        <v/>
      </c>
      <c r="F1140" s="117" t="str">
        <f>IF(ISBLANK('Event summary'!E1140),"",'Event summary'!E1140)</f>
        <v/>
      </c>
    </row>
    <row r="1141" spans="1:6" x14ac:dyDescent="0.2">
      <c r="A1141" s="114" t="e">
        <f>IF(ISBLANK('Event summary'!#REF!),"",'Event summary'!#REF!)</f>
        <v>#REF!</v>
      </c>
      <c r="B1141" s="115">
        <f>IF(ISBLANK('Event summary'!A1141),"",'Event summary'!A1141)</f>
        <v>1141</v>
      </c>
      <c r="C1141" s="115" t="str">
        <f>IF(ISBLANK('Event summary'!B1141),"",'Event summary'!B1141)</f>
        <v/>
      </c>
      <c r="D1141" s="116" t="str">
        <f>IF(ISBLANK('Event summary'!C1141),"",'Event summary'!C1141)</f>
        <v/>
      </c>
      <c r="E1141" s="116" t="str">
        <f>IF(ISBLANK('Event summary'!D1141),"",'Event summary'!D1141)</f>
        <v/>
      </c>
      <c r="F1141" s="117" t="str">
        <f>IF(ISBLANK('Event summary'!E1141),"",'Event summary'!E1141)</f>
        <v/>
      </c>
    </row>
    <row r="1142" spans="1:6" x14ac:dyDescent="0.2">
      <c r="A1142" s="114" t="e">
        <f>IF(ISBLANK('Event summary'!#REF!),"",'Event summary'!#REF!)</f>
        <v>#REF!</v>
      </c>
      <c r="B1142" s="115">
        <f>IF(ISBLANK('Event summary'!A1142),"",'Event summary'!A1142)</f>
        <v>1142</v>
      </c>
      <c r="C1142" s="115" t="str">
        <f>IF(ISBLANK('Event summary'!B1142),"",'Event summary'!B1142)</f>
        <v/>
      </c>
      <c r="D1142" s="116" t="str">
        <f>IF(ISBLANK('Event summary'!C1142),"",'Event summary'!C1142)</f>
        <v/>
      </c>
      <c r="E1142" s="116" t="str">
        <f>IF(ISBLANK('Event summary'!D1142),"",'Event summary'!D1142)</f>
        <v/>
      </c>
      <c r="F1142" s="117" t="str">
        <f>IF(ISBLANK('Event summary'!E1142),"",'Event summary'!E1142)</f>
        <v/>
      </c>
    </row>
    <row r="1143" spans="1:6" x14ac:dyDescent="0.2">
      <c r="A1143" s="114" t="e">
        <f>IF(ISBLANK('Event summary'!#REF!),"",'Event summary'!#REF!)</f>
        <v>#REF!</v>
      </c>
      <c r="B1143" s="115">
        <f>IF(ISBLANK('Event summary'!A1143),"",'Event summary'!A1143)</f>
        <v>1143</v>
      </c>
      <c r="C1143" s="115" t="str">
        <f>IF(ISBLANK('Event summary'!B1143),"",'Event summary'!B1143)</f>
        <v/>
      </c>
      <c r="D1143" s="116" t="str">
        <f>IF(ISBLANK('Event summary'!C1143),"",'Event summary'!C1143)</f>
        <v/>
      </c>
      <c r="E1143" s="116" t="str">
        <f>IF(ISBLANK('Event summary'!D1143),"",'Event summary'!D1143)</f>
        <v/>
      </c>
      <c r="F1143" s="117" t="str">
        <f>IF(ISBLANK('Event summary'!E1143),"",'Event summary'!E1143)</f>
        <v/>
      </c>
    </row>
    <row r="1144" spans="1:6" x14ac:dyDescent="0.2">
      <c r="A1144" s="114" t="e">
        <f>IF(ISBLANK('Event summary'!#REF!),"",'Event summary'!#REF!)</f>
        <v>#REF!</v>
      </c>
      <c r="B1144" s="115">
        <f>IF(ISBLANK('Event summary'!A1144),"",'Event summary'!A1144)</f>
        <v>1144</v>
      </c>
      <c r="C1144" s="115" t="str">
        <f>IF(ISBLANK('Event summary'!B1144),"",'Event summary'!B1144)</f>
        <v/>
      </c>
      <c r="D1144" s="116" t="str">
        <f>IF(ISBLANK('Event summary'!C1144),"",'Event summary'!C1144)</f>
        <v/>
      </c>
      <c r="E1144" s="116" t="str">
        <f>IF(ISBLANK('Event summary'!D1144),"",'Event summary'!D1144)</f>
        <v/>
      </c>
      <c r="F1144" s="117" t="str">
        <f>IF(ISBLANK('Event summary'!E1144),"",'Event summary'!E1144)</f>
        <v/>
      </c>
    </row>
    <row r="1145" spans="1:6" x14ac:dyDescent="0.2">
      <c r="A1145" s="114" t="e">
        <f>IF(ISBLANK('Event summary'!#REF!),"",'Event summary'!#REF!)</f>
        <v>#REF!</v>
      </c>
      <c r="B1145" s="115">
        <f>IF(ISBLANK('Event summary'!A1145),"",'Event summary'!A1145)</f>
        <v>1145</v>
      </c>
      <c r="C1145" s="115" t="str">
        <f>IF(ISBLANK('Event summary'!B1145),"",'Event summary'!B1145)</f>
        <v/>
      </c>
      <c r="D1145" s="116" t="str">
        <f>IF(ISBLANK('Event summary'!C1145),"",'Event summary'!C1145)</f>
        <v/>
      </c>
      <c r="E1145" s="116" t="str">
        <f>IF(ISBLANK('Event summary'!D1145),"",'Event summary'!D1145)</f>
        <v/>
      </c>
      <c r="F1145" s="117" t="str">
        <f>IF(ISBLANK('Event summary'!E1145),"",'Event summary'!E1145)</f>
        <v/>
      </c>
    </row>
    <row r="1146" spans="1:6" x14ac:dyDescent="0.2">
      <c r="A1146" s="114" t="e">
        <f>IF(ISBLANK('Event summary'!#REF!),"",'Event summary'!#REF!)</f>
        <v>#REF!</v>
      </c>
      <c r="B1146" s="115">
        <f>IF(ISBLANK('Event summary'!A1146),"",'Event summary'!A1146)</f>
        <v>1146</v>
      </c>
      <c r="C1146" s="115" t="str">
        <f>IF(ISBLANK('Event summary'!B1146),"",'Event summary'!B1146)</f>
        <v/>
      </c>
      <c r="D1146" s="116" t="str">
        <f>IF(ISBLANK('Event summary'!C1146),"",'Event summary'!C1146)</f>
        <v/>
      </c>
      <c r="E1146" s="116" t="str">
        <f>IF(ISBLANK('Event summary'!D1146),"",'Event summary'!D1146)</f>
        <v/>
      </c>
      <c r="F1146" s="117" t="str">
        <f>IF(ISBLANK('Event summary'!E1146),"",'Event summary'!E1146)</f>
        <v/>
      </c>
    </row>
    <row r="1147" spans="1:6" x14ac:dyDescent="0.2">
      <c r="A1147" s="114" t="e">
        <f>IF(ISBLANK('Event summary'!#REF!),"",'Event summary'!#REF!)</f>
        <v>#REF!</v>
      </c>
      <c r="B1147" s="115">
        <f>IF(ISBLANK('Event summary'!A1147),"",'Event summary'!A1147)</f>
        <v>1147</v>
      </c>
      <c r="C1147" s="115" t="str">
        <f>IF(ISBLANK('Event summary'!B1147),"",'Event summary'!B1147)</f>
        <v/>
      </c>
      <c r="D1147" s="116" t="str">
        <f>IF(ISBLANK('Event summary'!C1147),"",'Event summary'!C1147)</f>
        <v/>
      </c>
      <c r="E1147" s="116" t="str">
        <f>IF(ISBLANK('Event summary'!D1147),"",'Event summary'!D1147)</f>
        <v/>
      </c>
      <c r="F1147" s="117" t="str">
        <f>IF(ISBLANK('Event summary'!E1147),"",'Event summary'!E1147)</f>
        <v/>
      </c>
    </row>
    <row r="1148" spans="1:6" x14ac:dyDescent="0.2">
      <c r="A1148" s="114" t="e">
        <f>IF(ISBLANK('Event summary'!#REF!),"",'Event summary'!#REF!)</f>
        <v>#REF!</v>
      </c>
      <c r="B1148" s="115">
        <f>IF(ISBLANK('Event summary'!A1148),"",'Event summary'!A1148)</f>
        <v>1148</v>
      </c>
      <c r="C1148" s="115" t="str">
        <f>IF(ISBLANK('Event summary'!B1148),"",'Event summary'!B1148)</f>
        <v/>
      </c>
      <c r="D1148" s="116" t="str">
        <f>IF(ISBLANK('Event summary'!C1148),"",'Event summary'!C1148)</f>
        <v/>
      </c>
      <c r="E1148" s="116" t="str">
        <f>IF(ISBLANK('Event summary'!D1148),"",'Event summary'!D1148)</f>
        <v/>
      </c>
      <c r="F1148" s="117" t="str">
        <f>IF(ISBLANK('Event summary'!E1148),"",'Event summary'!E1148)</f>
        <v/>
      </c>
    </row>
    <row r="1149" spans="1:6" x14ac:dyDescent="0.2">
      <c r="A1149" s="114" t="e">
        <f>IF(ISBLANK('Event summary'!#REF!),"",'Event summary'!#REF!)</f>
        <v>#REF!</v>
      </c>
      <c r="B1149" s="115">
        <f>IF(ISBLANK('Event summary'!A1149),"",'Event summary'!A1149)</f>
        <v>1149</v>
      </c>
      <c r="C1149" s="115" t="str">
        <f>IF(ISBLANK('Event summary'!B1149),"",'Event summary'!B1149)</f>
        <v/>
      </c>
      <c r="D1149" s="116" t="str">
        <f>IF(ISBLANK('Event summary'!C1149),"",'Event summary'!C1149)</f>
        <v/>
      </c>
      <c r="E1149" s="116" t="str">
        <f>IF(ISBLANK('Event summary'!D1149),"",'Event summary'!D1149)</f>
        <v/>
      </c>
      <c r="F1149" s="117" t="str">
        <f>IF(ISBLANK('Event summary'!E1149),"",'Event summary'!E1149)</f>
        <v/>
      </c>
    </row>
    <row r="1150" spans="1:6" x14ac:dyDescent="0.2">
      <c r="A1150" s="114" t="e">
        <f>IF(ISBLANK('Event summary'!#REF!),"",'Event summary'!#REF!)</f>
        <v>#REF!</v>
      </c>
      <c r="B1150" s="115">
        <f>IF(ISBLANK('Event summary'!A1150),"",'Event summary'!A1150)</f>
        <v>1150</v>
      </c>
      <c r="C1150" s="115" t="str">
        <f>IF(ISBLANK('Event summary'!B1150),"",'Event summary'!B1150)</f>
        <v/>
      </c>
      <c r="D1150" s="116" t="str">
        <f>IF(ISBLANK('Event summary'!C1150),"",'Event summary'!C1150)</f>
        <v/>
      </c>
      <c r="E1150" s="116" t="str">
        <f>IF(ISBLANK('Event summary'!D1150),"",'Event summary'!D1150)</f>
        <v/>
      </c>
      <c r="F1150" s="117" t="str">
        <f>IF(ISBLANK('Event summary'!E1150),"",'Event summary'!E1150)</f>
        <v/>
      </c>
    </row>
    <row r="1151" spans="1:6" x14ac:dyDescent="0.2">
      <c r="A1151" s="114" t="e">
        <f>IF(ISBLANK('Event summary'!#REF!),"",'Event summary'!#REF!)</f>
        <v>#REF!</v>
      </c>
      <c r="B1151" s="115">
        <f>IF(ISBLANK('Event summary'!A1151),"",'Event summary'!A1151)</f>
        <v>1151</v>
      </c>
      <c r="C1151" s="115" t="str">
        <f>IF(ISBLANK('Event summary'!B1151),"",'Event summary'!B1151)</f>
        <v/>
      </c>
      <c r="D1151" s="116" t="str">
        <f>IF(ISBLANK('Event summary'!C1151),"",'Event summary'!C1151)</f>
        <v/>
      </c>
      <c r="E1151" s="116" t="str">
        <f>IF(ISBLANK('Event summary'!D1151),"",'Event summary'!D1151)</f>
        <v/>
      </c>
      <c r="F1151" s="117" t="str">
        <f>IF(ISBLANK('Event summary'!E1151),"",'Event summary'!E1151)</f>
        <v/>
      </c>
    </row>
    <row r="1152" spans="1:6" x14ac:dyDescent="0.2">
      <c r="A1152" s="114" t="e">
        <f>IF(ISBLANK('Event summary'!#REF!),"",'Event summary'!#REF!)</f>
        <v>#REF!</v>
      </c>
      <c r="B1152" s="115">
        <f>IF(ISBLANK('Event summary'!A1152),"",'Event summary'!A1152)</f>
        <v>1152</v>
      </c>
      <c r="C1152" s="115" t="str">
        <f>IF(ISBLANK('Event summary'!B1152),"",'Event summary'!B1152)</f>
        <v/>
      </c>
      <c r="D1152" s="116" t="str">
        <f>IF(ISBLANK('Event summary'!C1152),"",'Event summary'!C1152)</f>
        <v/>
      </c>
      <c r="E1152" s="116" t="str">
        <f>IF(ISBLANK('Event summary'!D1152),"",'Event summary'!D1152)</f>
        <v/>
      </c>
      <c r="F1152" s="117" t="str">
        <f>IF(ISBLANK('Event summary'!E1152),"",'Event summary'!E1152)</f>
        <v/>
      </c>
    </row>
    <row r="1153" spans="1:6" x14ac:dyDescent="0.2">
      <c r="A1153" s="114" t="e">
        <f>IF(ISBLANK('Event summary'!#REF!),"",'Event summary'!#REF!)</f>
        <v>#REF!</v>
      </c>
      <c r="B1153" s="115">
        <f>IF(ISBLANK('Event summary'!A1153),"",'Event summary'!A1153)</f>
        <v>1153</v>
      </c>
      <c r="C1153" s="115" t="str">
        <f>IF(ISBLANK('Event summary'!B1153),"",'Event summary'!B1153)</f>
        <v/>
      </c>
      <c r="D1153" s="116" t="str">
        <f>IF(ISBLANK('Event summary'!C1153),"",'Event summary'!C1153)</f>
        <v/>
      </c>
      <c r="E1153" s="116" t="str">
        <f>IF(ISBLANK('Event summary'!D1153),"",'Event summary'!D1153)</f>
        <v/>
      </c>
      <c r="F1153" s="117" t="str">
        <f>IF(ISBLANK('Event summary'!E1153),"",'Event summary'!E1153)</f>
        <v/>
      </c>
    </row>
    <row r="1154" spans="1:6" x14ac:dyDescent="0.2">
      <c r="A1154" s="114" t="e">
        <f>IF(ISBLANK('Event summary'!#REF!),"",'Event summary'!#REF!)</f>
        <v>#REF!</v>
      </c>
      <c r="B1154" s="115">
        <f>IF(ISBLANK('Event summary'!A1154),"",'Event summary'!A1154)</f>
        <v>1154</v>
      </c>
      <c r="C1154" s="115" t="str">
        <f>IF(ISBLANK('Event summary'!B1154),"",'Event summary'!B1154)</f>
        <v/>
      </c>
      <c r="D1154" s="116" t="str">
        <f>IF(ISBLANK('Event summary'!C1154),"",'Event summary'!C1154)</f>
        <v/>
      </c>
      <c r="E1154" s="116" t="str">
        <f>IF(ISBLANK('Event summary'!D1154),"",'Event summary'!D1154)</f>
        <v/>
      </c>
      <c r="F1154" s="117" t="str">
        <f>IF(ISBLANK('Event summary'!E1154),"",'Event summary'!E1154)</f>
        <v/>
      </c>
    </row>
    <row r="1155" spans="1:6" x14ac:dyDescent="0.2">
      <c r="A1155" s="114" t="e">
        <f>IF(ISBLANK('Event summary'!#REF!),"",'Event summary'!#REF!)</f>
        <v>#REF!</v>
      </c>
      <c r="B1155" s="115">
        <f>IF(ISBLANK('Event summary'!A1155),"",'Event summary'!A1155)</f>
        <v>1155</v>
      </c>
      <c r="C1155" s="115" t="str">
        <f>IF(ISBLANK('Event summary'!B1155),"",'Event summary'!B1155)</f>
        <v/>
      </c>
      <c r="D1155" s="116" t="str">
        <f>IF(ISBLANK('Event summary'!C1155),"",'Event summary'!C1155)</f>
        <v/>
      </c>
      <c r="E1155" s="116" t="str">
        <f>IF(ISBLANK('Event summary'!D1155),"",'Event summary'!D1155)</f>
        <v/>
      </c>
      <c r="F1155" s="117" t="str">
        <f>IF(ISBLANK('Event summary'!E1155),"",'Event summary'!E1155)</f>
        <v/>
      </c>
    </row>
    <row r="1156" spans="1:6" x14ac:dyDescent="0.2">
      <c r="A1156" s="114" t="e">
        <f>IF(ISBLANK('Event summary'!#REF!),"",'Event summary'!#REF!)</f>
        <v>#REF!</v>
      </c>
      <c r="B1156" s="115">
        <f>IF(ISBLANK('Event summary'!A1156),"",'Event summary'!A1156)</f>
        <v>1156</v>
      </c>
      <c r="C1156" s="115" t="str">
        <f>IF(ISBLANK('Event summary'!B1156),"",'Event summary'!B1156)</f>
        <v/>
      </c>
      <c r="D1156" s="116" t="str">
        <f>IF(ISBLANK('Event summary'!C1156),"",'Event summary'!C1156)</f>
        <v/>
      </c>
      <c r="E1156" s="116" t="str">
        <f>IF(ISBLANK('Event summary'!D1156),"",'Event summary'!D1156)</f>
        <v/>
      </c>
      <c r="F1156" s="117" t="str">
        <f>IF(ISBLANK('Event summary'!E1156),"",'Event summary'!E1156)</f>
        <v/>
      </c>
    </row>
    <row r="1157" spans="1:6" x14ac:dyDescent="0.2">
      <c r="A1157" s="114" t="e">
        <f>IF(ISBLANK('Event summary'!#REF!),"",'Event summary'!#REF!)</f>
        <v>#REF!</v>
      </c>
      <c r="B1157" s="115">
        <f>IF(ISBLANK('Event summary'!A1157),"",'Event summary'!A1157)</f>
        <v>1157</v>
      </c>
      <c r="C1157" s="115" t="str">
        <f>IF(ISBLANK('Event summary'!B1157),"",'Event summary'!B1157)</f>
        <v/>
      </c>
      <c r="D1157" s="116" t="str">
        <f>IF(ISBLANK('Event summary'!C1157),"",'Event summary'!C1157)</f>
        <v/>
      </c>
      <c r="E1157" s="116" t="str">
        <f>IF(ISBLANK('Event summary'!D1157),"",'Event summary'!D1157)</f>
        <v/>
      </c>
      <c r="F1157" s="117" t="str">
        <f>IF(ISBLANK('Event summary'!E1157),"",'Event summary'!E1157)</f>
        <v/>
      </c>
    </row>
    <row r="1158" spans="1:6" x14ac:dyDescent="0.2">
      <c r="A1158" s="114" t="e">
        <f>IF(ISBLANK('Event summary'!#REF!),"",'Event summary'!#REF!)</f>
        <v>#REF!</v>
      </c>
      <c r="B1158" s="115">
        <f>IF(ISBLANK('Event summary'!A1158),"",'Event summary'!A1158)</f>
        <v>1158</v>
      </c>
      <c r="C1158" s="115" t="str">
        <f>IF(ISBLANK('Event summary'!B1158),"",'Event summary'!B1158)</f>
        <v/>
      </c>
      <c r="D1158" s="116" t="str">
        <f>IF(ISBLANK('Event summary'!C1158),"",'Event summary'!C1158)</f>
        <v/>
      </c>
      <c r="E1158" s="116" t="str">
        <f>IF(ISBLANK('Event summary'!D1158),"",'Event summary'!D1158)</f>
        <v/>
      </c>
      <c r="F1158" s="117" t="str">
        <f>IF(ISBLANK('Event summary'!E1158),"",'Event summary'!E1158)</f>
        <v/>
      </c>
    </row>
    <row r="1159" spans="1:6" x14ac:dyDescent="0.2">
      <c r="A1159" s="114" t="e">
        <f>IF(ISBLANK('Event summary'!#REF!),"",'Event summary'!#REF!)</f>
        <v>#REF!</v>
      </c>
      <c r="B1159" s="115">
        <f>IF(ISBLANK('Event summary'!A1159),"",'Event summary'!A1159)</f>
        <v>1159</v>
      </c>
      <c r="C1159" s="115" t="str">
        <f>IF(ISBLANK('Event summary'!B1159),"",'Event summary'!B1159)</f>
        <v/>
      </c>
      <c r="D1159" s="116" t="str">
        <f>IF(ISBLANK('Event summary'!C1159),"",'Event summary'!C1159)</f>
        <v/>
      </c>
      <c r="E1159" s="116" t="str">
        <f>IF(ISBLANK('Event summary'!D1159),"",'Event summary'!D1159)</f>
        <v/>
      </c>
      <c r="F1159" s="117" t="str">
        <f>IF(ISBLANK('Event summary'!E1159),"",'Event summary'!E1159)</f>
        <v/>
      </c>
    </row>
    <row r="1160" spans="1:6" x14ac:dyDescent="0.2">
      <c r="A1160" s="114" t="e">
        <f>IF(ISBLANK('Event summary'!#REF!),"",'Event summary'!#REF!)</f>
        <v>#REF!</v>
      </c>
      <c r="B1160" s="115">
        <f>IF(ISBLANK('Event summary'!A1160),"",'Event summary'!A1160)</f>
        <v>1160</v>
      </c>
      <c r="C1160" s="115" t="str">
        <f>IF(ISBLANK('Event summary'!B1160),"",'Event summary'!B1160)</f>
        <v/>
      </c>
      <c r="D1160" s="116" t="str">
        <f>IF(ISBLANK('Event summary'!C1160),"",'Event summary'!C1160)</f>
        <v/>
      </c>
      <c r="E1160" s="116" t="str">
        <f>IF(ISBLANK('Event summary'!D1160),"",'Event summary'!D1160)</f>
        <v/>
      </c>
      <c r="F1160" s="117" t="str">
        <f>IF(ISBLANK('Event summary'!E1160),"",'Event summary'!E1160)</f>
        <v/>
      </c>
    </row>
    <row r="1161" spans="1:6" x14ac:dyDescent="0.2">
      <c r="A1161" s="114" t="e">
        <f>IF(ISBLANK('Event summary'!#REF!),"",'Event summary'!#REF!)</f>
        <v>#REF!</v>
      </c>
      <c r="B1161" s="115">
        <f>IF(ISBLANK('Event summary'!A1161),"",'Event summary'!A1161)</f>
        <v>1161</v>
      </c>
      <c r="C1161" s="115" t="str">
        <f>IF(ISBLANK('Event summary'!B1161),"",'Event summary'!B1161)</f>
        <v/>
      </c>
      <c r="D1161" s="116" t="str">
        <f>IF(ISBLANK('Event summary'!C1161),"",'Event summary'!C1161)</f>
        <v/>
      </c>
      <c r="E1161" s="116" t="str">
        <f>IF(ISBLANK('Event summary'!D1161),"",'Event summary'!D1161)</f>
        <v/>
      </c>
      <c r="F1161" s="117" t="str">
        <f>IF(ISBLANK('Event summary'!E1161),"",'Event summary'!E1161)</f>
        <v/>
      </c>
    </row>
    <row r="1162" spans="1:6" x14ac:dyDescent="0.2">
      <c r="A1162" s="114" t="e">
        <f>IF(ISBLANK('Event summary'!#REF!),"",'Event summary'!#REF!)</f>
        <v>#REF!</v>
      </c>
      <c r="B1162" s="115">
        <f>IF(ISBLANK('Event summary'!A1162),"",'Event summary'!A1162)</f>
        <v>1162</v>
      </c>
      <c r="C1162" s="115" t="str">
        <f>IF(ISBLANK('Event summary'!B1162),"",'Event summary'!B1162)</f>
        <v/>
      </c>
      <c r="D1162" s="116" t="str">
        <f>IF(ISBLANK('Event summary'!C1162),"",'Event summary'!C1162)</f>
        <v/>
      </c>
      <c r="E1162" s="116" t="str">
        <f>IF(ISBLANK('Event summary'!D1162),"",'Event summary'!D1162)</f>
        <v/>
      </c>
      <c r="F1162" s="117" t="str">
        <f>IF(ISBLANK('Event summary'!E1162),"",'Event summary'!E1162)</f>
        <v/>
      </c>
    </row>
    <row r="1163" spans="1:6" x14ac:dyDescent="0.2">
      <c r="A1163" s="114" t="e">
        <f>IF(ISBLANK('Event summary'!#REF!),"",'Event summary'!#REF!)</f>
        <v>#REF!</v>
      </c>
      <c r="B1163" s="115">
        <f>IF(ISBLANK('Event summary'!A1163),"",'Event summary'!A1163)</f>
        <v>1163</v>
      </c>
      <c r="C1163" s="115" t="str">
        <f>IF(ISBLANK('Event summary'!B1163),"",'Event summary'!B1163)</f>
        <v/>
      </c>
      <c r="D1163" s="116" t="str">
        <f>IF(ISBLANK('Event summary'!C1163),"",'Event summary'!C1163)</f>
        <v/>
      </c>
      <c r="E1163" s="116" t="str">
        <f>IF(ISBLANK('Event summary'!D1163),"",'Event summary'!D1163)</f>
        <v/>
      </c>
      <c r="F1163" s="117" t="str">
        <f>IF(ISBLANK('Event summary'!E1163),"",'Event summary'!E1163)</f>
        <v/>
      </c>
    </row>
    <row r="1164" spans="1:6" x14ac:dyDescent="0.2">
      <c r="A1164" s="114" t="e">
        <f>IF(ISBLANK('Event summary'!#REF!),"",'Event summary'!#REF!)</f>
        <v>#REF!</v>
      </c>
      <c r="B1164" s="115">
        <f>IF(ISBLANK('Event summary'!A1164),"",'Event summary'!A1164)</f>
        <v>1164</v>
      </c>
      <c r="C1164" s="115" t="str">
        <f>IF(ISBLANK('Event summary'!B1164),"",'Event summary'!B1164)</f>
        <v/>
      </c>
      <c r="D1164" s="116" t="str">
        <f>IF(ISBLANK('Event summary'!C1164),"",'Event summary'!C1164)</f>
        <v/>
      </c>
      <c r="E1164" s="116" t="str">
        <f>IF(ISBLANK('Event summary'!D1164),"",'Event summary'!D1164)</f>
        <v/>
      </c>
      <c r="F1164" s="117" t="str">
        <f>IF(ISBLANK('Event summary'!E1164),"",'Event summary'!E1164)</f>
        <v/>
      </c>
    </row>
    <row r="1165" spans="1:6" x14ac:dyDescent="0.2">
      <c r="A1165" s="114" t="e">
        <f>IF(ISBLANK('Event summary'!#REF!),"",'Event summary'!#REF!)</f>
        <v>#REF!</v>
      </c>
      <c r="B1165" s="115">
        <f>IF(ISBLANK('Event summary'!A1165),"",'Event summary'!A1165)</f>
        <v>1165</v>
      </c>
      <c r="C1165" s="115" t="str">
        <f>IF(ISBLANK('Event summary'!B1165),"",'Event summary'!B1165)</f>
        <v/>
      </c>
      <c r="D1165" s="116" t="str">
        <f>IF(ISBLANK('Event summary'!C1165),"",'Event summary'!C1165)</f>
        <v/>
      </c>
      <c r="E1165" s="116" t="str">
        <f>IF(ISBLANK('Event summary'!D1165),"",'Event summary'!D1165)</f>
        <v/>
      </c>
      <c r="F1165" s="117" t="str">
        <f>IF(ISBLANK('Event summary'!E1165),"",'Event summary'!E1165)</f>
        <v/>
      </c>
    </row>
    <row r="1166" spans="1:6" x14ac:dyDescent="0.2">
      <c r="A1166" s="114" t="e">
        <f>IF(ISBLANK('Event summary'!#REF!),"",'Event summary'!#REF!)</f>
        <v>#REF!</v>
      </c>
      <c r="B1166" s="115">
        <f>IF(ISBLANK('Event summary'!A1166),"",'Event summary'!A1166)</f>
        <v>1166</v>
      </c>
      <c r="C1166" s="115" t="str">
        <f>IF(ISBLANK('Event summary'!B1166),"",'Event summary'!B1166)</f>
        <v/>
      </c>
      <c r="D1166" s="116" t="str">
        <f>IF(ISBLANK('Event summary'!C1166),"",'Event summary'!C1166)</f>
        <v/>
      </c>
      <c r="E1166" s="116" t="str">
        <f>IF(ISBLANK('Event summary'!D1166),"",'Event summary'!D1166)</f>
        <v/>
      </c>
      <c r="F1166" s="117" t="str">
        <f>IF(ISBLANK('Event summary'!E1166),"",'Event summary'!E1166)</f>
        <v/>
      </c>
    </row>
    <row r="1167" spans="1:6" x14ac:dyDescent="0.2">
      <c r="A1167" s="114" t="e">
        <f>IF(ISBLANK('Event summary'!#REF!),"",'Event summary'!#REF!)</f>
        <v>#REF!</v>
      </c>
      <c r="B1167" s="115">
        <f>IF(ISBLANK('Event summary'!A1167),"",'Event summary'!A1167)</f>
        <v>1167</v>
      </c>
      <c r="C1167" s="115" t="str">
        <f>IF(ISBLANK('Event summary'!B1167),"",'Event summary'!B1167)</f>
        <v/>
      </c>
      <c r="D1167" s="116" t="str">
        <f>IF(ISBLANK('Event summary'!C1167),"",'Event summary'!C1167)</f>
        <v/>
      </c>
      <c r="E1167" s="116" t="str">
        <f>IF(ISBLANK('Event summary'!D1167),"",'Event summary'!D1167)</f>
        <v/>
      </c>
      <c r="F1167" s="117" t="str">
        <f>IF(ISBLANK('Event summary'!E1167),"",'Event summary'!E1167)</f>
        <v/>
      </c>
    </row>
    <row r="1168" spans="1:6" x14ac:dyDescent="0.2">
      <c r="A1168" s="114" t="e">
        <f>IF(ISBLANK('Event summary'!#REF!),"",'Event summary'!#REF!)</f>
        <v>#REF!</v>
      </c>
      <c r="B1168" s="115">
        <f>IF(ISBLANK('Event summary'!A1168),"",'Event summary'!A1168)</f>
        <v>1168</v>
      </c>
      <c r="C1168" s="115" t="str">
        <f>IF(ISBLANK('Event summary'!B1168),"",'Event summary'!B1168)</f>
        <v/>
      </c>
      <c r="D1168" s="116" t="str">
        <f>IF(ISBLANK('Event summary'!C1168),"",'Event summary'!C1168)</f>
        <v/>
      </c>
      <c r="E1168" s="116" t="str">
        <f>IF(ISBLANK('Event summary'!D1168),"",'Event summary'!D1168)</f>
        <v/>
      </c>
      <c r="F1168" s="117" t="str">
        <f>IF(ISBLANK('Event summary'!E1168),"",'Event summary'!E1168)</f>
        <v/>
      </c>
    </row>
    <row r="1169" spans="1:6" x14ac:dyDescent="0.2">
      <c r="A1169" s="114" t="e">
        <f>IF(ISBLANK('Event summary'!#REF!),"",'Event summary'!#REF!)</f>
        <v>#REF!</v>
      </c>
      <c r="B1169" s="115">
        <f>IF(ISBLANK('Event summary'!A1169),"",'Event summary'!A1169)</f>
        <v>1169</v>
      </c>
      <c r="C1169" s="115" t="str">
        <f>IF(ISBLANK('Event summary'!B1169),"",'Event summary'!B1169)</f>
        <v/>
      </c>
      <c r="D1169" s="116" t="str">
        <f>IF(ISBLANK('Event summary'!C1169),"",'Event summary'!C1169)</f>
        <v/>
      </c>
      <c r="E1169" s="116" t="str">
        <f>IF(ISBLANK('Event summary'!D1169),"",'Event summary'!D1169)</f>
        <v/>
      </c>
      <c r="F1169" s="117" t="str">
        <f>IF(ISBLANK('Event summary'!E1169),"",'Event summary'!E1169)</f>
        <v/>
      </c>
    </row>
    <row r="1170" spans="1:6" x14ac:dyDescent="0.2">
      <c r="A1170" s="114" t="e">
        <f>IF(ISBLANK('Event summary'!#REF!),"",'Event summary'!#REF!)</f>
        <v>#REF!</v>
      </c>
      <c r="B1170" s="115">
        <f>IF(ISBLANK('Event summary'!A1170),"",'Event summary'!A1170)</f>
        <v>1170</v>
      </c>
      <c r="C1170" s="115" t="str">
        <f>IF(ISBLANK('Event summary'!B1170),"",'Event summary'!B1170)</f>
        <v/>
      </c>
      <c r="D1170" s="116" t="str">
        <f>IF(ISBLANK('Event summary'!C1170),"",'Event summary'!C1170)</f>
        <v/>
      </c>
      <c r="E1170" s="116" t="str">
        <f>IF(ISBLANK('Event summary'!D1170),"",'Event summary'!D1170)</f>
        <v/>
      </c>
      <c r="F1170" s="117" t="str">
        <f>IF(ISBLANK('Event summary'!E1170),"",'Event summary'!E1170)</f>
        <v/>
      </c>
    </row>
    <row r="1171" spans="1:6" x14ac:dyDescent="0.2">
      <c r="A1171" s="114" t="e">
        <f>IF(ISBLANK('Event summary'!#REF!),"",'Event summary'!#REF!)</f>
        <v>#REF!</v>
      </c>
      <c r="B1171" s="115">
        <f>IF(ISBLANK('Event summary'!A1171),"",'Event summary'!A1171)</f>
        <v>1171</v>
      </c>
      <c r="C1171" s="115" t="str">
        <f>IF(ISBLANK('Event summary'!B1171),"",'Event summary'!B1171)</f>
        <v/>
      </c>
      <c r="D1171" s="116" t="str">
        <f>IF(ISBLANK('Event summary'!C1171),"",'Event summary'!C1171)</f>
        <v/>
      </c>
      <c r="E1171" s="116" t="str">
        <f>IF(ISBLANK('Event summary'!D1171),"",'Event summary'!D1171)</f>
        <v/>
      </c>
      <c r="F1171" s="117" t="str">
        <f>IF(ISBLANK('Event summary'!E1171),"",'Event summary'!E1171)</f>
        <v/>
      </c>
    </row>
    <row r="1172" spans="1:6" x14ac:dyDescent="0.2">
      <c r="A1172" s="114" t="e">
        <f>IF(ISBLANK('Event summary'!#REF!),"",'Event summary'!#REF!)</f>
        <v>#REF!</v>
      </c>
      <c r="B1172" s="115">
        <f>IF(ISBLANK('Event summary'!A1172),"",'Event summary'!A1172)</f>
        <v>1172</v>
      </c>
      <c r="C1172" s="115" t="str">
        <f>IF(ISBLANK('Event summary'!B1172),"",'Event summary'!B1172)</f>
        <v/>
      </c>
      <c r="D1172" s="116" t="str">
        <f>IF(ISBLANK('Event summary'!C1172),"",'Event summary'!C1172)</f>
        <v/>
      </c>
      <c r="E1172" s="116" t="str">
        <f>IF(ISBLANK('Event summary'!D1172),"",'Event summary'!D1172)</f>
        <v/>
      </c>
      <c r="F1172" s="117" t="str">
        <f>IF(ISBLANK('Event summary'!E1172),"",'Event summary'!E1172)</f>
        <v/>
      </c>
    </row>
    <row r="1173" spans="1:6" x14ac:dyDescent="0.2">
      <c r="A1173" s="114" t="e">
        <f>IF(ISBLANK('Event summary'!#REF!),"",'Event summary'!#REF!)</f>
        <v>#REF!</v>
      </c>
      <c r="B1173" s="115">
        <f>IF(ISBLANK('Event summary'!A1173),"",'Event summary'!A1173)</f>
        <v>1173</v>
      </c>
      <c r="C1173" s="115" t="str">
        <f>IF(ISBLANK('Event summary'!B1173),"",'Event summary'!B1173)</f>
        <v/>
      </c>
      <c r="D1173" s="116" t="str">
        <f>IF(ISBLANK('Event summary'!C1173),"",'Event summary'!C1173)</f>
        <v/>
      </c>
      <c r="E1173" s="116" t="str">
        <f>IF(ISBLANK('Event summary'!D1173),"",'Event summary'!D1173)</f>
        <v/>
      </c>
      <c r="F1173" s="117" t="str">
        <f>IF(ISBLANK('Event summary'!E1173),"",'Event summary'!E1173)</f>
        <v/>
      </c>
    </row>
    <row r="1174" spans="1:6" x14ac:dyDescent="0.2">
      <c r="A1174" s="114" t="e">
        <f>IF(ISBLANK('Event summary'!#REF!),"",'Event summary'!#REF!)</f>
        <v>#REF!</v>
      </c>
      <c r="B1174" s="115">
        <f>IF(ISBLANK('Event summary'!A1174),"",'Event summary'!A1174)</f>
        <v>1174</v>
      </c>
      <c r="C1174" s="115" t="str">
        <f>IF(ISBLANK('Event summary'!B1174),"",'Event summary'!B1174)</f>
        <v/>
      </c>
      <c r="D1174" s="116" t="str">
        <f>IF(ISBLANK('Event summary'!C1174),"",'Event summary'!C1174)</f>
        <v/>
      </c>
      <c r="E1174" s="116" t="str">
        <f>IF(ISBLANK('Event summary'!D1174),"",'Event summary'!D1174)</f>
        <v/>
      </c>
      <c r="F1174" s="117" t="str">
        <f>IF(ISBLANK('Event summary'!E1174),"",'Event summary'!E1174)</f>
        <v/>
      </c>
    </row>
    <row r="1175" spans="1:6" x14ac:dyDescent="0.2">
      <c r="A1175" s="114" t="e">
        <f>IF(ISBLANK('Event summary'!#REF!),"",'Event summary'!#REF!)</f>
        <v>#REF!</v>
      </c>
      <c r="B1175" s="115">
        <f>IF(ISBLANK('Event summary'!A1175),"",'Event summary'!A1175)</f>
        <v>1175</v>
      </c>
      <c r="C1175" s="115" t="str">
        <f>IF(ISBLANK('Event summary'!B1175),"",'Event summary'!B1175)</f>
        <v/>
      </c>
      <c r="D1175" s="116" t="str">
        <f>IF(ISBLANK('Event summary'!C1175),"",'Event summary'!C1175)</f>
        <v/>
      </c>
      <c r="E1175" s="116" t="str">
        <f>IF(ISBLANK('Event summary'!D1175),"",'Event summary'!D1175)</f>
        <v/>
      </c>
      <c r="F1175" s="117" t="str">
        <f>IF(ISBLANK('Event summary'!E1175),"",'Event summary'!E1175)</f>
        <v/>
      </c>
    </row>
    <row r="1176" spans="1:6" x14ac:dyDescent="0.2">
      <c r="A1176" s="114" t="e">
        <f>IF(ISBLANK('Event summary'!#REF!),"",'Event summary'!#REF!)</f>
        <v>#REF!</v>
      </c>
      <c r="B1176" s="115">
        <f>IF(ISBLANK('Event summary'!A1176),"",'Event summary'!A1176)</f>
        <v>1176</v>
      </c>
      <c r="C1176" s="115" t="str">
        <f>IF(ISBLANK('Event summary'!B1176),"",'Event summary'!B1176)</f>
        <v/>
      </c>
      <c r="D1176" s="116" t="str">
        <f>IF(ISBLANK('Event summary'!C1176),"",'Event summary'!C1176)</f>
        <v/>
      </c>
      <c r="E1176" s="116" t="str">
        <f>IF(ISBLANK('Event summary'!D1176),"",'Event summary'!D1176)</f>
        <v/>
      </c>
      <c r="F1176" s="117" t="str">
        <f>IF(ISBLANK('Event summary'!E1176),"",'Event summary'!E1176)</f>
        <v/>
      </c>
    </row>
    <row r="1177" spans="1:6" x14ac:dyDescent="0.2">
      <c r="A1177" s="114" t="e">
        <f>IF(ISBLANK('Event summary'!#REF!),"",'Event summary'!#REF!)</f>
        <v>#REF!</v>
      </c>
      <c r="B1177" s="115">
        <f>IF(ISBLANK('Event summary'!A1177),"",'Event summary'!A1177)</f>
        <v>1177</v>
      </c>
      <c r="C1177" s="115" t="str">
        <f>IF(ISBLANK('Event summary'!B1177),"",'Event summary'!B1177)</f>
        <v/>
      </c>
      <c r="D1177" s="116" t="str">
        <f>IF(ISBLANK('Event summary'!C1177),"",'Event summary'!C1177)</f>
        <v/>
      </c>
      <c r="E1177" s="116" t="str">
        <f>IF(ISBLANK('Event summary'!D1177),"",'Event summary'!D1177)</f>
        <v/>
      </c>
      <c r="F1177" s="117" t="str">
        <f>IF(ISBLANK('Event summary'!E1177),"",'Event summary'!E1177)</f>
        <v/>
      </c>
    </row>
    <row r="1178" spans="1:6" x14ac:dyDescent="0.2">
      <c r="A1178" s="114" t="e">
        <f>IF(ISBLANK('Event summary'!#REF!),"",'Event summary'!#REF!)</f>
        <v>#REF!</v>
      </c>
      <c r="B1178" s="115">
        <f>IF(ISBLANK('Event summary'!A1178),"",'Event summary'!A1178)</f>
        <v>1178</v>
      </c>
      <c r="C1178" s="115" t="str">
        <f>IF(ISBLANK('Event summary'!B1178),"",'Event summary'!B1178)</f>
        <v/>
      </c>
      <c r="D1178" s="116" t="str">
        <f>IF(ISBLANK('Event summary'!C1178),"",'Event summary'!C1178)</f>
        <v/>
      </c>
      <c r="E1178" s="116" t="str">
        <f>IF(ISBLANK('Event summary'!D1178),"",'Event summary'!D1178)</f>
        <v/>
      </c>
      <c r="F1178" s="117" t="str">
        <f>IF(ISBLANK('Event summary'!E1178),"",'Event summary'!E1178)</f>
        <v/>
      </c>
    </row>
    <row r="1179" spans="1:6" x14ac:dyDescent="0.2">
      <c r="A1179" s="114" t="e">
        <f>IF(ISBLANK('Event summary'!#REF!),"",'Event summary'!#REF!)</f>
        <v>#REF!</v>
      </c>
      <c r="B1179" s="115">
        <f>IF(ISBLANK('Event summary'!A1179),"",'Event summary'!A1179)</f>
        <v>1179</v>
      </c>
      <c r="C1179" s="115" t="str">
        <f>IF(ISBLANK('Event summary'!B1179),"",'Event summary'!B1179)</f>
        <v/>
      </c>
      <c r="D1179" s="116" t="str">
        <f>IF(ISBLANK('Event summary'!C1179),"",'Event summary'!C1179)</f>
        <v/>
      </c>
      <c r="E1179" s="116" t="str">
        <f>IF(ISBLANK('Event summary'!D1179),"",'Event summary'!D1179)</f>
        <v/>
      </c>
      <c r="F1179" s="117" t="str">
        <f>IF(ISBLANK('Event summary'!E1179),"",'Event summary'!E1179)</f>
        <v/>
      </c>
    </row>
    <row r="1180" spans="1:6" x14ac:dyDescent="0.2">
      <c r="A1180" s="114" t="e">
        <f>IF(ISBLANK('Event summary'!#REF!),"",'Event summary'!#REF!)</f>
        <v>#REF!</v>
      </c>
      <c r="B1180" s="115">
        <f>IF(ISBLANK('Event summary'!A1180),"",'Event summary'!A1180)</f>
        <v>1180</v>
      </c>
      <c r="C1180" s="115" t="str">
        <f>IF(ISBLANK('Event summary'!B1180),"",'Event summary'!B1180)</f>
        <v/>
      </c>
      <c r="D1180" s="116" t="str">
        <f>IF(ISBLANK('Event summary'!C1180),"",'Event summary'!C1180)</f>
        <v/>
      </c>
      <c r="E1180" s="116" t="str">
        <f>IF(ISBLANK('Event summary'!D1180),"",'Event summary'!D1180)</f>
        <v/>
      </c>
      <c r="F1180" s="117" t="str">
        <f>IF(ISBLANK('Event summary'!E1180),"",'Event summary'!E1180)</f>
        <v/>
      </c>
    </row>
    <row r="1181" spans="1:6" x14ac:dyDescent="0.2">
      <c r="A1181" s="114" t="e">
        <f>IF(ISBLANK('Event summary'!#REF!),"",'Event summary'!#REF!)</f>
        <v>#REF!</v>
      </c>
      <c r="B1181" s="115">
        <f>IF(ISBLANK('Event summary'!A1181),"",'Event summary'!A1181)</f>
        <v>1181</v>
      </c>
      <c r="C1181" s="115" t="str">
        <f>IF(ISBLANK('Event summary'!B1181),"",'Event summary'!B1181)</f>
        <v/>
      </c>
      <c r="D1181" s="116" t="str">
        <f>IF(ISBLANK('Event summary'!C1181),"",'Event summary'!C1181)</f>
        <v/>
      </c>
      <c r="E1181" s="116" t="str">
        <f>IF(ISBLANK('Event summary'!D1181),"",'Event summary'!D1181)</f>
        <v/>
      </c>
      <c r="F1181" s="117" t="str">
        <f>IF(ISBLANK('Event summary'!E1181),"",'Event summary'!E1181)</f>
        <v/>
      </c>
    </row>
    <row r="1182" spans="1:6" x14ac:dyDescent="0.2">
      <c r="A1182" s="114" t="e">
        <f>IF(ISBLANK('Event summary'!#REF!),"",'Event summary'!#REF!)</f>
        <v>#REF!</v>
      </c>
      <c r="B1182" s="115">
        <f>IF(ISBLANK('Event summary'!A1182),"",'Event summary'!A1182)</f>
        <v>1182</v>
      </c>
      <c r="C1182" s="115" t="str">
        <f>IF(ISBLANK('Event summary'!B1182),"",'Event summary'!B1182)</f>
        <v/>
      </c>
      <c r="D1182" s="116" t="str">
        <f>IF(ISBLANK('Event summary'!C1182),"",'Event summary'!C1182)</f>
        <v/>
      </c>
      <c r="E1182" s="116" t="str">
        <f>IF(ISBLANK('Event summary'!D1182),"",'Event summary'!D1182)</f>
        <v/>
      </c>
      <c r="F1182" s="117" t="str">
        <f>IF(ISBLANK('Event summary'!E1182),"",'Event summary'!E1182)</f>
        <v/>
      </c>
    </row>
    <row r="1183" spans="1:6" x14ac:dyDescent="0.2">
      <c r="A1183" s="114" t="e">
        <f>IF(ISBLANK('Event summary'!#REF!),"",'Event summary'!#REF!)</f>
        <v>#REF!</v>
      </c>
      <c r="B1183" s="115">
        <f>IF(ISBLANK('Event summary'!A1183),"",'Event summary'!A1183)</f>
        <v>1183</v>
      </c>
      <c r="C1183" s="115" t="str">
        <f>IF(ISBLANK('Event summary'!B1183),"",'Event summary'!B1183)</f>
        <v/>
      </c>
      <c r="D1183" s="116" t="str">
        <f>IF(ISBLANK('Event summary'!C1183),"",'Event summary'!C1183)</f>
        <v/>
      </c>
      <c r="E1183" s="116" t="str">
        <f>IF(ISBLANK('Event summary'!D1183),"",'Event summary'!D1183)</f>
        <v/>
      </c>
      <c r="F1183" s="117" t="str">
        <f>IF(ISBLANK('Event summary'!E1183),"",'Event summary'!E1183)</f>
        <v/>
      </c>
    </row>
  </sheetData>
  <autoFilter ref="A1:J1183" xr:uid="{00000000-0009-0000-0000-000008000000}"/>
  <pageMargins left="0.70866141732283472" right="0.70866141732283472" top="0.74803149606299213" bottom="0.74803149606299213" header="0.31496062992125984" footer="0.31496062992125984"/>
  <pageSetup paperSize="9" scale="6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9</vt:i4>
      </vt:variant>
      <vt:variant>
        <vt:lpstr>טווחים בעלי שם</vt:lpstr>
      </vt:variant>
      <vt:variant>
        <vt:i4>6</vt:i4>
      </vt:variant>
    </vt:vector>
  </HeadingPairs>
  <TitlesOfParts>
    <vt:vector size="15" baseType="lpstr">
      <vt:lpstr>Incident Reporting</vt:lpstr>
      <vt:lpstr>Event summary</vt:lpstr>
      <vt:lpstr>Taxonomy</vt:lpstr>
      <vt:lpstr>טבלת פרמטרים</vt:lpstr>
      <vt:lpstr>Results</vt:lpstr>
      <vt:lpstr>results new</vt:lpstr>
      <vt:lpstr>calc sheet</vt:lpstr>
      <vt:lpstr>Taxonomy New</vt:lpstr>
      <vt:lpstr>Task management</vt:lpstr>
      <vt:lpstr>Results!WPrint_Area_W</vt:lpstr>
      <vt:lpstr>'Task management'!WPrint_Area_W</vt:lpstr>
      <vt:lpstr>'Event summary'!WPrint_TitlesW</vt:lpstr>
      <vt:lpstr>'Task management'!WPrint_TitlesW</vt:lpstr>
      <vt:lpstr>Taxonomy!WPrint_TitlesW</vt:lpstr>
      <vt:lpstr>'Taxonomy New'!WPrint_TitlesW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rbh</dc:creator>
  <cp:lastModifiedBy>רן בן חור</cp:lastModifiedBy>
  <cp:lastPrinted>2025-02-13T13:08:29Z</cp:lastPrinted>
  <dcterms:created xsi:type="dcterms:W3CDTF">2017-07-04T11:16:06Z</dcterms:created>
  <dcterms:modified xsi:type="dcterms:W3CDTF">2026-06-27T16:22:36Z</dcterms:modified>
</cp:coreProperties>
</file>